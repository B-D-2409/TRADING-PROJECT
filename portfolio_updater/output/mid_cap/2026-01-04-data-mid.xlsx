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Y:\AusBiz\portfolio_updater\output\mid_cap\"/>
    </mc:Choice>
  </mc:AlternateContent>
  <xr:revisionPtr revIDLastSave="0" documentId="13_ncr:1_{D422C2EC-3753-4C55-81D4-45EFC27E0AFA}" xr6:coauthVersionLast="47" xr6:coauthVersionMax="47" xr10:uidLastSave="{00000000-0000-0000-0000-000000000000}"/>
  <bookViews>
    <workbookView xWindow="-108" yWindow="-108" windowWidth="30936" windowHeight="16776"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 i="3" l="1"/>
  <c r="M28" i="7"/>
  <c r="D1383" i="5"/>
  <c r="E1383" i="5" s="1"/>
  <c r="D1382" i="5"/>
  <c r="E1382" i="5" s="1"/>
  <c r="H1379" i="8"/>
  <c r="D1381" i="5"/>
  <c r="E1381" i="5" s="1"/>
  <c r="H1378" i="8"/>
  <c r="D1380" i="5"/>
  <c r="E1380" i="5" s="1"/>
  <c r="H5" i="6"/>
  <c r="J5" i="6" s="1"/>
  <c r="I5" i="6" s="1"/>
  <c r="H1377" i="8"/>
  <c r="K3" i="3"/>
  <c r="D1379" i="5"/>
  <c r="E1379" i="5" s="1"/>
  <c r="H1376" i="8"/>
  <c r="D1378" i="5"/>
  <c r="E1378" i="5" s="1"/>
  <c r="H7" i="6"/>
  <c r="J7" i="6" s="1"/>
  <c r="I7" i="6" s="1"/>
  <c r="H6" i="6"/>
  <c r="J6" i="6" s="1"/>
  <c r="I6" i="6" s="1"/>
  <c r="H1375" i="8"/>
  <c r="K5" i="3"/>
  <c r="K4" i="3"/>
  <c r="D1377" i="5"/>
  <c r="E1377" i="5" s="1"/>
  <c r="H1374" i="8"/>
  <c r="D1376" i="5"/>
  <c r="E1376" i="5" s="1"/>
  <c r="H9" i="6"/>
  <c r="J9" i="6" s="1"/>
  <c r="I9" i="6" s="1"/>
  <c r="H8" i="6"/>
  <c r="J8" i="6" s="1"/>
  <c r="I8" i="6" s="1"/>
  <c r="K7" i="3"/>
  <c r="K6" i="3"/>
  <c r="D1375" i="5"/>
  <c r="E1375" i="5" s="1"/>
  <c r="H1373" i="8"/>
  <c r="D1374" i="5"/>
  <c r="E1374" i="5" s="1"/>
  <c r="H1372" i="8"/>
  <c r="D1373" i="5"/>
  <c r="E1373" i="5" s="1"/>
  <c r="D1372" i="5"/>
  <c r="E1372" i="5" s="1"/>
  <c r="H1371" i="8"/>
  <c r="D1371" i="5"/>
  <c r="E1371" i="5" s="1"/>
  <c r="H11" i="6"/>
  <c r="J11" i="6" s="1"/>
  <c r="I11" i="6" s="1"/>
  <c r="H10" i="6"/>
  <c r="J10" i="6" s="1"/>
  <c r="I10" i="6" s="1"/>
  <c r="H1370" i="8"/>
  <c r="K9" i="3"/>
  <c r="K8" i="3"/>
  <c r="F2" i="2"/>
  <c r="F3" i="2"/>
  <c r="A1370" i="5"/>
  <c r="D1370" i="5"/>
  <c r="E1370" i="5" s="1"/>
  <c r="H1369" i="8"/>
  <c r="D1369" i="5"/>
  <c r="E1369" i="5" s="1"/>
  <c r="H1368" i="8"/>
  <c r="D1368" i="5"/>
  <c r="E1368" i="5" s="1"/>
  <c r="H1367" i="8"/>
  <c r="D1367" i="5"/>
  <c r="E1367" i="5" s="1"/>
  <c r="H21" i="6"/>
  <c r="J21" i="6" s="1"/>
  <c r="I21" i="6" s="1"/>
  <c r="H20" i="6"/>
  <c r="J20" i="6" s="1"/>
  <c r="I20" i="6" s="1"/>
  <c r="H19" i="6"/>
  <c r="J19" i="6" s="1"/>
  <c r="I19" i="6" s="1"/>
  <c r="H18" i="6"/>
  <c r="J18" i="6" s="1"/>
  <c r="I18" i="6" s="1"/>
  <c r="H17" i="6"/>
  <c r="J17" i="6" s="1"/>
  <c r="I17" i="6" s="1"/>
  <c r="H16" i="6"/>
  <c r="J16" i="6" s="1"/>
  <c r="I16" i="6" s="1"/>
  <c r="H15" i="6"/>
  <c r="J15" i="6" s="1"/>
  <c r="I15" i="6" s="1"/>
  <c r="H14" i="6"/>
  <c r="J14" i="6" s="1"/>
  <c r="I14" i="6" s="1"/>
  <c r="H13" i="6"/>
  <c r="J13" i="6" s="1"/>
  <c r="I13" i="6" s="1"/>
  <c r="H12" i="6"/>
  <c r="J12" i="6" s="1"/>
  <c r="I12" i="6" s="1"/>
  <c r="H1366" i="8"/>
  <c r="H22" i="6"/>
  <c r="J22" i="6" s="1"/>
  <c r="I22" i="6" s="1"/>
  <c r="H23" i="6"/>
  <c r="J23" i="6" s="1"/>
  <c r="I23" i="6" s="1"/>
  <c r="H24" i="6"/>
  <c r="J24" i="6" s="1"/>
  <c r="I24" i="6" s="1"/>
  <c r="H25" i="6"/>
  <c r="J25" i="6" s="1"/>
  <c r="I25" i="6" s="1"/>
  <c r="H26" i="6"/>
  <c r="J26" i="6" s="1"/>
  <c r="I26" i="6" s="1"/>
  <c r="H27" i="6"/>
  <c r="J27" i="6" s="1"/>
  <c r="I27" i="6" s="1"/>
  <c r="H28" i="6"/>
  <c r="J28" i="6" s="1"/>
  <c r="I28" i="6" s="1"/>
  <c r="H29" i="6"/>
  <c r="J29" i="6" s="1"/>
  <c r="I29" i="6" s="1"/>
  <c r="H30" i="6"/>
  <c r="J30" i="6" s="1"/>
  <c r="I30" i="6" s="1"/>
  <c r="H31" i="6"/>
  <c r="J31" i="6" s="1"/>
  <c r="I31" i="6" s="1"/>
  <c r="K19" i="3"/>
  <c r="K18" i="3"/>
  <c r="K17" i="3"/>
  <c r="K16" i="3"/>
  <c r="K15" i="3"/>
  <c r="K14" i="3"/>
  <c r="K13" i="3"/>
  <c r="K12" i="3"/>
  <c r="K11" i="3"/>
  <c r="K10" i="3"/>
  <c r="D1366" i="5"/>
  <c r="E1366" i="5" s="1"/>
  <c r="H1365" i="8"/>
  <c r="D1365" i="5"/>
  <c r="E1365" i="5" s="1"/>
  <c r="H1364" i="8"/>
  <c r="D1364" i="5"/>
  <c r="E1364" i="5" s="1"/>
  <c r="H1363" i="8"/>
  <c r="D1363" i="5"/>
  <c r="E1363" i="5" s="1"/>
  <c r="H1362" i="8"/>
  <c r="D1362" i="5"/>
  <c r="E1362" i="5" s="1"/>
  <c r="H1361" i="8" l="1"/>
  <c r="D1361" i="5"/>
  <c r="E1361" i="5" s="1"/>
  <c r="H1360" i="8" l="1"/>
  <c r="K21" i="3"/>
  <c r="K20" i="3"/>
  <c r="D1360" i="5"/>
  <c r="E1360" i="5" s="1"/>
  <c r="H1359" i="8"/>
  <c r="D1359" i="5"/>
  <c r="E1359" i="5" s="1"/>
  <c r="H1358" i="8"/>
  <c r="K25" i="3"/>
  <c r="K24" i="3"/>
  <c r="K23" i="3"/>
  <c r="K22" i="3"/>
  <c r="D1358" i="5"/>
  <c r="E1358" i="5" s="1"/>
  <c r="H1357" i="8"/>
  <c r="D1357" i="5"/>
  <c r="E1357" i="5" s="1"/>
  <c r="H1356" i="8"/>
  <c r="D1356" i="5"/>
  <c r="E1356" i="5" s="1"/>
  <c r="H1355" i="8"/>
  <c r="C2" i="4"/>
  <c r="D1355" i="5"/>
  <c r="E1355" i="5" s="1"/>
  <c r="H1354" i="8"/>
  <c r="D1354" i="5"/>
  <c r="E1354" i="5" s="1"/>
  <c r="H1352" i="8" l="1"/>
  <c r="H1353" i="8"/>
  <c r="K26" i="3"/>
  <c r="K27" i="3"/>
  <c r="D1353" i="5"/>
  <c r="E1353" i="5" s="1"/>
  <c r="H1351" i="8"/>
  <c r="D1352" i="5"/>
  <c r="E1352" i="5" s="1"/>
  <c r="H1350" i="8"/>
  <c r="K36" i="3"/>
  <c r="K33" i="3"/>
  <c r="K32" i="3"/>
  <c r="K31" i="3"/>
  <c r="K30" i="3" l="1"/>
  <c r="K29" i="3"/>
  <c r="K28" i="3"/>
  <c r="E1351" i="5"/>
  <c r="D1351" i="5"/>
  <c r="D1350" i="5"/>
  <c r="E1350" i="5" s="1"/>
  <c r="H1349" i="8"/>
  <c r="D1349" i="5"/>
  <c r="E1349" i="5" s="1"/>
  <c r="H1348" i="8"/>
  <c r="D1348" i="5"/>
  <c r="E1348" i="5" s="1"/>
  <c r="H1346" i="8"/>
  <c r="H1347" i="8" s="1"/>
  <c r="K34" i="3"/>
  <c r="K35" i="3"/>
  <c r="D1347" i="5"/>
  <c r="E1347" i="5" s="1"/>
  <c r="D1346" i="5"/>
  <c r="E1346" i="5" s="1"/>
  <c r="H1345" i="8"/>
  <c r="D1345" i="5"/>
  <c r="E1345" i="5" s="1"/>
  <c r="K42" i="3"/>
  <c r="K43" i="3"/>
  <c r="K44" i="3"/>
  <c r="K45" i="3"/>
  <c r="K46" i="3"/>
  <c r="D1344" i="5"/>
  <c r="E1344" i="5" s="1"/>
  <c r="H1344" i="8"/>
  <c r="D1343" i="5"/>
  <c r="E1343" i="5" s="1"/>
  <c r="H1343" i="8"/>
  <c r="K37" i="3"/>
  <c r="K38" i="3"/>
  <c r="D1342" i="5"/>
  <c r="E1342" i="5" s="1"/>
  <c r="D1341" i="5"/>
  <c r="E1341" i="5" s="1"/>
  <c r="H1341" i="8"/>
  <c r="H1342" i="8"/>
  <c r="D1339" i="5"/>
  <c r="E1339" i="5" s="1"/>
  <c r="D1340" i="5"/>
  <c r="E1340" i="5" s="1"/>
  <c r="K39" i="3"/>
  <c r="K40" i="3"/>
  <c r="H1339" i="8"/>
  <c r="H1340" i="8" s="1"/>
  <c r="D1338" i="5"/>
  <c r="E1338" i="5" s="1"/>
  <c r="H1338" i="8"/>
  <c r="H2" i="6"/>
  <c r="J2" i="6" s="1"/>
  <c r="I2" i="6" s="1"/>
  <c r="H3" i="6"/>
  <c r="J3" i="6" s="1"/>
  <c r="I3" i="6" s="1"/>
  <c r="D1337" i="5"/>
  <c r="E1337" i="5" s="1"/>
  <c r="H1336" i="8"/>
  <c r="H1337" i="8" s="1"/>
  <c r="D1336" i="5"/>
  <c r="E1336" i="5" s="1"/>
  <c r="H1335" i="8"/>
  <c r="H7" i="8"/>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8" i="8" s="1"/>
  <c r="H1319" i="8" s="1"/>
  <c r="H1320" i="8" s="1"/>
  <c r="H1321" i="8" s="1"/>
  <c r="H1322" i="8" s="1"/>
  <c r="H1323" i="8" s="1"/>
  <c r="H1324" i="8" s="1"/>
  <c r="H1325" i="8" s="1"/>
  <c r="H1326" i="8" s="1"/>
  <c r="H1327" i="8" s="1"/>
  <c r="H1328" i="8" s="1"/>
  <c r="H1329" i="8" s="1"/>
  <c r="H1330" i="8" s="1"/>
  <c r="H1331" i="8" s="1"/>
  <c r="H1332" i="8" s="1"/>
  <c r="H1333" i="8" s="1"/>
  <c r="H1334" i="8" s="1"/>
  <c r="H5" i="8"/>
  <c r="H6" i="8" s="1"/>
  <c r="H4" i="8"/>
  <c r="H3" i="8"/>
  <c r="E1335" i="5"/>
  <c r="D1335" i="5"/>
  <c r="K41"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K78" i="3"/>
  <c r="K79" i="3"/>
  <c r="K80" i="3"/>
  <c r="K81" i="3"/>
  <c r="E1334" i="5"/>
  <c r="E1333" i="5"/>
  <c r="E1332" i="5"/>
  <c r="E1331" i="5"/>
  <c r="E1330" i="5"/>
  <c r="E1328" i="5"/>
  <c r="E1329" i="5"/>
  <c r="E1327" i="5"/>
  <c r="E1326"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4" i="5"/>
  <c r="E5" i="5"/>
  <c r="E6" i="5"/>
  <c r="E7" i="5"/>
  <c r="E8" i="5"/>
  <c r="E9" i="5"/>
  <c r="E10" i="5"/>
  <c r="E3" i="5"/>
  <c r="G2" i="4" l="1"/>
  <c r="D2" i="4"/>
  <c r="F2" i="4" s="1"/>
  <c r="E2" i="4"/>
</calcChain>
</file>

<file path=xl/sharedStrings.xml><?xml version="1.0" encoding="utf-8"?>
<sst xmlns="http://schemas.openxmlformats.org/spreadsheetml/2006/main" count="3897" uniqueCount="1565">
  <si>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</si>
  <si>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</si>
  <si>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</si>
  <si>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</si>
  <si>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</si>
  <si>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</si>
  <si>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</si>
  <si>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</si>
  <si>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</si>
  <si>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</si>
  <si>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</si>
  <si>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</si>
  <si>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</si>
  <si>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</si>
  <si>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</si>
  <si>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</si>
  <si>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</si>
  <si>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</si>
  <si>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</si>
  <si>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</si>
  <si>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</si>
  <si>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Industrials</t>
  </si>
  <si>
    <t>Financials</t>
  </si>
  <si>
    <t>Communication Services</t>
  </si>
  <si>
    <t>VNT.ASX</t>
  </si>
  <si>
    <t>Real Estate</t>
  </si>
  <si>
    <t>ING.ASX</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</si>
  <si>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</si>
  <si>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</si>
  <si>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</si>
  <si>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</si>
  <si>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</si>
  <si>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</si>
  <si>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</si>
  <si>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</si>
  <si>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</si>
  <si>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</si>
  <si>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</si>
  <si>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</si>
  <si>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</si>
  <si>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</si>
  <si>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</si>
  <si>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</si>
  <si>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</si>
  <si>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</si>
  <si>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</si>
  <si>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</si>
  <si>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</si>
  <si>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</si>
  <si>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</si>
  <si>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</si>
  <si>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HLS.ASX</t>
  </si>
  <si>
    <t>PME.ASX</t>
  </si>
  <si>
    <t>SOL.ASX</t>
  </si>
  <si>
    <t>SUL.ASX</t>
  </si>
  <si>
    <t>ZIP.ASX</t>
  </si>
  <si>
    <t>Portfolio dividend yield %</t>
  </si>
  <si>
    <t>Cumulative Return %</t>
  </si>
  <si>
    <t>NEU.ASX</t>
  </si>
  <si>
    <t>MP1.ASX</t>
  </si>
  <si>
    <t>KAR.ASX</t>
  </si>
  <si>
    <t>WTC.ASX</t>
  </si>
  <si>
    <t>LTR.ASX</t>
  </si>
  <si>
    <t>CRN.ASX</t>
  </si>
  <si>
    <t>NHC.ASX</t>
  </si>
  <si>
    <t>TNE.ASX</t>
  </si>
  <si>
    <t>TLX.ASX</t>
  </si>
  <si>
    <t>DNL.ASX</t>
  </si>
  <si>
    <t>NUF.ASX</t>
  </si>
  <si>
    <t>CIA.ASX</t>
  </si>
  <si>
    <t>PLS.ASX</t>
  </si>
  <si>
    <t>GNC.ASX</t>
  </si>
  <si>
    <t>NWL.ASX</t>
  </si>
  <si>
    <t>XRO.ASX</t>
  </si>
  <si>
    <t>NXT.ASX</t>
  </si>
  <si>
    <t>DMP.ASX</t>
  </si>
  <si>
    <t>CNU.ASX</t>
  </si>
  <si>
    <t>APX.ASX</t>
  </si>
  <si>
    <t>NAN.ASX</t>
  </si>
  <si>
    <t>GEM.ASX</t>
  </si>
  <si>
    <t>RRL.ASX</t>
  </si>
  <si>
    <t>IEL.ASX</t>
  </si>
  <si>
    <t>ALQ.ASX</t>
  </si>
  <si>
    <t>WEB.ASX</t>
  </si>
  <si>
    <t>FPR.ASX</t>
  </si>
  <si>
    <t>SBM.ASX</t>
  </si>
  <si>
    <t>FLT.ASX</t>
  </si>
  <si>
    <t>SYR.ASX</t>
  </si>
  <si>
    <t>MFG.ASX</t>
  </si>
  <si>
    <t>CEH.ASX</t>
  </si>
  <si>
    <t>SHV.ASX</t>
  </si>
  <si>
    <t>NST.ASX</t>
  </si>
  <si>
    <t>ABG.ASX</t>
  </si>
  <si>
    <t>MMS.ASX</t>
  </si>
  <si>
    <t>EWC.ASX</t>
  </si>
  <si>
    <t>RSG.ASX</t>
  </si>
  <si>
    <t>FWD.ASX</t>
  </si>
  <si>
    <t>LYC.ASX</t>
  </si>
  <si>
    <t>PRN.ASX</t>
  </si>
  <si>
    <t>MAH.ASX</t>
  </si>
  <si>
    <t>KCN.ASX</t>
  </si>
  <si>
    <t>MGX.ASX</t>
  </si>
  <si>
    <t>NWH.ASX</t>
  </si>
  <si>
    <t>MND.ASX</t>
  </si>
  <si>
    <t>EHL.ASX</t>
  </si>
  <si>
    <t>WOR.ASX</t>
  </si>
  <si>
    <t>LGL.ASX</t>
  </si>
  <si>
    <t>SIG.ASX</t>
  </si>
  <si>
    <t>RIC.ASX</t>
  </si>
  <si>
    <t>EML.ASX</t>
  </si>
  <si>
    <t>Cash</t>
  </si>
  <si>
    <t>Last 12 month return %</t>
  </si>
  <si>
    <t>Last 6 month return %</t>
  </si>
  <si>
    <t>Last 3 month return %</t>
  </si>
  <si>
    <t>PNR.ASX</t>
  </si>
  <si>
    <t>ASG.ASX</t>
  </si>
  <si>
    <t>SLC.ASX</t>
  </si>
  <si>
    <t>COF.ASX</t>
  </si>
  <si>
    <t>SVR.ASX</t>
  </si>
  <si>
    <t>DXB.ASX</t>
  </si>
  <si>
    <t>AFG.ASX</t>
  </si>
  <si>
    <t>REG.ASX</t>
  </si>
  <si>
    <t>DVP.ASX</t>
  </si>
  <si>
    <t>GDI.ASX</t>
  </si>
  <si>
    <t>IMR.ASX</t>
  </si>
  <si>
    <t>ASK.ASX</t>
  </si>
  <si>
    <t>IGL.ASX</t>
  </si>
  <si>
    <t>OML.ASX</t>
  </si>
  <si>
    <t>DRO.ASX</t>
  </si>
  <si>
    <t>PPM.ASX</t>
  </si>
  <si>
    <t>AIZ.ASX</t>
  </si>
  <si>
    <t>SRV.ASX</t>
  </si>
  <si>
    <t>DSE.ASX</t>
  </si>
  <si>
    <t>OBL.ASX</t>
  </si>
  <si>
    <t>URW.ASX</t>
  </si>
  <si>
    <t>NCK.ASX</t>
  </si>
  <si>
    <t>EBR.ASX</t>
  </si>
  <si>
    <t>TUA.ASX</t>
  </si>
  <si>
    <t>BBN.ASX</t>
  </si>
  <si>
    <t>KPG.ASX</t>
  </si>
  <si>
    <t>MAF.ASX</t>
  </si>
  <si>
    <t>ACF.ASX</t>
  </si>
  <si>
    <t>TPW.ASX</t>
  </si>
  <si>
    <t>ACL.ASX</t>
  </si>
  <si>
    <t>IDX.ASX</t>
  </si>
  <si>
    <t>SLX.ASX</t>
  </si>
  <si>
    <t>CYC.ASX</t>
  </si>
  <si>
    <t>AVH.ASX</t>
  </si>
  <si>
    <t>MYR.ASX</t>
  </si>
  <si>
    <t>CWP.ASX</t>
  </si>
  <si>
    <t>PYC.ASX</t>
  </si>
  <si>
    <t>GNG.ASX</t>
  </si>
  <si>
    <t>SVM.ASX</t>
  </si>
  <si>
    <t>OBM.ASX</t>
  </si>
  <si>
    <t>NXL.ASX</t>
  </si>
  <si>
    <t>HUM.ASX</t>
  </si>
  <si>
    <t>SPR.ASX</t>
  </si>
  <si>
    <t>DXI.ASX</t>
  </si>
  <si>
    <t>LYL.ASX</t>
  </si>
  <si>
    <t>WGX.ASX</t>
  </si>
  <si>
    <t>CDA.ASX</t>
  </si>
  <si>
    <t>RDY.ASX</t>
  </si>
  <si>
    <t>MAQ.ASX</t>
  </si>
  <si>
    <t>RPL.ASX</t>
  </si>
  <si>
    <t>GQG.ASX</t>
  </si>
  <si>
    <t>CU6.ASX</t>
  </si>
  <si>
    <t>OFX.ASX</t>
  </si>
  <si>
    <t>CBO.ASX</t>
  </si>
  <si>
    <t>LFG.ASX</t>
  </si>
  <si>
    <t>PBH.ASX</t>
  </si>
  <si>
    <t>VUL.ASX</t>
  </si>
  <si>
    <t>FFM.ASX</t>
  </si>
  <si>
    <t>ANG.ASX</t>
  </si>
  <si>
    <t>BLX.ASX</t>
  </si>
  <si>
    <t>MYX.ASX</t>
  </si>
  <si>
    <t>CAT.ASX</t>
  </si>
  <si>
    <t>SMR.ASX</t>
  </si>
  <si>
    <t>HLI.ASX</t>
  </si>
  <si>
    <t>ADT.ASX</t>
  </si>
  <si>
    <t>BVS.ASX</t>
  </si>
  <si>
    <t>IPG.ASX</t>
  </si>
  <si>
    <t>RFF.ASX</t>
  </si>
  <si>
    <t>MAD.ASX</t>
  </si>
  <si>
    <t>AD8.ASX</t>
  </si>
  <si>
    <t>LLL.ASX</t>
  </si>
  <si>
    <t>A4N.ASX</t>
  </si>
  <si>
    <t>PLY.ASX</t>
  </si>
  <si>
    <t>SIQ.ASX</t>
  </si>
  <si>
    <t>ASB.ASX</t>
  </si>
  <si>
    <t>CTT.ASX</t>
  </si>
  <si>
    <t>RMS.ASX</t>
  </si>
  <si>
    <t>DTL.ASX</t>
  </si>
  <si>
    <t>LAU.ASX</t>
  </si>
  <si>
    <t>HLO.ASX</t>
  </si>
  <si>
    <t>ALK.ASX</t>
  </si>
  <si>
    <t>QAL.ASX</t>
  </si>
  <si>
    <t>PWH.ASX</t>
  </si>
  <si>
    <t>TYR.ASX</t>
  </si>
  <si>
    <t>AGY.ASX</t>
  </si>
  <si>
    <t>PPS.ASX</t>
  </si>
  <si>
    <t>JAN.ASX</t>
  </si>
  <si>
    <t>GLN.ASX</t>
  </si>
  <si>
    <t>MHJ.ASX</t>
  </si>
  <si>
    <t>PAR.ASX</t>
  </si>
  <si>
    <t>STA.ASX</t>
  </si>
  <si>
    <t>LOV.ASX</t>
  </si>
  <si>
    <t>PNV.ASX</t>
  </si>
  <si>
    <t>DXC.ASX</t>
  </si>
  <si>
    <t>YAL.ASX</t>
  </si>
  <si>
    <t>COG.ASX</t>
  </si>
  <si>
    <t>GRR.ASX</t>
  </si>
  <si>
    <t>SSM.ASX</t>
  </si>
  <si>
    <t>JRV.ASX</t>
  </si>
  <si>
    <t>LKE.ASX</t>
  </si>
  <si>
    <t>MLX.ASX</t>
  </si>
  <si>
    <t>CXO.ASX</t>
  </si>
  <si>
    <t>AQZ.ASX</t>
  </si>
  <si>
    <t>ARF.ASX</t>
  </si>
  <si>
    <t>CMM.ASX</t>
  </si>
  <si>
    <t>JLG.ASX</t>
  </si>
  <si>
    <t>HFR.ASX</t>
  </si>
  <si>
    <t>BFG.ASX</t>
  </si>
  <si>
    <t>1MC.ASX</t>
  </si>
  <si>
    <t>AEF.ASX</t>
  </si>
  <si>
    <t>NVX.ASX</t>
  </si>
  <si>
    <t>INR.ASX</t>
  </si>
  <si>
    <t>HSN.ASX</t>
  </si>
  <si>
    <t>WBT.ASX</t>
  </si>
  <si>
    <t>FLN.ASX</t>
  </si>
  <si>
    <t>AOF.ASX</t>
  </si>
  <si>
    <t>BET.ASX</t>
  </si>
  <si>
    <t>CHN.ASX</t>
  </si>
  <si>
    <t>DBI.ASX</t>
  </si>
  <si>
    <t>ZIM.ASX</t>
  </si>
  <si>
    <t>MYS.ASX</t>
  </si>
  <si>
    <t>KSL.ASX</t>
  </si>
  <si>
    <t>SWM.ASX</t>
  </si>
  <si>
    <t>ATG.ASX</t>
  </si>
  <si>
    <t>RMC.ASX</t>
  </si>
  <si>
    <t>HMC.ASX</t>
  </si>
  <si>
    <t>DDR.ASX</t>
  </si>
  <si>
    <t>SVY.ASX</t>
  </si>
  <si>
    <t>BGL.ASX</t>
  </si>
  <si>
    <t>AAC.ASX</t>
  </si>
  <si>
    <t>SOM.ASX</t>
  </si>
  <si>
    <t>ADH.ASX</t>
  </si>
  <si>
    <t>WAF.ASX</t>
  </si>
  <si>
    <t>PFT.ASX</t>
  </si>
  <si>
    <t>PPG.ASX</t>
  </si>
  <si>
    <t>IRI.ASX</t>
  </si>
  <si>
    <t>KGN.ASX</t>
  </si>
  <si>
    <t>FSA.ASX</t>
  </si>
  <si>
    <t>PSQ.ASX</t>
  </si>
  <si>
    <t>KMD.ASX</t>
  </si>
  <si>
    <t>MTO.ASX</t>
  </si>
  <si>
    <t>INA.ASX</t>
  </si>
  <si>
    <t>CQE.ASX</t>
  </si>
  <si>
    <t>OPT.ASX</t>
  </si>
  <si>
    <t>JIN.ASX</t>
  </si>
  <si>
    <t>GOR.ASX</t>
  </si>
  <si>
    <t>CVN.ASX</t>
  </si>
  <si>
    <t>AX1.ASX</t>
  </si>
  <si>
    <t>AEL.ASX</t>
  </si>
  <si>
    <t>AMI.ASX</t>
  </si>
  <si>
    <t>PAC.ASX</t>
  </si>
  <si>
    <t>A1N.ASX</t>
  </si>
  <si>
    <t>ATS.ASX</t>
  </si>
  <si>
    <t>FAR.ASX</t>
  </si>
  <si>
    <t>CKF.ASX</t>
  </si>
  <si>
    <t>SHJ.ASX</t>
  </si>
  <si>
    <t>CLW.ASX</t>
  </si>
  <si>
    <t>DNA.ASX</t>
  </si>
  <si>
    <t>NHF.ASX</t>
  </si>
  <si>
    <t>AJX.ASX</t>
  </si>
  <si>
    <t>HUB.ASX</t>
  </si>
  <si>
    <t>ENN.ASX</t>
  </si>
  <si>
    <t>MVF.ASX</t>
  </si>
  <si>
    <t>URF.ASX</t>
  </si>
  <si>
    <t>ELD.ASX</t>
  </si>
  <si>
    <t>IPH.ASX</t>
  </si>
  <si>
    <t>NOU.ASX</t>
  </si>
  <si>
    <t>TRS.ASX</t>
  </si>
  <si>
    <t>AIA.ASX</t>
  </si>
  <si>
    <t>AMA.ASX</t>
  </si>
  <si>
    <t>IPD.ASX</t>
  </si>
  <si>
    <t>NSR.ASX</t>
  </si>
  <si>
    <t>FPH.ASX</t>
  </si>
  <si>
    <t>TGP.ASX</t>
  </si>
  <si>
    <t>EZL.ASX</t>
  </si>
  <si>
    <t>LIC.ASX</t>
  </si>
  <si>
    <t>CVW.ASX</t>
  </si>
  <si>
    <t>KAM.ASX</t>
  </si>
  <si>
    <t>5GN.ASX</t>
  </si>
  <si>
    <t>MCE.ASX</t>
  </si>
  <si>
    <t>SIV.ASX</t>
  </si>
  <si>
    <t>BCI.ASX</t>
  </si>
  <si>
    <t>FRI.ASX</t>
  </si>
  <si>
    <t>MCP.ASX</t>
  </si>
  <si>
    <t>AJL.ASX</t>
  </si>
  <si>
    <t>CCV.ASX</t>
  </si>
  <si>
    <t>HGO.ASX</t>
  </si>
  <si>
    <t>PPC.ASX</t>
  </si>
  <si>
    <t>CLE.ASX</t>
  </si>
  <si>
    <t>ATR.ASX</t>
  </si>
  <si>
    <t>KGL.ASX</t>
  </si>
  <si>
    <t>EGG.ASX</t>
  </si>
  <si>
    <t>TER.ASX</t>
  </si>
  <si>
    <t>SPL.ASX</t>
  </si>
  <si>
    <t>AKM.ASX</t>
  </si>
  <si>
    <t>CAA.ASX</t>
  </si>
  <si>
    <t>CSS.ASX</t>
  </si>
  <si>
    <t>TAM.ASX</t>
  </si>
  <si>
    <t>NGE.ASX</t>
  </si>
  <si>
    <t>A1M.ASX</t>
  </si>
  <si>
    <t>SFR.ASX</t>
  </si>
  <si>
    <t>PMV.ASX</t>
  </si>
  <si>
    <t>MSB.ASX</t>
  </si>
  <si>
    <t>PRU.ASX</t>
  </si>
  <si>
    <t>SNT.ASX</t>
  </si>
  <si>
    <t>BMN.ASX</t>
  </si>
  <si>
    <t>ARG.ASX</t>
  </si>
  <si>
    <t>DJW.ASX</t>
  </si>
  <si>
    <t>OMH.ASX</t>
  </si>
  <si>
    <t>AFI.ASX</t>
  </si>
  <si>
    <t>APZ.ASX</t>
  </si>
  <si>
    <t>CHC.ASX</t>
  </si>
  <si>
    <t>CCX.ASX</t>
  </si>
  <si>
    <t>CDP.ASX</t>
  </si>
  <si>
    <t>ERA.ASX</t>
  </si>
  <si>
    <t>MXI.ASX</t>
  </si>
  <si>
    <t>BOC.ASX</t>
  </si>
  <si>
    <t>AVJ.ASX</t>
  </si>
  <si>
    <t>SDI.ASX</t>
  </si>
  <si>
    <t>CYG.ASX</t>
  </si>
  <si>
    <t>REH.ASX</t>
  </si>
  <si>
    <t>SFC.ASX</t>
  </si>
  <si>
    <t>PMC.ASX</t>
  </si>
  <si>
    <t>AVG.ASX</t>
  </si>
  <si>
    <t>BKW.ASX</t>
  </si>
  <si>
    <t>RHC.ASX</t>
  </si>
  <si>
    <t>MOM.ASX</t>
  </si>
  <si>
    <t>Pantoro Gold Limited Ordinary</t>
  </si>
  <si>
    <t>Materials</t>
  </si>
  <si>
    <t>Pantoro Gold Limited, formerly Pantoro Limited, is an Australia-based gold producer. The Company is focused on its 100%-owned Norseman Gold Project in Australia. The Norseman Gold Project is located in the Eastern Goldfields of Western Australia, at the southern end of the highly productive Norseman-Wiluna greenstone belt. The project lies approximately 725 kilometers (km) east of Perth, 200 km south of Kalgoorlie, and 200 km north of Esperance. The project tenure of approximately 1,000 square kilometers (km2) covers nearly all the historic Norseman Gold province. The project has measured, indicated and inferred mineral resources of 4.87 million ounces. The Norseman Gold Project lies immediately adjacent to the Norseman township and is infrastructure-rich with office and workshop complexes, camp accommodation, site laboratory, 10MW power station, bore fields and a road network servicing all existing mineral resource areas already in place.</t>
  </si>
  <si>
    <t>$-42.2M</t>
  </si>
  <si>
    <t>$-41.3M</t>
  </si>
  <si>
    <t>Autosports Group Limited Ordinary</t>
  </si>
  <si>
    <t>Consumer Discretionary</t>
  </si>
  <si>
    <t>$0.4B</t>
  </si>
  <si>
    <t>Superloop Limited Ordinary</t>
  </si>
  <si>
    <t>Superloop Limited is an Australia-based telecommunications company. The Company operates through three segments: Wholesale, Business and Consumer. The Wholesale segment is defined by large scale telecommunications, data and technology customers who purchase various connectivity services to support their core business services, as well as retail Internet service providers who do not have access to a connectivity network of their own. The Business segment is defined by small, medium and large corporate customers who purchase connectivity services to facilitate their core business. The Consumer segment is defined by customers who purchase basic Internet and mobile phone products for domestic residential use. Its products include national broadband network (NBN) access, NBN TC2, NBN Enterprise Ethernet, dark fiber, fixed wireless access, third party access, security, managed Wi-Fi, international ethernet, wavelength and international (including Indigo) subsea cable capacity.</t>
  </si>
  <si>
    <t>$0.1M</t>
  </si>
  <si>
    <t>Centuria Office Reit Ordinary Units</t>
  </si>
  <si>
    <t>Centuria Office REIT (the Trust) is an Australia-based pure play office real estate investment trust (REIT). The Trust owns a portfolio of quality office assets situated in core submarkets throughout Australia. The Trust specializes in the real estate sectors, including decentralized office, industrial, agriculture, real estate finance, healthcare, large format retail and daily needs retail. Its suite of investment products includes listed and unlisted real estate funds across debt and equity markets. Additionally, it provides investment bond options. Its geographically diversified office portfolio has 21 assets. The portfolio is predominantly exposed to metropolitan and near city office markets that are well-connected to transport and lend themselves to affordable rents. Its property portfolio includes 8 Central Ave, Eveleigh, 203 Pacific Hwy, St Leonards, 9 Help St, Chatswood, 201 Pacific Hwy, St Leonards and 77 Market St, Wollongong. Its manager is Centuria Property Funds Limited.</t>
  </si>
  <si>
    <t>Solvar Limited Ordinary</t>
  </si>
  <si>
    <t>$0.3B</t>
  </si>
  <si>
    <t>Solvar Limited is an Australia-based consumer and commercial finance company, which is engaged in providing of automotive finance. The Company operates through two segments: Australia and New Zealand. The Australia segment provides lending facilities in Australia generally based on the provision of an underlying asset as security, generally referred through a broker or distributed directly through digital channels. The New Zealand segment provides lending facilities in New Zealand generally based on the provision of an underlying asset as security, generally referred through a dealer. The Company operates through three core brands: Money3 and Automotive Financial Services in Australia and Go Car Finance in New Zealand. It offers commercial loans to small businesses and sole traders for the purchase of a vehicle or piece of equipment to support their business operations. The Company also provides strategic corporate customers with fleet funding facilities.</t>
  </si>
  <si>
    <t>Dimerix Limited Ordinary</t>
  </si>
  <si>
    <t>Health Care</t>
  </si>
  <si>
    <t xml:space="preserve">Dimerix Limited is an Australia-based clinical-stage biopharmaceutical company. The Company is focused on developing lives of patients with inflammatory diseases, including both kidney and respiratory diseases. It develops and commercializes patient preferred pharmaceutical products for global markets using its receptor technology to identify and develop drugs in areas with an unmet need. The Company is focused on developing its Phase III product candidate DMX-200 (QYTOVRA), for Focal Segmental Glomerulosclerosis (FSGS) kidney disease and is also developing DMX-700 for Chronic Obstructive Pulmonary Disease (COPD). Its Receptor Heteromer Investigation Technology (Receptor-HIT) is a scalable and globally applicable technology platform enabling the understanding of receptor interactions to rapidly screen and identify new drug opportunities. Its products target multiple global territories, with the initial focus predominantly on the United States and European markets. </t>
  </si>
  <si>
    <t>$-21.0M</t>
  </si>
  <si>
    <t>$-7.0M</t>
  </si>
  <si>
    <t>Australian Finance Group Ltd Ordinary</t>
  </si>
  <si>
    <t>$0.5B</t>
  </si>
  <si>
    <t>Australian Finance Group Limited is an Australia-based mortgage broking and financial solutions company. The Company's principal activities include mortgage origination and lending. The Company's segments include distribution, manufacturing, and central. The distribution segment refers to the core aggregation services through AFG and Fintelligence in which these entities act as a mortgage broker that provides its contracted brokers with administrative and infrastructure support as well as access to a panel of lenders. It also includes White Label AFG Home Loans Commissions. The manufacturing segment refers to AFG Securities mortgages (Securitized loans issued by AFG Securities Pty Ltd) that are distributed through the Company's broker network. The manufacturing segment also includes AFG's investment in Thinktank (commercial and residential). Its products include Suite360 Platform, Commercial and Business Broking, Analytics and Business Data and SMART Marketing Platform.</t>
  </si>
  <si>
    <t>Regis Healthcare Limited Ordinary</t>
  </si>
  <si>
    <t>Develop Global Limited Ordinary</t>
  </si>
  <si>
    <t>Develop Global Ltd is engaged in exploration and development of base metals and mining services. The Company is also involved in operations of its underground mining services division Develop Mining Services Its segments include mining services and mining and exploration. The Company's projects include Sulphur Springs Project, Whim Creek Joint Venture, Woodlawn Project, Pioneer Dome, and Kangan Gold Project. The Sulphur Springs project is located 144 kilometers (km) to the southeast of Port Hedland and includes the Sulphur Springs and Kangaroo Caves deposits together with tenements along the 27 km Panorama Trend that contains six advanced targets that have returned intersections of commercial grade copper and zinc. The Whim Creek Joint Venture Project is located 115 km to the southwest of Port Hedland. The Woodlawn Project is a zinc-copper-lead-gold-silver project located in the Lachlan Fold belt in New South Wales, 250 km south-west of Sydney and 40 km south of Goulburn.</t>
  </si>
  <si>
    <t>GDI Property Group Ordinary/Units Stapled Securities</t>
  </si>
  <si>
    <t xml:space="preserve">GDI Property Group Limited is a property owner and fund manager. The Company is a fully integrated, internally managed property and fund management group with capabilities in ownership, management, refurbishment, leasing and syndication of properties. The Company's segments include Property, Funds management and Co-living JV. The Property segment is engaged in investment and management of income-producing properties. The Funds management is focused on the establishment and management of property investment vehicles. The Co-living JV segment is engaged in the ownership, management and syndication of Co-living mining accommodation. It manages property investments in Greater Sydney, Brisbane, Perth and Southeast Queensland and North Queensland. Its listed properties include 301-311 Wellington Street, Perth, WA; 419-431 Murray Street, Perth, WA; 180 Hay Street, Perth, WA, and others. Its unlisted properties include GDI No. 46 Property Trust, 6 Sunray Drive, Innaloo, Perth WA and others. </t>
  </si>
  <si>
    <t>Imricor Medical Systems Inc. CDI 1:1 US Person Prohibited Excluding QIB</t>
  </si>
  <si>
    <t>Imricor Medical Systems, Inc. is a developer of magnetic resonance imaging (MRI)-compatible medical devices which can be used to carry out real-time interventional cardiac magnetic resonance imaging (iCMR) cardiac ablation procedures. The Company develops MRI-compatible products for cardiac catheter ablation procedures. The Vision-MR Ablation Catheter is the Company's prime product offering, specifically designed to work under real-time MRI guidance. Its other products include Advantage-MR EP Recorder/Stimulator System, the Vision-MR Diagnostic Catheter and Vision-MR Dispersive Electrode. Advantage-MR EP Recorder/Stimulator System provides technology that allows the physician to utilize both the EP recording system and a cardiac stimulator while ablating within the iCMR environment. It sells its capital and consumable products to hospitals and clinics for use in iCMR labs, in which ablation procedures using the Vision-MR Ablation Catheter can be performed.</t>
  </si>
  <si>
    <t>$6.6M</t>
  </si>
  <si>
    <t>$-23.7M</t>
  </si>
  <si>
    <t>Abacus Storage King Ordinary/Units Stapled Securities</t>
  </si>
  <si>
    <t>Abacus Storage King is a stapled entity comprising Abacus Storage Operations Limited and Abacus Property Trust. The principal activities of the Company are investment in and operation of self-storage facilities. The Company is a fully integrated owner, operator, and manager of a self-storage operating platform with a portfolio of strategically located properties in Australia and New Zealand. It owns and manages a self-storage portfolio across 147 assets providing 660,423 square meters of self-storage space. Its portfolio is geographically diversified across Victoria (VIC), New South Wales (NSW), Queensland (QLD), Australian Capital Territory (ACT), New Zealand (NZ), South Australia (SA), and West Australia (WA). Its office and retail portfolio include 11 Bowden Street, 14 Martin Place, 201 Elizabeth Street, 241 Adelaide Street, 324 Queen Street, 51 Allara Street, 710 Collins Street, 91 King William Street, Myer Bourke Street, The Oasis, among others.</t>
  </si>
  <si>
    <t>Kingsgate Consolidated Limited Ordinary</t>
  </si>
  <si>
    <t>Kingsgate Consolidated Limited is an Australia-based gold and silver mining, development and exploration company. The Company and its Thai subsidiary, Akara Resources Public Company Limited, own the Chatree Gold Mine (Chatree) in central Thailand. In addition, the Company has an advanced development project, Nueva Esperanza, in the highly prospective Maricunga Gold/Silver Belt in Chile. The Chatree is located in central Thailand, approximately 280 kilometers (Km) north of Bangkok. Chatree is a large scale, low-cost, open pit operation with a combined +5 Mtpa processing capacity across two plants. The Nueva Esperanza (New Hope) Project is located in the Maricunga Gold Belt of the Atacama Region of Northern Chile, approximately 140 km north-east of the city of Copiapo, a regional mining center. It is a silver and gold project comprising several well-defined deposits hosted in a high sulfidation epithermal (hydrothermal) system. The main deposits are Arqueros, Chimberos and Teterita.</t>
  </si>
  <si>
    <t>1.5x</t>
  </si>
  <si>
    <t>IVE Group Limited Ordinary</t>
  </si>
  <si>
    <t>OOH!Media Limited Ordinary</t>
  </si>
  <si>
    <t>$0.9B</t>
  </si>
  <si>
    <t>oOh!media Limited is an Australia-based out-of-home (OOH) media company. The Company is engaged in offering advertisers the ability to create deep engagement between people and brands across diverse OOH location-based portfolios in Australia and New Zealand. It also invests in technology. Its portfolio includes large format digital and classic roadside screens; large and small format digital and classic signs located in retail precincts such as shopping centers; large and small format digital and classic signs in airport terminals, lounges and in-flight; digital and classic street furniture signs; digital and classic format advertising in public transport corridors, including rail, and digital and classic signs in high dwell time environments, such as universities and office buildings. It also provides advertising creative and printing services. It has a network of over 37,000 digital and static asset locations that includes roadsides, airports, train stations, bus stops, and others.</t>
  </si>
  <si>
    <t>$107.4M</t>
  </si>
  <si>
    <t>Fleetwood Limited Ordinary</t>
  </si>
  <si>
    <t>Fleetwood Limited is an Australia-based provider of modular and accommodation solutions as well as recreational vehicle (RV) parts and accessories. The Company's segments include RV Solutions, Building Solutions and Community Solutions. The RV Solutions segment is engaged in manufacturing, installation and distribution of recreational vehicle parts and accessories. The RV Solutions segment is comprised of two RV brands operating in Australia and New Zealand: Camec and Northern RV. The Building Solutions segment is engaged in designing, manufacturing and sale of accommodation. The Building Solutions segment serves various sectors, including aged care, education, amenities, commercial, health, custodial and defense. The Community Solutions segment includes the operation of communities. The Community Solutions segment include Searipple Village, Osprey Village and Glyde Digital. Glyde Digital is an Internet of Things technology developed by the Company that makes accommodation smarter.</t>
  </si>
  <si>
    <t>Droneshield Limited Ordinary</t>
  </si>
  <si>
    <t>DroneShield Limited is an Australia-based company focusing on radio frequency (RF) sensing, artificial intelligence and machine learning, sensor fusion, electronic warfare, rapid prototyping, and MIL-SPEC manufacturing. It provides artificial intelligence-based platforms for protection against advanced threats, such as drones and autonomous systems. It offers customers bespoke counter-drone (or counter-UAS) and electronic warfare solutions and off-the-shelf products designed to suit a variety of terrestrial, maritime, or airborne platforms. The Company's products include DroneGun Tactical, DroneGun MKIII, DroneSentry, DroneSentry-C2, DroneSentry-X, RfPatrol and DroneSim among others. The DroneGun Tactical is an unmanned aerial systems (UAS) countermeasure designed for two-hand operation and long-range defeat. RfPatrol is a passive/non-emitting wearable UAS detection device. The Company's capabilities include C-UAS, C-UxS Training, and Electronic Warfare.</t>
  </si>
  <si>
    <t>$-75.2M</t>
  </si>
  <si>
    <t>Pepper Money Limited Ordinary</t>
  </si>
  <si>
    <t>0.5x</t>
  </si>
  <si>
    <t>0.3x</t>
  </si>
  <si>
    <t>$2547.4M</t>
  </si>
  <si>
    <t>Air New Zealand Limited Ordinary Foreign Exempt NZX</t>
  </si>
  <si>
    <t>Air New Zealand Limited is engaged in the transportation of passengers and cargo on an integrated network of scheduled airline services to, from and within New Zealand. Its geographical segments include New Zealand, Australia and Pacific Islands, Asia, the United Kingdom and Europe, and America. The Company has approximately 104 operating aircraft ranging from Boeing 787-9 Dreamliners and Airbus A320s to ATRs and Q300s, offering customers. It has domestic business, connecting customers and cargo to over 20 different regions around New Zealand. Internationally, the airline has direct flights to cities across Australia, Asia, the Pacific Islands, and the United States. Its operating fleet includes Boeing 777-300ER, Boeing 787-9 Dreamliner, AirbusA321neo, AirbusA320neo, AirbusA320ceo, ATR 72-600, and Bombardier Q300. It is a supplier of aircraft, and component maintenance, repair, and overhaul (MRO) services to customers in New Zealand, Australia, Asia, the Americas, and Europe.</t>
  </si>
  <si>
    <t>Servcorp Limited Ordinary</t>
  </si>
  <si>
    <t>Company Name:</t>
  </si>
  <si>
    <t>TIE-202405.ASX</t>
  </si>
  <si>
    <t>PSI-202410.ASX</t>
  </si>
  <si>
    <t>NTO-202304.ASX</t>
  </si>
  <si>
    <t>SGF-202504.ASX</t>
  </si>
  <si>
    <t>NEA-202212.ASX</t>
  </si>
  <si>
    <t>MLD-202210.ASX</t>
  </si>
  <si>
    <t>VRT-202208.ASX</t>
  </si>
  <si>
    <t>CAI-202406.ASX</t>
  </si>
  <si>
    <t>API-202203.ASX</t>
  </si>
  <si>
    <t>SXY-202203.ASX</t>
  </si>
  <si>
    <t>AVZ-202205.ASX</t>
  </si>
  <si>
    <t>ABR-202202.ASX</t>
  </si>
  <si>
    <t>BWX-202303.ASX</t>
  </si>
  <si>
    <t>RDC-202110.ASX</t>
  </si>
  <si>
    <t>RHP-202110.ASX</t>
  </si>
  <si>
    <t>VTH-202107.ASX</t>
  </si>
  <si>
    <t>CDV-202102.ASX</t>
  </si>
  <si>
    <t>VRL-202012.ASX</t>
  </si>
  <si>
    <t>BTH-202504.ASX</t>
  </si>
  <si>
    <t>DTC-202404.ASX</t>
  </si>
  <si>
    <t>IFN-202011.ASX</t>
  </si>
  <si>
    <t>CBR-202310.ASX</t>
  </si>
  <si>
    <t>DEG-202504.ASX</t>
  </si>
  <si>
    <t>PPH-202305.ASX</t>
  </si>
  <si>
    <t>AVN-202202.ASX</t>
  </si>
  <si>
    <t>AHY-202106.ASX</t>
  </si>
  <si>
    <t>WBA-202002.ASX</t>
  </si>
  <si>
    <t>SYM-202402.ASX</t>
  </si>
  <si>
    <t>SP1-201910.ASX</t>
  </si>
  <si>
    <t>PLG-201903.ASX</t>
  </si>
  <si>
    <t>GXL-201902.ASX</t>
  </si>
  <si>
    <t>CGL-202012.ASX</t>
  </si>
  <si>
    <t>SLR-202406.ASX</t>
  </si>
  <si>
    <t>MDL-201807.ASX</t>
  </si>
  <si>
    <t>CLH-202206.ASX</t>
  </si>
  <si>
    <t>DFM-201906.ASX</t>
  </si>
  <si>
    <t>VLA-201806.ASX</t>
  </si>
  <si>
    <t>TOX-201805.ASX</t>
  </si>
  <si>
    <t>DWS-202012.ASX</t>
  </si>
  <si>
    <t>ADA-202501.ASX</t>
  </si>
  <si>
    <t>DCG-202408.ASX</t>
  </si>
  <si>
    <t>KDR-201909.ASX</t>
  </si>
  <si>
    <t>UPD-201810.ASX</t>
  </si>
  <si>
    <t>SMX-201709.ASX</t>
  </si>
  <si>
    <t>SDA-202001.ASX</t>
  </si>
  <si>
    <t>GHC-201706.ASX</t>
  </si>
  <si>
    <t>BKN-201704.ASX</t>
  </si>
  <si>
    <t>CVO-201704.ASX</t>
  </si>
  <si>
    <t>EPW-201911.ASX</t>
  </si>
  <si>
    <t>SEA-201911.ASX</t>
  </si>
  <si>
    <t>DCN-202311.ASX</t>
  </si>
  <si>
    <t>CL1-202202.ASX</t>
  </si>
  <si>
    <t>X64-202302.ASX</t>
  </si>
  <si>
    <t>WPP-202104.ASX</t>
  </si>
  <si>
    <t>GXY-202108.ASX</t>
  </si>
  <si>
    <t>UGL-201612.ASX</t>
  </si>
  <si>
    <t>SAR-202102.ASX</t>
  </si>
  <si>
    <t>DRM-201903.ASX</t>
  </si>
  <si>
    <t>WTP-201812.ASX</t>
  </si>
  <si>
    <t>ACX-201803.ASX</t>
  </si>
  <si>
    <t>UXC-201602.ASX</t>
  </si>
  <si>
    <t>FSF-202502.ASX</t>
  </si>
  <si>
    <t>BGL-201612.ASX</t>
  </si>
  <si>
    <t>AFJ-201512.ASX</t>
  </si>
  <si>
    <t>VEI-201511.ASX</t>
  </si>
  <si>
    <t>ANI-201511.ASX</t>
  </si>
  <si>
    <t>ACO-201510.ASX</t>
  </si>
  <si>
    <t>TGA-202312.ASX</t>
  </si>
  <si>
    <t>ASZ-201612.ASX</t>
  </si>
  <si>
    <t>CAJ-202412.ASX</t>
  </si>
  <si>
    <t>ZEL-202204.ASX</t>
  </si>
  <si>
    <t>MTR-201805.ASX</t>
  </si>
  <si>
    <t>AMM-201506.ASX</t>
  </si>
  <si>
    <t>CDU-201803.ASX</t>
  </si>
  <si>
    <t>OKN-201411.ASX</t>
  </si>
  <si>
    <t>BBG-201804.ASX</t>
  </si>
  <si>
    <t>IOH-201410.ASX</t>
  </si>
  <si>
    <t>ICQ-202202.ASX</t>
  </si>
  <si>
    <t>VET-201511.ASX</t>
  </si>
  <si>
    <t>QIN-201705.ASX</t>
  </si>
  <si>
    <t>LNG-202004.ASX</t>
  </si>
  <si>
    <t>OGC-202208.ASX</t>
  </si>
  <si>
    <t>TGR-202211.ASX</t>
  </si>
  <si>
    <t>MCR-202307.ASX</t>
  </si>
  <si>
    <t>CSV-202002.ASX</t>
  </si>
  <si>
    <t>UNS-201704.ASX</t>
  </si>
  <si>
    <t>AKE-202312.ASX</t>
  </si>
  <si>
    <t>NEN-201702.ASX</t>
  </si>
  <si>
    <t>BNO-202308.ASX</t>
  </si>
  <si>
    <t>ALU-202407.ASX</t>
  </si>
  <si>
    <t>LEP-202112.ASX</t>
  </si>
  <si>
    <t>APK-201309.ASX</t>
  </si>
  <si>
    <t>TRU-201312.ASX</t>
  </si>
  <si>
    <t>VOC-202106.ASX</t>
  </si>
  <si>
    <t>CLO-201311.ASX</t>
  </si>
  <si>
    <t>IIN-201508.ASX</t>
  </si>
  <si>
    <t>WDS-201508.ASX</t>
  </si>
  <si>
    <t>TAP-202012.ASX</t>
  </si>
  <si>
    <t>RHL-201909.ASX</t>
  </si>
  <si>
    <t>CIF-201210.ASX</t>
  </si>
  <si>
    <t>THG-201210.ASX</t>
  </si>
  <si>
    <t>GLG-201210.ASX</t>
  </si>
  <si>
    <t>RCI-201209.ASX</t>
  </si>
  <si>
    <t>TWO-201208.ASX</t>
  </si>
  <si>
    <t>RDF-202106.ASX</t>
  </si>
  <si>
    <t>PRG-201710.ASX</t>
  </si>
  <si>
    <t>AAX-201608.ASX</t>
  </si>
  <si>
    <t>DLS-201602.ASX</t>
  </si>
  <si>
    <t>MIO-201312.ASX</t>
  </si>
  <si>
    <t>RHK-202502.ASX</t>
  </si>
  <si>
    <t>AGG-202306.ASX</t>
  </si>
  <si>
    <t>MSF-201203.ASX</t>
  </si>
  <si>
    <t>ORL-201711.ASX</t>
  </si>
  <si>
    <t>IGR-201212.ASX</t>
  </si>
  <si>
    <t>GDO-201401.ASX</t>
  </si>
  <si>
    <t>RCR-201811.ASX</t>
  </si>
  <si>
    <t>COU-201111.ASX</t>
  </si>
  <si>
    <t>HUN-201111.ASX</t>
  </si>
  <si>
    <t>NFK-201307.ASX</t>
  </si>
  <si>
    <t>CXS-201106.ASX</t>
  </si>
  <si>
    <t>ATI-201402.ASX</t>
  </si>
  <si>
    <t>FGE-201402.ASX</t>
  </si>
  <si>
    <t>GRY-201609.ASX</t>
  </si>
  <si>
    <t>PFL-201609.ASX</t>
  </si>
  <si>
    <t>MTU-201602.ASX</t>
  </si>
  <si>
    <t>CRH-201412.ASX</t>
  </si>
  <si>
    <t>AMX-201404.ASX</t>
  </si>
  <si>
    <t>SDM-201603.ASX</t>
  </si>
  <si>
    <t>CQT-201110.ASX</t>
  </si>
  <si>
    <t>IRN-201501.ASX</t>
  </si>
  <si>
    <t>MSL-201012.ASX</t>
  </si>
  <si>
    <t>AND-201012.ASX</t>
  </si>
  <si>
    <t>AVE-201011.ASX</t>
  </si>
  <si>
    <t>MCU-201011.ASX</t>
  </si>
  <si>
    <t>TBG-201009.ASX</t>
  </si>
  <si>
    <t>RXM-202410.ASX</t>
  </si>
  <si>
    <t>CIL-201108.ASX</t>
  </si>
  <si>
    <t>TPM-202006.ASX</t>
  </si>
  <si>
    <t>RPX-201104.ASX</t>
  </si>
  <si>
    <t>NVT-201906.ASX</t>
  </si>
  <si>
    <t>GIR-201103.ASX</t>
  </si>
  <si>
    <t>AEO-201104.ASX</t>
  </si>
  <si>
    <t>BRM-201206.ASX</t>
  </si>
  <si>
    <t>MRU-201105.ASX</t>
  </si>
  <si>
    <t>ENE-201510.ASX</t>
  </si>
  <si>
    <t>TSI-201106.ASX</t>
  </si>
  <si>
    <t>AHG-201909.ASX</t>
  </si>
  <si>
    <t>NEM-201002.ASX</t>
  </si>
  <si>
    <t>PEM-201312.ASX</t>
  </si>
  <si>
    <t>SRX-201809.ASX</t>
  </si>
  <si>
    <t>CKT-201001.ASX</t>
  </si>
  <si>
    <t>MRM-202407.ASX</t>
  </si>
  <si>
    <t>CUS-201206.ASX</t>
  </si>
  <si>
    <t>BTA-201210.ASX</t>
  </si>
  <si>
    <t>WYL-201009.ASX</t>
  </si>
  <si>
    <t>BLV-202007.ASX</t>
  </si>
  <si>
    <t>EXT-201204.ASX</t>
  </si>
  <si>
    <t>MPO-201707.ASX</t>
  </si>
  <si>
    <t>AAH-200907.ASX</t>
  </si>
  <si>
    <t>MIS-200809.ASX</t>
  </si>
  <si>
    <t>HER-200911.ASX</t>
  </si>
  <si>
    <t>NZO-201605.ASX</t>
  </si>
  <si>
    <t>WLC-201812.ASX</t>
  </si>
  <si>
    <t>GCL-201206.ASX</t>
  </si>
  <si>
    <t>ESG-201111.ASX</t>
  </si>
  <si>
    <t>NDO-201706.ASX</t>
  </si>
  <si>
    <t>ABY-201607.ASX</t>
  </si>
  <si>
    <t>AQA-201407.ASX</t>
  </si>
  <si>
    <t>AGO-201811.ASX</t>
  </si>
  <si>
    <t>CDI-201406.ASX</t>
  </si>
  <si>
    <t>AZA-200810.ASX</t>
  </si>
  <si>
    <t>MBN-201508.ASX</t>
  </si>
  <si>
    <t>RIV-201107.ASX</t>
  </si>
  <si>
    <t>AVO-201102.ASX</t>
  </si>
  <si>
    <t>DOM-201102.ASX</t>
  </si>
  <si>
    <t>EQI-200806.ASX</t>
  </si>
  <si>
    <t>FLX-200912.ASX</t>
  </si>
  <si>
    <t>HST-201204.ASX</t>
  </si>
  <si>
    <t>SGT-201505.ASX</t>
  </si>
  <si>
    <t>CPR-201005.ASX</t>
  </si>
  <si>
    <t>TGG-202110.ASX</t>
  </si>
  <si>
    <t>REB-200703.ASX</t>
  </si>
  <si>
    <t>SKE-201510.ASX</t>
  </si>
  <si>
    <t>GAS-200611.ASX</t>
  </si>
  <si>
    <t>PEP-200710.ASX</t>
  </si>
  <si>
    <t>UPG-201610.ASX</t>
  </si>
  <si>
    <t>SAI-201612.ASX</t>
  </si>
  <si>
    <t>IAS-200909.ASX</t>
  </si>
  <si>
    <t>AUN-201204.ASX</t>
  </si>
  <si>
    <t>BAX-200701.ASX</t>
  </si>
  <si>
    <t>VTI-200512.ASX</t>
  </si>
  <si>
    <t>JDV-200509.ASX</t>
  </si>
  <si>
    <t>SEL-200701.ASX</t>
  </si>
  <si>
    <t>ANE-200801.ASX</t>
  </si>
  <si>
    <t>WSA-202206.ASX</t>
  </si>
  <si>
    <t>CDR-200808.ASX</t>
  </si>
  <si>
    <t>WFL-201006.ASX</t>
  </si>
  <si>
    <t>GGL-200501.ASX</t>
  </si>
  <si>
    <t>TIM-200904.ASX</t>
  </si>
  <si>
    <t>IVC-202311.ASX</t>
  </si>
  <si>
    <t>SOH-200408.ASX</t>
  </si>
  <si>
    <t>AKW-201202.ASX</t>
  </si>
  <si>
    <t>MGM-200502.ASX</t>
  </si>
  <si>
    <t>KIM-200712.ASX</t>
  </si>
  <si>
    <t>MCC-201111.ASX</t>
  </si>
  <si>
    <t>SSR-200404.ASX</t>
  </si>
  <si>
    <t>GRD-200911.ASX</t>
  </si>
  <si>
    <t>ABG-200401.ASX</t>
  </si>
  <si>
    <t>PSA-202003.ASX</t>
  </si>
  <si>
    <t>SGX-200912.ASX</t>
  </si>
  <si>
    <t>CHQ-200912.ASX</t>
  </si>
  <si>
    <t>MRZ-200911.ASX</t>
  </si>
  <si>
    <t>GTP-200905.ASX</t>
  </si>
  <si>
    <t>A2B-202404.ASX</t>
  </si>
  <si>
    <t>NFM-200304.ASX</t>
  </si>
  <si>
    <t>UML-201605.ASX</t>
  </si>
  <si>
    <t>SNX-200309.ASX</t>
  </si>
  <si>
    <t>AOG-201911.ASX</t>
  </si>
  <si>
    <t>ARQ-200808.ASX</t>
  </si>
  <si>
    <t>LSG-200704.ASX</t>
  </si>
  <si>
    <t>AWE-201805.ASX</t>
  </si>
  <si>
    <t>VCR-200902.ASX</t>
  </si>
  <si>
    <t>ALZ-201410.ASX</t>
  </si>
  <si>
    <t>LOK-200706.ASX</t>
  </si>
  <si>
    <t>AOG-200208.ASX</t>
  </si>
  <si>
    <t>SFL-200208.ASX</t>
  </si>
  <si>
    <t>QCH-200707.ASX</t>
  </si>
  <si>
    <t>CSM-200801.ASX</t>
  </si>
  <si>
    <t>TOR-200511.ASX</t>
  </si>
  <si>
    <t>ABA-202502.ASX</t>
  </si>
  <si>
    <t>OMP-200611.ASX</t>
  </si>
  <si>
    <t>HSP-201009.ASX</t>
  </si>
  <si>
    <t>COA-200712.ASX</t>
  </si>
  <si>
    <t>KIC-200202.ASX</t>
  </si>
  <si>
    <t>REG-200408.ASX</t>
  </si>
  <si>
    <t>TLA-200112.ASX</t>
  </si>
  <si>
    <t>PLM-200111.ASX</t>
  </si>
  <si>
    <t>AGH-200311.ASX</t>
  </si>
  <si>
    <t>MLT-202109.ASX</t>
  </si>
  <si>
    <t>ALS-201212.ASX</t>
  </si>
  <si>
    <t>ACY-200108.ASX</t>
  </si>
  <si>
    <t>CHV-200207.ASX</t>
  </si>
  <si>
    <t>PMM-200811.ASX</t>
  </si>
  <si>
    <t>BRS-200308.ASX</t>
  </si>
  <si>
    <t>SIG-200512.ASX</t>
  </si>
  <si>
    <t>TDG-200110.ASX</t>
  </si>
  <si>
    <t>HRP-200111.ASX</t>
  </si>
  <si>
    <t>FTE-201504.ASX</t>
  </si>
  <si>
    <t>VGL-200605.ASX</t>
  </si>
  <si>
    <t>TDL-202003.ASX</t>
  </si>
  <si>
    <t>PTZ-200111.ASX</t>
  </si>
  <si>
    <t>AHX-200102.ASX</t>
  </si>
  <si>
    <t>TIF-200507.ASX</t>
  </si>
  <si>
    <t>DIT-200410.ASX</t>
  </si>
  <si>
    <t>FAN-201612.ASX</t>
  </si>
  <si>
    <t>FFL-200312.ASX</t>
  </si>
  <si>
    <t>PHY-200507.ASX</t>
  </si>
  <si>
    <t>AQP-201604.ASX</t>
  </si>
  <si>
    <t>RUP-200704.ASX</t>
  </si>
  <si>
    <t>ROC-201412.ASX</t>
  </si>
  <si>
    <t>FST-200010.ASX</t>
  </si>
  <si>
    <t>FMH-200102.ASX</t>
  </si>
  <si>
    <t>CHF-201606.ASX</t>
  </si>
  <si>
    <t>JBM-200802.ASX</t>
  </si>
  <si>
    <t>USC-200209.ASX</t>
  </si>
  <si>
    <t>PID-200008.ASX</t>
  </si>
  <si>
    <t>PRL-200012.ASX</t>
  </si>
  <si>
    <t>EAM-200009.ASX</t>
  </si>
  <si>
    <t>NHH-201610.ASX</t>
  </si>
  <si>
    <t>AAU-201912.ASX</t>
  </si>
  <si>
    <t>BPK-201209.ASX</t>
  </si>
  <si>
    <t>TMN-200105.ASX</t>
  </si>
  <si>
    <t>PLT-200907.ASX</t>
  </si>
  <si>
    <t>BYI-202212.ASX</t>
  </si>
  <si>
    <t>SGS-200602.ASX</t>
  </si>
  <si>
    <t>KYC-201011.ASX</t>
  </si>
  <si>
    <t>BPC-200611.ASX</t>
  </si>
  <si>
    <t>CEH-200804.ASX</t>
  </si>
  <si>
    <t>RZR-201202.ASX</t>
  </si>
  <si>
    <t>DID-200505.ASX</t>
  </si>
  <si>
    <t>MED-200107.ASX</t>
  </si>
  <si>
    <t>Dropsuite Limited Ordinary</t>
  </si>
  <si>
    <t>Omni Bridgeway Limited Ordinary US Prohibited</t>
  </si>
  <si>
    <t>Unibail-Rodamco-Westfield CDI 20:1 Foreign Exempt Xpar</t>
  </si>
  <si>
    <t>Nick Scali Limited Ordinary</t>
  </si>
  <si>
    <t>EBR Systems Inc. CDI 1:1 US Person Prohibited</t>
  </si>
  <si>
    <t>Tuas Limited Ordinary</t>
  </si>
  <si>
    <t>Baby Bunting Group Limited Ordinary</t>
  </si>
  <si>
    <t>Kelly Partners Group Holdings Limited Ordinary</t>
  </si>
  <si>
    <t>MA Financial Group Limited Ordinary</t>
  </si>
  <si>
    <t>Acrow Limited Ordinary</t>
  </si>
  <si>
    <t>Temple &amp; Webster Group Ltd Ordinary</t>
  </si>
  <si>
    <t>Australian Clinical Labs Limited Ordinary</t>
  </si>
  <si>
    <t>Integral Diagnostics Limited Ordinary</t>
  </si>
  <si>
    <t>Select Harvests Limited Ordinary</t>
  </si>
  <si>
    <t>Silex Systems Limited Ordinary</t>
  </si>
  <si>
    <t>Cyclopharm Limited Ordinary</t>
  </si>
  <si>
    <t>Avita Medical Inc. CDI 5:1</t>
  </si>
  <si>
    <t>Myer Holdings Limited Ordinary</t>
  </si>
  <si>
    <t>Cedar Woods Properties Limited Ordinary</t>
  </si>
  <si>
    <t>PYC Therapeutics Limited Ordinary</t>
  </si>
  <si>
    <t>GR Engineering Services Limited Ordinary</t>
  </si>
  <si>
    <t>Sovereign Metals Limited Ordinary</t>
  </si>
  <si>
    <t>Ora Banda Mining Ltd Ordinary</t>
  </si>
  <si>
    <t>Appen Limited Ordinary</t>
  </si>
  <si>
    <t>Nuix Limited Ordinary</t>
  </si>
  <si>
    <t>Humm Group Limited Ordinary</t>
  </si>
  <si>
    <t>Spartan Resources Limited Ordinary</t>
  </si>
  <si>
    <t>Dexus Industria Reit. Ordinary/Units Stapled Securities</t>
  </si>
  <si>
    <t>Lycopodium Limited Ordinary</t>
  </si>
  <si>
    <t>Westgold Resources Limited Ordinary</t>
  </si>
  <si>
    <t>Codan Limited Ordinary</t>
  </si>
  <si>
    <t>Readytech Holdings Limited Ordinary</t>
  </si>
  <si>
    <t>Macquarie Technology Group Limited Ordinary</t>
  </si>
  <si>
    <t>Regal Partners Limited Ordinary</t>
  </si>
  <si>
    <t>GQG Partners Inc. CDI 1:1 US Person Prohibited Excluding QIB</t>
  </si>
  <si>
    <t>Clarity Pharmaceuticals Ltd Ordinary</t>
  </si>
  <si>
    <t>OFX Group Limited Ordinary</t>
  </si>
  <si>
    <t>Cobram Estate Olives Limited Ordinary</t>
  </si>
  <si>
    <t>Liberty Financial Group Ordinary/Units Stapled Securities</t>
  </si>
  <si>
    <t>Pointsbet Holdings Limited Ordinary</t>
  </si>
  <si>
    <t>Vulcan Energy Resources Limited Ordinary</t>
  </si>
  <si>
    <t>Firefly Metals Ltd Ordinary</t>
  </si>
  <si>
    <t>Austin Engineering Limited Ordinary</t>
  </si>
  <si>
    <t>Tietto Minerals Limited Ordinary</t>
  </si>
  <si>
    <t>Beacon Lighting Group Limited Ordinary</t>
  </si>
  <si>
    <t>Mayne Pharma Group Limited Ordinary</t>
  </si>
  <si>
    <t>Catapult Group International Ltd Ordinary</t>
  </si>
  <si>
    <t>Ridley Corporation Limited Ordinary</t>
  </si>
  <si>
    <t>Stanmore Resources Limited Ordinary</t>
  </si>
  <si>
    <t>Helia Group Limited Ordinary</t>
  </si>
  <si>
    <t>EML Payments Limited Ordinary</t>
  </si>
  <si>
    <t>Adriatic Metals PLC CDI 1:1</t>
  </si>
  <si>
    <t>Bravura Solutions Limited Ordinary</t>
  </si>
  <si>
    <t>IPD Group Ltd Ordinary</t>
  </si>
  <si>
    <t>Fleetpartners Group Limited Ordinary</t>
  </si>
  <si>
    <t>Rural Funds Group Units Stapled Securities</t>
  </si>
  <si>
    <t>Mader Group Limited Ordinary</t>
  </si>
  <si>
    <t>Sigma Healthcare Limited Ordinary</t>
  </si>
  <si>
    <t>Lynch Group Holdings Limited Ordinary</t>
  </si>
  <si>
    <t>Audinate Group Limited Ordinary</t>
  </si>
  <si>
    <t>LEO Lithium Limited Ordinary</t>
  </si>
  <si>
    <t>Alpha HPA Limited Ordinary</t>
  </si>
  <si>
    <t>Playside Studios Limited Ordinary</t>
  </si>
  <si>
    <t>Smartgroup Corporation Ltd Ordinary</t>
  </si>
  <si>
    <t>McMillan Shakespeare Limited Ordinary</t>
  </si>
  <si>
    <t>Austal Limited Ordinary</t>
  </si>
  <si>
    <t>Cettire Limited Ordinary</t>
  </si>
  <si>
    <t>Ventia Services Group Limited Ordinary</t>
  </si>
  <si>
    <t>PSC Insurance Group Limited Ordinary</t>
  </si>
  <si>
    <t>Ramelius Resources Limited Ordinary</t>
  </si>
  <si>
    <t>Data#3 Limited Ordinary</t>
  </si>
  <si>
    <t>Lindsay Australia Limited Ordinary</t>
  </si>
  <si>
    <t>Neuren Pharmaceuticals Limited Ordinary</t>
  </si>
  <si>
    <t>Helloworld Travel Limited Ordinary</t>
  </si>
  <si>
    <t>Alkane Resources Limited Ordinary</t>
  </si>
  <si>
    <t>Nitro Software Limited Ordinary</t>
  </si>
  <si>
    <t>Qualitas Limited Ordinary</t>
  </si>
  <si>
    <t>Power Holdings Limited Ordinary</t>
  </si>
  <si>
    <t>Tyro Payments Limited Ordinary</t>
  </si>
  <si>
    <t>Argosy Minerals Limited Ordinary</t>
  </si>
  <si>
    <t>SG Fleet Group Limited Ordinary</t>
  </si>
  <si>
    <t>Praemium Limited Ordinary</t>
  </si>
  <si>
    <t>Janison Education Group Limited Ordinary</t>
  </si>
  <si>
    <t>Syrah Resources Limited Ordinary</t>
  </si>
  <si>
    <t>Galan Lithium Limited Ordinary</t>
  </si>
  <si>
    <t>Monadelphous Group Limited Ordinary</t>
  </si>
  <si>
    <t>Michael Hill International Limited Ordinary</t>
  </si>
  <si>
    <t>Nearmap Ltd Ordinary</t>
  </si>
  <si>
    <t>Emeco Holdings Limited Ordinary</t>
  </si>
  <si>
    <t>Maca Limited Ordinary</t>
  </si>
  <si>
    <t>Paradigm Biopharmaceuticals Limited. Ordinary</t>
  </si>
  <si>
    <t>Strandline Resources Limited Ordinary</t>
  </si>
  <si>
    <t>Lovisa Holdings Limited Ordinary</t>
  </si>
  <si>
    <t>NRW Holdings Limited Ordinary</t>
  </si>
  <si>
    <t>Coast Entertainment Holdings Limited Ordinary</t>
  </si>
  <si>
    <t>Polynovo Limited Ordinary</t>
  </si>
  <si>
    <t>Virtus Health Limited Ordinary</t>
  </si>
  <si>
    <t>Dexus Convenience Retail Reit Units Stapled Securities</t>
  </si>
  <si>
    <t>New Hope Corporation Limited Ordinary</t>
  </si>
  <si>
    <t>Yancoal Australia Limited Ordinary</t>
  </si>
  <si>
    <t>COG Financial Services Limited Ordinary</t>
  </si>
  <si>
    <t>Mount Gibson Iron Limited Ordinary</t>
  </si>
  <si>
    <t>Coronado Global Resources Inc. CDI 10:1</t>
  </si>
  <si>
    <t>Grange Resources Limited Ordinary</t>
  </si>
  <si>
    <t>Service Stream Limited Ordinary</t>
  </si>
  <si>
    <t>Calidus Resources Limited Ordinary</t>
  </si>
  <si>
    <t>Jervois Global Limited Ordinary</t>
  </si>
  <si>
    <t>Lake Resources NL Ordinary</t>
  </si>
  <si>
    <t>Metals X Limited Ordinary</t>
  </si>
  <si>
    <t>Core Lithium Ltd Ordinary</t>
  </si>
  <si>
    <t>Australian Pharmaceutical Industries Limited Ordinary</t>
  </si>
  <si>
    <t>Senex Energy Limited Ordinary</t>
  </si>
  <si>
    <t>Alliance Aviation Services Limited Ordinary</t>
  </si>
  <si>
    <t>Arena Reit. Ordinary/Units Stapled Securities</t>
  </si>
  <si>
    <t>Capricorn Metals Ltd Ordinary</t>
  </si>
  <si>
    <t>Johns Lyng Group Limited Ordinary</t>
  </si>
  <si>
    <t>AVZ Minerals Limited Ordinary</t>
  </si>
  <si>
    <t>American Pacific Borates Limited Ordinary</t>
  </si>
  <si>
    <t>Highfield Resources Limited Ordinary</t>
  </si>
  <si>
    <t>Bell Financial Group Limited Ordinary</t>
  </si>
  <si>
    <t>Morella Corporation Limited Ordinary</t>
  </si>
  <si>
    <t>Australian Ethical Investment Limited Ordinary</t>
  </si>
  <si>
    <t>Novonix Limited Ordinary</t>
  </si>
  <si>
    <t>Liontown Resources Limited Ordinary</t>
  </si>
  <si>
    <t>Ioneer Ltd Ordinary</t>
  </si>
  <si>
    <t>Hansen Technologies Limited Ordinary</t>
  </si>
  <si>
    <t>BWX Limited Ordinary</t>
  </si>
  <si>
    <t>Redcape Hotel Group Units Stapled Securities</t>
  </si>
  <si>
    <t>Rhipe Limited Ordinary</t>
  </si>
  <si>
    <t>Weebit Nano Ltd Ordinary</t>
  </si>
  <si>
    <t>Freelancer Limited Ordinary</t>
  </si>
  <si>
    <t>Australian Unity Office Fund Ordinary Units</t>
  </si>
  <si>
    <t>Betmakers Technology Group Ltd Ordinary</t>
  </si>
  <si>
    <t>Chalice Mining Limited Ordinary</t>
  </si>
  <si>
    <t>Dalrymple Bay Infrastructure Limited Ordinary/Notes Stapled Securities</t>
  </si>
  <si>
    <t>Zimplats Holdings Limited 10c US Ordinary</t>
  </si>
  <si>
    <t>Vitalharvest Freehold Trust Ordinary Units</t>
  </si>
  <si>
    <t>Mystate Limited Ordinary</t>
  </si>
  <si>
    <t>Champion Iron Limited Ordinary</t>
  </si>
  <si>
    <t>Kina Securities Limited Ordinary</t>
  </si>
  <si>
    <t>Telix Pharmaceuticals Limited Ordinary</t>
  </si>
  <si>
    <t>Seven West Media Limited Ordinary</t>
  </si>
  <si>
    <t>Articore Group Limited Ordinary</t>
  </si>
  <si>
    <t>Resimac Group Ltd Ordinary</t>
  </si>
  <si>
    <t>HMC Capital Limited Ordinary</t>
  </si>
  <si>
    <t>Dicker Data Limited Ordinary</t>
  </si>
  <si>
    <t>Stavely Minerals Limited Ordinary</t>
  </si>
  <si>
    <t>Cardinal Resources Limited Ordinary</t>
  </si>
  <si>
    <t>Bellevue Gold Limited Ordinary</t>
  </si>
  <si>
    <t>Australian Agricultural Company Limited Ordinary</t>
  </si>
  <si>
    <t>Village Roadshow Limited Ordinary</t>
  </si>
  <si>
    <t>Bigtincan Holdings Limited Ordinary</t>
  </si>
  <si>
    <t>Karoon Energy Ltd Ordinary</t>
  </si>
  <si>
    <t>Damstra Holdings Limited Ordinary</t>
  </si>
  <si>
    <t>Somnomed Limited Ordinary</t>
  </si>
  <si>
    <t>Adairs Limited Ordinary</t>
  </si>
  <si>
    <t>West African Resources Limited Ordinary</t>
  </si>
  <si>
    <t>Infigen Energy Ordinary/Units Stapled Securities</t>
  </si>
  <si>
    <t>Carbon Revolution Limited Ordinary</t>
  </si>
  <si>
    <t>Pure Foods Tasmania Limited Ordinary</t>
  </si>
  <si>
    <t>De Grey Mining Limited Ordinary</t>
  </si>
  <si>
    <t>Pro-Pac Packaging Limited Ordinary</t>
  </si>
  <si>
    <t>Pushpay Holdings Limited Ordinary Foreign Exempt NZX</t>
  </si>
  <si>
    <t>Zip Co Limited. Ordinary</t>
  </si>
  <si>
    <t>Integrated Research Limited Ordinary</t>
  </si>
  <si>
    <t>Kogan.Com Ltd Ordinary</t>
  </si>
  <si>
    <t>Aventus Group Ordinary/Units Stapled Securities</t>
  </si>
  <si>
    <t>FSA Group Limited Ordinary</t>
  </si>
  <si>
    <t>Pacific Smiles Group Limited Ordinary</t>
  </si>
  <si>
    <t>KMD Brands Limited Ordinary Foreign Exempt NZX</t>
  </si>
  <si>
    <t>Megaport Limited Ordinary</t>
  </si>
  <si>
    <t>Asaleo Care Limited Ordinary</t>
  </si>
  <si>
    <t>Webster Limited Ordinary</t>
  </si>
  <si>
    <t>Motorcycle Holdings Limited Ordinary</t>
  </si>
  <si>
    <t>Ingenia Communities Group Ordinary/Units Stapled Securities</t>
  </si>
  <si>
    <t>Charter Hall Social Infrastructure Reit Ordinary Units</t>
  </si>
  <si>
    <t>Symbio Holdings Limited Ordinary</t>
  </si>
  <si>
    <t>Opthea Limited Ordinary</t>
  </si>
  <si>
    <t>Jumbo Interactive Limited Ordinary</t>
  </si>
  <si>
    <t>Southern Cross Payments Ltd Ordinary</t>
  </si>
  <si>
    <t>Gold Road Resources Limited Ordinary</t>
  </si>
  <si>
    <t>Carnarvon Energy Limited Ordinary</t>
  </si>
  <si>
    <t>Pro Medicus Limited Ordinary</t>
  </si>
  <si>
    <t>Accent Group Limited Ordinary</t>
  </si>
  <si>
    <t>Amplitude Energy Limited Ordinary</t>
  </si>
  <si>
    <t>Aurelia Metals Limited Ordinary</t>
  </si>
  <si>
    <t>Propertylink Group Stapled Securities US Prohibited</t>
  </si>
  <si>
    <t>Greencross Limited Ordinary</t>
  </si>
  <si>
    <t>Pacific Current Group Limited Ordinary</t>
  </si>
  <si>
    <t>The Citadel Group Limited Ordinary</t>
  </si>
  <si>
    <t>ARN Media Limited Ordinary</t>
  </si>
  <si>
    <t>Australis Oil &amp; Gas Limited Ordinary</t>
  </si>
  <si>
    <t>Far Limited Ordinary</t>
  </si>
  <si>
    <t>Netwealth Group Limited Ordinary</t>
  </si>
  <si>
    <t>Silver Lake Resources Limited Ordinary</t>
  </si>
  <si>
    <t>Mineral Deposits Limited Ordinary</t>
  </si>
  <si>
    <t>Collection House Limited Ordinary</t>
  </si>
  <si>
    <t>Dongfang Modern Agriculture Holding Group Limited Ordinary</t>
  </si>
  <si>
    <t>Inghams Group Limited Ordinary</t>
  </si>
  <si>
    <t>Viralytics Limited Ordinary</t>
  </si>
  <si>
    <t>IDP Education Limited Ordinary</t>
  </si>
  <si>
    <t>Tox Free Solutions Limited Ordinary</t>
  </si>
  <si>
    <t>DWS Limited Ordinary</t>
  </si>
  <si>
    <t>Xero Limited Ordinary</t>
  </si>
  <si>
    <t>Adacel Technologies Limited Ordinary</t>
  </si>
  <si>
    <t>Decmil Group Limited Ordinary</t>
  </si>
  <si>
    <t>Kidman Resources Limited Ordinary</t>
  </si>
  <si>
    <t>Pilbara Minerals Limited Ordinary</t>
  </si>
  <si>
    <t>Collins Foods Limited Ordinary</t>
  </si>
  <si>
    <t>Shine Justice Ltd Ordinary</t>
  </si>
  <si>
    <t>Charter Hall Long Wale Reit Units Stapled Securities</t>
  </si>
  <si>
    <t>Washington H Soul Pattinson &amp; Company Limited Ordinary</t>
  </si>
  <si>
    <t>Lynas Rare Earths Limited Ordinary</t>
  </si>
  <si>
    <t>Updater Inc CDI 25:1</t>
  </si>
  <si>
    <t>SMS Management &amp; Technology Limited Ordinary</t>
  </si>
  <si>
    <t>Donaco International Limited Ordinary</t>
  </si>
  <si>
    <t>Speedcast International Limited Ordinary</t>
  </si>
  <si>
    <t>Generation Healthcare Reit Units</t>
  </si>
  <si>
    <t>NIB Holdings Limited Ordinary</t>
  </si>
  <si>
    <t>Alexium International Group Limited Ordinary</t>
  </si>
  <si>
    <t>Bradken Limited Ordinary</t>
  </si>
  <si>
    <t>Cover-More Group Limited Ordinary</t>
  </si>
  <si>
    <t>Chorus Limited Ordinary Foreign Exempt NZX</t>
  </si>
  <si>
    <t>ERM Power Limited Ordinary</t>
  </si>
  <si>
    <t>Sundance Energy Australia Limited Ordinary</t>
  </si>
  <si>
    <t>Hub24 Limited Ordinary</t>
  </si>
  <si>
    <t>Wisetech Global Limited Ordinary</t>
  </si>
  <si>
    <t>Elanor Investors Group Ordinary/Units Stapled Securities</t>
  </si>
  <si>
    <t>Dacian Gold Limited Ordinary</t>
  </si>
  <si>
    <t>Monash IVF Group Limited Ordinary</t>
  </si>
  <si>
    <t>Class Limited Ordinary</t>
  </si>
  <si>
    <t>Ten Sixty Four Limited Ordinary</t>
  </si>
  <si>
    <t>Resolute Mining Limited Ordinary</t>
  </si>
  <si>
    <t>US Masters Residential Property Fund Units Stapled Securities</t>
  </si>
  <si>
    <t>WPP Aunz Ltd Ordinary</t>
  </si>
  <si>
    <t>Galaxy Resources Limited Ordinary</t>
  </si>
  <si>
    <t>UGL Limited Ordinary</t>
  </si>
  <si>
    <t>Saracen Mineral Holdings Limited Ordinary</t>
  </si>
  <si>
    <t>Doray Minerals Limited Ordinary</t>
  </si>
  <si>
    <t>St Barbara Limited Ordinary</t>
  </si>
  <si>
    <t>Watpac Limited Ordinary</t>
  </si>
  <si>
    <t>Elders Limited Ordinary</t>
  </si>
  <si>
    <t>IPH Limited Ordinary</t>
  </si>
  <si>
    <t>Aconex Limited Ordinary</t>
  </si>
  <si>
    <t>UXC Limited Ordinary</t>
  </si>
  <si>
    <t>Fonterra Shareholders' Fund Ordinary Units  Foreign Exempt NZX</t>
  </si>
  <si>
    <t>Noumi Limited Ordinary</t>
  </si>
  <si>
    <t>Bigair Group Limited Ordinary</t>
  </si>
  <si>
    <t>The Reject Shop Limited Ordinary</t>
  </si>
  <si>
    <t>Affinity Education Group Limited Ordinary</t>
  </si>
  <si>
    <t>Auckland International Airport Limited Ordinary Foreign Exempt NZX</t>
  </si>
  <si>
    <t>AMA Group Limited Ordinary</t>
  </si>
  <si>
    <t>Vision Eye Institute Limited Ordinary</t>
  </si>
  <si>
    <t>Australian Industrial Reit Ordinary Units</t>
  </si>
  <si>
    <t>Australian Careers Network Limited Ordinary</t>
  </si>
  <si>
    <t>Thorn Group Limited Ordinary</t>
  </si>
  <si>
    <t>ASG Group Limited Ordinary</t>
  </si>
  <si>
    <t>Impedimed Limited Ordinary</t>
  </si>
  <si>
    <t>Capitol Health Limited Ordinary</t>
  </si>
  <si>
    <t>National Storage Reit Ordinary/Units Stapled Securities</t>
  </si>
  <si>
    <t>Z Energy Limited Ordinary Foreign Exempt NZX</t>
  </si>
  <si>
    <t>Mantra Group Limited Ordinary</t>
  </si>
  <si>
    <t>Fisher &amp; Paykel Healthcare Corporation Limited Ordinary Foreign Exempt NZX</t>
  </si>
  <si>
    <t>360 Capital Group Ordinary/Units Stapled Securities</t>
  </si>
  <si>
    <t>Amcom Telecommunications Limited Ordinary</t>
  </si>
  <si>
    <t>Euroz Hartleys Group Limited Ordinary</t>
  </si>
  <si>
    <t>Cudeco Limited Ordinary</t>
  </si>
  <si>
    <t>Nanosonics Limited Ordinary</t>
  </si>
  <si>
    <t>Lifestyle Communities Limited Ordinary</t>
  </si>
  <si>
    <t>Clearview Wealth Limited Ordinary</t>
  </si>
  <si>
    <t>Nextdc Limited Ordinary</t>
  </si>
  <si>
    <t>Oakton Limited Ordinary</t>
  </si>
  <si>
    <t>Billabong International Limited Ordinary</t>
  </si>
  <si>
    <t>Iron Ore Holdings Limited Ordinary</t>
  </si>
  <si>
    <t>Icar Asia Limited Ordinary</t>
  </si>
  <si>
    <t>Vocation Limited Ordinary</t>
  </si>
  <si>
    <t>Quintis Ltd Ordinary</t>
  </si>
  <si>
    <t>Liquefied Natural Gas Limited Ordinary</t>
  </si>
  <si>
    <t>Oceanagold Corporation CDI 1:1</t>
  </si>
  <si>
    <t>K2 Asset Management Holdings Ltd Ordinary</t>
  </si>
  <si>
    <t>Tassal Group Limited Ordinary</t>
  </si>
  <si>
    <t>5G Networks Limited Ordinary</t>
  </si>
  <si>
    <t>Mincor Resources NL Ordinary</t>
  </si>
  <si>
    <t>CSG Limited Ordinary</t>
  </si>
  <si>
    <t>Matrix Composites &amp; Engineering Limited Ordinary</t>
  </si>
  <si>
    <t>Unilife Corporation CDI 60:1</t>
  </si>
  <si>
    <t>Allkem Limited Ordinary</t>
  </si>
  <si>
    <t>Neon Capital Ltd Ordinary</t>
  </si>
  <si>
    <t>Bionomics Limited Ordinary</t>
  </si>
  <si>
    <t>Altium Limited Ordinary</t>
  </si>
  <si>
    <t>ALE Property Group Ordinary/Units Stapled Securities</t>
  </si>
  <si>
    <t>Australian Power and Gas Company Limited Ordinary</t>
  </si>
  <si>
    <t>G8 Education Limited Ordinary</t>
  </si>
  <si>
    <t>The Trust Company Limited Ordinary</t>
  </si>
  <si>
    <t>Vocus Group Limited Ordinary</t>
  </si>
  <si>
    <t>SIV Capital Limited Ordinary</t>
  </si>
  <si>
    <t>BCI Minerals Limited Ordinary</t>
  </si>
  <si>
    <t>Finbar Group Limited Ordinary</t>
  </si>
  <si>
    <t>McPherson's Limited Ordinary</t>
  </si>
  <si>
    <t>AJ Lucas Group Limited Ordinary</t>
  </si>
  <si>
    <t>Clough Limited Ordinary</t>
  </si>
  <si>
    <t>Cash Converters International Ordinary</t>
  </si>
  <si>
    <t>Magellan Financial Group Limited Ordinary</t>
  </si>
  <si>
    <t>Hillgrove Resources Limited Ordinary</t>
  </si>
  <si>
    <t>iiNet Limited Ordinary</t>
  </si>
  <si>
    <t>WDS Limited Ordinary</t>
  </si>
  <si>
    <t>Northern Star Resources Ltd Ordinary</t>
  </si>
  <si>
    <t>Web Travel Group Limited Ordinary</t>
  </si>
  <si>
    <t>TAP Oil Limited Ordinary</t>
  </si>
  <si>
    <t>Ruralco Holdings Limited Ordinary</t>
  </si>
  <si>
    <t>Challenger Infrastructure Fund Stapled Units</t>
  </si>
  <si>
    <t>Thakral Holdings Group Ordinary/Unit</t>
  </si>
  <si>
    <t>Gerard Lighting Group Limited Ordinary</t>
  </si>
  <si>
    <t>Rocklands Richfield Limited Ordinary</t>
  </si>
  <si>
    <t>Talent2 International Limited Ordinary</t>
  </si>
  <si>
    <t>Peet Limited Ordinary</t>
  </si>
  <si>
    <t>Redflex Holdings Limited Ordinary</t>
  </si>
  <si>
    <t>Programmed Maintenance Services Limited Ordinary</t>
  </si>
  <si>
    <t>Ausenco Limited Ordinary</t>
  </si>
  <si>
    <t>Drillsearch Energy Limited Ordinary</t>
  </si>
  <si>
    <t>Miclyn Express Offshore Limited Ordinary</t>
  </si>
  <si>
    <t>Cyclone Metals Limited Ordinary</t>
  </si>
  <si>
    <t>Red Hawk Mining Limited Ordinary</t>
  </si>
  <si>
    <t>Anglogold Ashanti Limited CDI 5:1 Foreign Exempt JSE</t>
  </si>
  <si>
    <t>MSF Sugar Limited Ordinary</t>
  </si>
  <si>
    <t>Astron Corporation Limited CDI 1:1</t>
  </si>
  <si>
    <t>Orotongroup Limited Ordinary</t>
  </si>
  <si>
    <t>Integra Mining Limited Ordinary</t>
  </si>
  <si>
    <t>KGL Resources Limited Ordinary</t>
  </si>
  <si>
    <t>Gold One International Limited Ordinary</t>
  </si>
  <si>
    <t>RCR Tomlinson Limited Ordinary</t>
  </si>
  <si>
    <t>Enero Group Limited Ordinary</t>
  </si>
  <si>
    <t>Count Financial Limited Ordinary</t>
  </si>
  <si>
    <t>Hunnu Coal Limited Ordinary</t>
  </si>
  <si>
    <t>Super Retail Group Limited Ordinary</t>
  </si>
  <si>
    <t>Norfolk Group Limited Ordinary</t>
  </si>
  <si>
    <t>Chemgenex Pharmaceuticals Ltd Ordinary</t>
  </si>
  <si>
    <t>Terracom Limited Ordinary</t>
  </si>
  <si>
    <t>ALS Limited Ordinary</t>
  </si>
  <si>
    <t>Starpharma Holdings Limited Ordinary</t>
  </si>
  <si>
    <t>Atlantic Limited Ordinary</t>
  </si>
  <si>
    <t>Aspire Mining Limited Ordinary</t>
  </si>
  <si>
    <t>Capral Limited Ordinary</t>
  </si>
  <si>
    <t>Forge Group Limited Ordinary</t>
  </si>
  <si>
    <t>Gryphon Minerals Limited Ordinary</t>
  </si>
  <si>
    <t>Clean Seas Seafood Limited Ordinary</t>
  </si>
  <si>
    <t>Tanami Gold NL Ordinary</t>
  </si>
  <si>
    <t>Patties Foods Ltd Ordinary</t>
  </si>
  <si>
    <t>NGE Capital Limited Ordinary</t>
  </si>
  <si>
    <t>M2 Group Ltd Ordinary</t>
  </si>
  <si>
    <t>Crowe Horwath Australasia Ltd Ordinary</t>
  </si>
  <si>
    <t>Ampella Mining Limited Ordinary</t>
  </si>
  <si>
    <t>Sedgman Limited Ordinary</t>
  </si>
  <si>
    <t>Conquest Mining Limited Ordinary</t>
  </si>
  <si>
    <t>Indophil Resources NL Ordinary</t>
  </si>
  <si>
    <t>The Mac Services Group Limited Ordinary</t>
  </si>
  <si>
    <t>Regis Resources Limited Ordinary</t>
  </si>
  <si>
    <t>Andean Resources Limited Ordinary</t>
  </si>
  <si>
    <t>AIC Mines Limited Ordinary</t>
  </si>
  <si>
    <t>Aevum Limited Ordinary</t>
  </si>
  <si>
    <t>Mitchell Communication Group Limited Ordinary</t>
  </si>
  <si>
    <t>Tutt Bryant Group Limited Ordinary</t>
  </si>
  <si>
    <t>Rex Minerals Limited Ordinary</t>
  </si>
  <si>
    <t>Sandfire Resources Limited Ordinary</t>
  </si>
  <si>
    <t>Centrebet International Limited Ordinary</t>
  </si>
  <si>
    <t>TPG Telecom Limited Ordinary</t>
  </si>
  <si>
    <t>RP Data Ltd Ordinary</t>
  </si>
  <si>
    <t>Navitas Limited Ordinary</t>
  </si>
  <si>
    <t>Perenti Limited Ordinary</t>
  </si>
  <si>
    <t>Giralia Resources NL Ordinary</t>
  </si>
  <si>
    <t>Austereo Group Limited Ordinary</t>
  </si>
  <si>
    <t>Premier Investments Limited Ordinary</t>
  </si>
  <si>
    <t>Brockman Resources Limited Ordinary</t>
  </si>
  <si>
    <t>Mantra Resources Limited Ordinary</t>
  </si>
  <si>
    <t>Energy Developments Limited Ordinary</t>
  </si>
  <si>
    <t>Transfield Services Infrastructure Fund Units/Ordinary Stapled Securities</t>
  </si>
  <si>
    <t>Mesoblast Limited Ordinary</t>
  </si>
  <si>
    <t>Automotive Holdings Group Limited Ordinary</t>
  </si>
  <si>
    <t>Newmont Mining Corporation. CDI 10:1</t>
  </si>
  <si>
    <t>Perseus Mining Limited Ordinary</t>
  </si>
  <si>
    <t>Perilya Limited Ordinary</t>
  </si>
  <si>
    <t>Sirtex Medical Limited Ordinary</t>
  </si>
  <si>
    <t>Syntara Limited Ordinary</t>
  </si>
  <si>
    <t>Challenger Kenedix Japan Trust Ordinary Units</t>
  </si>
  <si>
    <t>MMA Offshore Limited Ordinary</t>
  </si>
  <si>
    <t>Customers Limited Ordinary</t>
  </si>
  <si>
    <t>Biota Holdings Limited Ordinary</t>
  </si>
  <si>
    <t>Wattyl Limited Ordinary</t>
  </si>
  <si>
    <t>Blossomvale Holdings Ltd Ordinary</t>
  </si>
  <si>
    <t>Bannerman Energy Ltd Ordinary</t>
  </si>
  <si>
    <t>Extract Resources Ltd Ordinary</t>
  </si>
  <si>
    <t>Molopo Energy Limited Ordinary</t>
  </si>
  <si>
    <t>Arana Therapeutics Limited Ordinary</t>
  </si>
  <si>
    <t>Argo Investments Limited Ordinary</t>
  </si>
  <si>
    <t>Djerriwarrh Investments Limited Ordinary</t>
  </si>
  <si>
    <t>Midwest Corporation Limited Ordinary</t>
  </si>
  <si>
    <t>Herald Resources Limited Ordinary</t>
  </si>
  <si>
    <t>Domino's Pizza Enterprises Limited Ordinary</t>
  </si>
  <si>
    <t>New Zealand Oil &amp; Gas Limited Ordinary</t>
  </si>
  <si>
    <t>Wollongong Coal Limited Ordinary</t>
  </si>
  <si>
    <t>Gloucester Coal Ltd Ordinary</t>
  </si>
  <si>
    <t>Eastern Star Gas Limited Ordinary</t>
  </si>
  <si>
    <t>Nido Petroleum Limited Ordinary</t>
  </si>
  <si>
    <t>Aditya Birla Minerals Limited Ordinary</t>
  </si>
  <si>
    <t>Energy World Corporation Ltd Ordinary</t>
  </si>
  <si>
    <t>OM Holdings Limited 10c Ordinary</t>
  </si>
  <si>
    <t>Aquila Resources Limited Ordinary</t>
  </si>
  <si>
    <t>Atlas Iron Limited Ordinary</t>
  </si>
  <si>
    <t>Australian Foundation Investment Company Limited Ordinary</t>
  </si>
  <si>
    <t>Challenger Diversified Property Group Stapled Units</t>
  </si>
  <si>
    <t>Anzon Australia Limited Ordinary</t>
  </si>
  <si>
    <t>Abacus Group Ordinary/Units Stapled Securities</t>
  </si>
  <si>
    <t>Mirabela Nickel Limited Ordinary</t>
  </si>
  <si>
    <t>Riversdale Mining Limited Ordinary</t>
  </si>
  <si>
    <t>Avoca Resources Limited Ordinary</t>
  </si>
  <si>
    <t>Aspen Group Ordinary/Units Stapled Securities</t>
  </si>
  <si>
    <t>Dominion Mining Limited Ordinary</t>
  </si>
  <si>
    <t>Equigold NL Ordinary</t>
  </si>
  <si>
    <t>Macmahon Holdings Limited Ordinary</t>
  </si>
  <si>
    <t>Charter Hall Group Stapled Securities US Prohibited</t>
  </si>
  <si>
    <t>Felix Resources Limited Ordinary</t>
  </si>
  <si>
    <t>Hastie Group Limited Ordinary</t>
  </si>
  <si>
    <t>City Chic Collective Limited Ordinary</t>
  </si>
  <si>
    <t>Singapore Telecommunications Limited CDI 1:1</t>
  </si>
  <si>
    <t>Clivpee Limited Ordinary</t>
  </si>
  <si>
    <t>Templeton Global Growth Fund Limited Ordinary</t>
  </si>
  <si>
    <t>Rebel Sport Limited Ordinary</t>
  </si>
  <si>
    <t>Carindale Property Trust Ordinary Units</t>
  </si>
  <si>
    <t>Skilled Group Limited Ordinary</t>
  </si>
  <si>
    <t>Gasnet Australia Group Ordinary Shares/Units Triple Stapled</t>
  </si>
  <si>
    <t>Dyno Nobel Limited Ordinary</t>
  </si>
  <si>
    <t>Peplin Limited Ordinary</t>
  </si>
  <si>
    <t>Unity Pacific Group Stapled Securities</t>
  </si>
  <si>
    <t>SAI Global Limited Ordinary</t>
  </si>
  <si>
    <t>International All Sports Limited Ordinary</t>
  </si>
  <si>
    <t>Austar United Communications Limited Ordinary</t>
  </si>
  <si>
    <t>Baxter Group Limited Ordinary</t>
  </si>
  <si>
    <t>Energy Resources of Australia Limited Ordinary 'A'</t>
  </si>
  <si>
    <t>Virotec International Limited Ordinary</t>
  </si>
  <si>
    <t>JDV Limited Ordinary</t>
  </si>
  <si>
    <t>S8 Limited Ordinary</t>
  </si>
  <si>
    <t>Maxiparts Limited Ordinary</t>
  </si>
  <si>
    <t>Auspine Limited Ordinary</t>
  </si>
  <si>
    <t>Bougainville Copper Limited 1 Kina Ordinary</t>
  </si>
  <si>
    <t>Western Areas Limited Ordinary</t>
  </si>
  <si>
    <t>Commander Communications Limited Ordinary</t>
  </si>
  <si>
    <t>Willmott Forests Limited Ordinary</t>
  </si>
  <si>
    <t>Gribbles Group Limited (The) Ordinary</t>
  </si>
  <si>
    <t>Timbercorp Limited Ordinary</t>
  </si>
  <si>
    <t>Invocare Limited Ordinary</t>
  </si>
  <si>
    <t>Solution 6 Holdings Limited Ordinary</t>
  </si>
  <si>
    <t>Arturus Capital Limited Ordinary</t>
  </si>
  <si>
    <t>Avjennings Limited Ordinary</t>
  </si>
  <si>
    <t>Macquarie Goodman Management Limited Ordinary</t>
  </si>
  <si>
    <t>SDI Limited Ordinary</t>
  </si>
  <si>
    <t>Kimberley Diamond Company NL Ordinary</t>
  </si>
  <si>
    <t>Coventry Group Limited Ordinary</t>
  </si>
  <si>
    <t>Macarthur Coal Limited Ordinary</t>
  </si>
  <si>
    <t>Worley Limited Ordinary</t>
  </si>
  <si>
    <t>Southern Star Group Limited Ordinary</t>
  </si>
  <si>
    <t>GRD Limited Ordinary</t>
  </si>
  <si>
    <t>Abigroup Limited Ordinary</t>
  </si>
  <si>
    <t>Petsec Energy Limited Ordinary</t>
  </si>
  <si>
    <t>Sino Gold Mining Limited Ordinary</t>
  </si>
  <si>
    <t>Costaexchange Ltd Ordinary</t>
  </si>
  <si>
    <t>Mirvac Real Estate Investment Trust Units</t>
  </si>
  <si>
    <t>Reece Limited Ordinary</t>
  </si>
  <si>
    <t>Great Southern Limited Ordinary</t>
  </si>
  <si>
    <t>A2B Australia Limited Ordinary</t>
  </si>
  <si>
    <t>Schaffer Corporation Limited Ordinary</t>
  </si>
  <si>
    <t>Normandy NFM Limited Ordinary</t>
  </si>
  <si>
    <t>Unity Mining Limited Ordinary</t>
  </si>
  <si>
    <t>Platinum Capital Limited Ordinary</t>
  </si>
  <si>
    <t>Securenet Limited Ordinary</t>
  </si>
  <si>
    <t>Aveo Group Ordinary/Units Stapled Securities</t>
  </si>
  <si>
    <t>ARC Energy Limited Ordinary</t>
  </si>
  <si>
    <t>Lion Selection Group Limited Ordinary</t>
  </si>
  <si>
    <t>AWE Limited Ordinary</t>
  </si>
  <si>
    <t>Ventracor Limited Ordinary</t>
  </si>
  <si>
    <t>Australand Property Group Stapled Security</t>
  </si>
  <si>
    <t>Looksmart Limited CDI</t>
  </si>
  <si>
    <t>Australian Oil &amp; Gas Corporation Limited Ordinary</t>
  </si>
  <si>
    <t>Snack Foods Limited Ordinary</t>
  </si>
  <si>
    <t>Nufarm Limited Ordinary</t>
  </si>
  <si>
    <t>Graincorp Limited Ordinary Class A</t>
  </si>
  <si>
    <t>Queensland Cotton Holdings Limited Ordinary</t>
  </si>
  <si>
    <t>Consolidated Minerals Limited Ordinary</t>
  </si>
  <si>
    <t>Ticor Limited Ordinary</t>
  </si>
  <si>
    <t>Auswide Bank Ltd Ordinary</t>
  </si>
  <si>
    <t>Oamps Limited Ordinary</t>
  </si>
  <si>
    <t>Healthscope Limited Ordinary</t>
  </si>
  <si>
    <t>Australian Vintage Ltd Ordinary</t>
  </si>
  <si>
    <t>Coates Hire Limited Ordinary</t>
  </si>
  <si>
    <t>Healius Limited Ordinary</t>
  </si>
  <si>
    <t>King Island Company Limited (The) Ordinary</t>
  </si>
  <si>
    <t>RG Capital Radio Limited Ordinary</t>
  </si>
  <si>
    <t>Tourism Asset Holdings Limited Ordinary</t>
  </si>
  <si>
    <t>Petaluma Limited Ordinary</t>
  </si>
  <si>
    <t>Australian Growth Properties Limited Ordinary</t>
  </si>
  <si>
    <t>Milton Corporation Limited Ordinary</t>
  </si>
  <si>
    <t>Alesco Corporation Limited Ordinary</t>
  </si>
  <si>
    <t>Flight Centre Travel Group Limited Ordinary</t>
  </si>
  <si>
    <t>Brickworks Limited Ordinary</t>
  </si>
  <si>
    <t>Australian Commercial Property Trust. Ordinary Units</t>
  </si>
  <si>
    <t>CMG CH China Investments Limited Ordinary</t>
  </si>
  <si>
    <t>Portman Limited Ordinary</t>
  </si>
  <si>
    <t>Bristile Ltd Ordinary</t>
  </si>
  <si>
    <t>Sigma Company Limited Ordinary</t>
  </si>
  <si>
    <t>TDG Logistics Limited Ordinary</t>
  </si>
  <si>
    <t>Homemaker Retail Group Units/Ordinary Stapled Securities</t>
  </si>
  <si>
    <t>Ramsay Health Care Limited Ordinary</t>
  </si>
  <si>
    <t>Forte Energy NL Ordinary</t>
  </si>
  <si>
    <t>Volante Group Limited Ordinary</t>
  </si>
  <si>
    <t>TBG Diagnostics Limited Ordinary</t>
  </si>
  <si>
    <t>Petroz NL Ordinary</t>
  </si>
  <si>
    <t>Australian Hospital Care Limited Ordinary</t>
  </si>
  <si>
    <t>Technology Investment Fund Units</t>
  </si>
  <si>
    <t>Deutsche Industrial Trust Units</t>
  </si>
  <si>
    <t>Fantastic Holdings Limited Ordinary</t>
  </si>
  <si>
    <t>Freedom Group Limited Ordinary</t>
  </si>
  <si>
    <t>Pacific Hydro Limited Ordinary</t>
  </si>
  <si>
    <t>Aquarius Platinum Limited 5c US Ordinary</t>
  </si>
  <si>
    <t>Rural Press Limited Ordinary</t>
  </si>
  <si>
    <t>Roc Oil Company Limited Ordinary</t>
  </si>
  <si>
    <t>First Australian Building Society Limited Ordinary</t>
  </si>
  <si>
    <t>Finemore Holdings Limited Ordinary</t>
  </si>
  <si>
    <t>Charter Pacific Corporation Limited Ordinary</t>
  </si>
  <si>
    <t>Jubilee Mines NL Ordinary</t>
  </si>
  <si>
    <t>Utility Services Corporation Limited Ordinary</t>
  </si>
  <si>
    <t>Paladin Industrial Trust Units</t>
  </si>
  <si>
    <t>Pirelli Cables Australia Limited Ordinary</t>
  </si>
  <si>
    <t>Eastern Aluminium Limited Ordinary</t>
  </si>
  <si>
    <t>Technology One Limited Ordinary</t>
  </si>
  <si>
    <t>Newhaven Hotels Limited Ordinary</t>
  </si>
  <si>
    <t>Adcorp Australia Limited Ordinary</t>
  </si>
  <si>
    <t>Bremer Park Limited Ordinary</t>
  </si>
  <si>
    <t>Telemedia Networks International Limited Ordinary</t>
  </si>
  <si>
    <t>Polartechnics Limited Ordinary</t>
  </si>
  <si>
    <t>Beyond International Limited Ordinary</t>
  </si>
  <si>
    <t>Stargames Limited Ordinary</t>
  </si>
  <si>
    <t>Keycorp Limited Ordinary</t>
  </si>
  <si>
    <t>Burns, Philp &amp; Company Limited Ordinary</t>
  </si>
  <si>
    <t>Moab Minerals Limited Ordinary</t>
  </si>
  <si>
    <t>China Education Limited Ordinary</t>
  </si>
  <si>
    <t>Razor Risk Technologies Limited Ordinary</t>
  </si>
  <si>
    <t>Didasko Limited Ordinary</t>
  </si>
  <si>
    <t>Media Entertainment Group Limited Ordinary</t>
  </si>
  <si>
    <t>Open</t>
  </si>
  <si>
    <t>Closed</t>
  </si>
  <si>
    <t>Year</t>
  </si>
  <si>
    <t>Jan</t>
  </si>
  <si>
    <t>Feb</t>
  </si>
  <si>
    <t>Mar</t>
  </si>
  <si>
    <t>Apr</t>
  </si>
  <si>
    <t>May</t>
  </si>
  <si>
    <t>Jun</t>
  </si>
  <si>
    <t>Jul</t>
  </si>
  <si>
    <t>Aug</t>
  </si>
  <si>
    <t>Sep</t>
  </si>
  <si>
    <t>Oct</t>
  </si>
  <si>
    <t>Nov</t>
  </si>
  <si>
    <t>Dec</t>
  </si>
  <si>
    <t>Yr%</t>
  </si>
  <si>
    <t>Avg</t>
  </si>
  <si>
    <t>$0.6B</t>
  </si>
  <si>
    <t>$0.2B</t>
  </si>
  <si>
    <t>$0.8B</t>
  </si>
  <si>
    <t>Date</t>
  </si>
  <si>
    <t>5.0x</t>
  </si>
  <si>
    <t>High</t>
  </si>
  <si>
    <t>Low</t>
  </si>
  <si>
    <t>Close</t>
  </si>
  <si>
    <t>Volume</t>
  </si>
  <si>
    <t>Turnover</t>
  </si>
  <si>
    <t>$1.6B</t>
  </si>
  <si>
    <t>35.7x</t>
  </si>
  <si>
    <t>Sell</t>
  </si>
  <si>
    <t>Buy</t>
  </si>
  <si>
    <t>The momentum filter is off, indicating the market is continuing to trend.</t>
  </si>
  <si>
    <t>Delisted</t>
  </si>
  <si>
    <t>20 Week High</t>
  </si>
  <si>
    <t>The momentum filter has been activated, indicating the market is no longer trending.</t>
  </si>
  <si>
    <t>10% from 2wk High</t>
  </si>
  <si>
    <t>12wk Low</t>
  </si>
  <si>
    <t>$1.2B</t>
  </si>
  <si>
    <t>2.0x</t>
  </si>
  <si>
    <t>5.1x</t>
  </si>
  <si>
    <t>$1.0B</t>
  </si>
  <si>
    <t>0.6x</t>
  </si>
  <si>
    <t>Information Technology</t>
  </si>
  <si>
    <t>Dropsuite Limited is an Australia-based company, which provides cloud software platform enabling businesses and organizations globally to back up, recover and protect their important business information. The Company's products include GovCloud Backup; Microsoft 365 Backup; Google Workspace Backup; Email Backup, which include Hosted Exchange, IMAP/POP and Open-Xchange, and Email Archiving. Dropsuite QuickBooks Online Backup, Email Backup and Email Archiving solutions are the cloud backup, archiving, and recovery software-as-a-service (SaaS) solutions. Its Microsoft 365 backup and archiving solutions can be stored in Amazon Web Services (AWS) GovCloud (United States), allowing users to back up and restore sensitive and classified data in the cloud while maintaining FedRAMP moderate security requirements. Dropsuite's QuickBooks Online Backup (QBO) offers a secure and affordable backup solution for accounting data.</t>
  </si>
  <si>
    <t>391.6x</t>
  </si>
  <si>
    <t>9.9x</t>
  </si>
  <si>
    <t>105.6x</t>
  </si>
  <si>
    <t>$-28.0M</t>
  </si>
  <si>
    <t>$4.0M</t>
  </si>
  <si>
    <t>Omni Bridgeway Limited is an Australia-based company involved in legal finance and risk management, including dispute and litigation finance, from case inception to post-judgment enforcement and recovery. The Company provides solutions, including arbitration financing, judgment enforcement, dispute funding, distressed asset recovery, bankruptcy, commercial, intellectual property, investor recoveries, class/group actions, appeals, and whistleblower. Arbitration financing analyzes factors impacting claims and advises on navigating the various arbitral institutions. Judgement enforcement advises clients on how to safeguard collectability and enforcement of judgments. The bankruptcy financing solutions include pre-litigation and pre-confirmation investigations, working capital, fees and credit funding and monetizing appeals. It assesses investment and enforcement opportunities in Africa, Asia, Australia, Canada, Europe, Latin America, the Middle East, the United Kingdom, and others.</t>
  </si>
  <si>
    <t>4.8x</t>
  </si>
  <si>
    <t>$155.6M</t>
  </si>
  <si>
    <t>$-88.0M</t>
  </si>
  <si>
    <t>$20.7B</t>
  </si>
  <si>
    <t>Unibail-Rodamco-Westfield Se SA is a France-based group operating in the commercial real estate industry. The Group is engaged in the development, construction, and management of real estate in Europe and United States. Its assets portfolio is divided into three main business segments: Retail, which includes 96 shopping centers in France, Central Europe, Spain, Austria, Germany, United Kingdom, the Netherlands, United States and others; Offices &amp; Others, where URW develops and owns office buildings and hotels located mainly in the Paris central business district and La Defense, it also owns office, hotel and residential assets in the United States; and Convention and Exhibition segment is located in the Paris region and consists of real estate venues and services company: Viparis. Viparis is owned jointly with the Chamber of Commerce and Industry of Paris Ile-de-France (CCIR) and operated by URW.</t>
  </si>
  <si>
    <t>214.5x</t>
  </si>
  <si>
    <t>3.5x</t>
  </si>
  <si>
    <t>6.3x</t>
  </si>
  <si>
    <t>$36076.1M</t>
  </si>
  <si>
    <t>$3020.7M</t>
  </si>
  <si>
    <t>Nick Scali Limited is an Australia-based company, which operates as a retailers and importers of furniture. The Company is engaged in the sourcing and retailing of household furniture and related accessories. Its sofas and armchairs collection include recliner sofa collections, leather sofa collections, fabric sofa collections, occasional armchairs, and others. Its living room collections include TV and entertainment units, coffee tables, side tables, console and hallway tables, and others. Its dining room collections include dining tables, dining chairs, and buffet tables and sideboards. Its bedroom collections include mattresses, bedframes, bedside tables, and dressers, among others. Its rugs and accessories collections include rugs and mirrors. The Company imports leather and fabric lounges as well as dining room and occasional furniture. The Company has stores located in New South Wales, Queensland, Victoria, Tasmania, South Australia, Western Australia, and others.</t>
  </si>
  <si>
    <t>18.6x</t>
  </si>
  <si>
    <t>3.4x</t>
  </si>
  <si>
    <t>34.2x</t>
  </si>
  <si>
    <t>$215.1M</t>
  </si>
  <si>
    <t>$46.0M</t>
  </si>
  <si>
    <t>EBR Systems, Inc. is a medical device company. The Company is developing the wireless stimulation endocardially cardiac resynchronization therapy (WiSE CRT) System an implantable cardiac pacing system able to provide stimulation to endocardial heart tissue for the correction of heart rhythm conditions without requiring the use of wires or leads. This investigational device delivers left-ventricle endocardial pacing for CRT without wires or leads. The WiSE CRT System developed a new approach to cardiac pacing, with the potential to transform CRT delivery and benefit patients who have not succeeded with conventional CRT. It operates wholly owned subsidiaries in Australia, EBR Systems (AUST) Pty Ltd, and the United Kingdom, EBR Systems (UK) Limited, which conduct clinical trials and work on intellectual property development in their respective regions.</t>
  </si>
  <si>
    <t>$-11.6M</t>
  </si>
  <si>
    <t>$-62.9M</t>
  </si>
  <si>
    <t>$2.6B</t>
  </si>
  <si>
    <t xml:space="preserve">Tuas Limited is an Australia-based company. The Company is primarily involved in owning and operating a mobile network and providing telecommunications services in Singapore. The Company operates through the Singapore telecommunications segment. The Company's subsidiaries include Simba Telecom Pte Ltd, Simba 5G Pte Ltd, Netco East Pte Ltd, Netco West Pte Ltd, and Tuas Solutions Sdn Bhd. </t>
  </si>
  <si>
    <t>1207.6x</t>
  </si>
  <si>
    <t>18.2x</t>
  </si>
  <si>
    <t>177.7x</t>
  </si>
  <si>
    <t>$-82.9M</t>
  </si>
  <si>
    <t>$13.6M</t>
  </si>
  <si>
    <t>Baby Bunting Group Limited is an Australia-based specialty maternity and baby goods retailer. The Company primarily catering to parents with children from newborn to three years of age and parents-to-be. Its core purpose is to support new and expectant parents in the early years of parenthood. Its principal product categories include prams, cots and nursery furniture, car safety, toys, babywear, feeding, nappies, manchester, associated accessories and consumables. It also provides services that are complementary to the products it sells, including car seat installation and hire services of certain nursery products. It offers various brands, including 4Baby, Bilbi, Britax, Bugaboo, Jengo, Camelbak, Charli Chair, Cherub Baby, Chicco, Dentons, Designer Kidz, and others. It operates stores throughout Australia and an online store, babybunting.com.au. It also has operations in New Zealand, with three stores in Auckland and one store in Christchurch and an online store, babybunting.co.nz.</t>
  </si>
  <si>
    <t>79.4x</t>
  </si>
  <si>
    <t>11.0x</t>
  </si>
  <si>
    <t>$154.7M</t>
  </si>
  <si>
    <t>$22.6M</t>
  </si>
  <si>
    <t>Kelly Partners Group Holdings Limited is an Australia-based company engaged in the provision of chartered accounting and other professional services, predominantly to private businesses and high net worth individuals. The Company's segments include Accounting and Other services. The Accounting segment offers accounting and taxation services, corporate secretarial, outsourced chief financial officer (CFO), audits, business structuring, bookkeeping, and all other accounting related services. The Other services segment offers financial broking services, wealth management, investment office and all other non-accounting services. The Company's network consists of approximately 38 businesses across 32 locations, operating in multiple geographies, including New South Wales, Victoria and Queensland, Australia, California, the United States, Hong Kong, and Mumbai, India.</t>
  </si>
  <si>
    <t>124.4x</t>
  </si>
  <si>
    <t>4.5x</t>
  </si>
  <si>
    <t>24.4x</t>
  </si>
  <si>
    <t>$92.8M</t>
  </si>
  <si>
    <t>$19.8M</t>
  </si>
  <si>
    <t>$1.4B</t>
  </si>
  <si>
    <t>MA Financial Group Limited is an Australia-based diversified financial services company. The Company specializes in asset management, lending, corporate advisory, and equities. The Company operates in three segments: Asset Management, Lending and Technology, and Corporate Advisory and Equities (CA&amp;E). The Asset Management segment incorporates the provision of asset management services and principal co-investment and strategic investments. The Lending and Technology segment includes lending platforms for the provision of loan funding, residential mortgages and financial technology, including mortgage aggregation services. The Corporate Advisory and Equities segment provides corporate advice, underwriting and institutional stockbroking services. Its specialized sector capabilities include real estate, credit and restructuring, technology and small to mid-cap industrial companies.</t>
  </si>
  <si>
    <t>23.6x</t>
  </si>
  <si>
    <t>1.1x</t>
  </si>
  <si>
    <t>$4464.9M</t>
  </si>
  <si>
    <t>$-44.9M</t>
  </si>
  <si>
    <t>Acrow Limited is a provider of smart integrated construction systems across formwork, industrial services and commercial scaffolding in Australia. The Company's portfolio is falsework and shoring, screen solutions, Jacking Systems (Jumpform), and internal engineering capabilities. The Company operates 13 locations with over 60,000 tons of equipment. Its products include Slim-Lite and Slim-Max Soldiers, Acrowall-60, Acrowall-80, Single sided A-Frames, Acrow Flex Deck, Acrow Prop, Acrow GASS, V-shore, Powershore 30, Powershore 150, Acrow Screens, Jacking Systems, Universal Soldier System (USS), Quickstage, SuperCuplok, Ringlock, Timber and Ply, Props, Containment, and Accessories and other. The Company, through Benchmark Scaffolding, provides scaffolding solutions for complex applications in the industrial, mining and infrastructure sectors.</t>
  </si>
  <si>
    <t>14.6x</t>
  </si>
  <si>
    <t>1.6x</t>
  </si>
  <si>
    <t>$127.8M</t>
  </si>
  <si>
    <t>$-22.0M</t>
  </si>
  <si>
    <t>$2.5B</t>
  </si>
  <si>
    <t>Temple &amp; Webster Group Ltd is an Australia-based pure play online retailer of furniture and homewares. The Company has over 200,000 products on sale from hundreds of suppliers. The Company runs a drop-shipping model whereby products are sent directly to customers by suppliers, enabling faster delivery times and reducing the need to hold inventory, allowing for a larger product range. The drop ship range is complemented by a private label range which is sourced directly by the Company from overseas suppliers. It operates in one segment being the sale of furniture, homewares, and home improvement products through its online platforms. Its Trade &amp; Commercial division services the business to business (B2B) market, offering exclusive product ranges, procurement, styling, specialized delivery and installation services through a dedicated support team. It also offers a range of home improvement products that customers need to renovate and redecorate their homes.</t>
  </si>
  <si>
    <t>234.1x</t>
  </si>
  <si>
    <t>94.1x</t>
  </si>
  <si>
    <t>$-118.6M</t>
  </si>
  <si>
    <t>$27.0M</t>
  </si>
  <si>
    <t>Australian Clinical Labs Limited is a private provider of pathology services. Its laboratories perform a range of pathology tests each year for a range of clients, including doctors, specialists, patients, hospitals, and corporate clients. It performs a range of services for doctors, patients and corporate clients, including chemical pathology, hematology, histopathology &amp; cytopathology, serology &amp; microbiology, allergy &amp; immunology, molecular cancer testing, genetic carrier screening &amp; other antenatal testing, cardiac testing services, veterinary pathology, functional pathology, and pathology services for clinical trials, among others. Its specialist services include molecular cancer services, obstetrics and gynecology, pharmacogenetic testing, gastroenterology, and hospital services. It has operations in Victoria, New South Wales, Western Australia, South Australia, Queensland, and the Northern Territory. Its SunDoctors brand provides skin cancer care services.</t>
  </si>
  <si>
    <t>22.3x</t>
  </si>
  <si>
    <t>0.8x</t>
  </si>
  <si>
    <t>4.1x</t>
  </si>
  <si>
    <t>$293.8M</t>
  </si>
  <si>
    <t>$133.1M</t>
  </si>
  <si>
    <t>Integral Diagnostics Limited is an Australia-based provider of medical imaging services across Australia and New Zealand. The principal activity of the Company is the provision of diagnostic imaging services. It operates brands in four Australian States: Lake Imaging in Victoria, the X-Ray Group in VIC/NSW, South Coast Radiology, Peloton Radiology and Imaging Queensland in Queensland and Apex Radiology in Western Australia. It also operates in New Zealand through the Astra Radiology, SRG Radiology, Horizon Radiology and Trinity MRI brands. Lake Imaging offers a private radiology service to patients throughout Central and Western Victoria. South Coast Radiology provides medical imaging services and patient care to the Gold Coast and Tweed Heads communities. Imaging Queensland is a provider of advanced diagnostic imaging services and radiology education across Queensland. Apex Radiology provides diagnostic imaging services for patients in rural and regional communities.</t>
  </si>
  <si>
    <t>119.7x</t>
  </si>
  <si>
    <t>33.6x</t>
  </si>
  <si>
    <t>$501.4M</t>
  </si>
  <si>
    <t>$28.5M</t>
  </si>
  <si>
    <t>Consumer Staples</t>
  </si>
  <si>
    <t>Select Harvests Limited is an Australia-based vertically integrated almond food company. The Company manufactures, processes and markets almond products for the Australian retail and industrial markets, in addition to exporting almonds globally. It is engaged in growing, processing, packaging and sale of almonds and its by-products from Company-owned and leased almond orchards. It supplies a full range of value-added almond products (blanched, roasted, sliced, diced, meal and paste) in multiple customer categories, including beverage, bakery, confectionery, cereal, snacking, health, dairy (ice cream), re-packers and wholesalers. It supplies both branded and private label products to key retailers, distributors and industrial users. Its brands are Renshaw and Allinga Farms. Its geographically diverse almond orchards are located in Victoria, South Australia and New South Wales. Its portfolio includes over 9,262 hectares of Company-owned, leased and joint venture almond orchards.</t>
  </si>
  <si>
    <t>21.5x</t>
  </si>
  <si>
    <t>1.7x</t>
  </si>
  <si>
    <t>$392.4M</t>
  </si>
  <si>
    <t>$-4.5M</t>
  </si>
  <si>
    <t>Silex Systems Limited is a technology commercialization company. The Company is focused on the commercialization of its Separation of Isotopes by Laser EXcitation (SILEX) laser enrichment technology for application to uranium production and enrichment (nuclear power), silicon enrichment (silicon quantum computing) and medical isotope enrichment (new cancer therapies). Its segments include Silex Systems, Translucent and Silex USA. Silex Systems is based in New South Wales and Translucent and Silex USA are based in North Carolina. The SILEX technology has been under development for uranium enrichment jointly with exclusive licensee Global Laser Enrichment LLC. It is also focused on the development of additional commercial applications of the SILEX technology, including the production of Zero-Spin Silicon for the emerging technology of silicon-based quantum computing. It has an interest in a semiconductor technology known as cREO through its ownership of subsidiary Translucent Inc.</t>
  </si>
  <si>
    <t>71.2x</t>
  </si>
  <si>
    <t>157.0x</t>
  </si>
  <si>
    <t>$-93.6M</t>
  </si>
  <si>
    <t>$5.9M</t>
  </si>
  <si>
    <t>$0.1B</t>
  </si>
  <si>
    <t>Cyclopharm Limited is an Australia-based radiopharmaceutical company. The Company's principal activity is engaged in the manufacture and sale of medical equipment and radiopharmaceuticals, including associated research and development and distribution of third-party products to the diagnostic imaging sector. Its segments include Technegas and Molecular Imaging. The Technegas segment is a supplier of diagnostic equipment and consumables used by physicians in the detection of pulmonary embolism and a distributor of products to the diagnostic imaging sector. The Molecular Imaging segment produces radiopharmaceuticals to be used by physicians in the detection of cancer, neurological disorders and cardiac disease. The Company uses Technegas technology, which is a structured ultra-fine dispersion of radioactive labelled carbon, produced by using driedTechnetium-99m in a carbon crucible. The Company distributes its products in approximately 65 countries.</t>
  </si>
  <si>
    <t>$-12.3M</t>
  </si>
  <si>
    <t>$-13.5M</t>
  </si>
  <si>
    <t>AVITA Medical, Inc. is a therapeutic acute wound care company. The Company's technologies optimize wound healing, effectively accelerating the time to patient recovery. At the forefront of its platform is the RECELL System for the treatment of thermal burn wounds and full-thickness skin defects. RECELL harnesses the healing properties of a patient's own skin to create Spray-On Skin Cells, offering a solution for improved clinical outcomes at the point-of-care. In the United States, it also holds the exclusive rights to market, sell, and distribute Cohealyx, an AVITA Medical-branded collagen-based dermal matrix, and PermeaDerm, a biosynthetic wound matrix. Its technologies are designed to optimize skin restoration procedures, effectively accelerating patient healing and recovery. Its solutions improve the healing outcomes for patients with traumatic injuries and surgical repairs, addressing critical healing needs that arise from unpredictable and life-changing events.</t>
  </si>
  <si>
    <t>27.8x</t>
  </si>
  <si>
    <t>$24.5M</t>
  </si>
  <si>
    <t>$-88.1M</t>
  </si>
  <si>
    <t>$1.1B</t>
  </si>
  <si>
    <t>Myer Holdings Limited is an Australia-based company, which is engaged in the department store business. The Company operates approximately 56 department stores across Australia, as well as its online business: myer.com.au. Its merchandise offer includes core product categories: Womenswear; Menswear; Childrenswear; Beauty; Homewares; Electrical Goods; Toys and General Merchandise. Its operations are in Australia and encompass Myer department stores, sass &amp; bide and Marcs and David Lawrence. Its loyalty program, MYER one, where members earn credits on purchases at Myer that convert into reward cards on a quarterly basis. Its brands include Country Road, Trenery, Commonry, Decjuba, Just Jeans, Jay Jays, Portmans, Dotti, Jacqui E and others. It sources private label brand merchandise from 243 suppliers across 11 countries. Its subsidiaries include NB Elizabeth Pty Ltd, NB Russell Pty Ltd, NB Lonsdale Pty Ltd, NB Collins Pty Ltd, Warehouse Solutions Pty Ltd, Myer Group Pty Ltd, and others.</t>
  </si>
  <si>
    <t>0.4x</t>
  </si>
  <si>
    <t>8.3x</t>
  </si>
  <si>
    <t>$1274.2M</t>
  </si>
  <si>
    <t>$132.2M</t>
  </si>
  <si>
    <t>Cedar Woods Properties Limited is an Australia-based national developer of residential communities and commercial properties. The Company's diversified product mix ranges from land subdivisions in residential communities, to medium and high-density apartments and townhouses in inner-city neighborhoods and supporting retail and commercial developments. It has approximately 38 projects across Western Australia, Victoria, Queensland and South Australia and a pipeline of more than 9,700 lots. Its project includes Millars Landing, North Baldivis; Mason Quarter, Wollert; 88 Leveson, North Melbourne; Ariella, Brabham; Marella Apartments, Fletcher's Slip; Jackson Green, Clayton South; Botanica Apartments, Glenside, and others. Millars Landing is close to Perth and Wellard and offers convenient access to the Kwinana Freeway and public transport. 88 Leveson is a boutique collection of 15 luxury town houses in the heart of North Melbourne.</t>
  </si>
  <si>
    <t>8.6x</t>
  </si>
  <si>
    <t>34.7x</t>
  </si>
  <si>
    <t>$187.3M</t>
  </si>
  <si>
    <t>$17.1M</t>
  </si>
  <si>
    <t>PYC Therapeutics Limited is an Australia-based clinical-stage biotechnology company creating a new generation of ribonucleic acid (RNA) therapies to change the lives of patients with genetic diseases. The Company utilizes its proprietary drug delivery platform to enhance the potency of precision medicines within the rapidly growing and commercially proven RNA therapeutic class. Its drug development programs target monogenic diseases - the indications with the highest likelihood of success in clinical development. Its first-in-class drug programs include Retinitis Pigmentosa type 11, (VP-001), Polycystic Kidney Disease, (PYC-003), Autosomal Dominant Optic Atrophy (ADOA) (PYC-001) and Phelan-McDermid Syndrome (PMS) (PYC-002). The Company's VP-001 program is a lead asset for a blinding eye disease of childhood progressed through multiple patient cohorts in the ongoing single ascending dose clinical trial. ADOA is a progressive and blinding eye disease.</t>
  </si>
  <si>
    <t>36.9x</t>
  </si>
  <si>
    <t>$-48.0M</t>
  </si>
  <si>
    <t>$-38.9M</t>
  </si>
  <si>
    <t>277.3x</t>
  </si>
  <si>
    <t>-</t>
  </si>
  <si>
    <t>Alert Price:</t>
  </si>
  <si>
    <t>% From Alert Price</t>
  </si>
  <si>
    <t>FleetPartners Group Limited is a provider of vehicle leasing, fleet management, heavy commercial vehicles, salary packaging and novated leasing, operating across Australia and New Zealand. Its segments include Australia Commercial, Novated and New Zealand Commercial. The Australia Commercial segment specializes in fleet leasing and management. It operates under the trading names of FleetPlus and FleetPartners. The Novated segment specializes in novated leasing and salary packaging. It operates in Australia under the trading names of FleetPlus and FleetPartners. The New Zealand Commercial segment specializes in fleet leasing and management. It operates under the trading name of FleetPartners. Its products include a comprehensive range of motor vehicle fleet services, including vehicle acquisition, leasing, in-life fleet management and vehicle remarketing. Its fleet services include a fleet management platform, fuel management, vehicle branding, and accident management.</t>
  </si>
  <si>
    <t>8.2x</t>
  </si>
  <si>
    <t>$1639.5M</t>
  </si>
  <si>
    <t>$-186.4M</t>
  </si>
  <si>
    <t>Equity</t>
  </si>
  <si>
    <t>Income</t>
  </si>
  <si>
    <t>Universe</t>
  </si>
  <si>
    <t>Number of Holdings</t>
  </si>
  <si>
    <t>Allocation</t>
  </si>
  <si>
    <t>Equal Weight</t>
  </si>
  <si>
    <t>Index Filter</t>
  </si>
  <si>
    <t>Yes</t>
  </si>
  <si>
    <t>Portfolio Adjustment Frequency</t>
  </si>
  <si>
    <t>Weekly</t>
  </si>
  <si>
    <t>Average Trades Per Month</t>
  </si>
  <si>
    <t>Turnover Filter (average)</t>
  </si>
  <si>
    <t>&gt; $500k</t>
  </si>
  <si>
    <t>Volume Filter (average)</t>
  </si>
  <si>
    <t>&gt; 500k shares</t>
  </si>
  <si>
    <t>ASX 200 - 500</t>
  </si>
  <si>
    <t>7.0x</t>
  </si>
  <si>
    <t>524.6x</t>
  </si>
  <si>
    <t>ARX.ASX</t>
  </si>
  <si>
    <t>Aroa Biosurgery Limited Ordinary</t>
  </si>
  <si>
    <t>Aroa Biosurgery Limited is a soft-tissue regeneration company. It develops, manufactures, sells, and distributes medical and surgical products to improve healing in complex wounds and soft tissue reconstruction. Its products are developed from the AROA extracellular matrix (ECM) technology platform, an extracellular matrix biomaterial derived from the ovine forestomach. AROA ECM is an ECM biomaterial containing a rich and complex mix of biological molecules that serve as the building blocks for a range of soft tissue repair products. Its products include Endoform, Myriad Matrix, Myriad Morcells, Myriad Morcells Fine, Symphony, and Reinforced Bioscaffolds. Endoform products support all phases of wound healing and are appropriate for use early in wound management to restore protease balance and advance healing to the proliferative phase. Myriad Matrix is an engineered ECM designed for soft tissue repair, reinforcement, and complex wounds.</t>
  </si>
  <si>
    <t>$-14.3M</t>
  </si>
  <si>
    <t>$-5.7M</t>
  </si>
  <si>
    <t>$1027.5M</t>
  </si>
  <si>
    <t>EOS.ASX</t>
  </si>
  <si>
    <t>Electro Optic Systems Holdings Limited Ordinary</t>
  </si>
  <si>
    <t>Electro Optic Systems Holdings Limited is an Australia-based company engaged in designing, manufacturing, and exporting advanced technology systems. The Company operates in two segments: Defence Systems and Space Systems. The Defence Systems segment specializes in technology for weapon systems optimization and integration, as well as Intelligence, Surveillance and Reconnaissance (ISR) and C4 systems for land warfare. The Company's key products include remote weapon systems, vehicle turrets, high-energy laser weapons (directed energy), as well as fully integrated and modular counter-UAS and C4 systems. The Space Systems segment specializes in applying EOS-developed optical sensors and effectors to detect, track and characterize objects in space. It includes capabilities in the domain of space control.</t>
  </si>
  <si>
    <t>$-41.9M</t>
  </si>
  <si>
    <t>15.1x</t>
  </si>
  <si>
    <t>$1071.4M</t>
  </si>
  <si>
    <t>$66.7M</t>
  </si>
  <si>
    <t>1627.0x</t>
  </si>
  <si>
    <t>$-19.0M</t>
  </si>
  <si>
    <t>$52.3M</t>
  </si>
  <si>
    <t>$0.7B</t>
  </si>
  <si>
    <t>$893.0M</t>
  </si>
  <si>
    <t>$-9.9M</t>
  </si>
  <si>
    <t>$2.0B</t>
  </si>
  <si>
    <t>18231.7x</t>
  </si>
  <si>
    <t>46.7x</t>
  </si>
  <si>
    <t>$936.6M</t>
  </si>
  <si>
    <t>8.0x</t>
  </si>
  <si>
    <t>$15978.8M</t>
  </si>
  <si>
    <t>10.6x</t>
  </si>
  <si>
    <t>$217.6M</t>
  </si>
  <si>
    <t>$136.5M</t>
  </si>
  <si>
    <t>IPX.ASX</t>
  </si>
  <si>
    <t>Iperionx Limited Ordinary</t>
  </si>
  <si>
    <t>$-114.9M</t>
  </si>
  <si>
    <t>IperionX Limited is a titanium metal and critical materials company that uses patented metal technologies to produce high performance titanium alloys, from titanium minerals or scrap titanium, at lower energy and carbon emissions. It is engaged in the exploration and evaluation of its mineral properties in the United States and the research, development, and commercialization of its associated metals technologies to support an integrated titanium processing operation. It holds a 100% interest in the Titan Project, covering more than 11,000 acres of mineral properties in western Tennessee, which it considers prospective for critical minerals including titanium, rare earth elements, silica sand and zircon. Its titanium metal and critical minerals are essential for advanced United States industries including space, aerospace, defense, consumer electronics, hydrogen, electric vehicles and additive manufacturing. It has commissioned hydrogen assisted metallothermic reduction furnace.</t>
  </si>
  <si>
    <t>$-110.4M</t>
  </si>
  <si>
    <t>$-40.7M</t>
  </si>
  <si>
    <t>% From Alert Price:</t>
  </si>
  <si>
    <t>Autosports Group Limited is an Australia-based automotive dealer company. The Company's principal activities include the sale of new and used motor vehicles, distribution of finance and insurance products on behalf of retail financiers and automotive insurers, sale of aftermarket products and spare parts, motor vehicle servicing and collision repair services. The Company represents automotive brands including Alpina, Aston Martin, Audi, Bentley, BMW, BMW Motorrad, Ducati, Geely, Jaguar, Kia, Lamborghini, Land Rover, Maserati, McLaren, Mercedes-Benz, MINI, Rolls-Royce, Subaru, Volkswagen, Zeekr, and Volvo. It operates in over 75 businesses across key metropolitan markets in Sydney, Melbourne, Brisbane, Gold Coast and Auckland, New Zealand. The Company, through its subsidiaries, also owns Porsche, Fiat, Alfa Romeo, Leapmotor, Abarth and Jeep.</t>
  </si>
  <si>
    <t>$489.6M</t>
  </si>
  <si>
    <t>$26.7M</t>
  </si>
  <si>
    <t>17.7x</t>
  </si>
  <si>
    <t>$5553.4M</t>
  </si>
  <si>
    <t>$8.9M</t>
  </si>
  <si>
    <t>Southern Cross Media Services Pty Ltd is a Australia-based company. The Company provides business support services.</t>
  </si>
  <si>
    <t>48.2x</t>
  </si>
  <si>
    <t>$-187.4M</t>
  </si>
  <si>
    <t>$175.3M</t>
  </si>
  <si>
    <t>9.8x</t>
  </si>
  <si>
    <t>$382.8M</t>
  </si>
  <si>
    <t>$-8.9M</t>
  </si>
  <si>
    <t>$43.4M</t>
  </si>
  <si>
    <t>9.5x</t>
  </si>
  <si>
    <t>$222.4M</t>
  </si>
  <si>
    <t>$51.5M</t>
  </si>
  <si>
    <t>16.7x</t>
  </si>
  <si>
    <t>$-33.8M</t>
  </si>
  <si>
    <t>$22.5M</t>
  </si>
  <si>
    <t>287.9x</t>
  </si>
  <si>
    <t>$-193.6M</t>
  </si>
  <si>
    <t>15.8x</t>
  </si>
  <si>
    <t>$1283.7M</t>
  </si>
  <si>
    <t>$61.2M</t>
  </si>
  <si>
    <t>2.8x</t>
  </si>
  <si>
    <t>29.9x</t>
  </si>
  <si>
    <t>SVR.au</t>
  </si>
  <si>
    <t>ARX.au</t>
  </si>
  <si>
    <t>$2.2B</t>
  </si>
  <si>
    <t>2708.8x</t>
  </si>
  <si>
    <t>KCN.au</t>
  </si>
  <si>
    <t>IGL.au</t>
  </si>
  <si>
    <t>$2.8B</t>
  </si>
  <si>
    <t>48.8x</t>
  </si>
  <si>
    <t>SKS.ASX</t>
  </si>
  <si>
    <t>GNP.ASX</t>
  </si>
  <si>
    <t>SKS Technologies Group Limited Ordinary</t>
  </si>
  <si>
    <t>Genusplus Group Limited Ordinary</t>
  </si>
  <si>
    <t>SKS Technologies Group Limited delivers advanced electrical technology solutions via creative design and installation of converged audio visual (AV) / information technology (IT), electrical and communication networking systems across Australia. The Company services business-to-business customers by offering integrated electrical technology packages to customers in any market sector. It also offers ongoing customer support services. Its services include audiovisual, communications, electrical, maintenance/essential services, energy management and smart building solutions. Its audiovisual services include display and projector systems, video and audio conferencing, touch panel control, public access systems, and specialist-controlled lighting. Its communication services include voice and data structured cabling, cable networking auditing, and patch panel management. Its energy management services include energy audits, energy monitoring, and energy savings timers and sensors.</t>
  </si>
  <si>
    <t>15.2x</t>
  </si>
  <si>
    <t>$-24.1M</t>
  </si>
  <si>
    <t>$30.2M</t>
  </si>
  <si>
    <t>Genusplus Group Ltd Ordinary</t>
  </si>
  <si>
    <t xml:space="preserve">GenusPlus Group Ltd is an Australia-based specialist power and communications infrastructure and services provider. The Company and its subsidiaries' principal activities include the construction and maintenance of transmission and distribution power lines and substations servicing the Western Australian, Queensland, New South Wales and Tasmanian power networks, as well as providing specialist engineering, testing and commissioning services to the electrical and communications industries. Its segments include Infrastructure, Communications and Industrial Services. Its Infrastructure segment offers a range of services, including planning, designing, constructing, operating, testing, maintaining, managing and decommissioning power network assets. Its Communications segment is engaged in constructing networks, to maintain and upgrade existing infrastructure. Its Industrial Services segment provides fully integrated electrical and instrumentation (E&amp;I) services. </t>
  </si>
  <si>
    <t>20.3x</t>
  </si>
  <si>
    <t>$-42.7M</t>
  </si>
  <si>
    <t>$103.4M</t>
  </si>
  <si>
    <t>$-87.8M</t>
  </si>
  <si>
    <t>$-23.4M</t>
  </si>
  <si>
    <t>$2.7B</t>
  </si>
  <si>
    <t>2.1x</t>
  </si>
  <si>
    <t>15.6x</t>
  </si>
  <si>
    <t>Removed from Universe</t>
  </si>
  <si>
    <t>29M.ASX</t>
  </si>
  <si>
    <t>29Metals Limited Ordinary</t>
  </si>
  <si>
    <t>29METALS Limited Ordinary</t>
  </si>
  <si>
    <t>4.7x</t>
  </si>
  <si>
    <t>29Metals Limited is a copper-focused base and precious metals mining company with producing and exploration assets in Australia and Chile. The principal activities of the Company are mining and mineral production, mineral concentrate sales, mineral exploration and development, and ancillary services. Its Golden Grove mine is a volcanic-hosted massive sulfide (VHMS) geological system. Its exploration activities include the Redhill exploration project located in Chile. The Redhill comprises historic mine site with significant known high grade copper, gold and silver mineralization and is a regional tenement position in Chile. The Company holds 100% of the Redhill exploration project. Its Cutters Cove project at Redhill includes the mineralized veins of Cristina, Gorda, Angelica, Cutters, and Franceses, and the Ingleses target area, as well as a regional tenement package within the surrounding province.</t>
  </si>
  <si>
    <t>$61.0M</t>
  </si>
  <si>
    <t>$-57.1M</t>
  </si>
  <si>
    <t>20.2x</t>
  </si>
  <si>
    <t>$-73.3M</t>
  </si>
  <si>
    <t>$75.3M</t>
  </si>
  <si>
    <t>21.9x</t>
  </si>
  <si>
    <t>$99.7M</t>
  </si>
  <si>
    <t>$-50.4M</t>
  </si>
  <si>
    <t>4.4x</t>
  </si>
  <si>
    <t>19.8x</t>
  </si>
  <si>
    <t>$93.1M</t>
  </si>
  <si>
    <t>IVE Group Limited is an Australia-based diversified marketing company. The principal activities of the Company are conceptual and creative design across print, mobile and interactive media. It is engaged in printing and distribution of catalogs, magazines, marketing and corporate communications materials and stationery, and the manufacturing of point-of-sale display materials, large-format banners for retail applications and fiber-based packaging. It offers personalized communications, including marketing automation, marketing mail, publication mail, e-communications, and multichannel solutions. The other services of the Company include data analytics, customer experience strategy, and customer relationship management, and outsourced communications solutions for organizations, including development of customized multichannel management models covering creative and digital services, supply chain optimization, inventory management, warehousing and logistics.</t>
  </si>
  <si>
    <t>1.2x</t>
  </si>
  <si>
    <t>AIS.ASX</t>
  </si>
  <si>
    <t>RAC.ASX</t>
  </si>
  <si>
    <t>Aeris Resources Limited Ordinary</t>
  </si>
  <si>
    <t>Race Oncology Ltd Ordinary</t>
  </si>
  <si>
    <t>3.7x</t>
  </si>
  <si>
    <t>0.9x</t>
  </si>
  <si>
    <t>$26.6M</t>
  </si>
  <si>
    <t>$32.7M</t>
  </si>
  <si>
    <t>0.7x</t>
  </si>
  <si>
    <t>Race Oncology Limited is an Australia-based clinical-stage biopharmaceutical company. The Company is focused on improving the lives of cancer patients around the world by developing a novel approach to both treating the cancer and protecting the heart. Its lead asset, bisantrene, is a small molecule chemotherapeutic. Bisantrene has a clinical history with demonstrated therapeutic benefits in both adult and pediatric patients, and compelling clinical data demonstrating an anticancer effect and less cardiotoxicity over certain anthracyclines, such as doxorubicin. It is advancing a reformulated bisantrene (RC220) to address the high unmet needs of patients across multiple oncology indications, with a clinical focus on anthracycline combinations. It is also exploring RC220 as a low intensity treatment for acute myeloid leukaemia.</t>
  </si>
  <si>
    <t>$-13.7M</t>
  </si>
  <si>
    <t>$-4.6M</t>
  </si>
  <si>
    <t>7.2x</t>
  </si>
  <si>
    <t>4.6x</t>
  </si>
  <si>
    <t>4.3x</t>
  </si>
  <si>
    <t>Bougainville Copper Limited is a Papua New Guinea-based mining company. The Company is focused on resuming active exploration and sustainable copper, gold, and silver mining at Panguna, in central Bougainville. The Company holds leases including SML1, LMP B9, B6, B8, B7, B2, B10, B3; and prospecting authorities including exploration licenses 1, 2, 3, 4, 5, 6, 7A and 7B on Bougainville Island. The Company's wholly owned subsidiary is Bougainville Copper Foundation Limited (BCF).</t>
  </si>
  <si>
    <t>$0.0M</t>
  </si>
  <si>
    <t>oOh!media Limited is an Australia-based out-of-home (OOH) media company. The Company is engaged in offering advertisers the ability to create deep engagement between people and brands across diverse OOH location-based portfolios in Australia and New Zealand. It also invests in technology. Its portfolio includes large format digital and classic roadside screens; large and small format digital and classic signs located in retail precincts such as shopping centers; large and small format digital and classic signs in airport terminals, lounges and in-flight; digital and classic street furniture signs; digital and classic format advertising in public transport corridors, including rail, and digital and classic signs in high dwell time environments, such as universities and office buildings. It also provides advertising creative and printing services. It has a network of over 35,000 digital and static asset locations that include roadsides, airports, train stations, bus stops, and others.</t>
  </si>
  <si>
    <t>Weebit Nano Ltd is an Australia-based developer and licensor of advanced semiconductor memory technology. The Company's Resistive RAM (ReRAM) addresses the growing need for higher performance and lower power non-volatile memory (NVM) solutions in a range of new electronic products, such as Internet of Things (IoT) devices, smartphones, robotics, autonomous vehicles, fifth generation (5G) communications and artificial intelligence. Its ReRAM technology is based on fab-friendly materials and can be easily integrated with existing flows and processes. It is creating ReRAM IP that customers can embed in their system-on-chip (SoC) designs. It is also developing discrete (stand-alone) memory technology, targeting storage class memory, persistent memory and NOR flash replacement. Weebit ReRAM is ideal for applications requiring high temperature and endurance levels, offering a power efficient NVM that is easy to integrate and tolerant to radiation and electromagnetic fields.</t>
  </si>
  <si>
    <t>Aeris Resources Limited is a mid-tier base and precious metals producer. The Company is engaged in the production, sale and exploration of copper, zinc, gold and silver. Its segments include Tritton Copper Operations; Cracow Gold Operations; North Queensland Copper Operations; Jaguar Zinc and Copper Operations; Stockman Copper and Zinc Project, Other. Tritton Copper Operations is an underground copper operation located in the Cobar region of central New South Wales. Cracow Gold Operations is an underground gold operation located in central Queensland. Jaguar Operations is an underground zinc, copper, gold and silver mining operation located in the Eastern Goldfields region of Western Australia. North Queensland Copper Operations comprises of underground Mt Colin copper mine, Barbara development project and a prospective tenement package in the Mount Isa/Cloncurry region. The Stockman Project is an advanced polymetallic development project located 300 kilometers northeast of Melbourne.</t>
  </si>
  <si>
    <t>$1.3B</t>
  </si>
  <si>
    <t>14.3x</t>
  </si>
  <si>
    <t>248.6x</t>
  </si>
  <si>
    <t>7.1x</t>
  </si>
  <si>
    <t>3.6x</t>
  </si>
  <si>
    <t>5.5x</t>
  </si>
  <si>
    <t>15.4x</t>
  </si>
  <si>
    <t>70.5x</t>
  </si>
  <si>
    <t>784.1x</t>
  </si>
  <si>
    <t>376.8x</t>
  </si>
  <si>
    <t>12.1x</t>
  </si>
  <si>
    <t>Pepper Money Limited is an Australia-based non-banking lender. The Company's segments include Mortgages, Asset Finance, and Loan and Other Servicing. The Mortgages segment includes both residential mortgages and commercial real estate and includes the revenues and direct expenses associated with the origination of residential mortgages in Australia and New Zealand and with the origination of small balance commercial real estate and self managed super fund (SMSF) loans in Australia, and its lending comprises residential prime and non-conforming mortgages. The Asset Finance segment is engaged in the ownership of loans secured over a range of assets, including new and used cars, caravans, small commercial equipment and novated leasing in Australia. The Loan and Other Servicing segment includes the servicing of loan portfolios for third parties conducted by the Company in Australia.</t>
  </si>
  <si>
    <t>13.1x</t>
  </si>
  <si>
    <t>188.7x</t>
  </si>
  <si>
    <t>13.7x</t>
  </si>
  <si>
    <t>Australian Finance Group Limited is an Australia-based mortgage broking and financial solutions company. The Company's principal activities include mortgage origination and lending. The Company's segments include distribution, manufacturing, and central. The distribution segment refers to the core aggregation services through AFG and Fintelligence in which these entities act as a mortgage broker that provides its contracted brokers with administrative and infrastructure support as well as access to a panel of lenders. It also includes White Label AFG Home Loans Commissions. The manufacturing segment refers to AFG Securities mortgages (Securitized loans issued by AFG Securities Pty Ltd) that are distributed through the Company's broker network. The manufacturing segment also includes AFG's investment in Thinktank (commercial and residential). Its products include Suite360 Platform, BrokerEngine Plus Software, Analytics and Business Data and SMART Marketing Platform.</t>
  </si>
  <si>
    <t>69.3x</t>
  </si>
  <si>
    <t>1.0x</t>
  </si>
  <si>
    <t>686.2x</t>
  </si>
  <si>
    <t>304.2x</t>
  </si>
  <si>
    <t>11.4x</t>
  </si>
  <si>
    <t>27.2x</t>
  </si>
  <si>
    <t>$1.7B</t>
  </si>
  <si>
    <t>3.1x</t>
  </si>
  <si>
    <t>3.0x</t>
  </si>
  <si>
    <t>23.3x</t>
  </si>
  <si>
    <t>13.0x</t>
  </si>
  <si>
    <t>$1.9B</t>
  </si>
  <si>
    <t>5.3x</t>
  </si>
  <si>
    <t>25.1x</t>
  </si>
  <si>
    <t>28.8x</t>
  </si>
  <si>
    <t>10.7x</t>
  </si>
  <si>
    <t>11.8x</t>
  </si>
  <si>
    <t>12.5x</t>
  </si>
  <si>
    <t>9.0x</t>
  </si>
  <si>
    <t>Servcorp Limited is an Australia-based company, which is engaged in the provision of executive service and virtual offices, coworking and information technology (IT), communications, and secretarial services. The Company's segments include Australia, New Zealand and South East Asia (ANZ/SEA); the United States of America (USA); Europe and Middle East (EME), and North Asia. Its office solutions include office spaces, virtual offices, coworking, meeting rooms, and remote team packages. The Company offers a global interconnected data network, which includes Broadband Internet, Data infrastructure, Global IP Telephony Network, Voice infrastructure, and wireless. The Company offers fiber-based Tier-1 managed Internet service to every location; Cisco end-to-end voice network; Advanced Voice over Internet Protocol (VoIP), and conferencing capabilities, and VLAN, VPN, DMZ or dedicated bandwidth. Its meeting facilities are available for all the meeting and conferencing requirements.</t>
  </si>
  <si>
    <t>12 wk Low</t>
  </si>
  <si>
    <t>8.8x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</si>
</sst>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8" formatCode="&quot;$&quot;#,##0.00;[Red]\-&quot;$&quot;#,##0.00"/>
    <numFmt numFmtId="164" formatCode="0.000000000000%"/>
    <numFmt numFmtId="165" formatCode="&quot;$&quot;#,##0.000;[Red]\-&quot;$&quot;#,##0.000"/>
    <numFmt numFmtId="166" formatCode="&quot;$&quot;#,##0.00"/>
    <numFmt numFmtId="167" formatCode="0.000000000000000%"/>
    <numFmt numFmtId="168" formatCode="0.000%"/>
    <numFmt numFmtId="169" formatCode="0.0000000000000000%"/>
    <numFmt numFmtId="174" formatCode="0.00000000000000000%"/>
  </numFmts>
  <fonts count="20"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2" fillId="0" borderId="0" applyFont="0" applyFill="0" applyBorder="0" applyAlignment="0" applyProtection="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cellStyleXfs>
  <cellXfs count="29">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164" fontId="0" fillId="0" borderId="0" xfId="0" applyNumberFormat="1"/>
    <xf numFmtId="14" fontId="0" fillId="0" borderId="0" xfId="1" applyNumberFormat="1" applyFont="1"/>
    <xf numFmtId="0" fontId="1" fillId="0" borderId="0" xfId="0" applyFont="1" applyAlignment="1">
      <alignment horizontal="center" vertical="top"/>
    </xf>
    <xf numFmtId="14" fontId="19" fillId="0" borderId="0" xfId="0" applyNumberFormat="1" applyFont="1" applyAlignment="1">
      <alignment horizontal="center" vertical="top"/>
    </xf>
    <xf numFmtId="0" fontId="19" fillId="0" borderId="0" xfId="0" applyFont="1" applyAlignment="1">
      <alignment horizontal="center" vertical="top"/>
    </xf>
    <xf numFmtId="0" fontId="0" fillId="0" borderId="0" xfId="0" applyAlignment="1">
      <alignment horizontal="center"/>
    </xf>
    <xf numFmtId="165" fontId="0" fillId="0" borderId="0" xfId="0" applyNumberFormat="1"/>
    <xf numFmtId="166" fontId="19" fillId="0" borderId="0" xfId="0" applyNumberFormat="1" applyFont="1" applyAlignment="1">
      <alignment horizontal="center" vertical="top"/>
    </xf>
    <xf numFmtId="0" fontId="19" fillId="0" borderId="0" xfId="0" applyFont="1" applyAlignment="1">
      <alignment horizontal="left" vertical="top"/>
    </xf>
    <xf numFmtId="0" fontId="0" fillId="0" borderId="0" xfId="0" applyAlignment="1">
      <alignment horizontal="left"/>
    </xf>
    <xf numFmtId="14" fontId="19" fillId="0" borderId="0" xfId="0" applyNumberFormat="1" applyFont="1" applyAlignment="1">
      <alignment horizontal="left" vertical="top"/>
    </xf>
    <xf numFmtId="0" fontId="19" fillId="0" borderId="0" xfId="0" applyFont="1" applyAlignment="1">
      <alignment horizontal="right" vertical="top"/>
    </xf>
    <xf numFmtId="10" fontId="19" fillId="0" borderId="0" xfId="1" applyNumberFormat="1" applyFont="1" applyBorder="1" applyAlignment="1">
      <alignment horizontal="right" vertical="top"/>
    </xf>
    <xf numFmtId="167" fontId="0" fillId="0" borderId="0" xfId="0" applyNumberFormat="1"/>
    <xf numFmtId="168" fontId="0" fillId="0" borderId="0" xfId="0" applyNumberFormat="1"/>
    <xf numFmtId="169" fontId="0" fillId="0" borderId="0" xfId="0" applyNumberFormat="1"/>
    <xf numFmtId="8" fontId="0" fillId="0" borderId="0" xfId="0" applyNumberFormat="1" applyAlignment="1">
      <alignment horizontal="right"/>
    </xf>
    <xf numFmtId="174" fontId="0" fillId="0" borderId="0" xfId="0" applyNumberFormat="1"/>
    <xf numFmtId="0" fontId="1" fillId="0" borderId="0" xfId="0" applyFont="1" applyBorder="1" applyAlignment="1">
      <alignment horizontal="center" vertical="top"/>
    </xf>
    <xf numFmtId="14" fontId="1" fillId="0" borderId="0" xfId="0" applyNumberFormat="1" applyFont="1" applyBorder="1" applyAlignment="1">
      <alignment horizontal="center" vertical="top"/>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98B1B-9626-44BC-B928-C990A299DC05}">
  <dimension ref="A1:B9"/>
  <sheetViews>
    <sheetView tabSelected="1" workbookViewId="0">
      <selection activeCell="G31" sqref="G31"/>
    </sheetView>
  </sheetViews>
  <sheetFormatPr defaultRowHeight="14.4" x14ac:dyDescent="0.3"/>
  <cols>
    <col min="1" max="1" width="30.109375" bestFit="1" customWidth="1"/>
    <col min="2" max="2" width="12.6640625" bestFit="1" customWidth="1"/>
  </cols>
  <sheetData>
    <row r="1" spans="1:2" x14ac:dyDescent="0.3">
      <c r="B1" s="14" t="s">
        <v>1383</v>
      </c>
    </row>
    <row r="2" spans="1:2" x14ac:dyDescent="0.3">
      <c r="A2" t="s">
        <v>1384</v>
      </c>
      <c r="B2" s="14" t="s">
        <v>1397</v>
      </c>
    </row>
    <row r="3" spans="1:2" x14ac:dyDescent="0.3">
      <c r="A3" t="s">
        <v>1385</v>
      </c>
      <c r="B3" s="14">
        <v>20</v>
      </c>
    </row>
    <row r="4" spans="1:2" x14ac:dyDescent="0.3">
      <c r="A4" t="s">
        <v>1386</v>
      </c>
      <c r="B4" s="14" t="s">
        <v>1387</v>
      </c>
    </row>
    <row r="5" spans="1:2" x14ac:dyDescent="0.3">
      <c r="A5" t="s">
        <v>1388</v>
      </c>
      <c r="B5" s="14" t="s">
        <v>1389</v>
      </c>
    </row>
    <row r="6" spans="1:2" x14ac:dyDescent="0.3">
      <c r="A6" t="s">
        <v>1390</v>
      </c>
      <c r="B6" s="14" t="s">
        <v>1391</v>
      </c>
    </row>
    <row r="7" spans="1:2" x14ac:dyDescent="0.3">
      <c r="A7" t="s">
        <v>1392</v>
      </c>
      <c r="B7" s="14">
        <v>5.8</v>
      </c>
    </row>
    <row r="8" spans="1:2" x14ac:dyDescent="0.3">
      <c r="A8" t="s">
        <v>1393</v>
      </c>
      <c r="B8" s="14" t="s">
        <v>1394</v>
      </c>
    </row>
    <row r="9" spans="1:2" x14ac:dyDescent="0.3">
      <c r="A9" t="s">
        <v>1395</v>
      </c>
      <c r="B9" s="14" t="s">
        <v>1396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26"/>
  <sheetViews>
    <sheetView workbookViewId="0">
      <selection activeCell="J15" sqref="J15"/>
    </sheetView>
  </sheetViews>
  <sheetFormatPr defaultColWidth="66.33203125" defaultRowHeight="14.4" x14ac:dyDescent="0.3"/>
  <cols>
    <col min="1" max="1" width="50.5546875" bestFit="1" customWidth="1"/>
    <col min="2" max="2" width="9.109375" bestFit="1" customWidth="1"/>
    <col min="3" max="3" width="23.109375" bestFit="1" customWidth="1"/>
    <col min="4" max="4" width="12.6640625" customWidth="1"/>
    <col min="5" max="5" width="9.88671875" bestFit="1" customWidth="1"/>
    <col min="6" max="6" width="18.109375" bestFit="1" customWidth="1"/>
    <col min="7" max="7" width="10.44140625" bestFit="1" customWidth="1"/>
    <col min="8" max="8" width="14.109375" bestFit="1" customWidth="1"/>
    <col min="9" max="9" width="13.6640625" bestFit="1" customWidth="1"/>
    <col min="10" max="10" width="11.6640625" bestFit="1" customWidth="1"/>
    <col min="11" max="11" width="14.44140625" bestFit="1" customWidth="1"/>
    <col min="12" max="12" width="255.6640625" bestFit="1" customWidth="1"/>
    <col min="13" max="13" width="9.5546875" bestFit="1" customWidth="1"/>
    <col min="14" max="14" width="14.6640625" bestFit="1" customWidth="1"/>
    <col min="15" max="15" width="9.5546875" bestFit="1" customWidth="1"/>
    <col min="16" max="16" width="11.6640625" bestFit="1" customWidth="1"/>
    <col min="17" max="17" width="10.33203125" bestFit="1" customWidth="1"/>
    <col min="18" max="18" width="20" bestFit="1" customWidth="1"/>
    <col min="19" max="19" width="13.44140625" bestFit="1" customWidth="1"/>
    <col min="20" max="20" width="15" bestFit="1" customWidth="1"/>
    <col min="21" max="21" width="17.33203125" bestFit="1" customWidth="1"/>
    <col min="22" max="22" width="30.33203125" bestFit="1" customWidth="1"/>
    <col min="23" max="23" width="25.33203125" bestFit="1" customWidth="1"/>
    <col min="24" max="24" width="8.88671875" bestFit="1" customWidth="1"/>
  </cols>
  <sheetData>
    <row r="1" spans="1:24" x14ac:dyDescent="0.3">
      <c r="A1" s="1" t="s">
        <v>0</v>
      </c>
      <c r="B1" s="1" t="s">
        <v>1</v>
      </c>
      <c r="C1" s="1" t="s">
        <v>2</v>
      </c>
      <c r="D1" s="1" t="s">
        <v>1376</v>
      </c>
      <c r="E1" s="1" t="s">
        <v>3</v>
      </c>
      <c r="F1" s="1" t="s">
        <v>1434</v>
      </c>
      <c r="G1" s="1" t="s">
        <v>29</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3">
      <c r="A2" t="s">
        <v>354</v>
      </c>
      <c r="B2" t="s">
        <v>1462</v>
      </c>
      <c r="C2" t="s">
        <v>22</v>
      </c>
      <c r="D2">
        <v>1.79</v>
      </c>
      <c r="E2" s="4">
        <v>1.76</v>
      </c>
      <c r="F2">
        <f t="shared" ref="F2:F4" si="0">(E2/D2-1)*100</f>
        <v>-1.6759776536312887</v>
      </c>
      <c r="G2">
        <v>1.43960893154144</v>
      </c>
      <c r="H2" s="4">
        <v>1.84</v>
      </c>
      <c r="I2" s="4">
        <v>1.105</v>
      </c>
      <c r="J2" t="s">
        <v>355</v>
      </c>
      <c r="K2" s="3">
        <v>1</v>
      </c>
      <c r="L2" t="s">
        <v>356</v>
      </c>
      <c r="M2" t="s">
        <v>1558</v>
      </c>
      <c r="N2" s="3">
        <v>7.8E-2</v>
      </c>
      <c r="O2" t="s">
        <v>1320</v>
      </c>
      <c r="P2" t="s">
        <v>1560</v>
      </c>
      <c r="Q2" t="s">
        <v>1436</v>
      </c>
      <c r="R2" s="3">
        <v>1.6639999999999999</v>
      </c>
      <c r="T2" t="s">
        <v>1437</v>
      </c>
      <c r="U2" s="3">
        <v>0.152</v>
      </c>
      <c r="V2" s="3">
        <v>3.3000000000000002E-2</v>
      </c>
      <c r="W2" s="3">
        <v>-0.14199999999999999</v>
      </c>
      <c r="X2" s="3">
        <v>8.6999999999999994E-2</v>
      </c>
    </row>
    <row r="3" spans="1:24" x14ac:dyDescent="0.3">
      <c r="A3" t="s">
        <v>379</v>
      </c>
      <c r="B3" t="s">
        <v>1467</v>
      </c>
      <c r="C3" t="s">
        <v>23</v>
      </c>
      <c r="D3">
        <v>2.66</v>
      </c>
      <c r="E3" s="4">
        <v>2.95</v>
      </c>
      <c r="F3">
        <f t="shared" si="0"/>
        <v>10.902255639097746</v>
      </c>
      <c r="G3">
        <v>2.6199998855590798</v>
      </c>
      <c r="H3" s="4">
        <v>3.13</v>
      </c>
      <c r="I3" s="4">
        <v>1.925</v>
      </c>
      <c r="J3" t="s">
        <v>363</v>
      </c>
      <c r="K3" s="3">
        <v>1</v>
      </c>
      <c r="L3" t="s">
        <v>1505</v>
      </c>
      <c r="M3" t="s">
        <v>1449</v>
      </c>
      <c r="N3" s="3">
        <v>6.0999999999999999E-2</v>
      </c>
      <c r="O3" t="s">
        <v>390</v>
      </c>
      <c r="P3" t="s">
        <v>1564</v>
      </c>
      <c r="Q3" t="s">
        <v>1450</v>
      </c>
      <c r="R3" s="3">
        <v>1.2809999999999999</v>
      </c>
      <c r="S3" s="3">
        <v>1.4E-2</v>
      </c>
      <c r="T3" t="s">
        <v>1451</v>
      </c>
      <c r="U3" s="3">
        <v>4.9000000000000002E-2</v>
      </c>
      <c r="V3" s="3">
        <v>8.1000000000000003E-2</v>
      </c>
      <c r="W3" s="3">
        <v>0.17199999999999999</v>
      </c>
      <c r="X3" s="3">
        <v>0.22900000000000001</v>
      </c>
    </row>
    <row r="4" spans="1:24" x14ac:dyDescent="0.3">
      <c r="E4" s="4"/>
      <c r="H4" s="4"/>
      <c r="I4" s="4"/>
      <c r="K4" s="3"/>
      <c r="N4" s="3"/>
      <c r="R4" s="3"/>
      <c r="S4" s="3"/>
      <c r="U4" s="3"/>
      <c r="V4" s="3"/>
      <c r="W4" s="3"/>
      <c r="X4" s="3"/>
    </row>
    <row r="7" spans="1:24" x14ac:dyDescent="0.3">
      <c r="B7" s="13"/>
      <c r="C7" s="13"/>
    </row>
    <row r="8" spans="1:24" x14ac:dyDescent="0.3">
      <c r="B8" s="13"/>
      <c r="C8" s="13"/>
    </row>
    <row r="9" spans="1:24" x14ac:dyDescent="0.3">
      <c r="B9" s="13"/>
      <c r="C9" s="13"/>
    </row>
    <row r="10" spans="1:24" x14ac:dyDescent="0.3">
      <c r="A10" s="13"/>
      <c r="B10" s="13"/>
      <c r="C10" s="13"/>
      <c r="D10" s="13"/>
      <c r="E10" s="13"/>
      <c r="F10" s="13"/>
      <c r="G10" s="13"/>
      <c r="H10" s="13"/>
      <c r="I10" s="13"/>
      <c r="J10" s="13"/>
      <c r="K10" s="13"/>
      <c r="L10" s="13"/>
    </row>
    <row r="11" spans="1:24" x14ac:dyDescent="0.3">
      <c r="A11" s="13"/>
      <c r="B11" s="13"/>
      <c r="C11" s="13"/>
      <c r="D11" s="13"/>
      <c r="E11" s="13"/>
      <c r="F11" s="13"/>
      <c r="G11" s="13"/>
      <c r="H11" s="13"/>
      <c r="I11" s="13"/>
      <c r="J11" s="13"/>
      <c r="K11" s="13"/>
      <c r="L11" s="13"/>
    </row>
    <row r="12" spans="1:24" x14ac:dyDescent="0.3">
      <c r="A12" s="13"/>
      <c r="B12" s="13"/>
      <c r="C12" s="13"/>
      <c r="D12" s="13"/>
      <c r="E12" s="13"/>
      <c r="F12" s="13"/>
      <c r="G12" s="13"/>
      <c r="H12" s="13"/>
      <c r="I12" s="13"/>
      <c r="J12" s="13"/>
      <c r="K12" s="13"/>
      <c r="L12" s="13"/>
    </row>
    <row r="13" spans="1:24" x14ac:dyDescent="0.3">
      <c r="A13" s="13"/>
      <c r="B13" s="13"/>
      <c r="C13" s="13"/>
      <c r="D13" s="13"/>
      <c r="E13" s="13"/>
      <c r="F13" s="13"/>
      <c r="G13" s="13"/>
      <c r="H13" s="13"/>
      <c r="I13" s="13"/>
      <c r="J13" s="13"/>
      <c r="K13" s="13"/>
      <c r="L13" s="13"/>
    </row>
    <row r="14" spans="1:24" x14ac:dyDescent="0.3">
      <c r="A14" s="13"/>
      <c r="B14" s="13"/>
      <c r="C14" s="13"/>
      <c r="D14" s="13"/>
      <c r="E14" s="13"/>
      <c r="F14" s="13"/>
      <c r="G14" s="13"/>
      <c r="H14" s="13"/>
      <c r="I14" s="13"/>
      <c r="J14" s="13"/>
      <c r="K14" s="13"/>
      <c r="L14" s="13"/>
    </row>
    <row r="15" spans="1:24" x14ac:dyDescent="0.3">
      <c r="A15" s="13"/>
      <c r="B15" s="13"/>
      <c r="C15" s="13"/>
      <c r="D15" s="13"/>
      <c r="E15" s="13"/>
      <c r="F15" s="13"/>
      <c r="G15" s="13"/>
      <c r="H15" s="13"/>
      <c r="I15" s="13"/>
      <c r="J15" s="13"/>
      <c r="K15" s="13"/>
      <c r="L15" s="13"/>
    </row>
    <row r="16" spans="1:24" x14ac:dyDescent="0.3">
      <c r="A16" s="13"/>
      <c r="B16" s="13"/>
      <c r="C16" s="13"/>
      <c r="D16" s="13"/>
      <c r="E16" s="13"/>
      <c r="F16" s="13"/>
      <c r="G16" s="13"/>
      <c r="H16" s="13"/>
      <c r="I16" s="13"/>
      <c r="J16" s="13"/>
      <c r="K16" s="13"/>
      <c r="L16" s="13"/>
    </row>
    <row r="17" spans="1:12" x14ac:dyDescent="0.3">
      <c r="A17" s="13"/>
      <c r="B17" s="13"/>
      <c r="C17" s="13"/>
      <c r="D17" s="13"/>
      <c r="E17" s="13"/>
      <c r="F17" s="13"/>
      <c r="G17" s="13"/>
      <c r="H17" s="13"/>
      <c r="I17" s="13"/>
      <c r="J17" s="13"/>
      <c r="K17" s="13"/>
      <c r="L17" s="13"/>
    </row>
    <row r="18" spans="1:12" x14ac:dyDescent="0.3">
      <c r="A18" s="13"/>
      <c r="B18" s="13"/>
      <c r="C18" s="13"/>
      <c r="D18" s="13"/>
      <c r="E18" s="13"/>
      <c r="F18" s="13"/>
      <c r="G18" s="13"/>
      <c r="H18" s="13"/>
      <c r="I18" s="13"/>
      <c r="J18" s="13"/>
      <c r="K18" s="13"/>
      <c r="L18" s="13"/>
    </row>
    <row r="19" spans="1:12" x14ac:dyDescent="0.3">
      <c r="A19" s="13"/>
      <c r="B19" s="13"/>
      <c r="C19" s="13"/>
      <c r="D19" s="13"/>
      <c r="E19" s="13"/>
      <c r="F19" s="13"/>
      <c r="G19" s="13"/>
      <c r="H19" s="13"/>
      <c r="I19" s="13"/>
      <c r="J19" s="13"/>
      <c r="K19" s="13"/>
      <c r="L19" s="13"/>
    </row>
    <row r="20" spans="1:12" x14ac:dyDescent="0.3">
      <c r="A20" s="13"/>
      <c r="B20" s="13"/>
      <c r="C20" s="13"/>
      <c r="D20" s="13"/>
      <c r="E20" s="13"/>
      <c r="F20" s="13"/>
      <c r="G20" s="13"/>
      <c r="H20" s="13"/>
      <c r="I20" s="13"/>
      <c r="J20" s="13"/>
      <c r="K20" s="13"/>
      <c r="L20" s="13"/>
    </row>
    <row r="21" spans="1:12" x14ac:dyDescent="0.3">
      <c r="A21" s="13"/>
      <c r="B21" s="13"/>
      <c r="C21" s="13"/>
      <c r="D21" s="13"/>
      <c r="E21" s="13"/>
      <c r="F21" s="13"/>
      <c r="G21" s="13"/>
      <c r="H21" s="13"/>
      <c r="I21" s="13"/>
      <c r="J21" s="13"/>
      <c r="K21" s="13"/>
      <c r="L21" s="13"/>
    </row>
    <row r="22" spans="1:12" x14ac:dyDescent="0.3">
      <c r="A22" s="13"/>
      <c r="B22" s="13"/>
      <c r="C22" s="13"/>
      <c r="D22" s="13"/>
      <c r="E22" s="13"/>
      <c r="F22" s="13"/>
      <c r="G22" s="13"/>
      <c r="H22" s="13"/>
      <c r="I22" s="13"/>
      <c r="J22" s="13"/>
      <c r="K22" s="13"/>
      <c r="L22" s="13"/>
    </row>
    <row r="23" spans="1:12" x14ac:dyDescent="0.3">
      <c r="A23" s="13"/>
      <c r="B23" s="13"/>
      <c r="C23" s="13"/>
      <c r="D23" s="13"/>
      <c r="E23" s="13"/>
      <c r="F23" s="13"/>
      <c r="G23" s="13"/>
      <c r="H23" s="13"/>
      <c r="I23" s="13"/>
      <c r="J23" s="13"/>
      <c r="K23" s="13"/>
      <c r="L23" s="13"/>
    </row>
    <row r="24" spans="1:12" x14ac:dyDescent="0.3">
      <c r="A24" s="13"/>
      <c r="B24" s="13"/>
      <c r="C24" s="13"/>
      <c r="D24" s="13"/>
      <c r="E24" s="13"/>
      <c r="F24" s="13"/>
      <c r="G24" s="13"/>
      <c r="H24" s="13"/>
      <c r="I24" s="13"/>
      <c r="J24" s="13"/>
      <c r="K24" s="13"/>
      <c r="L24" s="13"/>
    </row>
    <row r="25" spans="1:12" x14ac:dyDescent="0.3">
      <c r="A25" s="13"/>
      <c r="B25" s="13"/>
      <c r="C25" s="13"/>
      <c r="D25" s="13"/>
      <c r="E25" s="13"/>
      <c r="F25" s="13"/>
      <c r="G25" s="13"/>
      <c r="H25" s="13"/>
      <c r="I25" s="13"/>
      <c r="J25" s="13"/>
      <c r="K25" s="13"/>
      <c r="L25" s="13"/>
    </row>
    <row r="26" spans="1:12" x14ac:dyDescent="0.3">
      <c r="A26" s="13"/>
      <c r="B26" s="13"/>
      <c r="C26" s="13"/>
      <c r="D26" s="13"/>
      <c r="E26" s="13"/>
      <c r="F26" s="13"/>
      <c r="G26" s="13"/>
      <c r="H26" s="13"/>
      <c r="I26" s="13"/>
      <c r="J26" s="13"/>
      <c r="K26" s="13"/>
      <c r="L26" s="13"/>
    </row>
  </sheetData>
  <sortState xmlns:xlrd2="http://schemas.microsoft.com/office/spreadsheetml/2017/richdata2" ref="Z2:Z3">
    <sortCondition ref="Z2:Z3"/>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81"/>
  <sheetViews>
    <sheetView topLeftCell="J1" zoomScale="115" zoomScaleNormal="115" workbookViewId="0">
      <selection activeCell="AD6" sqref="AD6"/>
    </sheetView>
  </sheetViews>
  <sheetFormatPr defaultRowHeight="14.4" x14ac:dyDescent="0.3"/>
  <cols>
    <col min="1" max="1" width="11.5546875" bestFit="1" customWidth="1"/>
    <col min="2" max="2" width="9.33203125" bestFit="1" customWidth="1"/>
    <col min="3" max="3" width="23.6640625" customWidth="1"/>
    <col min="4" max="4" width="7.33203125" bestFit="1" customWidth="1"/>
    <col min="5" max="5" width="24" customWidth="1"/>
    <col min="6" max="6" width="18.5546875" bestFit="1" customWidth="1"/>
    <col min="7" max="7" width="78.44140625" bestFit="1" customWidth="1"/>
    <col min="8" max="8" width="65.88671875" bestFit="1" customWidth="1"/>
    <col min="9" max="9" width="23.109375" bestFit="1" customWidth="1"/>
    <col min="11" max="11" width="17.5546875" bestFit="1" customWidth="1"/>
    <col min="12" max="12" width="14.109375" bestFit="1" customWidth="1"/>
    <col min="25" max="25" width="9" customWidth="1"/>
  </cols>
  <sheetData>
    <row r="1" spans="1:28" x14ac:dyDescent="0.3">
      <c r="A1" s="1" t="s">
        <v>39</v>
      </c>
      <c r="B1" s="1" t="s">
        <v>1</v>
      </c>
      <c r="C1" s="1" t="s">
        <v>1376</v>
      </c>
      <c r="D1" s="1" t="s">
        <v>27</v>
      </c>
      <c r="E1" s="1" t="s">
        <v>28</v>
      </c>
      <c r="F1" s="1" t="s">
        <v>30</v>
      </c>
      <c r="G1" s="1" t="s">
        <v>31</v>
      </c>
      <c r="H1" s="1" t="s">
        <v>0</v>
      </c>
      <c r="I1" s="1" t="s">
        <v>2</v>
      </c>
      <c r="J1" s="1" t="s">
        <v>3</v>
      </c>
      <c r="K1" s="1" t="s">
        <v>1377</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3">
      <c r="A2" s="28">
        <v>46026</v>
      </c>
      <c r="B2" s="27" t="s">
        <v>131</v>
      </c>
      <c r="C2" s="4">
        <v>6.84</v>
      </c>
      <c r="D2" s="13" t="s">
        <v>1254</v>
      </c>
      <c r="E2" s="27" t="s">
        <v>1563</v>
      </c>
      <c r="F2" s="27" t="s">
        <v>1375</v>
      </c>
      <c r="G2" t="s">
        <v>1259</v>
      </c>
      <c r="H2" t="s">
        <v>395</v>
      </c>
      <c r="I2" t="s">
        <v>25</v>
      </c>
      <c r="J2" s="4">
        <v>6.84</v>
      </c>
      <c r="K2" s="13">
        <f t="shared" ref="K2:K19" si="0">(J2/C2-1)*100</f>
        <v>0</v>
      </c>
      <c r="L2" s="4">
        <v>7.5</v>
      </c>
      <c r="M2" s="4">
        <v>4.54</v>
      </c>
      <c r="N2" t="s">
        <v>1416</v>
      </c>
      <c r="O2" s="3">
        <v>0.1</v>
      </c>
      <c r="P2" t="s">
        <v>1562</v>
      </c>
      <c r="Q2" t="s">
        <v>1425</v>
      </c>
      <c r="R2" s="3">
        <v>0.04</v>
      </c>
      <c r="S2" t="s">
        <v>1263</v>
      </c>
      <c r="T2" t="s">
        <v>1264</v>
      </c>
      <c r="U2" t="s">
        <v>1426</v>
      </c>
      <c r="V2" s="3">
        <v>1.5549999999999999</v>
      </c>
      <c r="W2" s="3">
        <v>8.9999999999999993E-3</v>
      </c>
      <c r="X2" t="s">
        <v>1427</v>
      </c>
      <c r="Y2" s="3">
        <v>0.152</v>
      </c>
      <c r="Z2" s="3">
        <v>8.6999999999999994E-2</v>
      </c>
      <c r="AA2" s="3">
        <v>0.221</v>
      </c>
      <c r="AB2" s="3">
        <v>0.248</v>
      </c>
    </row>
    <row r="3" spans="1:28" x14ac:dyDescent="0.3">
      <c r="A3" s="12">
        <v>46013</v>
      </c>
      <c r="B3" s="13" t="s">
        <v>1471</v>
      </c>
      <c r="C3" s="13">
        <v>6.05</v>
      </c>
      <c r="D3" s="13" t="s">
        <v>1254</v>
      </c>
      <c r="E3" t="s">
        <v>1260</v>
      </c>
      <c r="F3" s="13" t="s">
        <v>1375</v>
      </c>
      <c r="G3" t="s">
        <v>1259</v>
      </c>
      <c r="H3" t="s">
        <v>1478</v>
      </c>
      <c r="I3" t="s">
        <v>21</v>
      </c>
      <c r="J3" s="4">
        <v>6.05</v>
      </c>
      <c r="K3" s="13">
        <f t="shared" si="0"/>
        <v>0</v>
      </c>
      <c r="L3" s="4">
        <v>6.98</v>
      </c>
      <c r="M3" s="4">
        <v>2.31</v>
      </c>
      <c r="N3" t="s">
        <v>1359</v>
      </c>
      <c r="O3" s="3">
        <v>1</v>
      </c>
      <c r="P3" t="s">
        <v>1479</v>
      </c>
      <c r="Q3" t="s">
        <v>1480</v>
      </c>
      <c r="R3" s="3">
        <v>6.0000000000000001E-3</v>
      </c>
      <c r="S3" t="s">
        <v>378</v>
      </c>
      <c r="T3" t="s">
        <v>1425</v>
      </c>
      <c r="U3" t="s">
        <v>1481</v>
      </c>
      <c r="V3" s="3">
        <v>0.32400000000000001</v>
      </c>
      <c r="W3" s="3">
        <v>1.2E-2</v>
      </c>
      <c r="X3" t="s">
        <v>1482</v>
      </c>
      <c r="Y3" s="3">
        <v>4.7E-2</v>
      </c>
      <c r="Z3" s="3">
        <v>0.185</v>
      </c>
      <c r="AA3" s="3">
        <v>0.32300000000000001</v>
      </c>
      <c r="AB3" s="3">
        <v>0.252</v>
      </c>
    </row>
    <row r="4" spans="1:28" x14ac:dyDescent="0.3">
      <c r="A4" s="12">
        <v>46006</v>
      </c>
      <c r="B4" t="s">
        <v>115</v>
      </c>
      <c r="C4" s="13">
        <v>3.9</v>
      </c>
      <c r="D4" s="13" t="s">
        <v>1254</v>
      </c>
      <c r="E4" t="s">
        <v>1260</v>
      </c>
      <c r="F4" s="13" t="s">
        <v>1375</v>
      </c>
      <c r="G4" t="s">
        <v>1259</v>
      </c>
      <c r="H4" t="s">
        <v>346</v>
      </c>
      <c r="I4" t="s">
        <v>347</v>
      </c>
      <c r="J4" s="13">
        <v>3.9</v>
      </c>
      <c r="K4" s="13">
        <f t="shared" si="0"/>
        <v>0</v>
      </c>
      <c r="L4" s="4">
        <v>4.7</v>
      </c>
      <c r="M4" s="4">
        <v>1.56</v>
      </c>
      <c r="N4" t="s">
        <v>1244</v>
      </c>
      <c r="O4" s="3">
        <v>1</v>
      </c>
      <c r="P4" t="s">
        <v>1435</v>
      </c>
      <c r="Q4" t="s">
        <v>1410</v>
      </c>
      <c r="R4" s="3">
        <v>0.02</v>
      </c>
      <c r="S4" t="s">
        <v>391</v>
      </c>
      <c r="T4" t="s">
        <v>1559</v>
      </c>
      <c r="U4" t="s">
        <v>1411</v>
      </c>
      <c r="V4" s="3">
        <v>2.2029999999999998</v>
      </c>
      <c r="W4" s="3">
        <v>8.0000000000000002E-3</v>
      </c>
      <c r="X4" t="s">
        <v>1412</v>
      </c>
      <c r="Y4" s="3">
        <v>1.0999999999999999E-2</v>
      </c>
      <c r="Z4" s="3">
        <v>0.152</v>
      </c>
      <c r="AA4" s="3">
        <v>-0.15</v>
      </c>
      <c r="AB4" s="3">
        <v>6.6000000000000003E-2</v>
      </c>
    </row>
    <row r="5" spans="1:28" x14ac:dyDescent="0.3">
      <c r="A5" s="12">
        <v>46006</v>
      </c>
      <c r="B5" t="s">
        <v>129</v>
      </c>
      <c r="C5" s="13">
        <v>2.1800000000000002</v>
      </c>
      <c r="D5" s="13" t="s">
        <v>1254</v>
      </c>
      <c r="E5" t="s">
        <v>1260</v>
      </c>
      <c r="F5" s="13" t="s">
        <v>1375</v>
      </c>
      <c r="G5" t="s">
        <v>1259</v>
      </c>
      <c r="H5" t="s">
        <v>389</v>
      </c>
      <c r="I5" t="s">
        <v>22</v>
      </c>
      <c r="J5" s="13">
        <v>2.1800000000000002</v>
      </c>
      <c r="K5" s="13">
        <f t="shared" si="0"/>
        <v>0</v>
      </c>
      <c r="L5" s="4">
        <v>2.58</v>
      </c>
      <c r="M5" s="4">
        <v>1.135</v>
      </c>
      <c r="N5" t="s">
        <v>1265</v>
      </c>
      <c r="O5" s="3">
        <v>1</v>
      </c>
      <c r="P5" t="s">
        <v>1538</v>
      </c>
      <c r="Q5" t="s">
        <v>1423</v>
      </c>
      <c r="R5" s="3">
        <v>0.06</v>
      </c>
      <c r="S5" t="s">
        <v>1266</v>
      </c>
      <c r="T5" t="s">
        <v>1361</v>
      </c>
      <c r="U5" t="s">
        <v>1424</v>
      </c>
      <c r="V5" s="3">
        <v>20.748999999999999</v>
      </c>
      <c r="X5" t="s">
        <v>392</v>
      </c>
      <c r="Y5" s="3">
        <v>6.6000000000000003E-2</v>
      </c>
      <c r="Z5" s="3">
        <v>0.27</v>
      </c>
      <c r="AA5" s="3">
        <v>-0.10299999999999999</v>
      </c>
      <c r="AB5" s="3">
        <v>0.121</v>
      </c>
    </row>
    <row r="6" spans="1:28" x14ac:dyDescent="0.3">
      <c r="A6" s="12">
        <v>45999</v>
      </c>
      <c r="B6" s="13" t="s">
        <v>114</v>
      </c>
      <c r="C6" s="13">
        <v>4.8</v>
      </c>
      <c r="D6" s="13" t="s">
        <v>1254</v>
      </c>
      <c r="E6" t="s">
        <v>1260</v>
      </c>
      <c r="F6" s="13" t="s">
        <v>1375</v>
      </c>
      <c r="G6" t="s">
        <v>1259</v>
      </c>
      <c r="H6" t="s">
        <v>341</v>
      </c>
      <c r="I6" t="s">
        <v>342</v>
      </c>
      <c r="J6" s="4">
        <v>4.8</v>
      </c>
      <c r="K6" s="13">
        <f t="shared" si="0"/>
        <v>0</v>
      </c>
      <c r="L6" s="4">
        <v>6.61</v>
      </c>
      <c r="M6" s="4">
        <v>1.48</v>
      </c>
      <c r="N6" t="s">
        <v>1554</v>
      </c>
      <c r="P6" t="s">
        <v>343</v>
      </c>
      <c r="Q6" t="s">
        <v>1496</v>
      </c>
      <c r="R6" s="3">
        <v>0</v>
      </c>
      <c r="S6" t="s">
        <v>1555</v>
      </c>
      <c r="T6" t="s">
        <v>1556</v>
      </c>
      <c r="U6" t="s">
        <v>1497</v>
      </c>
      <c r="V6" s="3">
        <v>0.154</v>
      </c>
      <c r="W6" s="3">
        <v>0.02</v>
      </c>
      <c r="X6" t="s">
        <v>1498</v>
      </c>
      <c r="Y6" s="3">
        <v>0.159</v>
      </c>
      <c r="Z6" s="3">
        <v>0.69399999999999995</v>
      </c>
      <c r="AB6" s="3">
        <v>0.123</v>
      </c>
    </row>
    <row r="7" spans="1:28" x14ac:dyDescent="0.3">
      <c r="A7" s="12">
        <v>45999</v>
      </c>
      <c r="B7" s="13" t="s">
        <v>130</v>
      </c>
      <c r="C7" s="13">
        <v>0.51</v>
      </c>
      <c r="D7" s="13" t="s">
        <v>1254</v>
      </c>
      <c r="E7" t="s">
        <v>1261</v>
      </c>
      <c r="F7" s="13" t="s">
        <v>1375</v>
      </c>
      <c r="G7" t="s">
        <v>1259</v>
      </c>
      <c r="H7" t="s">
        <v>393</v>
      </c>
      <c r="I7" t="s">
        <v>21</v>
      </c>
      <c r="J7" s="4">
        <v>0.51</v>
      </c>
      <c r="K7" s="13">
        <f t="shared" si="0"/>
        <v>0</v>
      </c>
      <c r="L7" s="4">
        <v>0.56999999999999995</v>
      </c>
      <c r="M7" s="4">
        <v>0.48499999999999999</v>
      </c>
      <c r="N7" t="s">
        <v>1549</v>
      </c>
      <c r="O7" s="3">
        <v>0</v>
      </c>
      <c r="P7" t="s">
        <v>394</v>
      </c>
      <c r="Q7" t="s">
        <v>1457</v>
      </c>
      <c r="R7" s="3">
        <v>3.6999999999999998E-2</v>
      </c>
      <c r="S7" t="s">
        <v>391</v>
      </c>
      <c r="T7" t="s">
        <v>1557</v>
      </c>
      <c r="U7" t="s">
        <v>1458</v>
      </c>
      <c r="V7" s="3">
        <v>1.458</v>
      </c>
      <c r="W7" s="3">
        <v>6.0000000000000001E-3</v>
      </c>
      <c r="X7" t="s">
        <v>1459</v>
      </c>
      <c r="Y7" s="3">
        <v>1.9E-2</v>
      </c>
      <c r="Z7" s="3">
        <v>0.35199999999999998</v>
      </c>
      <c r="AB7" s="3">
        <v>6.4000000000000001E-2</v>
      </c>
    </row>
    <row r="8" spans="1:28" x14ac:dyDescent="0.3">
      <c r="A8" s="12">
        <v>45985</v>
      </c>
      <c r="B8" t="s">
        <v>1463</v>
      </c>
      <c r="C8" s="4">
        <v>0.67</v>
      </c>
      <c r="D8" s="13" t="s">
        <v>1254</v>
      </c>
      <c r="E8" t="s">
        <v>1260</v>
      </c>
      <c r="F8" s="13" t="s">
        <v>1375</v>
      </c>
      <c r="G8" t="s">
        <v>1259</v>
      </c>
      <c r="H8" t="s">
        <v>1401</v>
      </c>
      <c r="I8" t="s">
        <v>358</v>
      </c>
      <c r="J8" s="4">
        <v>0.67</v>
      </c>
      <c r="K8" s="13">
        <f t="shared" si="0"/>
        <v>0</v>
      </c>
      <c r="L8" s="4">
        <v>0.81499999999999995</v>
      </c>
      <c r="M8" s="4">
        <v>0.35</v>
      </c>
      <c r="N8" t="s">
        <v>1243</v>
      </c>
      <c r="P8" t="s">
        <v>1402</v>
      </c>
      <c r="R8" s="3">
        <v>0</v>
      </c>
      <c r="S8" t="s">
        <v>1550</v>
      </c>
      <c r="U8" t="s">
        <v>1403</v>
      </c>
      <c r="V8" s="3">
        <v>6.9000000000000006E-2</v>
      </c>
      <c r="W8" s="3">
        <v>6.6000000000000003E-2</v>
      </c>
      <c r="X8" t="s">
        <v>1404</v>
      </c>
      <c r="Y8" s="3">
        <v>-4.4999999999999998E-2</v>
      </c>
      <c r="Z8" s="3">
        <v>0.28799999999999998</v>
      </c>
      <c r="AB8" s="3">
        <v>-4.1000000000000002E-2</v>
      </c>
    </row>
    <row r="9" spans="1:28" x14ac:dyDescent="0.3">
      <c r="A9" s="12">
        <v>45985</v>
      </c>
      <c r="B9" t="s">
        <v>1466</v>
      </c>
      <c r="C9" s="4">
        <v>3.93</v>
      </c>
      <c r="D9" s="13" t="s">
        <v>1254</v>
      </c>
      <c r="E9" t="s">
        <v>1260</v>
      </c>
      <c r="F9" s="13" t="s">
        <v>1375</v>
      </c>
      <c r="G9" t="s">
        <v>1259</v>
      </c>
      <c r="H9" t="s">
        <v>376</v>
      </c>
      <c r="I9" t="s">
        <v>342</v>
      </c>
      <c r="J9" s="4">
        <v>3.93</v>
      </c>
      <c r="K9" s="13">
        <f t="shared" si="0"/>
        <v>0</v>
      </c>
      <c r="L9" s="4">
        <v>4.8</v>
      </c>
      <c r="M9" s="4">
        <v>1.2150000000000001</v>
      </c>
      <c r="N9" t="s">
        <v>1265</v>
      </c>
      <c r="P9" t="s">
        <v>377</v>
      </c>
      <c r="Q9" t="s">
        <v>1503</v>
      </c>
      <c r="R9" s="3">
        <v>0</v>
      </c>
      <c r="S9" t="s">
        <v>1551</v>
      </c>
      <c r="T9" t="s">
        <v>1552</v>
      </c>
      <c r="U9" t="s">
        <v>1504</v>
      </c>
      <c r="V9" s="3">
        <v>0.36599999999999999</v>
      </c>
      <c r="W9" s="3">
        <v>1.2999999999999999E-2</v>
      </c>
      <c r="X9" t="s">
        <v>1448</v>
      </c>
      <c r="Y9" s="3">
        <v>8.6999999999999994E-2</v>
      </c>
      <c r="AB9" s="3">
        <v>0.104</v>
      </c>
    </row>
    <row r="10" spans="1:28" x14ac:dyDescent="0.3">
      <c r="A10" s="12">
        <v>45971</v>
      </c>
      <c r="B10" s="13" t="s">
        <v>1470</v>
      </c>
      <c r="C10">
        <v>3.45</v>
      </c>
      <c r="D10" s="13" t="s">
        <v>1254</v>
      </c>
      <c r="E10" t="s">
        <v>1260</v>
      </c>
      <c r="F10" s="13" t="s">
        <v>1375</v>
      </c>
      <c r="G10" t="s">
        <v>1259</v>
      </c>
      <c r="H10" t="s">
        <v>1472</v>
      </c>
      <c r="I10" t="s">
        <v>21</v>
      </c>
      <c r="J10" s="4">
        <v>3.45</v>
      </c>
      <c r="K10" s="13">
        <f t="shared" si="0"/>
        <v>0</v>
      </c>
      <c r="L10" s="4">
        <v>4.4800000000000004</v>
      </c>
      <c r="M10" s="4">
        <v>1.365</v>
      </c>
      <c r="N10" t="s">
        <v>348</v>
      </c>
      <c r="O10" s="3">
        <v>1</v>
      </c>
      <c r="P10" t="s">
        <v>1474</v>
      </c>
      <c r="Q10" t="s">
        <v>1475</v>
      </c>
      <c r="R10" s="3">
        <v>1.7000000000000001E-2</v>
      </c>
      <c r="S10" t="s">
        <v>378</v>
      </c>
      <c r="T10" t="s">
        <v>1539</v>
      </c>
      <c r="U10" t="s">
        <v>1476</v>
      </c>
      <c r="V10" s="3">
        <v>0.34499999999999997</v>
      </c>
      <c r="W10" s="3">
        <v>1.2E-2</v>
      </c>
      <c r="X10" t="s">
        <v>1477</v>
      </c>
      <c r="Y10" s="3">
        <v>5.2999999999999999E-2</v>
      </c>
      <c r="Z10" s="3">
        <v>0.57399999999999995</v>
      </c>
      <c r="AA10" s="3">
        <v>0.64600000000000002</v>
      </c>
      <c r="AB10" s="3">
        <v>0.76800000000000002</v>
      </c>
    </row>
    <row r="11" spans="1:28" x14ac:dyDescent="0.3">
      <c r="A11" s="12">
        <v>45971</v>
      </c>
      <c r="B11" s="13" t="s">
        <v>227</v>
      </c>
      <c r="C11">
        <v>3.97</v>
      </c>
      <c r="D11" s="13" t="s">
        <v>1254</v>
      </c>
      <c r="E11" t="s">
        <v>1260</v>
      </c>
      <c r="F11" s="13" t="s">
        <v>1375</v>
      </c>
      <c r="G11" t="s">
        <v>1259</v>
      </c>
      <c r="H11" t="s">
        <v>807</v>
      </c>
      <c r="I11" t="s">
        <v>1267</v>
      </c>
      <c r="J11" s="4">
        <v>3.97</v>
      </c>
      <c r="K11" s="13">
        <f t="shared" si="0"/>
        <v>0</v>
      </c>
      <c r="L11" s="4">
        <v>5.65</v>
      </c>
      <c r="M11" s="4">
        <v>1.38</v>
      </c>
      <c r="N11" t="s">
        <v>1244</v>
      </c>
      <c r="P11" t="s">
        <v>1525</v>
      </c>
      <c r="R11" s="3">
        <v>0</v>
      </c>
      <c r="S11" t="s">
        <v>1540</v>
      </c>
      <c r="U11" t="s">
        <v>1483</v>
      </c>
      <c r="V11" s="3">
        <v>6.0000000000000001E-3</v>
      </c>
      <c r="W11" s="3">
        <v>0.14299999999999999</v>
      </c>
      <c r="X11" t="s">
        <v>1484</v>
      </c>
      <c r="Y11" s="3">
        <v>-8.7050000000000001</v>
      </c>
      <c r="AB11" s="3">
        <v>-0.505</v>
      </c>
    </row>
    <row r="12" spans="1:28" x14ac:dyDescent="0.3">
      <c r="A12" s="12">
        <v>45971</v>
      </c>
      <c r="B12" s="13" t="s">
        <v>1406</v>
      </c>
      <c r="C12">
        <v>5.0599999999999996</v>
      </c>
      <c r="D12" s="13" t="s">
        <v>1254</v>
      </c>
      <c r="E12" t="s">
        <v>1260</v>
      </c>
      <c r="F12" s="13" t="s">
        <v>1375</v>
      </c>
      <c r="G12" t="s">
        <v>1259</v>
      </c>
      <c r="H12" t="s">
        <v>1407</v>
      </c>
      <c r="I12" t="s">
        <v>21</v>
      </c>
      <c r="J12" s="4">
        <v>5.0599999999999996</v>
      </c>
      <c r="K12" s="13">
        <f t="shared" si="0"/>
        <v>0</v>
      </c>
      <c r="L12" s="4">
        <v>10.42</v>
      </c>
      <c r="M12" s="4">
        <v>0.995</v>
      </c>
      <c r="N12" t="s">
        <v>1265</v>
      </c>
      <c r="P12" t="s">
        <v>1408</v>
      </c>
      <c r="R12" s="3">
        <v>0</v>
      </c>
      <c r="S12" t="s">
        <v>1532</v>
      </c>
      <c r="U12" t="s">
        <v>1430</v>
      </c>
      <c r="V12" s="3">
        <v>5.6000000000000001E-2</v>
      </c>
      <c r="W12" s="3">
        <v>4.3999999999999997E-2</v>
      </c>
      <c r="X12" t="s">
        <v>1409</v>
      </c>
      <c r="Y12" s="3">
        <v>-0.98</v>
      </c>
      <c r="Z12" s="3">
        <v>-0.06</v>
      </c>
      <c r="AB12" s="3">
        <v>-0.29399999999999998</v>
      </c>
    </row>
    <row r="13" spans="1:28" x14ac:dyDescent="0.3">
      <c r="A13" s="12">
        <v>45971</v>
      </c>
      <c r="B13" s="13" t="s">
        <v>1507</v>
      </c>
      <c r="C13">
        <v>0.39</v>
      </c>
      <c r="D13" s="13" t="s">
        <v>1254</v>
      </c>
      <c r="E13" t="s">
        <v>1260</v>
      </c>
      <c r="F13" s="13" t="s">
        <v>1375</v>
      </c>
      <c r="G13" t="s">
        <v>1259</v>
      </c>
      <c r="H13" t="s">
        <v>1509</v>
      </c>
      <c r="I13" t="s">
        <v>342</v>
      </c>
      <c r="J13" s="4">
        <v>0.39</v>
      </c>
      <c r="K13" s="13">
        <f t="shared" si="0"/>
        <v>0</v>
      </c>
      <c r="L13" s="4">
        <v>0.61499999999999999</v>
      </c>
      <c r="M13" s="4">
        <v>0.13500000000000001</v>
      </c>
      <c r="N13" t="s">
        <v>348</v>
      </c>
      <c r="P13" t="s">
        <v>1526</v>
      </c>
      <c r="Q13" t="s">
        <v>1511</v>
      </c>
      <c r="R13" s="3">
        <v>0</v>
      </c>
      <c r="S13" t="s">
        <v>1331</v>
      </c>
      <c r="T13" t="s">
        <v>1541</v>
      </c>
      <c r="U13" t="s">
        <v>1513</v>
      </c>
      <c r="V13" s="3">
        <v>0.17399999999999999</v>
      </c>
      <c r="W13" s="3">
        <v>8.9999999999999993E-3</v>
      </c>
      <c r="X13" t="s">
        <v>1514</v>
      </c>
      <c r="Y13" s="3">
        <v>7.8E-2</v>
      </c>
      <c r="Z13" s="3">
        <v>0.14299999999999999</v>
      </c>
      <c r="AA13" s="3">
        <v>0.57599999999999996</v>
      </c>
      <c r="AB13" s="3">
        <v>0.153</v>
      </c>
    </row>
    <row r="14" spans="1:28" x14ac:dyDescent="0.3">
      <c r="A14" s="12">
        <v>45971</v>
      </c>
      <c r="B14" s="13" t="s">
        <v>120</v>
      </c>
      <c r="C14">
        <v>2.27</v>
      </c>
      <c r="D14" s="13" t="s">
        <v>1254</v>
      </c>
      <c r="E14" t="s">
        <v>1260</v>
      </c>
      <c r="F14" s="13" t="s">
        <v>1375</v>
      </c>
      <c r="G14" t="s">
        <v>1259</v>
      </c>
      <c r="H14" t="s">
        <v>362</v>
      </c>
      <c r="I14" t="s">
        <v>22</v>
      </c>
      <c r="J14" s="4">
        <v>2.27</v>
      </c>
      <c r="K14" s="13">
        <f t="shared" si="0"/>
        <v>0</v>
      </c>
      <c r="L14" s="4">
        <v>2.86</v>
      </c>
      <c r="M14" s="4">
        <v>1.395</v>
      </c>
      <c r="N14" t="s">
        <v>1242</v>
      </c>
      <c r="O14" s="3">
        <v>1</v>
      </c>
      <c r="P14" t="s">
        <v>1542</v>
      </c>
      <c r="Q14" t="s">
        <v>1438</v>
      </c>
      <c r="R14" s="3">
        <v>0.04</v>
      </c>
      <c r="S14" t="s">
        <v>1266</v>
      </c>
      <c r="T14" t="s">
        <v>1543</v>
      </c>
      <c r="U14" t="s">
        <v>1439</v>
      </c>
      <c r="V14" s="3">
        <v>25.291</v>
      </c>
      <c r="X14" t="s">
        <v>1440</v>
      </c>
      <c r="Y14" s="3">
        <v>3.6999999999999998E-2</v>
      </c>
      <c r="Z14" s="3">
        <v>0.03</v>
      </c>
      <c r="AA14" s="3">
        <v>-3.6999999999999998E-2</v>
      </c>
      <c r="AB14" s="3">
        <v>0.16800000000000001</v>
      </c>
    </row>
    <row r="15" spans="1:28" x14ac:dyDescent="0.3">
      <c r="A15" s="12">
        <v>45971</v>
      </c>
      <c r="B15" s="13" t="s">
        <v>1489</v>
      </c>
      <c r="C15">
        <v>0.41</v>
      </c>
      <c r="D15" s="13" t="s">
        <v>1254</v>
      </c>
      <c r="E15" t="s">
        <v>1260</v>
      </c>
      <c r="F15" s="13" t="s">
        <v>1375</v>
      </c>
      <c r="G15" t="s">
        <v>1259</v>
      </c>
      <c r="H15" t="s">
        <v>1491</v>
      </c>
      <c r="I15" t="s">
        <v>342</v>
      </c>
      <c r="J15" s="4">
        <v>0.41</v>
      </c>
      <c r="K15" s="13">
        <f t="shared" si="0"/>
        <v>0</v>
      </c>
      <c r="L15" s="4">
        <v>0.55000000000000004</v>
      </c>
      <c r="M15" s="4">
        <v>0.105</v>
      </c>
      <c r="N15" t="s">
        <v>1242</v>
      </c>
      <c r="O15" s="3">
        <v>1</v>
      </c>
      <c r="P15" t="s">
        <v>1493</v>
      </c>
      <c r="R15" s="3">
        <v>0</v>
      </c>
      <c r="S15" t="s">
        <v>1544</v>
      </c>
      <c r="U15" t="s">
        <v>1494</v>
      </c>
      <c r="V15" s="3">
        <v>0.54400000000000004</v>
      </c>
      <c r="W15" s="3">
        <v>1.7999999999999999E-2</v>
      </c>
      <c r="X15" t="s">
        <v>1495</v>
      </c>
      <c r="Y15" s="3">
        <v>-5.7000000000000002E-2</v>
      </c>
      <c r="Z15" s="3">
        <v>-2.8000000000000001E-2</v>
      </c>
      <c r="AB15" s="3">
        <v>-8.5999999999999993E-2</v>
      </c>
    </row>
    <row r="16" spans="1:28" x14ac:dyDescent="0.3">
      <c r="A16" s="12">
        <v>45971</v>
      </c>
      <c r="B16" s="13" t="s">
        <v>122</v>
      </c>
      <c r="C16">
        <v>3.35</v>
      </c>
      <c r="D16" s="13" t="s">
        <v>1254</v>
      </c>
      <c r="E16" t="s">
        <v>1260</v>
      </c>
      <c r="F16" s="13" t="s">
        <v>1375</v>
      </c>
      <c r="G16" t="s">
        <v>1259</v>
      </c>
      <c r="H16" t="s">
        <v>366</v>
      </c>
      <c r="I16" t="s">
        <v>342</v>
      </c>
      <c r="J16" s="4">
        <v>3.35</v>
      </c>
      <c r="K16" s="13">
        <f t="shared" si="0"/>
        <v>0</v>
      </c>
      <c r="L16" s="4">
        <v>5.19</v>
      </c>
      <c r="M16" s="4">
        <v>1.895</v>
      </c>
      <c r="N16" t="s">
        <v>1359</v>
      </c>
      <c r="P16" t="s">
        <v>367</v>
      </c>
      <c r="Q16" t="s">
        <v>1499</v>
      </c>
      <c r="R16" s="3">
        <v>0</v>
      </c>
      <c r="S16" t="s">
        <v>1275</v>
      </c>
      <c r="U16" t="s">
        <v>1500</v>
      </c>
      <c r="V16" s="3">
        <v>0.251</v>
      </c>
      <c r="W16" s="3">
        <v>2.5999999999999999E-2</v>
      </c>
      <c r="X16" t="s">
        <v>1501</v>
      </c>
      <c r="Y16" s="3">
        <v>0.315</v>
      </c>
      <c r="Z16" s="3">
        <v>2.7029999999999998</v>
      </c>
      <c r="AB16" s="3">
        <v>0.14799999999999999</v>
      </c>
    </row>
    <row r="17" spans="1:28" x14ac:dyDescent="0.3">
      <c r="A17" s="12">
        <v>45971</v>
      </c>
      <c r="B17" s="13" t="s">
        <v>1508</v>
      </c>
      <c r="C17">
        <v>3.06</v>
      </c>
      <c r="D17" s="13" t="s">
        <v>1254</v>
      </c>
      <c r="E17" t="s">
        <v>1260</v>
      </c>
      <c r="F17" s="13" t="s">
        <v>1375</v>
      </c>
      <c r="G17" t="s">
        <v>1259</v>
      </c>
      <c r="H17" t="s">
        <v>1510</v>
      </c>
      <c r="I17" t="s">
        <v>358</v>
      </c>
      <c r="J17" s="4">
        <v>3.06</v>
      </c>
      <c r="K17" s="13">
        <f t="shared" si="0"/>
        <v>0</v>
      </c>
      <c r="L17" s="4">
        <v>4.9000000000000004</v>
      </c>
      <c r="M17" s="4">
        <v>0.92</v>
      </c>
      <c r="N17" t="s">
        <v>363</v>
      </c>
      <c r="P17" t="s">
        <v>1516</v>
      </c>
      <c r="R17" s="3">
        <v>0</v>
      </c>
      <c r="S17" t="s">
        <v>1545</v>
      </c>
      <c r="U17" t="s">
        <v>1517</v>
      </c>
      <c r="V17" s="3">
        <v>0</v>
      </c>
      <c r="W17" s="3">
        <v>0.10299999999999999</v>
      </c>
      <c r="X17" t="s">
        <v>1518</v>
      </c>
      <c r="Y17" s="3">
        <v>-6.0720000000000001</v>
      </c>
      <c r="Z17" s="3">
        <v>1.4450000000000001</v>
      </c>
      <c r="AB17" s="3">
        <v>-0.27900000000000003</v>
      </c>
    </row>
    <row r="18" spans="1:28" x14ac:dyDescent="0.3">
      <c r="A18" s="12">
        <v>45971</v>
      </c>
      <c r="B18" s="13" t="s">
        <v>330</v>
      </c>
      <c r="C18">
        <v>0.92</v>
      </c>
      <c r="D18" s="13" t="s">
        <v>1254</v>
      </c>
      <c r="E18" t="s">
        <v>1260</v>
      </c>
      <c r="F18" s="13" t="s">
        <v>1375</v>
      </c>
      <c r="G18" t="s">
        <v>1259</v>
      </c>
      <c r="H18" t="s">
        <v>1121</v>
      </c>
      <c r="I18" t="s">
        <v>342</v>
      </c>
      <c r="J18" s="4">
        <v>0.92</v>
      </c>
      <c r="K18" s="13">
        <f t="shared" si="0"/>
        <v>0</v>
      </c>
      <c r="L18" s="4">
        <v>2.5299999999999998</v>
      </c>
      <c r="M18" s="4">
        <v>0.3</v>
      </c>
      <c r="N18" t="s">
        <v>348</v>
      </c>
      <c r="P18" t="s">
        <v>1522</v>
      </c>
      <c r="R18" s="3">
        <v>0</v>
      </c>
      <c r="S18" t="s">
        <v>1546</v>
      </c>
      <c r="U18" t="s">
        <v>1523</v>
      </c>
      <c r="V18" s="3">
        <v>1E-3</v>
      </c>
      <c r="W18" s="3">
        <v>2.9000000000000001E-2</v>
      </c>
      <c r="X18" t="s">
        <v>1523</v>
      </c>
      <c r="Y18" s="3">
        <v>-4.4260000000000002</v>
      </c>
      <c r="Z18" s="3">
        <v>-5.3999999999999999E-2</v>
      </c>
      <c r="AB18" s="3">
        <v>-0.17499999999999999</v>
      </c>
    </row>
    <row r="19" spans="1:28" x14ac:dyDescent="0.3">
      <c r="A19" s="12">
        <v>45971</v>
      </c>
      <c r="B19" s="13" t="s">
        <v>96</v>
      </c>
      <c r="C19">
        <v>2.77</v>
      </c>
      <c r="D19" s="13" t="s">
        <v>1254</v>
      </c>
      <c r="E19" t="s">
        <v>1260</v>
      </c>
      <c r="F19" s="13" t="s">
        <v>1375</v>
      </c>
      <c r="G19" t="s">
        <v>1259</v>
      </c>
      <c r="H19" t="s">
        <v>384</v>
      </c>
      <c r="I19" t="s">
        <v>347</v>
      </c>
      <c r="J19" s="4">
        <v>2.77</v>
      </c>
      <c r="K19" s="13">
        <f t="shared" si="0"/>
        <v>0</v>
      </c>
      <c r="L19" s="4">
        <v>3.26</v>
      </c>
      <c r="M19" s="4">
        <v>1.615</v>
      </c>
      <c r="N19" t="s">
        <v>355</v>
      </c>
      <c r="O19" s="3">
        <v>1</v>
      </c>
      <c r="P19" t="s">
        <v>385</v>
      </c>
      <c r="Q19" t="s">
        <v>1452</v>
      </c>
      <c r="R19" s="3">
        <v>0.09</v>
      </c>
      <c r="S19" t="s">
        <v>390</v>
      </c>
      <c r="T19" t="s">
        <v>1547</v>
      </c>
      <c r="U19" t="s">
        <v>1453</v>
      </c>
      <c r="V19" s="3">
        <v>0.104</v>
      </c>
      <c r="W19" s="3">
        <v>0.02</v>
      </c>
      <c r="X19" t="s">
        <v>1454</v>
      </c>
      <c r="Y19" s="3">
        <v>2.9000000000000001E-2</v>
      </c>
      <c r="Z19" s="3">
        <v>4.2000000000000003E-2</v>
      </c>
      <c r="AB19" s="3">
        <v>8.7999999999999995E-2</v>
      </c>
    </row>
    <row r="20" spans="1:28" x14ac:dyDescent="0.3">
      <c r="A20" s="12">
        <v>45950</v>
      </c>
      <c r="B20" s="13" t="s">
        <v>330</v>
      </c>
      <c r="C20" s="13">
        <v>1.53</v>
      </c>
      <c r="D20" s="13" t="s">
        <v>1255</v>
      </c>
      <c r="E20" t="s">
        <v>1261</v>
      </c>
      <c r="F20" t="s">
        <v>1258</v>
      </c>
      <c r="G20" t="s">
        <v>1256</v>
      </c>
      <c r="H20" t="s">
        <v>1121</v>
      </c>
      <c r="I20" t="s">
        <v>342</v>
      </c>
      <c r="J20" s="4">
        <v>1.46</v>
      </c>
      <c r="K20" s="13">
        <f t="shared" ref="K20:K25" si="1">(J20/C20-1)*100</f>
        <v>-4.5751633986928164</v>
      </c>
      <c r="L20" s="4">
        <v>2.5299999999999998</v>
      </c>
      <c r="M20" s="4">
        <v>0.3</v>
      </c>
      <c r="N20" t="s">
        <v>363</v>
      </c>
      <c r="P20" t="s">
        <v>1522</v>
      </c>
      <c r="R20" s="3">
        <v>0</v>
      </c>
      <c r="S20" t="s">
        <v>1536</v>
      </c>
      <c r="U20" t="s">
        <v>1523</v>
      </c>
      <c r="V20" s="3">
        <v>1E-3</v>
      </c>
      <c r="W20" s="3">
        <v>2.9000000000000001E-2</v>
      </c>
      <c r="X20" t="s">
        <v>1523</v>
      </c>
      <c r="Y20" s="3">
        <v>-4.4260000000000002</v>
      </c>
      <c r="Z20" s="3">
        <v>-5.3999999999999999E-2</v>
      </c>
      <c r="AB20" s="3">
        <v>-0.17499999999999999</v>
      </c>
    </row>
    <row r="21" spans="1:28" x14ac:dyDescent="0.3">
      <c r="A21" s="12">
        <v>45950</v>
      </c>
      <c r="B21" s="13" t="s">
        <v>127</v>
      </c>
      <c r="C21" s="13">
        <v>1.41</v>
      </c>
      <c r="D21" s="13" t="s">
        <v>1254</v>
      </c>
      <c r="E21" t="s">
        <v>1261</v>
      </c>
      <c r="F21" s="13" t="s">
        <v>1375</v>
      </c>
      <c r="G21" t="s">
        <v>1256</v>
      </c>
      <c r="H21" t="s">
        <v>380</v>
      </c>
      <c r="I21" t="s">
        <v>23</v>
      </c>
      <c r="J21" s="4">
        <v>1.41</v>
      </c>
      <c r="K21" s="13">
        <f t="shared" si="1"/>
        <v>0</v>
      </c>
      <c r="L21" s="4">
        <v>1.8049999999999999</v>
      </c>
      <c r="M21" s="4">
        <v>1.07</v>
      </c>
      <c r="N21" t="s">
        <v>1416</v>
      </c>
      <c r="O21" s="3">
        <v>1</v>
      </c>
      <c r="P21" t="s">
        <v>1524</v>
      </c>
      <c r="Q21" t="s">
        <v>1421</v>
      </c>
      <c r="R21" s="3">
        <v>4.1000000000000002E-2</v>
      </c>
      <c r="S21" t="s">
        <v>1506</v>
      </c>
      <c r="T21" t="s">
        <v>1398</v>
      </c>
      <c r="U21" t="s">
        <v>1422</v>
      </c>
      <c r="V21" s="3">
        <v>1.3260000000000001</v>
      </c>
      <c r="W21" s="3">
        <v>7.0000000000000001E-3</v>
      </c>
      <c r="X21" t="s">
        <v>383</v>
      </c>
      <c r="Y21" s="3">
        <v>2.8000000000000001E-2</v>
      </c>
      <c r="Z21" s="3">
        <v>8.1000000000000003E-2</v>
      </c>
      <c r="AB21" s="3">
        <v>2.7E-2</v>
      </c>
    </row>
    <row r="22" spans="1:28" x14ac:dyDescent="0.3">
      <c r="A22" s="12">
        <v>45943</v>
      </c>
      <c r="B22" s="13" t="s">
        <v>1507</v>
      </c>
      <c r="C22" s="13">
        <v>0.53</v>
      </c>
      <c r="D22" s="13" t="s">
        <v>1255</v>
      </c>
      <c r="E22" t="s">
        <v>1261</v>
      </c>
      <c r="F22" t="s">
        <v>1258</v>
      </c>
      <c r="G22" t="s">
        <v>1256</v>
      </c>
      <c r="H22" t="s">
        <v>1509</v>
      </c>
      <c r="I22" t="s">
        <v>342</v>
      </c>
      <c r="J22" s="4">
        <v>0.46</v>
      </c>
      <c r="K22" s="13">
        <f t="shared" si="1"/>
        <v>-13.207547169811317</v>
      </c>
      <c r="L22" s="4">
        <v>0.61499999999999999</v>
      </c>
      <c r="M22" s="4">
        <v>0.13500000000000001</v>
      </c>
      <c r="N22" t="s">
        <v>363</v>
      </c>
      <c r="P22" t="s">
        <v>1526</v>
      </c>
      <c r="Q22" t="s">
        <v>1511</v>
      </c>
      <c r="R22" s="3">
        <v>0</v>
      </c>
      <c r="S22" t="s">
        <v>1512</v>
      </c>
      <c r="T22" t="s">
        <v>1533</v>
      </c>
      <c r="U22" t="s">
        <v>1513</v>
      </c>
      <c r="V22" s="3">
        <v>0.17399999999999999</v>
      </c>
      <c r="W22" s="3">
        <v>8.9999999999999993E-3</v>
      </c>
      <c r="X22" t="s">
        <v>1514</v>
      </c>
      <c r="Y22" s="3">
        <v>7.8E-2</v>
      </c>
      <c r="Z22" s="3">
        <v>0.14299999999999999</v>
      </c>
      <c r="AA22" s="3">
        <v>0.57599999999999996</v>
      </c>
      <c r="AB22" s="3">
        <v>0.153</v>
      </c>
    </row>
    <row r="23" spans="1:28" x14ac:dyDescent="0.3">
      <c r="A23" s="12">
        <v>45943</v>
      </c>
      <c r="B23" s="13" t="s">
        <v>1508</v>
      </c>
      <c r="C23" s="13">
        <v>4.7</v>
      </c>
      <c r="D23" s="13" t="s">
        <v>1255</v>
      </c>
      <c r="E23" t="s">
        <v>1261</v>
      </c>
      <c r="F23" t="s">
        <v>1258</v>
      </c>
      <c r="G23" t="s">
        <v>1256</v>
      </c>
      <c r="H23" t="s">
        <v>1510</v>
      </c>
      <c r="I23" t="s">
        <v>358</v>
      </c>
      <c r="J23" s="4">
        <v>3.4</v>
      </c>
      <c r="K23" s="13">
        <f t="shared" si="1"/>
        <v>-27.659574468085111</v>
      </c>
      <c r="L23" s="4">
        <v>4.9000000000000004</v>
      </c>
      <c r="M23" s="4">
        <v>0.92</v>
      </c>
      <c r="N23" t="s">
        <v>1242</v>
      </c>
      <c r="P23" t="s">
        <v>1516</v>
      </c>
      <c r="R23" s="3">
        <v>0</v>
      </c>
      <c r="S23" t="s">
        <v>1535</v>
      </c>
      <c r="U23" t="s">
        <v>1517</v>
      </c>
      <c r="V23" s="3">
        <v>0</v>
      </c>
      <c r="W23" s="3">
        <v>0.10299999999999999</v>
      </c>
      <c r="X23" t="s">
        <v>1518</v>
      </c>
      <c r="Y23" s="3">
        <v>-6.0720000000000001</v>
      </c>
      <c r="Z23" s="3">
        <v>1.4450000000000001</v>
      </c>
      <c r="AB23" s="3">
        <v>-0.27900000000000003</v>
      </c>
    </row>
    <row r="24" spans="1:28" x14ac:dyDescent="0.3">
      <c r="A24" s="12">
        <v>45943</v>
      </c>
      <c r="B24" s="13" t="s">
        <v>117</v>
      </c>
      <c r="C24" s="13">
        <v>1.18</v>
      </c>
      <c r="D24" s="13" t="s">
        <v>1254</v>
      </c>
      <c r="E24" t="s">
        <v>1261</v>
      </c>
      <c r="F24" s="13" t="s">
        <v>1375</v>
      </c>
      <c r="G24" t="s">
        <v>1256</v>
      </c>
      <c r="H24" t="s">
        <v>352</v>
      </c>
      <c r="I24" t="s">
        <v>25</v>
      </c>
      <c r="J24" s="4">
        <v>1.18</v>
      </c>
      <c r="K24" s="13">
        <f t="shared" si="1"/>
        <v>0</v>
      </c>
      <c r="L24" s="4">
        <v>1.2949999999999999</v>
      </c>
      <c r="M24" s="4">
        <v>1.01</v>
      </c>
      <c r="N24" t="s">
        <v>1416</v>
      </c>
      <c r="O24" s="3">
        <v>0</v>
      </c>
      <c r="P24" t="s">
        <v>353</v>
      </c>
      <c r="R24" s="3">
        <v>8.5999999999999993E-2</v>
      </c>
      <c r="S24" t="s">
        <v>1520</v>
      </c>
      <c r="U24" t="s">
        <v>1417</v>
      </c>
      <c r="V24" s="3">
        <v>0.90500000000000003</v>
      </c>
      <c r="W24" s="3">
        <v>3.0000000000000001E-3</v>
      </c>
      <c r="X24" t="s">
        <v>1418</v>
      </c>
      <c r="Y24" s="3">
        <v>-0.129</v>
      </c>
      <c r="Z24" s="3">
        <v>-2.8000000000000001E-2</v>
      </c>
      <c r="AB24" s="3">
        <v>-1.9E-2</v>
      </c>
    </row>
    <row r="25" spans="1:28" x14ac:dyDescent="0.3">
      <c r="A25" s="12">
        <v>45943</v>
      </c>
      <c r="B25" s="13" t="s">
        <v>123</v>
      </c>
      <c r="C25" s="13">
        <v>0.65500000000000003</v>
      </c>
      <c r="D25" s="13" t="s">
        <v>1254</v>
      </c>
      <c r="E25" t="s">
        <v>1261</v>
      </c>
      <c r="F25" s="13" t="s">
        <v>1375</v>
      </c>
      <c r="G25" t="s">
        <v>1256</v>
      </c>
      <c r="H25" t="s">
        <v>368</v>
      </c>
      <c r="I25" t="s">
        <v>25</v>
      </c>
      <c r="J25" s="4">
        <v>0.65</v>
      </c>
      <c r="K25" s="13">
        <f t="shared" si="1"/>
        <v>-0.76335877862595547</v>
      </c>
      <c r="L25" s="4">
        <v>0.72499999999999998</v>
      </c>
      <c r="M25" s="4">
        <v>0.53500000000000003</v>
      </c>
      <c r="N25" t="s">
        <v>348</v>
      </c>
      <c r="O25" s="3">
        <v>0</v>
      </c>
      <c r="P25" t="s">
        <v>369</v>
      </c>
      <c r="Q25" t="s">
        <v>1445</v>
      </c>
      <c r="R25" s="3">
        <v>7.5999999999999998E-2</v>
      </c>
      <c r="S25" t="s">
        <v>1521</v>
      </c>
      <c r="U25" t="s">
        <v>1446</v>
      </c>
      <c r="V25" s="3">
        <v>0.59699999999999998</v>
      </c>
      <c r="W25" s="3">
        <v>1.4E-2</v>
      </c>
      <c r="X25" t="s">
        <v>1447</v>
      </c>
      <c r="Y25" s="3">
        <v>0.504</v>
      </c>
      <c r="Z25" s="3">
        <v>0.22900000000000001</v>
      </c>
      <c r="AA25" s="3">
        <v>-9.6000000000000002E-2</v>
      </c>
      <c r="AB25" s="3">
        <v>5.3999999999999999E-2</v>
      </c>
    </row>
    <row r="26" spans="1:28" x14ac:dyDescent="0.3">
      <c r="A26" s="12">
        <v>45929</v>
      </c>
      <c r="B26" s="13" t="s">
        <v>1489</v>
      </c>
      <c r="C26" s="13">
        <v>0.52</v>
      </c>
      <c r="D26" s="13" t="s">
        <v>1255</v>
      </c>
      <c r="E26" t="s">
        <v>1261</v>
      </c>
      <c r="F26" t="s">
        <v>1258</v>
      </c>
      <c r="G26" t="s">
        <v>1256</v>
      </c>
      <c r="H26" t="s">
        <v>1491</v>
      </c>
      <c r="I26" t="s">
        <v>342</v>
      </c>
      <c r="J26" s="4">
        <v>0.47</v>
      </c>
      <c r="K26" s="13">
        <f t="shared" ref="K26:K27" si="2">(J26/C26-1)*100</f>
        <v>-9.6153846153846256</v>
      </c>
      <c r="L26" s="4">
        <v>0.55000000000000004</v>
      </c>
      <c r="M26" s="4">
        <v>0.105</v>
      </c>
      <c r="N26" t="s">
        <v>1242</v>
      </c>
      <c r="O26" s="3">
        <v>1</v>
      </c>
      <c r="P26" t="s">
        <v>1493</v>
      </c>
      <c r="R26" s="3">
        <v>0</v>
      </c>
      <c r="S26" t="s">
        <v>1315</v>
      </c>
      <c r="U26" t="s">
        <v>1494</v>
      </c>
      <c r="V26" s="3">
        <v>0.54400000000000004</v>
      </c>
      <c r="W26" s="3">
        <v>1.7999999999999999E-2</v>
      </c>
      <c r="X26" t="s">
        <v>1495</v>
      </c>
      <c r="Y26" s="3">
        <v>-5.7000000000000002E-2</v>
      </c>
      <c r="Z26" s="3">
        <v>-2.8000000000000001E-2</v>
      </c>
      <c r="AB26" s="3">
        <v>-8.5999999999999993E-2</v>
      </c>
    </row>
    <row r="27" spans="1:28" x14ac:dyDescent="0.3">
      <c r="A27" s="12">
        <v>45929</v>
      </c>
      <c r="B27" s="13" t="s">
        <v>121</v>
      </c>
      <c r="C27" s="13">
        <v>6.3</v>
      </c>
      <c r="D27" s="13" t="s">
        <v>1254</v>
      </c>
      <c r="E27" t="s">
        <v>1261</v>
      </c>
      <c r="F27" s="13" t="s">
        <v>1375</v>
      </c>
      <c r="G27" t="s">
        <v>1256</v>
      </c>
      <c r="H27" t="s">
        <v>365</v>
      </c>
      <c r="I27" t="s">
        <v>358</v>
      </c>
      <c r="J27" s="4">
        <v>6.3</v>
      </c>
      <c r="K27">
        <f t="shared" si="2"/>
        <v>0</v>
      </c>
      <c r="L27" s="4">
        <v>9.4</v>
      </c>
      <c r="M27" s="4">
        <v>5.73</v>
      </c>
      <c r="N27" t="s">
        <v>1485</v>
      </c>
      <c r="O27" s="3">
        <v>0.7</v>
      </c>
      <c r="P27" t="s">
        <v>1441</v>
      </c>
      <c r="Q27" t="s">
        <v>1442</v>
      </c>
      <c r="R27" s="3">
        <v>1.7999999999999999E-2</v>
      </c>
      <c r="S27" t="s">
        <v>1486</v>
      </c>
      <c r="T27" t="s">
        <v>1487</v>
      </c>
      <c r="U27" t="s">
        <v>1443</v>
      </c>
      <c r="W27" s="3">
        <v>1E-3</v>
      </c>
      <c r="X27" t="s">
        <v>1444</v>
      </c>
      <c r="Y27" s="3">
        <v>3.7999999999999999E-2</v>
      </c>
      <c r="Z27" s="3">
        <v>0.17599999999999999</v>
      </c>
      <c r="AB27" s="3">
        <v>-2.762</v>
      </c>
    </row>
    <row r="28" spans="1:28" x14ac:dyDescent="0.3">
      <c r="A28" s="12">
        <v>45922</v>
      </c>
      <c r="B28" t="s">
        <v>1470</v>
      </c>
      <c r="C28" s="4">
        <v>3.45</v>
      </c>
      <c r="D28" s="13" t="s">
        <v>1255</v>
      </c>
      <c r="E28" t="s">
        <v>1261</v>
      </c>
      <c r="F28" t="s">
        <v>1258</v>
      </c>
      <c r="G28" t="s">
        <v>1256</v>
      </c>
      <c r="H28" t="s">
        <v>1472</v>
      </c>
      <c r="I28" t="s">
        <v>21</v>
      </c>
      <c r="J28" s="4">
        <v>3.8</v>
      </c>
      <c r="K28">
        <f t="shared" ref="K28:K33" si="3">(J28/C28-1)*100</f>
        <v>10.144927536231862</v>
      </c>
      <c r="L28" s="4">
        <v>4.4800000000000004</v>
      </c>
      <c r="M28" s="4">
        <v>1.365</v>
      </c>
      <c r="N28" t="s">
        <v>348</v>
      </c>
      <c r="O28" s="3">
        <v>1</v>
      </c>
      <c r="P28" t="s">
        <v>1474</v>
      </c>
      <c r="Q28" t="s">
        <v>1475</v>
      </c>
      <c r="R28" s="3">
        <v>1.6E-2</v>
      </c>
      <c r="S28" t="s">
        <v>1320</v>
      </c>
      <c r="T28" t="s">
        <v>1528</v>
      </c>
      <c r="U28" t="s">
        <v>1476</v>
      </c>
      <c r="V28" s="3">
        <v>0.34499999999999997</v>
      </c>
      <c r="W28" s="3">
        <v>1.2E-2</v>
      </c>
      <c r="X28" t="s">
        <v>1477</v>
      </c>
      <c r="Y28" s="3">
        <v>5.2999999999999999E-2</v>
      </c>
      <c r="Z28" s="3">
        <v>0.57399999999999995</v>
      </c>
      <c r="AA28" s="3">
        <v>0.64600000000000002</v>
      </c>
      <c r="AB28" s="3">
        <v>0.76800000000000002</v>
      </c>
    </row>
    <row r="29" spans="1:28" x14ac:dyDescent="0.3">
      <c r="A29" s="12">
        <v>45922</v>
      </c>
      <c r="B29" t="s">
        <v>1471</v>
      </c>
      <c r="C29" s="4">
        <v>6.21</v>
      </c>
      <c r="D29" s="13" t="s">
        <v>1255</v>
      </c>
      <c r="E29" t="s">
        <v>1261</v>
      </c>
      <c r="F29" t="s">
        <v>1258</v>
      </c>
      <c r="G29" t="s">
        <v>1256</v>
      </c>
      <c r="H29" t="s">
        <v>1478</v>
      </c>
      <c r="I29" t="s">
        <v>21</v>
      </c>
      <c r="J29" s="4">
        <v>6.05</v>
      </c>
      <c r="K29">
        <f t="shared" si="3"/>
        <v>-2.5764895330112725</v>
      </c>
      <c r="L29" s="4">
        <v>6.98</v>
      </c>
      <c r="M29" s="4">
        <v>2.31</v>
      </c>
      <c r="N29" t="s">
        <v>1359</v>
      </c>
      <c r="O29" s="3">
        <v>1</v>
      </c>
      <c r="P29" t="s">
        <v>1479</v>
      </c>
      <c r="Q29" t="s">
        <v>1480</v>
      </c>
      <c r="R29" s="3">
        <v>6.0000000000000001E-3</v>
      </c>
      <c r="S29" t="s">
        <v>378</v>
      </c>
      <c r="T29" t="s">
        <v>1425</v>
      </c>
      <c r="U29" t="s">
        <v>1481</v>
      </c>
      <c r="V29" s="3">
        <v>0.32400000000000001</v>
      </c>
      <c r="W29" s="3">
        <v>1.2E-2</v>
      </c>
      <c r="X29" t="s">
        <v>1482</v>
      </c>
      <c r="Y29" s="3">
        <v>4.7E-2</v>
      </c>
      <c r="Z29" s="3">
        <v>0.185</v>
      </c>
      <c r="AA29" s="3">
        <v>0.32300000000000001</v>
      </c>
      <c r="AB29" s="3">
        <v>0.252</v>
      </c>
    </row>
    <row r="30" spans="1:28" x14ac:dyDescent="0.3">
      <c r="A30" s="12">
        <v>45922</v>
      </c>
      <c r="B30" t="s">
        <v>227</v>
      </c>
      <c r="C30" s="4">
        <v>3.2</v>
      </c>
      <c r="D30" s="13" t="s">
        <v>1255</v>
      </c>
      <c r="E30" t="s">
        <v>1261</v>
      </c>
      <c r="F30" t="s">
        <v>1258</v>
      </c>
      <c r="G30" t="s">
        <v>1256</v>
      </c>
      <c r="H30" t="s">
        <v>807</v>
      </c>
      <c r="I30" t="s">
        <v>1267</v>
      </c>
      <c r="J30" s="4">
        <v>5.44</v>
      </c>
      <c r="K30">
        <f t="shared" si="3"/>
        <v>70</v>
      </c>
      <c r="L30" s="4">
        <v>5.59</v>
      </c>
      <c r="M30" s="4">
        <v>1.38</v>
      </c>
      <c r="N30" t="s">
        <v>1359</v>
      </c>
      <c r="P30" t="s">
        <v>1525</v>
      </c>
      <c r="R30" s="3">
        <v>0</v>
      </c>
      <c r="S30" t="s">
        <v>1529</v>
      </c>
      <c r="U30" t="s">
        <v>1483</v>
      </c>
      <c r="V30" s="3">
        <v>6.0000000000000001E-3</v>
      </c>
      <c r="W30" s="3">
        <v>0.14299999999999999</v>
      </c>
      <c r="X30" t="s">
        <v>1484</v>
      </c>
      <c r="Y30" s="3">
        <v>-8.7050000000000001</v>
      </c>
      <c r="AB30" s="3">
        <v>-0.505</v>
      </c>
    </row>
    <row r="31" spans="1:28" x14ac:dyDescent="0.3">
      <c r="A31" s="12">
        <v>45922</v>
      </c>
      <c r="B31" s="17" t="s">
        <v>1428</v>
      </c>
      <c r="C31" s="13">
        <v>6.45</v>
      </c>
      <c r="D31" s="13" t="s">
        <v>1254</v>
      </c>
      <c r="E31" s="13" t="s">
        <v>1488</v>
      </c>
      <c r="F31" s="13" t="s">
        <v>1375</v>
      </c>
      <c r="G31" t="s">
        <v>1256</v>
      </c>
      <c r="H31" t="s">
        <v>1429</v>
      </c>
      <c r="I31" t="s">
        <v>342</v>
      </c>
      <c r="J31" s="13">
        <v>6.45</v>
      </c>
      <c r="K31">
        <f t="shared" si="3"/>
        <v>0</v>
      </c>
      <c r="L31" s="4">
        <v>7.6</v>
      </c>
      <c r="M31" s="4">
        <v>2.0699999999999998</v>
      </c>
      <c r="N31" t="s">
        <v>1464</v>
      </c>
      <c r="P31" t="s">
        <v>1431</v>
      </c>
      <c r="R31" s="3">
        <v>0</v>
      </c>
      <c r="S31" t="s">
        <v>1465</v>
      </c>
      <c r="U31" t="s">
        <v>1432</v>
      </c>
      <c r="V31" s="3">
        <v>0.04</v>
      </c>
      <c r="W31" s="3">
        <v>0.11799999999999999</v>
      </c>
      <c r="X31" t="s">
        <v>1433</v>
      </c>
      <c r="Y31" s="3">
        <v>-5.8010000000000002</v>
      </c>
      <c r="Z31" s="3">
        <v>3.7549999999999999</v>
      </c>
      <c r="AB31" s="3">
        <v>-0.40699999999999997</v>
      </c>
    </row>
    <row r="32" spans="1:28" x14ac:dyDescent="0.3">
      <c r="A32" s="12">
        <v>45922</v>
      </c>
      <c r="B32" t="s">
        <v>116</v>
      </c>
      <c r="C32" s="13">
        <v>3.21</v>
      </c>
      <c r="D32" s="13" t="s">
        <v>1254</v>
      </c>
      <c r="E32" s="13" t="s">
        <v>1488</v>
      </c>
      <c r="F32" s="13" t="s">
        <v>1375</v>
      </c>
      <c r="G32" t="s">
        <v>1256</v>
      </c>
      <c r="H32" t="s">
        <v>349</v>
      </c>
      <c r="I32" t="s">
        <v>23</v>
      </c>
      <c r="J32" s="13">
        <v>3.21</v>
      </c>
      <c r="K32">
        <f t="shared" si="3"/>
        <v>0</v>
      </c>
      <c r="L32" s="4">
        <v>3.55</v>
      </c>
      <c r="M32" s="4">
        <v>1.635</v>
      </c>
      <c r="N32" t="s">
        <v>1252</v>
      </c>
      <c r="O32" s="3">
        <v>1</v>
      </c>
      <c r="P32" t="s">
        <v>350</v>
      </c>
      <c r="Q32" t="s">
        <v>1413</v>
      </c>
      <c r="R32" s="3">
        <v>0</v>
      </c>
      <c r="S32" t="s">
        <v>1460</v>
      </c>
      <c r="T32" t="s">
        <v>1461</v>
      </c>
      <c r="U32" t="s">
        <v>1414</v>
      </c>
      <c r="V32" s="3">
        <v>0.14000000000000001</v>
      </c>
      <c r="W32" s="3">
        <v>0.01</v>
      </c>
      <c r="X32" t="s">
        <v>1415</v>
      </c>
      <c r="Y32" s="3">
        <v>2E-3</v>
      </c>
      <c r="Z32" s="3">
        <v>0.30399999999999999</v>
      </c>
      <c r="AB32" s="3">
        <v>3.0000000000000001E-3</v>
      </c>
    </row>
    <row r="33" spans="1:29" x14ac:dyDescent="0.3">
      <c r="A33" s="12">
        <v>45922</v>
      </c>
      <c r="B33" t="s">
        <v>128</v>
      </c>
      <c r="C33" s="13">
        <v>3.22</v>
      </c>
      <c r="D33" s="13" t="s">
        <v>1254</v>
      </c>
      <c r="E33" s="13" t="s">
        <v>1488</v>
      </c>
      <c r="F33" s="13" t="s">
        <v>1375</v>
      </c>
      <c r="G33" t="s">
        <v>1256</v>
      </c>
      <c r="H33" t="s">
        <v>386</v>
      </c>
      <c r="I33" t="s">
        <v>21</v>
      </c>
      <c r="J33" s="13">
        <v>3.22</v>
      </c>
      <c r="K33">
        <f t="shared" si="3"/>
        <v>0</v>
      </c>
      <c r="L33" s="4">
        <v>4.3899999999999997</v>
      </c>
      <c r="M33" s="4">
        <v>0.58499999999999996</v>
      </c>
      <c r="N33" t="s">
        <v>1468</v>
      </c>
      <c r="P33" t="s">
        <v>387</v>
      </c>
      <c r="Q33" t="s">
        <v>1455</v>
      </c>
      <c r="R33" s="3">
        <v>0</v>
      </c>
      <c r="S33" t="s">
        <v>1469</v>
      </c>
      <c r="U33" t="s">
        <v>1456</v>
      </c>
      <c r="V33" s="3">
        <v>2.9000000000000001E-2</v>
      </c>
      <c r="W33" s="3">
        <v>0.127</v>
      </c>
      <c r="X33" t="s">
        <v>388</v>
      </c>
      <c r="Y33" s="3">
        <v>5.2999999999999999E-2</v>
      </c>
      <c r="Z33" s="3">
        <v>0.75700000000000001</v>
      </c>
      <c r="AB33" s="3">
        <v>2.1999999999999999E-2</v>
      </c>
    </row>
    <row r="34" spans="1:29" x14ac:dyDescent="0.3">
      <c r="A34" s="12">
        <v>45901</v>
      </c>
      <c r="B34" s="13" t="s">
        <v>1428</v>
      </c>
      <c r="C34" s="13">
        <v>6.63</v>
      </c>
      <c r="D34" s="13" t="s">
        <v>1255</v>
      </c>
      <c r="E34" t="s">
        <v>1261</v>
      </c>
      <c r="F34" t="s">
        <v>1258</v>
      </c>
      <c r="G34" t="s">
        <v>1256</v>
      </c>
      <c r="H34" t="s">
        <v>1429</v>
      </c>
      <c r="I34" t="s">
        <v>342</v>
      </c>
      <c r="J34" s="4">
        <v>6.63</v>
      </c>
      <c r="K34">
        <f t="shared" ref="K34:K35" si="4">(J34/C34-1)*100</f>
        <v>0</v>
      </c>
      <c r="L34" s="4">
        <v>7.6</v>
      </c>
      <c r="M34" s="4">
        <v>2.0699999999999998</v>
      </c>
      <c r="N34" t="s">
        <v>1464</v>
      </c>
      <c r="P34" t="s">
        <v>1431</v>
      </c>
      <c r="R34" s="3">
        <v>0</v>
      </c>
      <c r="S34" t="s">
        <v>1465</v>
      </c>
      <c r="U34" t="s">
        <v>1432</v>
      </c>
      <c r="V34" s="3">
        <v>0.04</v>
      </c>
      <c r="W34" s="3">
        <v>0.11799999999999999</v>
      </c>
      <c r="X34" t="s">
        <v>1433</v>
      </c>
      <c r="Y34" s="3">
        <v>-5.8010000000000002</v>
      </c>
      <c r="Z34" s="3">
        <v>3.7549999999999999</v>
      </c>
      <c r="AB34" s="3">
        <v>-0.40699999999999997</v>
      </c>
      <c r="AC34" s="3"/>
    </row>
    <row r="35" spans="1:29" x14ac:dyDescent="0.3">
      <c r="A35" s="12">
        <v>45901</v>
      </c>
      <c r="B35" s="13" t="s">
        <v>125</v>
      </c>
      <c r="C35" s="13">
        <v>1.42</v>
      </c>
      <c r="D35" s="13" t="s">
        <v>1254</v>
      </c>
      <c r="E35" t="s">
        <v>1261</v>
      </c>
      <c r="F35" s="13" t="s">
        <v>1375</v>
      </c>
      <c r="G35" t="s">
        <v>1256</v>
      </c>
      <c r="H35" t="s">
        <v>374</v>
      </c>
      <c r="I35" t="s">
        <v>25</v>
      </c>
      <c r="J35" s="13">
        <v>1.42</v>
      </c>
      <c r="K35" s="13">
        <f t="shared" si="4"/>
        <v>0</v>
      </c>
      <c r="L35" s="4">
        <v>1.615</v>
      </c>
      <c r="M35" s="4">
        <v>1.07</v>
      </c>
      <c r="N35" t="s">
        <v>1419</v>
      </c>
      <c r="O35" s="3">
        <v>0</v>
      </c>
      <c r="P35" t="s">
        <v>375</v>
      </c>
      <c r="Q35" t="s">
        <v>1398</v>
      </c>
      <c r="R35" s="3">
        <v>0.04</v>
      </c>
      <c r="S35" t="s">
        <v>1379</v>
      </c>
      <c r="T35" t="s">
        <v>1420</v>
      </c>
      <c r="U35" t="s">
        <v>1405</v>
      </c>
      <c r="V35" s="3">
        <v>0.49199999999999999</v>
      </c>
      <c r="W35" s="3">
        <v>1.7999999999999999E-2</v>
      </c>
      <c r="X35" t="s">
        <v>351</v>
      </c>
      <c r="Y35" s="3">
        <v>1.169</v>
      </c>
      <c r="Z35" s="3">
        <v>0.13300000000000001</v>
      </c>
      <c r="AA35" s="3">
        <v>0.64200000000000002</v>
      </c>
      <c r="AB35" s="3">
        <v>0.13</v>
      </c>
    </row>
    <row r="36" spans="1:29" x14ac:dyDescent="0.3">
      <c r="A36" s="12">
        <v>45887</v>
      </c>
      <c r="B36" s="13" t="s">
        <v>1406</v>
      </c>
      <c r="C36" s="13">
        <v>5.96</v>
      </c>
      <c r="D36" s="13" t="s">
        <v>1255</v>
      </c>
      <c r="E36" t="s">
        <v>1261</v>
      </c>
      <c r="F36" t="s">
        <v>1258</v>
      </c>
      <c r="G36" t="s">
        <v>1256</v>
      </c>
      <c r="H36" t="s">
        <v>1407</v>
      </c>
      <c r="I36" t="s">
        <v>21</v>
      </c>
      <c r="J36" s="4">
        <v>6.21</v>
      </c>
      <c r="K36" s="13">
        <f>(J36/C36-1)*100</f>
        <v>4.1946308724832182</v>
      </c>
      <c r="L36" s="4">
        <v>10.42</v>
      </c>
      <c r="M36" s="4">
        <v>0.995</v>
      </c>
      <c r="N36" t="s">
        <v>1527</v>
      </c>
      <c r="P36" t="s">
        <v>1408</v>
      </c>
      <c r="R36" s="3">
        <v>0</v>
      </c>
      <c r="S36" t="s">
        <v>1530</v>
      </c>
      <c r="U36" t="s">
        <v>1430</v>
      </c>
      <c r="V36" s="3">
        <v>5.6000000000000001E-2</v>
      </c>
      <c r="W36" s="3">
        <v>4.3999999999999997E-2</v>
      </c>
      <c r="X36" t="s">
        <v>1409</v>
      </c>
      <c r="Y36" s="3">
        <v>-0.98</v>
      </c>
      <c r="Z36" s="3">
        <v>-0.06</v>
      </c>
      <c r="AB36" s="3">
        <v>-0.29399999999999998</v>
      </c>
    </row>
    <row r="37" spans="1:29" x14ac:dyDescent="0.3">
      <c r="A37" s="12">
        <v>45887</v>
      </c>
      <c r="B37" s="13" t="s">
        <v>84</v>
      </c>
      <c r="C37" s="13">
        <v>2.67</v>
      </c>
      <c r="D37" s="13" t="s">
        <v>1254</v>
      </c>
      <c r="E37" t="s">
        <v>1261</v>
      </c>
      <c r="F37" s="13" t="s">
        <v>1375</v>
      </c>
      <c r="G37" t="s">
        <v>1256</v>
      </c>
      <c r="H37" t="s">
        <v>732</v>
      </c>
      <c r="I37" t="s">
        <v>22</v>
      </c>
      <c r="J37" s="4">
        <v>2.67</v>
      </c>
      <c r="K37" s="13">
        <f t="shared" ref="K37:K81" si="5">(J37/C37-1)*100</f>
        <v>0</v>
      </c>
      <c r="L37" s="4">
        <v>3.37</v>
      </c>
      <c r="M37" s="4">
        <v>2.38</v>
      </c>
      <c r="N37" t="s">
        <v>1242</v>
      </c>
      <c r="O37" s="3">
        <v>1</v>
      </c>
      <c r="P37" t="s">
        <v>1378</v>
      </c>
      <c r="Q37" t="s">
        <v>1379</v>
      </c>
      <c r="R37" s="3">
        <v>0</v>
      </c>
      <c r="S37" t="s">
        <v>1331</v>
      </c>
      <c r="U37" t="s">
        <v>1380</v>
      </c>
      <c r="V37" s="3">
        <v>2.7189999999999999</v>
      </c>
      <c r="X37" t="s">
        <v>1381</v>
      </c>
      <c r="Y37" s="3">
        <v>9.8000000000000004E-2</v>
      </c>
      <c r="Z37" s="3">
        <v>5.5E-2</v>
      </c>
      <c r="AA37" s="3">
        <v>0.11600000000000001</v>
      </c>
      <c r="AB37" s="3">
        <v>0.122</v>
      </c>
    </row>
    <row r="38" spans="1:29" x14ac:dyDescent="0.3">
      <c r="A38" s="12">
        <v>45873</v>
      </c>
      <c r="B38" s="13" t="s">
        <v>1400</v>
      </c>
      <c r="C38" s="13">
        <v>0.64</v>
      </c>
      <c r="D38" s="13" t="s">
        <v>1255</v>
      </c>
      <c r="E38" t="s">
        <v>1261</v>
      </c>
      <c r="F38" t="s">
        <v>1258</v>
      </c>
      <c r="G38" t="s">
        <v>1256</v>
      </c>
      <c r="H38" t="s">
        <v>1401</v>
      </c>
      <c r="I38" t="s">
        <v>358</v>
      </c>
      <c r="J38" s="4">
        <v>0.72</v>
      </c>
      <c r="K38" s="13">
        <f t="shared" si="5"/>
        <v>12.5</v>
      </c>
      <c r="L38" s="4">
        <v>0.81499999999999995</v>
      </c>
      <c r="M38" s="4">
        <v>0.35</v>
      </c>
      <c r="N38" t="s">
        <v>355</v>
      </c>
      <c r="P38" t="s">
        <v>1402</v>
      </c>
      <c r="R38" s="3">
        <v>0</v>
      </c>
      <c r="S38" t="s">
        <v>1531</v>
      </c>
      <c r="U38" t="s">
        <v>1403</v>
      </c>
      <c r="V38" s="3">
        <v>6.9000000000000006E-2</v>
      </c>
      <c r="W38" s="3">
        <v>6.6000000000000003E-2</v>
      </c>
      <c r="X38" t="s">
        <v>1404</v>
      </c>
      <c r="Y38" s="3">
        <v>-4.4999999999999998E-2</v>
      </c>
      <c r="Z38" s="3">
        <v>0.28799999999999998</v>
      </c>
      <c r="AB38" s="3">
        <v>-4.1000000000000002E-2</v>
      </c>
      <c r="AC38" s="3"/>
    </row>
    <row r="39" spans="1:29" x14ac:dyDescent="0.3">
      <c r="A39" s="12">
        <v>45873</v>
      </c>
      <c r="B39" s="13" t="s">
        <v>119</v>
      </c>
      <c r="C39" s="13">
        <v>0.48</v>
      </c>
      <c r="D39" s="13" t="s">
        <v>1254</v>
      </c>
      <c r="E39" t="s">
        <v>1261</v>
      </c>
      <c r="F39" s="13" t="s">
        <v>1375</v>
      </c>
      <c r="G39" t="s">
        <v>1256</v>
      </c>
      <c r="H39" t="s">
        <v>357</v>
      </c>
      <c r="I39" t="s">
        <v>358</v>
      </c>
      <c r="J39" s="16">
        <v>0.48</v>
      </c>
      <c r="K39" s="13">
        <f t="shared" si="5"/>
        <v>0</v>
      </c>
      <c r="L39" s="4">
        <v>0.78500000000000003</v>
      </c>
      <c r="M39" s="4">
        <v>0.3</v>
      </c>
      <c r="N39" t="s">
        <v>355</v>
      </c>
      <c r="P39" t="s">
        <v>359</v>
      </c>
      <c r="R39" s="3">
        <v>0</v>
      </c>
      <c r="S39" t="s">
        <v>1399</v>
      </c>
      <c r="U39" t="s">
        <v>360</v>
      </c>
      <c r="V39" s="3">
        <v>2.1999999999999999E-2</v>
      </c>
      <c r="W39" s="3">
        <v>4.8000000000000001E-2</v>
      </c>
      <c r="X39" t="s">
        <v>361</v>
      </c>
      <c r="Y39" s="3">
        <v>-26.218</v>
      </c>
      <c r="Z39" s="3">
        <v>6.2839999999999998</v>
      </c>
      <c r="AB39" s="3">
        <v>-5.2469999999999999</v>
      </c>
    </row>
    <row r="40" spans="1:29" x14ac:dyDescent="0.3">
      <c r="A40" s="12">
        <v>45856</v>
      </c>
      <c r="B40" s="13" t="s">
        <v>84</v>
      </c>
      <c r="C40" s="13">
        <v>3.23</v>
      </c>
      <c r="D40" s="13" t="s">
        <v>1255</v>
      </c>
      <c r="E40" t="s">
        <v>1261</v>
      </c>
      <c r="F40" t="s">
        <v>1258</v>
      </c>
      <c r="G40" t="s">
        <v>1256</v>
      </c>
      <c r="H40" t="s">
        <v>732</v>
      </c>
      <c r="I40" t="s">
        <v>22</v>
      </c>
      <c r="J40" s="4">
        <v>2.67</v>
      </c>
      <c r="K40" s="13">
        <f t="shared" si="5"/>
        <v>-17.337461300309599</v>
      </c>
      <c r="L40" s="4">
        <v>3.37</v>
      </c>
      <c r="M40" s="4">
        <v>2.38</v>
      </c>
      <c r="N40" t="s">
        <v>1242</v>
      </c>
      <c r="O40" s="3">
        <v>1</v>
      </c>
      <c r="P40" t="s">
        <v>1378</v>
      </c>
      <c r="Q40" t="s">
        <v>1379</v>
      </c>
      <c r="R40" s="3">
        <v>0</v>
      </c>
      <c r="S40" t="s">
        <v>1331</v>
      </c>
      <c r="U40" t="s">
        <v>1380</v>
      </c>
      <c r="V40" s="3">
        <v>2.7189999999999999</v>
      </c>
      <c r="X40" t="s">
        <v>1381</v>
      </c>
      <c r="Y40" s="3">
        <v>9.8000000000000004E-2</v>
      </c>
      <c r="Z40" s="3">
        <v>5.5E-2</v>
      </c>
      <c r="AA40" s="3">
        <v>0.11600000000000001</v>
      </c>
      <c r="AB40" s="3">
        <v>0.122</v>
      </c>
    </row>
    <row r="41" spans="1:29" x14ac:dyDescent="0.3">
      <c r="A41" s="12">
        <v>45856</v>
      </c>
      <c r="B41" t="s">
        <v>124</v>
      </c>
      <c r="C41" s="13">
        <v>1.2649999999999999</v>
      </c>
      <c r="D41" s="13" t="s">
        <v>1254</v>
      </c>
      <c r="E41" t="s">
        <v>1261</v>
      </c>
      <c r="F41" s="11" t="s">
        <v>1375</v>
      </c>
      <c r="G41" t="s">
        <v>1256</v>
      </c>
      <c r="H41" t="s">
        <v>370</v>
      </c>
      <c r="I41" t="s">
        <v>358</v>
      </c>
      <c r="J41" s="4">
        <v>1.2649999999999999</v>
      </c>
      <c r="K41">
        <f t="shared" si="5"/>
        <v>0</v>
      </c>
      <c r="L41" s="4">
        <v>1.855</v>
      </c>
      <c r="M41" s="4">
        <v>0.46</v>
      </c>
      <c r="N41" t="s">
        <v>348</v>
      </c>
      <c r="P41" t="s">
        <v>371</v>
      </c>
      <c r="R41" s="3">
        <v>0</v>
      </c>
      <c r="S41" t="s">
        <v>1374</v>
      </c>
      <c r="U41" t="s">
        <v>372</v>
      </c>
      <c r="W41" s="3">
        <v>7.8E-2</v>
      </c>
      <c r="X41" t="s">
        <v>373</v>
      </c>
      <c r="Y41" s="3">
        <v>-30.948</v>
      </c>
      <c r="Z41" s="3">
        <v>0.113</v>
      </c>
    </row>
    <row r="42" spans="1:29" x14ac:dyDescent="0.3">
      <c r="A42" s="2">
        <v>45793</v>
      </c>
      <c r="B42" t="s">
        <v>114</v>
      </c>
      <c r="C42">
        <v>3.26</v>
      </c>
      <c r="D42" t="s">
        <v>1255</v>
      </c>
      <c r="E42" t="s">
        <v>1261</v>
      </c>
      <c r="F42" t="s">
        <v>1258</v>
      </c>
      <c r="G42" t="s">
        <v>1256</v>
      </c>
      <c r="H42" t="s">
        <v>341</v>
      </c>
      <c r="I42" t="s">
        <v>342</v>
      </c>
      <c r="J42" s="4">
        <v>4.8</v>
      </c>
      <c r="K42">
        <f t="shared" si="5"/>
        <v>47.239263803680977</v>
      </c>
      <c r="L42" s="4">
        <v>6.61</v>
      </c>
      <c r="M42" s="4">
        <v>1.48</v>
      </c>
      <c r="N42" t="s">
        <v>1554</v>
      </c>
      <c r="P42" t="s">
        <v>343</v>
      </c>
      <c r="Q42" t="s">
        <v>1496</v>
      </c>
      <c r="R42" s="3">
        <v>0</v>
      </c>
      <c r="S42" t="s">
        <v>1555</v>
      </c>
      <c r="T42" t="s">
        <v>1556</v>
      </c>
      <c r="U42" t="s">
        <v>1497</v>
      </c>
      <c r="V42" s="3">
        <v>0.154</v>
      </c>
      <c r="W42" s="3">
        <v>0.02</v>
      </c>
      <c r="X42" t="s">
        <v>1498</v>
      </c>
      <c r="Y42" s="3">
        <v>0.159</v>
      </c>
      <c r="Z42" s="3">
        <v>0.69399999999999995</v>
      </c>
      <c r="AB42" s="3">
        <v>0.123</v>
      </c>
    </row>
    <row r="43" spans="1:29" x14ac:dyDescent="0.3">
      <c r="A43" s="2">
        <v>45786</v>
      </c>
      <c r="B43" t="s">
        <v>115</v>
      </c>
      <c r="C43">
        <v>2.04</v>
      </c>
      <c r="D43" t="s">
        <v>1255</v>
      </c>
      <c r="E43" t="s">
        <v>1261</v>
      </c>
      <c r="F43" t="s">
        <v>1258</v>
      </c>
      <c r="G43" t="s">
        <v>1256</v>
      </c>
      <c r="H43" t="s">
        <v>346</v>
      </c>
      <c r="I43" t="s">
        <v>347</v>
      </c>
      <c r="J43" s="4">
        <v>4.29</v>
      </c>
      <c r="K43">
        <f t="shared" si="5"/>
        <v>110.29411764705883</v>
      </c>
      <c r="L43" s="4">
        <v>4.7</v>
      </c>
      <c r="M43" s="4">
        <v>1.56</v>
      </c>
      <c r="N43" t="s">
        <v>381</v>
      </c>
      <c r="O43" s="3">
        <v>1</v>
      </c>
      <c r="P43" t="s">
        <v>1435</v>
      </c>
      <c r="Q43" t="s">
        <v>1410</v>
      </c>
      <c r="R43" s="3">
        <v>1.9E-2</v>
      </c>
      <c r="S43" t="s">
        <v>391</v>
      </c>
      <c r="T43" t="s">
        <v>1553</v>
      </c>
      <c r="U43" t="s">
        <v>1411</v>
      </c>
      <c r="V43" s="3">
        <v>2.2029999999999998</v>
      </c>
      <c r="W43" s="3">
        <v>8.0000000000000002E-3</v>
      </c>
      <c r="X43" t="s">
        <v>1412</v>
      </c>
      <c r="Y43" s="3">
        <v>1.0999999999999999E-2</v>
      </c>
      <c r="Z43" s="3">
        <v>0.152</v>
      </c>
      <c r="AA43" s="3">
        <v>-0.15</v>
      </c>
      <c r="AB43" s="3">
        <v>6.6000000000000003E-2</v>
      </c>
    </row>
    <row r="44" spans="1:29" x14ac:dyDescent="0.3">
      <c r="A44" s="2">
        <v>45786</v>
      </c>
      <c r="B44" t="s">
        <v>116</v>
      </c>
      <c r="C44">
        <v>2.59</v>
      </c>
      <c r="D44" t="s">
        <v>1255</v>
      </c>
      <c r="E44" t="s">
        <v>1261</v>
      </c>
      <c r="F44" t="s">
        <v>1258</v>
      </c>
      <c r="G44" t="s">
        <v>1256</v>
      </c>
      <c r="H44" t="s">
        <v>349</v>
      </c>
      <c r="I44" t="s">
        <v>23</v>
      </c>
      <c r="J44" s="4">
        <v>3.05</v>
      </c>
      <c r="K44">
        <f t="shared" si="5"/>
        <v>17.76061776061777</v>
      </c>
      <c r="L44" s="4">
        <v>3.55</v>
      </c>
      <c r="M44" s="4">
        <v>1.635</v>
      </c>
      <c r="N44" t="s">
        <v>1252</v>
      </c>
      <c r="O44" s="3">
        <v>1</v>
      </c>
      <c r="P44" t="s">
        <v>350</v>
      </c>
      <c r="Q44" t="s">
        <v>1413</v>
      </c>
      <c r="R44" s="3">
        <v>0</v>
      </c>
      <c r="S44" t="s">
        <v>1460</v>
      </c>
      <c r="T44" t="s">
        <v>1461</v>
      </c>
      <c r="U44" t="s">
        <v>1414</v>
      </c>
      <c r="V44" s="3">
        <v>0.14000000000000001</v>
      </c>
      <c r="W44" s="3">
        <v>0.01</v>
      </c>
      <c r="X44" t="s">
        <v>1415</v>
      </c>
      <c r="Y44" s="3">
        <v>2E-3</v>
      </c>
      <c r="Z44" s="3">
        <v>0.30399999999999999</v>
      </c>
      <c r="AB44" s="3">
        <v>3.0000000000000001E-3</v>
      </c>
    </row>
    <row r="45" spans="1:29" x14ac:dyDescent="0.3">
      <c r="A45" s="2">
        <v>45786</v>
      </c>
      <c r="B45" t="s">
        <v>117</v>
      </c>
      <c r="C45">
        <v>1.2549999999999999</v>
      </c>
      <c r="D45" t="s">
        <v>1255</v>
      </c>
      <c r="E45" t="s">
        <v>1261</v>
      </c>
      <c r="F45" t="s">
        <v>1258</v>
      </c>
      <c r="G45" t="s">
        <v>1256</v>
      </c>
      <c r="H45" t="s">
        <v>352</v>
      </c>
      <c r="I45" t="s">
        <v>25</v>
      </c>
      <c r="J45" s="4">
        <v>1.2</v>
      </c>
      <c r="K45">
        <f t="shared" si="5"/>
        <v>-4.3824701195219085</v>
      </c>
      <c r="L45" s="4">
        <v>1.2949999999999999</v>
      </c>
      <c r="M45" s="4">
        <v>1.01</v>
      </c>
      <c r="N45" t="s">
        <v>1416</v>
      </c>
      <c r="O45" s="3">
        <v>0</v>
      </c>
      <c r="P45" t="s">
        <v>353</v>
      </c>
      <c r="R45" s="3">
        <v>8.4000000000000005E-2</v>
      </c>
      <c r="S45" t="s">
        <v>1492</v>
      </c>
      <c r="U45" t="s">
        <v>1417</v>
      </c>
      <c r="V45" s="3">
        <v>0.90500000000000003</v>
      </c>
      <c r="W45" s="3">
        <v>3.0000000000000001E-3</v>
      </c>
      <c r="X45" t="s">
        <v>1418</v>
      </c>
      <c r="Y45" s="3">
        <v>-0.129</v>
      </c>
      <c r="Z45" s="3">
        <v>-2.8000000000000001E-2</v>
      </c>
      <c r="AB45" s="3">
        <v>-1.9E-2</v>
      </c>
    </row>
    <row r="46" spans="1:29" x14ac:dyDescent="0.3">
      <c r="A46" s="2">
        <v>45786</v>
      </c>
      <c r="B46" t="s">
        <v>118</v>
      </c>
      <c r="C46">
        <v>1.7350000000000001</v>
      </c>
      <c r="D46" t="s">
        <v>1255</v>
      </c>
      <c r="E46" t="s">
        <v>1261</v>
      </c>
      <c r="F46" t="s">
        <v>1258</v>
      </c>
      <c r="G46" t="s">
        <v>1256</v>
      </c>
      <c r="H46" t="s">
        <v>354</v>
      </c>
      <c r="I46" t="s">
        <v>22</v>
      </c>
      <c r="J46" s="4">
        <v>1.76</v>
      </c>
      <c r="K46">
        <f t="shared" si="5"/>
        <v>1.4409221902017322</v>
      </c>
      <c r="L46" s="4">
        <v>1.84</v>
      </c>
      <c r="M46" s="4">
        <v>1.105</v>
      </c>
      <c r="N46" t="s">
        <v>355</v>
      </c>
      <c r="O46" s="3">
        <v>1</v>
      </c>
      <c r="P46" t="s">
        <v>356</v>
      </c>
      <c r="Q46" t="s">
        <v>1558</v>
      </c>
      <c r="R46" s="3">
        <v>7.8E-2</v>
      </c>
      <c r="S46" t="s">
        <v>1320</v>
      </c>
      <c r="T46" t="s">
        <v>1560</v>
      </c>
      <c r="U46" t="s">
        <v>1436</v>
      </c>
      <c r="V46" s="3">
        <v>1.6639999999999999</v>
      </c>
      <c r="X46" t="s">
        <v>1437</v>
      </c>
      <c r="Y46" s="3">
        <v>0.152</v>
      </c>
      <c r="Z46" s="3">
        <v>3.3000000000000002E-2</v>
      </c>
      <c r="AA46" s="3">
        <v>-0.14199999999999999</v>
      </c>
      <c r="AB46" s="3">
        <v>8.6999999999999994E-2</v>
      </c>
    </row>
    <row r="47" spans="1:29" x14ac:dyDescent="0.3">
      <c r="A47" s="2">
        <v>45786</v>
      </c>
      <c r="B47" t="s">
        <v>119</v>
      </c>
      <c r="C47">
        <v>0.755</v>
      </c>
      <c r="D47" t="s">
        <v>1255</v>
      </c>
      <c r="E47" t="s">
        <v>1261</v>
      </c>
      <c r="F47" t="s">
        <v>1258</v>
      </c>
      <c r="G47" t="s">
        <v>1256</v>
      </c>
      <c r="H47" t="s">
        <v>357</v>
      </c>
      <c r="I47" t="s">
        <v>358</v>
      </c>
      <c r="J47" s="4">
        <v>0.52</v>
      </c>
      <c r="K47">
        <f t="shared" si="5"/>
        <v>-31.12582781456954</v>
      </c>
      <c r="L47" s="4">
        <v>0.78500000000000003</v>
      </c>
      <c r="M47" s="4">
        <v>0.3</v>
      </c>
      <c r="N47" t="s">
        <v>355</v>
      </c>
      <c r="P47" t="s">
        <v>359</v>
      </c>
      <c r="R47" s="3">
        <v>0</v>
      </c>
      <c r="S47" t="s">
        <v>1399</v>
      </c>
      <c r="U47" t="s">
        <v>360</v>
      </c>
      <c r="V47" s="3">
        <v>2.1999999999999999E-2</v>
      </c>
      <c r="W47" s="3">
        <v>4.8000000000000001E-2</v>
      </c>
      <c r="X47" t="s">
        <v>361</v>
      </c>
      <c r="Y47" s="3">
        <v>-26.218</v>
      </c>
      <c r="Z47" s="3">
        <v>6.2839999999999998</v>
      </c>
      <c r="AB47" s="3">
        <v>-5.2469999999999999</v>
      </c>
    </row>
    <row r="48" spans="1:29" x14ac:dyDescent="0.3">
      <c r="A48" s="2">
        <v>45786</v>
      </c>
      <c r="B48" t="s">
        <v>120</v>
      </c>
      <c r="C48">
        <v>1.865</v>
      </c>
      <c r="D48" t="s">
        <v>1255</v>
      </c>
      <c r="E48" t="s">
        <v>1261</v>
      </c>
      <c r="F48" t="s">
        <v>1258</v>
      </c>
      <c r="G48" t="s">
        <v>1256</v>
      </c>
      <c r="H48" t="s">
        <v>362</v>
      </c>
      <c r="I48" t="s">
        <v>22</v>
      </c>
      <c r="J48" s="4">
        <v>2.38</v>
      </c>
      <c r="K48">
        <f t="shared" si="5"/>
        <v>27.613941018766752</v>
      </c>
      <c r="L48" s="4">
        <v>2.86</v>
      </c>
      <c r="M48" s="4">
        <v>1.395</v>
      </c>
      <c r="N48" t="s">
        <v>1242</v>
      </c>
      <c r="O48" s="3">
        <v>1</v>
      </c>
      <c r="P48" t="s">
        <v>364</v>
      </c>
      <c r="Q48" t="s">
        <v>1438</v>
      </c>
      <c r="R48" s="3">
        <v>3.7999999999999999E-2</v>
      </c>
      <c r="S48" t="s">
        <v>1515</v>
      </c>
      <c r="T48" t="s">
        <v>1534</v>
      </c>
      <c r="U48" t="s">
        <v>1439</v>
      </c>
      <c r="V48" s="3">
        <v>25.291</v>
      </c>
      <c r="X48" t="s">
        <v>1440</v>
      </c>
      <c r="Y48" s="3">
        <v>3.6999999999999998E-2</v>
      </c>
      <c r="Z48" s="3">
        <v>0.03</v>
      </c>
      <c r="AA48" s="3">
        <v>-3.6999999999999998E-2</v>
      </c>
      <c r="AB48" s="3">
        <v>0.16800000000000001</v>
      </c>
    </row>
    <row r="49" spans="1:28" x14ac:dyDescent="0.3">
      <c r="A49" s="2">
        <v>45786</v>
      </c>
      <c r="B49" t="s">
        <v>121</v>
      </c>
      <c r="C49">
        <v>7.29</v>
      </c>
      <c r="D49" t="s">
        <v>1255</v>
      </c>
      <c r="E49" t="s">
        <v>1261</v>
      </c>
      <c r="F49" t="s">
        <v>1258</v>
      </c>
      <c r="G49" t="s">
        <v>1256</v>
      </c>
      <c r="H49" t="s">
        <v>365</v>
      </c>
      <c r="I49" t="s">
        <v>358</v>
      </c>
      <c r="J49" s="4">
        <v>9.2200000000000006</v>
      </c>
      <c r="K49">
        <f t="shared" si="5"/>
        <v>26.474622770919076</v>
      </c>
      <c r="L49" s="4">
        <v>9.4</v>
      </c>
      <c r="M49" s="4">
        <v>5.73</v>
      </c>
      <c r="N49" t="s">
        <v>1485</v>
      </c>
      <c r="O49" s="3">
        <v>0.7</v>
      </c>
      <c r="P49" t="s">
        <v>1441</v>
      </c>
      <c r="Q49" t="s">
        <v>1442</v>
      </c>
      <c r="R49" s="3">
        <v>1.7999999999999999E-2</v>
      </c>
      <c r="S49" t="s">
        <v>1486</v>
      </c>
      <c r="T49" t="s">
        <v>1487</v>
      </c>
      <c r="U49" t="s">
        <v>1443</v>
      </c>
      <c r="W49" s="3">
        <v>1E-3</v>
      </c>
      <c r="X49" t="s">
        <v>1444</v>
      </c>
      <c r="Y49" s="3">
        <v>3.7999999999999999E-2</v>
      </c>
      <c r="Z49" s="3">
        <v>0.17599999999999999</v>
      </c>
      <c r="AB49" s="3">
        <v>-2.762</v>
      </c>
    </row>
    <row r="50" spans="1:28" x14ac:dyDescent="0.3">
      <c r="A50" s="2">
        <v>45786</v>
      </c>
      <c r="B50" t="s">
        <v>122</v>
      </c>
      <c r="C50">
        <v>3.22</v>
      </c>
      <c r="D50" t="s">
        <v>1255</v>
      </c>
      <c r="E50" t="s">
        <v>1261</v>
      </c>
      <c r="F50" t="s">
        <v>1258</v>
      </c>
      <c r="G50" t="s">
        <v>1256</v>
      </c>
      <c r="H50" t="s">
        <v>366</v>
      </c>
      <c r="I50" t="s">
        <v>342</v>
      </c>
      <c r="J50" s="4">
        <v>3.56</v>
      </c>
      <c r="K50">
        <f t="shared" si="5"/>
        <v>10.559006211180112</v>
      </c>
      <c r="L50" s="4">
        <v>5.19</v>
      </c>
      <c r="M50" s="4">
        <v>1.895</v>
      </c>
      <c r="N50" t="s">
        <v>1262</v>
      </c>
      <c r="P50" t="s">
        <v>367</v>
      </c>
      <c r="Q50" t="s">
        <v>1499</v>
      </c>
      <c r="R50" s="3">
        <v>0</v>
      </c>
      <c r="S50" t="s">
        <v>1264</v>
      </c>
      <c r="U50" t="s">
        <v>1500</v>
      </c>
      <c r="V50" s="3">
        <v>0.251</v>
      </c>
      <c r="W50" s="3">
        <v>2.5999999999999999E-2</v>
      </c>
      <c r="X50" t="s">
        <v>1501</v>
      </c>
      <c r="Y50" s="3">
        <v>0.315</v>
      </c>
      <c r="Z50" s="3">
        <v>2.7029999999999998</v>
      </c>
      <c r="AB50" s="3">
        <v>0.14799999999999999</v>
      </c>
    </row>
    <row r="51" spans="1:28" x14ac:dyDescent="0.3">
      <c r="A51" s="2">
        <v>45786</v>
      </c>
      <c r="B51" t="s">
        <v>123</v>
      </c>
      <c r="C51">
        <v>0.67500000000000004</v>
      </c>
      <c r="D51" t="s">
        <v>1255</v>
      </c>
      <c r="E51" t="s">
        <v>1261</v>
      </c>
      <c r="F51" t="s">
        <v>1258</v>
      </c>
      <c r="G51" t="s">
        <v>1256</v>
      </c>
      <c r="H51" t="s">
        <v>368</v>
      </c>
      <c r="I51" t="s">
        <v>25</v>
      </c>
      <c r="J51" s="4">
        <v>0.67</v>
      </c>
      <c r="K51">
        <f t="shared" si="5"/>
        <v>-0.74074074074074181</v>
      </c>
      <c r="L51" s="4">
        <v>0.72499999999999998</v>
      </c>
      <c r="M51" s="4">
        <v>0.53500000000000003</v>
      </c>
      <c r="N51" t="s">
        <v>348</v>
      </c>
      <c r="O51" s="3">
        <v>0</v>
      </c>
      <c r="P51" t="s">
        <v>369</v>
      </c>
      <c r="Q51" t="s">
        <v>1445</v>
      </c>
      <c r="R51" s="3">
        <v>7.4999999999999997E-2</v>
      </c>
      <c r="S51" t="s">
        <v>1502</v>
      </c>
      <c r="U51" t="s">
        <v>1446</v>
      </c>
      <c r="V51" s="3">
        <v>0.59699999999999998</v>
      </c>
      <c r="W51" s="3">
        <v>1.4E-2</v>
      </c>
      <c r="X51" t="s">
        <v>1447</v>
      </c>
      <c r="Y51" s="3">
        <v>0.504</v>
      </c>
      <c r="Z51" s="3">
        <v>0.22900000000000001</v>
      </c>
      <c r="AA51" s="3">
        <v>-9.6000000000000002E-2</v>
      </c>
      <c r="AB51" s="3">
        <v>5.3999999999999999E-2</v>
      </c>
    </row>
    <row r="52" spans="1:28" x14ac:dyDescent="0.3">
      <c r="A52" s="2">
        <v>45786</v>
      </c>
      <c r="B52" t="s">
        <v>124</v>
      </c>
      <c r="C52">
        <v>1.7649999999999999</v>
      </c>
      <c r="D52" t="s">
        <v>1255</v>
      </c>
      <c r="E52" t="s">
        <v>1261</v>
      </c>
      <c r="F52" t="s">
        <v>1258</v>
      </c>
      <c r="G52" t="s">
        <v>1256</v>
      </c>
      <c r="H52" t="s">
        <v>370</v>
      </c>
      <c r="I52" t="s">
        <v>358</v>
      </c>
      <c r="J52" s="4">
        <v>1.26</v>
      </c>
      <c r="K52">
        <f t="shared" si="5"/>
        <v>-28.611898016997163</v>
      </c>
      <c r="L52" s="4">
        <v>1.855</v>
      </c>
      <c r="M52" s="4">
        <v>0.46</v>
      </c>
      <c r="N52" t="s">
        <v>348</v>
      </c>
      <c r="P52" t="s">
        <v>371</v>
      </c>
      <c r="R52" s="3">
        <v>0</v>
      </c>
      <c r="S52" t="s">
        <v>1374</v>
      </c>
      <c r="U52" t="s">
        <v>372</v>
      </c>
      <c r="W52" s="3">
        <v>7.8E-2</v>
      </c>
      <c r="X52" t="s">
        <v>373</v>
      </c>
      <c r="Y52" s="3">
        <v>-30.948</v>
      </c>
      <c r="Z52" s="3">
        <v>0.113</v>
      </c>
    </row>
    <row r="53" spans="1:28" x14ac:dyDescent="0.3">
      <c r="A53" s="2">
        <v>45786</v>
      </c>
      <c r="B53" t="s">
        <v>125</v>
      </c>
      <c r="C53">
        <v>1.51</v>
      </c>
      <c r="D53" t="s">
        <v>1255</v>
      </c>
      <c r="E53" t="s">
        <v>1261</v>
      </c>
      <c r="F53" t="s">
        <v>1258</v>
      </c>
      <c r="G53" t="s">
        <v>1256</v>
      </c>
      <c r="H53" t="s">
        <v>374</v>
      </c>
      <c r="I53" t="s">
        <v>25</v>
      </c>
      <c r="J53" s="4">
        <v>1.54</v>
      </c>
      <c r="K53">
        <f t="shared" si="5"/>
        <v>1.9867549668874274</v>
      </c>
      <c r="L53" s="4">
        <v>1.615</v>
      </c>
      <c r="M53" s="4">
        <v>1.07</v>
      </c>
      <c r="N53" t="s">
        <v>1419</v>
      </c>
      <c r="O53" s="3">
        <v>0</v>
      </c>
      <c r="P53" t="s">
        <v>375</v>
      </c>
      <c r="Q53" t="s">
        <v>1398</v>
      </c>
      <c r="R53" s="3">
        <v>0.04</v>
      </c>
      <c r="S53" t="s">
        <v>1379</v>
      </c>
      <c r="T53" t="s">
        <v>1420</v>
      </c>
      <c r="U53" t="s">
        <v>1405</v>
      </c>
      <c r="V53" s="3">
        <v>0.49199999999999999</v>
      </c>
      <c r="W53" s="3">
        <v>1.7999999999999999E-2</v>
      </c>
      <c r="X53" t="s">
        <v>351</v>
      </c>
      <c r="Y53" s="3">
        <v>1.169</v>
      </c>
      <c r="Z53" s="3">
        <v>0.13300000000000001</v>
      </c>
      <c r="AA53" s="3">
        <v>0.64200000000000002</v>
      </c>
      <c r="AB53" s="3">
        <v>0.13</v>
      </c>
    </row>
    <row r="54" spans="1:28" x14ac:dyDescent="0.3">
      <c r="A54" s="2">
        <v>45786</v>
      </c>
      <c r="B54" t="s">
        <v>100</v>
      </c>
      <c r="C54">
        <v>1.78</v>
      </c>
      <c r="D54" t="s">
        <v>1255</v>
      </c>
      <c r="E54" t="s">
        <v>1261</v>
      </c>
      <c r="F54" t="s">
        <v>1258</v>
      </c>
      <c r="G54" t="s">
        <v>1256</v>
      </c>
      <c r="H54" t="s">
        <v>376</v>
      </c>
      <c r="I54" t="s">
        <v>342</v>
      </c>
      <c r="J54" s="4">
        <v>4.6399999999999997</v>
      </c>
      <c r="K54">
        <f t="shared" si="5"/>
        <v>160.67415730337075</v>
      </c>
      <c r="L54" s="4">
        <v>4.8</v>
      </c>
      <c r="M54" s="4">
        <v>1.2150000000000001</v>
      </c>
      <c r="N54" t="s">
        <v>1262</v>
      </c>
      <c r="P54" t="s">
        <v>377</v>
      </c>
      <c r="Q54" t="s">
        <v>1503</v>
      </c>
      <c r="R54" s="3">
        <v>0</v>
      </c>
      <c r="S54" t="s">
        <v>1281</v>
      </c>
      <c r="T54" t="s">
        <v>1548</v>
      </c>
      <c r="U54" t="s">
        <v>1504</v>
      </c>
      <c r="V54" s="3">
        <v>0.36599999999999999</v>
      </c>
      <c r="W54" s="3">
        <v>1.2999999999999999E-2</v>
      </c>
      <c r="X54" t="s">
        <v>1448</v>
      </c>
      <c r="Y54" s="3">
        <v>8.6999999999999994E-2</v>
      </c>
      <c r="AB54" s="3">
        <v>0.104</v>
      </c>
    </row>
    <row r="55" spans="1:28" x14ac:dyDescent="0.3">
      <c r="A55" s="2">
        <v>45786</v>
      </c>
      <c r="B55" t="s">
        <v>126</v>
      </c>
      <c r="C55">
        <v>2.62</v>
      </c>
      <c r="D55" t="s">
        <v>1255</v>
      </c>
      <c r="E55" t="s">
        <v>1261</v>
      </c>
      <c r="F55" t="s">
        <v>1258</v>
      </c>
      <c r="G55" t="s">
        <v>1256</v>
      </c>
      <c r="H55" t="s">
        <v>379</v>
      </c>
      <c r="I55" t="s">
        <v>23</v>
      </c>
      <c r="J55" s="4">
        <v>3</v>
      </c>
      <c r="K55">
        <f t="shared" si="5"/>
        <v>14.503816793893121</v>
      </c>
      <c r="L55" s="4">
        <v>3.13</v>
      </c>
      <c r="M55" s="4">
        <v>1.925</v>
      </c>
      <c r="N55" t="s">
        <v>363</v>
      </c>
      <c r="O55" s="3">
        <v>1</v>
      </c>
      <c r="P55" t="s">
        <v>1505</v>
      </c>
      <c r="Q55" t="s">
        <v>1449</v>
      </c>
      <c r="R55" s="3">
        <v>0.06</v>
      </c>
      <c r="S55" t="s">
        <v>390</v>
      </c>
      <c r="T55" t="s">
        <v>1561</v>
      </c>
      <c r="U55" t="s">
        <v>1450</v>
      </c>
      <c r="V55" s="3">
        <v>1.2809999999999999</v>
      </c>
      <c r="W55" s="3">
        <v>1.4E-2</v>
      </c>
      <c r="X55" t="s">
        <v>1451</v>
      </c>
      <c r="Y55" s="3">
        <v>4.9000000000000002E-2</v>
      </c>
      <c r="Z55" s="3">
        <v>8.1000000000000003E-2</v>
      </c>
      <c r="AA55" s="3">
        <v>0.17199999999999999</v>
      </c>
      <c r="AB55" s="3">
        <v>0.22900000000000001</v>
      </c>
    </row>
    <row r="56" spans="1:28" x14ac:dyDescent="0.3">
      <c r="A56" s="2">
        <v>45786</v>
      </c>
      <c r="B56" t="s">
        <v>127</v>
      </c>
      <c r="C56">
        <v>1.595</v>
      </c>
      <c r="D56" t="s">
        <v>1255</v>
      </c>
      <c r="E56" t="s">
        <v>1261</v>
      </c>
      <c r="F56" t="s">
        <v>1258</v>
      </c>
      <c r="G56" t="s">
        <v>1256</v>
      </c>
      <c r="H56" t="s">
        <v>380</v>
      </c>
      <c r="I56" t="s">
        <v>23</v>
      </c>
      <c r="J56" s="4">
        <v>1.42</v>
      </c>
      <c r="K56">
        <f t="shared" si="5"/>
        <v>-10.971786833855802</v>
      </c>
      <c r="L56" s="4">
        <v>1.8049999999999999</v>
      </c>
      <c r="M56" s="4">
        <v>1.07</v>
      </c>
      <c r="N56" t="s">
        <v>1244</v>
      </c>
      <c r="O56" s="3">
        <v>1</v>
      </c>
      <c r="P56" t="s">
        <v>382</v>
      </c>
      <c r="Q56" t="s">
        <v>1421</v>
      </c>
      <c r="R56" s="3">
        <v>0.04</v>
      </c>
      <c r="S56" t="s">
        <v>1506</v>
      </c>
      <c r="T56" t="s">
        <v>1519</v>
      </c>
      <c r="U56" t="s">
        <v>1422</v>
      </c>
      <c r="V56" s="3">
        <v>1.3260000000000001</v>
      </c>
      <c r="W56" s="3">
        <v>7.0000000000000001E-3</v>
      </c>
      <c r="X56" t="s">
        <v>383</v>
      </c>
      <c r="Y56" s="3">
        <v>2.8000000000000001E-2</v>
      </c>
      <c r="Z56" s="3">
        <v>8.1000000000000003E-2</v>
      </c>
      <c r="AB56" s="3">
        <v>2.7E-2</v>
      </c>
    </row>
    <row r="57" spans="1:28" x14ac:dyDescent="0.3">
      <c r="A57" s="2">
        <v>45786</v>
      </c>
      <c r="B57" t="s">
        <v>96</v>
      </c>
      <c r="C57">
        <v>2.81</v>
      </c>
      <c r="D57" t="s">
        <v>1255</v>
      </c>
      <c r="E57" t="s">
        <v>1261</v>
      </c>
      <c r="F57" t="s">
        <v>1258</v>
      </c>
      <c r="G57" t="s">
        <v>1256</v>
      </c>
      <c r="H57" t="s">
        <v>384</v>
      </c>
      <c r="I57" t="s">
        <v>347</v>
      </c>
      <c r="J57" s="4">
        <v>2.95</v>
      </c>
      <c r="K57">
        <f t="shared" si="5"/>
        <v>4.9822064056939563</v>
      </c>
      <c r="L57" s="4">
        <v>3.26</v>
      </c>
      <c r="M57" s="4">
        <v>1.615</v>
      </c>
      <c r="N57" t="s">
        <v>355</v>
      </c>
      <c r="O57" s="3">
        <v>1</v>
      </c>
      <c r="P57" t="s">
        <v>385</v>
      </c>
      <c r="Q57" t="s">
        <v>1452</v>
      </c>
      <c r="R57" s="3">
        <v>8.5000000000000006E-2</v>
      </c>
      <c r="S57" t="s">
        <v>390</v>
      </c>
      <c r="T57" t="s">
        <v>1537</v>
      </c>
      <c r="U57" t="s">
        <v>1453</v>
      </c>
      <c r="V57" s="3">
        <v>0.104</v>
      </c>
      <c r="W57" s="3">
        <v>0.02</v>
      </c>
      <c r="X57" t="s">
        <v>1454</v>
      </c>
      <c r="Y57" s="3">
        <v>2.9000000000000001E-2</v>
      </c>
      <c r="Z57" s="3">
        <v>4.2000000000000003E-2</v>
      </c>
      <c r="AB57" s="3">
        <v>8.7999999999999995E-2</v>
      </c>
    </row>
    <row r="58" spans="1:28" x14ac:dyDescent="0.3">
      <c r="A58" s="2">
        <v>45786</v>
      </c>
      <c r="B58" t="s">
        <v>128</v>
      </c>
      <c r="C58">
        <v>1.35</v>
      </c>
      <c r="D58" t="s">
        <v>1255</v>
      </c>
      <c r="E58" t="s">
        <v>1261</v>
      </c>
      <c r="F58" t="s">
        <v>1258</v>
      </c>
      <c r="G58" t="s">
        <v>1256</v>
      </c>
      <c r="H58" t="s">
        <v>386</v>
      </c>
      <c r="I58" t="s">
        <v>21</v>
      </c>
      <c r="J58" s="4">
        <v>3.22</v>
      </c>
      <c r="K58">
        <f t="shared" si="5"/>
        <v>138.51851851851853</v>
      </c>
      <c r="L58" s="4">
        <v>4.3899999999999997</v>
      </c>
      <c r="M58" s="4">
        <v>0.58499999999999996</v>
      </c>
      <c r="N58" t="s">
        <v>1468</v>
      </c>
      <c r="P58" t="s">
        <v>387</v>
      </c>
      <c r="Q58" t="s">
        <v>1455</v>
      </c>
      <c r="R58" s="3">
        <v>0</v>
      </c>
      <c r="S58" t="s">
        <v>1469</v>
      </c>
      <c r="U58" t="s">
        <v>1456</v>
      </c>
      <c r="V58" s="3">
        <v>2.9000000000000001E-2</v>
      </c>
      <c r="W58" s="3">
        <v>0.127</v>
      </c>
      <c r="X58" t="s">
        <v>388</v>
      </c>
      <c r="Y58" s="3">
        <v>5.2999999999999999E-2</v>
      </c>
      <c r="Z58" s="3">
        <v>0.75700000000000001</v>
      </c>
      <c r="AB58" s="3">
        <v>2.1999999999999999E-2</v>
      </c>
    </row>
    <row r="59" spans="1:28" x14ac:dyDescent="0.3">
      <c r="A59" s="2">
        <v>45702</v>
      </c>
      <c r="B59" t="s">
        <v>129</v>
      </c>
      <c r="C59">
        <v>1.57</v>
      </c>
      <c r="D59" t="s">
        <v>1255</v>
      </c>
      <c r="E59" t="s">
        <v>1261</v>
      </c>
      <c r="F59" t="s">
        <v>1258</v>
      </c>
      <c r="G59" t="s">
        <v>1256</v>
      </c>
      <c r="H59" t="s">
        <v>389</v>
      </c>
      <c r="I59" t="s">
        <v>22</v>
      </c>
      <c r="J59" s="4">
        <v>2.34</v>
      </c>
      <c r="K59">
        <f t="shared" si="5"/>
        <v>49.044585987261136</v>
      </c>
      <c r="L59" s="4">
        <v>2.58</v>
      </c>
      <c r="M59" s="4">
        <v>1.135</v>
      </c>
      <c r="N59" t="s">
        <v>1265</v>
      </c>
      <c r="O59" s="3">
        <v>1</v>
      </c>
      <c r="P59" t="s">
        <v>1538</v>
      </c>
      <c r="Q59" t="s">
        <v>1423</v>
      </c>
      <c r="R59" s="3">
        <v>5.6000000000000001E-2</v>
      </c>
      <c r="S59" t="s">
        <v>1515</v>
      </c>
      <c r="T59" t="s">
        <v>1361</v>
      </c>
      <c r="U59" t="s">
        <v>1424</v>
      </c>
      <c r="V59" s="3">
        <v>20.748999999999999</v>
      </c>
      <c r="X59" t="s">
        <v>392</v>
      </c>
      <c r="Y59" s="3">
        <v>6.6000000000000003E-2</v>
      </c>
      <c r="Z59" s="3">
        <v>0.27</v>
      </c>
      <c r="AA59" s="3">
        <v>-0.10299999999999999</v>
      </c>
      <c r="AB59" s="3">
        <v>0.121</v>
      </c>
    </row>
    <row r="60" spans="1:28" x14ac:dyDescent="0.3">
      <c r="A60" s="2">
        <v>45660</v>
      </c>
      <c r="B60" t="s">
        <v>130</v>
      </c>
      <c r="C60">
        <v>0.53500000000000003</v>
      </c>
      <c r="D60" t="s">
        <v>1255</v>
      </c>
      <c r="E60" t="s">
        <v>1261</v>
      </c>
      <c r="F60" t="s">
        <v>1258</v>
      </c>
      <c r="G60" t="s">
        <v>1256</v>
      </c>
      <c r="H60" t="s">
        <v>393</v>
      </c>
      <c r="I60" t="s">
        <v>21</v>
      </c>
      <c r="J60" s="4">
        <v>0.51</v>
      </c>
      <c r="K60">
        <f t="shared" si="5"/>
        <v>-4.6728971962616832</v>
      </c>
      <c r="L60" s="4">
        <v>0.56999999999999995</v>
      </c>
      <c r="M60" s="4">
        <v>0.48499999999999999</v>
      </c>
      <c r="N60" t="s">
        <v>1549</v>
      </c>
      <c r="O60" s="3">
        <v>0</v>
      </c>
      <c r="P60" t="s">
        <v>394</v>
      </c>
      <c r="Q60" t="s">
        <v>1457</v>
      </c>
      <c r="R60" s="3">
        <v>3.6999999999999998E-2</v>
      </c>
      <c r="S60" t="s">
        <v>391</v>
      </c>
      <c r="T60" t="s">
        <v>1557</v>
      </c>
      <c r="U60" t="s">
        <v>1458</v>
      </c>
      <c r="V60" s="3">
        <v>1.458</v>
      </c>
      <c r="W60" s="3">
        <v>6.0000000000000001E-3</v>
      </c>
      <c r="X60" t="s">
        <v>1459</v>
      </c>
      <c r="Y60" s="3">
        <v>1.9E-2</v>
      </c>
      <c r="Z60" s="3">
        <v>0.35199999999999998</v>
      </c>
      <c r="AB60" s="3">
        <v>6.4000000000000001E-2</v>
      </c>
    </row>
    <row r="61" spans="1:28" x14ac:dyDescent="0.3">
      <c r="A61" s="2">
        <v>45791</v>
      </c>
      <c r="B61" t="s">
        <v>132</v>
      </c>
      <c r="C61">
        <v>5.88</v>
      </c>
      <c r="D61" t="s">
        <v>1254</v>
      </c>
      <c r="E61" t="s">
        <v>1257</v>
      </c>
      <c r="F61" t="s">
        <v>1375</v>
      </c>
      <c r="G61" t="s">
        <v>1256</v>
      </c>
      <c r="H61" t="s">
        <v>678</v>
      </c>
      <c r="I61" t="s">
        <v>1267</v>
      </c>
      <c r="J61" s="4">
        <v>5.88</v>
      </c>
      <c r="K61">
        <f t="shared" si="5"/>
        <v>0</v>
      </c>
      <c r="L61" s="4">
        <v>5.89</v>
      </c>
      <c r="M61" s="4">
        <v>2.5</v>
      </c>
      <c r="N61" t="s">
        <v>348</v>
      </c>
      <c r="P61" t="s">
        <v>1268</v>
      </c>
      <c r="Q61" t="s">
        <v>1269</v>
      </c>
      <c r="R61" s="3">
        <v>0</v>
      </c>
      <c r="S61" t="s">
        <v>1270</v>
      </c>
      <c r="T61" t="s">
        <v>1271</v>
      </c>
      <c r="U61" t="s">
        <v>1272</v>
      </c>
      <c r="V61" s="3">
        <v>1.7999999999999999E-2</v>
      </c>
      <c r="W61" s="3">
        <v>0.06</v>
      </c>
      <c r="X61" t="s">
        <v>1273</v>
      </c>
      <c r="Y61" s="3">
        <v>0.02</v>
      </c>
      <c r="Z61" s="3">
        <v>0.53200000000000003</v>
      </c>
      <c r="AB61" s="3">
        <v>2.8000000000000001E-2</v>
      </c>
    </row>
    <row r="62" spans="1:28" x14ac:dyDescent="0.3">
      <c r="A62" s="2">
        <v>45764</v>
      </c>
      <c r="B62" t="s">
        <v>133</v>
      </c>
      <c r="C62">
        <v>1.2949999999999999</v>
      </c>
      <c r="D62" t="s">
        <v>1254</v>
      </c>
      <c r="E62" t="s">
        <v>1260</v>
      </c>
      <c r="F62" t="s">
        <v>1375</v>
      </c>
      <c r="G62" t="s">
        <v>1259</v>
      </c>
      <c r="H62" t="s">
        <v>679</v>
      </c>
      <c r="I62" t="s">
        <v>22</v>
      </c>
      <c r="J62" s="4">
        <v>1.38</v>
      </c>
      <c r="K62">
        <f t="shared" si="5"/>
        <v>6.5637065637065506</v>
      </c>
      <c r="L62" s="4">
        <v>1.9450000000000001</v>
      </c>
      <c r="M62" s="4">
        <v>0.81499999999999995</v>
      </c>
      <c r="N62" t="s">
        <v>348</v>
      </c>
      <c r="O62" s="3">
        <v>1</v>
      </c>
      <c r="P62" t="s">
        <v>1274</v>
      </c>
      <c r="R62" s="3">
        <v>0</v>
      </c>
      <c r="S62" t="s">
        <v>1275</v>
      </c>
      <c r="U62" t="s">
        <v>1276</v>
      </c>
      <c r="V62" s="3">
        <v>1.077</v>
      </c>
      <c r="W62" s="3">
        <v>3.9E-2</v>
      </c>
      <c r="X62" t="s">
        <v>1277</v>
      </c>
      <c r="Y62" s="3">
        <v>0.14000000000000001</v>
      </c>
      <c r="Z62" s="3">
        <v>0.73199999999999998</v>
      </c>
      <c r="AB62" s="3">
        <v>-0.26500000000000001</v>
      </c>
    </row>
    <row r="63" spans="1:28" x14ac:dyDescent="0.3">
      <c r="A63" s="2">
        <v>45764</v>
      </c>
      <c r="B63" t="s">
        <v>134</v>
      </c>
      <c r="C63">
        <v>6.04</v>
      </c>
      <c r="D63" t="s">
        <v>1254</v>
      </c>
      <c r="E63" t="s">
        <v>1260</v>
      </c>
      <c r="F63" t="s">
        <v>1375</v>
      </c>
      <c r="G63" t="s">
        <v>1259</v>
      </c>
      <c r="H63" t="s">
        <v>680</v>
      </c>
      <c r="I63" t="s">
        <v>25</v>
      </c>
      <c r="J63" s="4">
        <v>7.2</v>
      </c>
      <c r="K63">
        <f t="shared" si="5"/>
        <v>19.205298013245041</v>
      </c>
      <c r="L63" s="4">
        <v>7.44</v>
      </c>
      <c r="M63" s="4">
        <v>5.46</v>
      </c>
      <c r="N63" t="s">
        <v>1278</v>
      </c>
      <c r="O63" s="3">
        <v>0</v>
      </c>
      <c r="P63" t="s">
        <v>1279</v>
      </c>
      <c r="Q63" t="s">
        <v>1280</v>
      </c>
      <c r="R63" s="3">
        <v>0</v>
      </c>
      <c r="S63" t="s">
        <v>1281</v>
      </c>
      <c r="T63" t="s">
        <v>1282</v>
      </c>
      <c r="U63" t="s">
        <v>1283</v>
      </c>
      <c r="V63" s="3">
        <v>1.546</v>
      </c>
      <c r="W63" s="3">
        <v>1.4E-2</v>
      </c>
      <c r="X63" t="s">
        <v>1284</v>
      </c>
      <c r="Y63" s="3">
        <v>8.5000000000000006E-2</v>
      </c>
      <c r="Z63" s="3">
        <v>8.8999999999999996E-2</v>
      </c>
      <c r="AB63" s="3">
        <v>3.0000000000000001E-3</v>
      </c>
    </row>
    <row r="64" spans="1:28" x14ac:dyDescent="0.3">
      <c r="A64" s="2">
        <v>45758</v>
      </c>
      <c r="B64" t="s">
        <v>135</v>
      </c>
      <c r="C64">
        <v>15.01</v>
      </c>
      <c r="D64" t="s">
        <v>1254</v>
      </c>
      <c r="E64" t="s">
        <v>1260</v>
      </c>
      <c r="F64" t="s">
        <v>1375</v>
      </c>
      <c r="G64" t="s">
        <v>1259</v>
      </c>
      <c r="H64" t="s">
        <v>681</v>
      </c>
      <c r="I64" t="s">
        <v>347</v>
      </c>
      <c r="J64" s="4">
        <v>18.850000000000001</v>
      </c>
      <c r="K64">
        <f t="shared" si="5"/>
        <v>25.582944703530998</v>
      </c>
      <c r="L64" s="4">
        <v>19.62</v>
      </c>
      <c r="M64" s="4">
        <v>13</v>
      </c>
      <c r="N64" t="s">
        <v>1252</v>
      </c>
      <c r="O64" s="3">
        <v>1</v>
      </c>
      <c r="P64" t="s">
        <v>1285</v>
      </c>
      <c r="Q64" t="s">
        <v>1286</v>
      </c>
      <c r="R64" s="3">
        <v>3.3000000000000002E-2</v>
      </c>
      <c r="S64" t="s">
        <v>1287</v>
      </c>
      <c r="T64" t="s">
        <v>1288</v>
      </c>
      <c r="U64" t="s">
        <v>1289</v>
      </c>
      <c r="V64" s="3">
        <v>1.151</v>
      </c>
      <c r="W64" s="3">
        <v>0.01</v>
      </c>
      <c r="X64" t="s">
        <v>1290</v>
      </c>
      <c r="Y64" s="3">
        <v>0.13700000000000001</v>
      </c>
      <c r="Z64" s="3">
        <v>7.9000000000000001E-2</v>
      </c>
      <c r="AA64" s="3">
        <v>-1.7000000000000001E-2</v>
      </c>
      <c r="AB64" s="3">
        <v>0.29499999999999998</v>
      </c>
    </row>
    <row r="65" spans="1:28" x14ac:dyDescent="0.3">
      <c r="A65" s="2">
        <v>45758</v>
      </c>
      <c r="B65" t="s">
        <v>114</v>
      </c>
      <c r="C65">
        <v>2.42</v>
      </c>
      <c r="D65" t="s">
        <v>1254</v>
      </c>
      <c r="E65" t="s">
        <v>1260</v>
      </c>
      <c r="F65" t="s">
        <v>1375</v>
      </c>
      <c r="G65" t="s">
        <v>1259</v>
      </c>
      <c r="H65" t="s">
        <v>341</v>
      </c>
      <c r="I65" t="s">
        <v>342</v>
      </c>
      <c r="J65" s="4">
        <v>3.03</v>
      </c>
      <c r="K65">
        <f t="shared" si="5"/>
        <v>25.206611570247929</v>
      </c>
      <c r="L65" s="4">
        <v>4.05</v>
      </c>
      <c r="M65" s="4">
        <v>1.325</v>
      </c>
      <c r="N65" t="s">
        <v>1262</v>
      </c>
      <c r="P65" t="s">
        <v>343</v>
      </c>
      <c r="R65" s="3">
        <v>0</v>
      </c>
      <c r="S65" t="s">
        <v>1246</v>
      </c>
      <c r="U65" t="s">
        <v>344</v>
      </c>
      <c r="V65" s="3">
        <v>0.151</v>
      </c>
      <c r="W65" s="3">
        <v>1.4999999999999999E-2</v>
      </c>
      <c r="X65" t="s">
        <v>345</v>
      </c>
      <c r="Y65" s="3">
        <v>-9.2999999999999999E-2</v>
      </c>
      <c r="Z65" s="3">
        <v>0.377</v>
      </c>
      <c r="AB65" s="3">
        <v>-6.9000000000000006E-2</v>
      </c>
    </row>
    <row r="66" spans="1:28" x14ac:dyDescent="0.3">
      <c r="A66" s="2">
        <v>45751</v>
      </c>
      <c r="B66" t="s">
        <v>136</v>
      </c>
      <c r="C66">
        <v>1.79</v>
      </c>
      <c r="D66" t="s">
        <v>1254</v>
      </c>
      <c r="E66" t="s">
        <v>1260</v>
      </c>
      <c r="F66" t="s">
        <v>1375</v>
      </c>
      <c r="G66" t="s">
        <v>1259</v>
      </c>
      <c r="H66" t="s">
        <v>682</v>
      </c>
      <c r="I66" t="s">
        <v>358</v>
      </c>
      <c r="J66" s="4">
        <v>1.1499999999999999</v>
      </c>
      <c r="K66">
        <f t="shared" si="5"/>
        <v>-35.754189944134083</v>
      </c>
      <c r="L66" s="4">
        <v>2.08</v>
      </c>
      <c r="M66" s="4">
        <v>0.82</v>
      </c>
      <c r="N66" t="s">
        <v>363</v>
      </c>
      <c r="P66" t="s">
        <v>1291</v>
      </c>
      <c r="R66" s="3">
        <v>0</v>
      </c>
      <c r="U66" t="s">
        <v>1292</v>
      </c>
      <c r="V66" s="3">
        <v>2.7770000000000001</v>
      </c>
      <c r="W66" s="3">
        <v>7.9000000000000001E-2</v>
      </c>
      <c r="X66" t="s">
        <v>1293</v>
      </c>
      <c r="AB66" s="3">
        <v>-1.4730000000000001</v>
      </c>
    </row>
    <row r="67" spans="1:28" x14ac:dyDescent="0.3">
      <c r="A67" s="2">
        <v>45751</v>
      </c>
      <c r="B67" t="s">
        <v>137</v>
      </c>
      <c r="C67">
        <v>5.49</v>
      </c>
      <c r="D67" t="s">
        <v>1254</v>
      </c>
      <c r="E67" t="s">
        <v>1260</v>
      </c>
      <c r="F67" t="s">
        <v>1375</v>
      </c>
      <c r="G67" t="s">
        <v>1259</v>
      </c>
      <c r="H67" t="s">
        <v>683</v>
      </c>
      <c r="I67" t="s">
        <v>23</v>
      </c>
      <c r="J67" s="4">
        <v>5.51</v>
      </c>
      <c r="K67">
        <f t="shared" si="5"/>
        <v>0.36429872495444826</v>
      </c>
      <c r="L67" s="4">
        <v>6.89</v>
      </c>
      <c r="M67" s="4">
        <v>3.98</v>
      </c>
      <c r="N67" t="s">
        <v>1294</v>
      </c>
      <c r="P67" t="s">
        <v>1295</v>
      </c>
      <c r="Q67" t="s">
        <v>1296</v>
      </c>
      <c r="R67" s="3">
        <v>0</v>
      </c>
      <c r="S67" t="s">
        <v>1297</v>
      </c>
      <c r="T67" t="s">
        <v>1298</v>
      </c>
      <c r="U67" t="s">
        <v>1299</v>
      </c>
      <c r="V67" s="3">
        <v>3.0000000000000001E-3</v>
      </c>
      <c r="W67" s="3">
        <v>1.7000000000000001E-2</v>
      </c>
      <c r="X67" t="s">
        <v>1300</v>
      </c>
      <c r="Y67" s="3">
        <v>1.6E-2</v>
      </c>
      <c r="AB67" s="3">
        <v>5.0000000000000001E-3</v>
      </c>
    </row>
    <row r="68" spans="1:28" x14ac:dyDescent="0.3">
      <c r="A68" s="2">
        <v>45737</v>
      </c>
      <c r="B68" t="s">
        <v>138</v>
      </c>
      <c r="C68">
        <v>1.7050000000000001</v>
      </c>
      <c r="D68" t="s">
        <v>1254</v>
      </c>
      <c r="E68" t="s">
        <v>1260</v>
      </c>
      <c r="F68" t="s">
        <v>1375</v>
      </c>
      <c r="G68" t="s">
        <v>1259</v>
      </c>
      <c r="H68" t="s">
        <v>684</v>
      </c>
      <c r="I68" t="s">
        <v>347</v>
      </c>
      <c r="J68" s="4">
        <v>1.85</v>
      </c>
      <c r="K68">
        <f t="shared" si="5"/>
        <v>8.5043988269794646</v>
      </c>
      <c r="L68" s="4">
        <v>2.06</v>
      </c>
      <c r="M68" s="4">
        <v>1.2450000000000001</v>
      </c>
      <c r="N68" t="s">
        <v>1243</v>
      </c>
      <c r="O68" s="3">
        <v>1</v>
      </c>
      <c r="P68" t="s">
        <v>1301</v>
      </c>
      <c r="Q68" t="s">
        <v>1302</v>
      </c>
      <c r="R68" s="3">
        <v>0</v>
      </c>
      <c r="S68" t="s">
        <v>390</v>
      </c>
      <c r="T68" t="s">
        <v>1303</v>
      </c>
      <c r="U68" t="s">
        <v>1304</v>
      </c>
      <c r="V68" s="3">
        <v>1.577</v>
      </c>
      <c r="W68" s="3">
        <v>1.2E-2</v>
      </c>
      <c r="X68" t="s">
        <v>1305</v>
      </c>
      <c r="Y68" s="3">
        <v>6.0000000000000001E-3</v>
      </c>
      <c r="Z68" s="3">
        <v>2.1000000000000001E-2</v>
      </c>
      <c r="AA68" s="3">
        <v>-0.54100000000000004</v>
      </c>
      <c r="AB68" s="3">
        <v>2.8000000000000001E-2</v>
      </c>
    </row>
    <row r="69" spans="1:28" x14ac:dyDescent="0.3">
      <c r="A69" s="2">
        <v>45737</v>
      </c>
      <c r="B69" t="s">
        <v>139</v>
      </c>
      <c r="C69">
        <v>11.72</v>
      </c>
      <c r="D69" t="s">
        <v>1254</v>
      </c>
      <c r="E69" t="s">
        <v>1260</v>
      </c>
      <c r="F69" t="s">
        <v>1375</v>
      </c>
      <c r="G69" t="s">
        <v>1259</v>
      </c>
      <c r="H69" t="s">
        <v>685</v>
      </c>
      <c r="I69" t="s">
        <v>21</v>
      </c>
      <c r="J69" s="4">
        <v>10.96</v>
      </c>
      <c r="K69">
        <f t="shared" si="5"/>
        <v>-6.4846416382252521</v>
      </c>
      <c r="L69" s="4">
        <v>13.6</v>
      </c>
      <c r="M69" s="4">
        <v>7.06</v>
      </c>
      <c r="N69" t="s">
        <v>363</v>
      </c>
      <c r="O69" s="3">
        <v>1</v>
      </c>
      <c r="P69" t="s">
        <v>1306</v>
      </c>
      <c r="Q69" t="s">
        <v>1307</v>
      </c>
      <c r="R69" s="3">
        <v>0</v>
      </c>
      <c r="S69" t="s">
        <v>1308</v>
      </c>
      <c r="T69" t="s">
        <v>1309</v>
      </c>
      <c r="U69" t="s">
        <v>1310</v>
      </c>
      <c r="V69" s="3">
        <v>3.8769999999999998</v>
      </c>
      <c r="W69" s="3">
        <v>8.0000000000000002E-3</v>
      </c>
      <c r="X69" t="s">
        <v>1311</v>
      </c>
      <c r="Y69" s="3">
        <v>0.124</v>
      </c>
      <c r="Z69" s="3">
        <v>0.30299999999999999</v>
      </c>
      <c r="AA69" s="3">
        <v>-0.15</v>
      </c>
      <c r="AB69" s="3">
        <v>0.16500000000000001</v>
      </c>
    </row>
    <row r="70" spans="1:28" x14ac:dyDescent="0.3">
      <c r="A70" s="2">
        <v>45737</v>
      </c>
      <c r="B70" t="s">
        <v>140</v>
      </c>
      <c r="C70">
        <v>7.41</v>
      </c>
      <c r="D70" t="s">
        <v>1254</v>
      </c>
      <c r="E70" t="s">
        <v>1260</v>
      </c>
      <c r="F70" t="s">
        <v>1375</v>
      </c>
      <c r="G70" t="s">
        <v>1259</v>
      </c>
      <c r="H70" t="s">
        <v>686</v>
      </c>
      <c r="I70" t="s">
        <v>22</v>
      </c>
      <c r="J70" s="4">
        <v>7.94</v>
      </c>
      <c r="K70">
        <f t="shared" si="5"/>
        <v>7.1524966261808487</v>
      </c>
      <c r="L70" s="4">
        <v>8.4499999999999993</v>
      </c>
      <c r="M70" s="4">
        <v>3.81</v>
      </c>
      <c r="N70" t="s">
        <v>1312</v>
      </c>
      <c r="O70" s="3">
        <v>1</v>
      </c>
      <c r="P70" t="s">
        <v>1313</v>
      </c>
      <c r="Q70" t="s">
        <v>1314</v>
      </c>
      <c r="R70" s="3">
        <v>2.5000000000000001E-2</v>
      </c>
      <c r="S70" t="s">
        <v>1315</v>
      </c>
      <c r="U70" t="s">
        <v>1316</v>
      </c>
      <c r="V70" s="3">
        <v>10.917999999999999</v>
      </c>
      <c r="W70" s="3">
        <v>3.0000000000000001E-3</v>
      </c>
      <c r="X70" t="s">
        <v>1317</v>
      </c>
      <c r="Y70" s="3">
        <v>3.5000000000000003E-2</v>
      </c>
      <c r="Z70" s="3">
        <v>0.72499999999999998</v>
      </c>
      <c r="AA70" s="3">
        <v>5.7000000000000002E-2</v>
      </c>
      <c r="AB70" s="3">
        <v>0.10299999999999999</v>
      </c>
    </row>
    <row r="71" spans="1:28" x14ac:dyDescent="0.3">
      <c r="A71" s="2">
        <v>45730</v>
      </c>
      <c r="B71" t="s">
        <v>141</v>
      </c>
      <c r="C71">
        <v>1.0249999999999999</v>
      </c>
      <c r="D71" t="s">
        <v>1254</v>
      </c>
      <c r="E71" t="s">
        <v>1260</v>
      </c>
      <c r="F71" t="s">
        <v>1375</v>
      </c>
      <c r="G71" t="s">
        <v>1259</v>
      </c>
      <c r="H71" t="s">
        <v>687</v>
      </c>
      <c r="I71" t="s">
        <v>21</v>
      </c>
      <c r="J71" s="4">
        <v>0.98</v>
      </c>
      <c r="K71">
        <f t="shared" si="5"/>
        <v>-4.3902439024390176</v>
      </c>
      <c r="L71" s="4">
        <v>1.165</v>
      </c>
      <c r="M71" s="4">
        <v>0.86499999999999999</v>
      </c>
      <c r="N71" t="s">
        <v>355</v>
      </c>
      <c r="O71" s="3">
        <v>1</v>
      </c>
      <c r="P71" t="s">
        <v>1318</v>
      </c>
      <c r="Q71" t="s">
        <v>1319</v>
      </c>
      <c r="R71" s="3">
        <v>0.06</v>
      </c>
      <c r="S71" t="s">
        <v>1320</v>
      </c>
      <c r="U71" t="s">
        <v>1321</v>
      </c>
      <c r="V71" s="3">
        <v>0.91100000000000003</v>
      </c>
      <c r="W71" s="3">
        <v>1.2E-2</v>
      </c>
      <c r="X71" t="s">
        <v>1322</v>
      </c>
      <c r="Y71" s="3">
        <v>0.104</v>
      </c>
      <c r="Z71" s="3">
        <v>0.26900000000000002</v>
      </c>
      <c r="AA71" s="3">
        <v>0.69499999999999995</v>
      </c>
      <c r="AB71" s="3">
        <v>0.16800000000000001</v>
      </c>
    </row>
    <row r="72" spans="1:28" x14ac:dyDescent="0.3">
      <c r="A72" s="2">
        <v>45730</v>
      </c>
      <c r="B72" t="s">
        <v>142</v>
      </c>
      <c r="C72">
        <v>16</v>
      </c>
      <c r="D72" t="s">
        <v>1254</v>
      </c>
      <c r="E72" t="s">
        <v>1260</v>
      </c>
      <c r="F72" t="s">
        <v>1375</v>
      </c>
      <c r="G72" t="s">
        <v>1259</v>
      </c>
      <c r="H72" t="s">
        <v>688</v>
      </c>
      <c r="I72" t="s">
        <v>347</v>
      </c>
      <c r="J72" s="4">
        <v>21.8</v>
      </c>
      <c r="K72">
        <f t="shared" si="5"/>
        <v>36.250000000000007</v>
      </c>
      <c r="L72" s="4">
        <v>23.93</v>
      </c>
      <c r="M72" s="4">
        <v>8.7899999999999991</v>
      </c>
      <c r="N72" t="s">
        <v>1323</v>
      </c>
      <c r="P72" t="s">
        <v>1324</v>
      </c>
      <c r="Q72" t="s">
        <v>1325</v>
      </c>
      <c r="R72" s="3">
        <v>0</v>
      </c>
      <c r="S72" t="s">
        <v>1264</v>
      </c>
      <c r="T72" t="s">
        <v>1326</v>
      </c>
      <c r="U72" t="s">
        <v>1327</v>
      </c>
      <c r="V72" s="3">
        <v>0.16600000000000001</v>
      </c>
      <c r="W72" s="3">
        <v>1.7999999999999999E-2</v>
      </c>
      <c r="X72" t="s">
        <v>1328</v>
      </c>
      <c r="Y72" s="3">
        <v>1.2E-2</v>
      </c>
      <c r="Z72" s="3">
        <v>0.151</v>
      </c>
      <c r="AA72" s="3">
        <v>-0.49</v>
      </c>
      <c r="AB72" s="3">
        <v>5.7000000000000002E-2</v>
      </c>
    </row>
    <row r="73" spans="1:28" x14ac:dyDescent="0.3">
      <c r="A73" s="2">
        <v>45723</v>
      </c>
      <c r="B73" t="s">
        <v>143</v>
      </c>
      <c r="C73">
        <v>3.1</v>
      </c>
      <c r="D73" t="s">
        <v>1254</v>
      </c>
      <c r="E73" t="s">
        <v>1260</v>
      </c>
      <c r="F73" t="s">
        <v>1375</v>
      </c>
      <c r="G73" t="s">
        <v>1259</v>
      </c>
      <c r="H73" t="s">
        <v>689</v>
      </c>
      <c r="I73" t="s">
        <v>358</v>
      </c>
      <c r="J73" s="4">
        <v>2.76</v>
      </c>
      <c r="K73">
        <f t="shared" si="5"/>
        <v>-10.967741935483877</v>
      </c>
      <c r="L73" s="4">
        <v>3.81</v>
      </c>
      <c r="M73" s="4">
        <v>2.2400000000000002</v>
      </c>
      <c r="N73" t="s">
        <v>363</v>
      </c>
      <c r="O73" s="3">
        <v>1</v>
      </c>
      <c r="P73" t="s">
        <v>1329</v>
      </c>
      <c r="Q73" t="s">
        <v>1330</v>
      </c>
      <c r="R73" s="3">
        <v>4.4999999999999998E-2</v>
      </c>
      <c r="S73" t="s">
        <v>1331</v>
      </c>
      <c r="T73" t="s">
        <v>1332</v>
      </c>
      <c r="U73" t="s">
        <v>1333</v>
      </c>
      <c r="V73" s="3">
        <v>1.869</v>
      </c>
      <c r="W73" s="3">
        <v>6.0000000000000001E-3</v>
      </c>
      <c r="X73" t="s">
        <v>1334</v>
      </c>
      <c r="Y73" s="3">
        <v>4.2999999999999997E-2</v>
      </c>
      <c r="Z73" s="3">
        <v>2.5000000000000001E-2</v>
      </c>
      <c r="AA73" s="3">
        <v>-0.26200000000000001</v>
      </c>
      <c r="AB73" s="3">
        <v>0.184</v>
      </c>
    </row>
    <row r="74" spans="1:28" x14ac:dyDescent="0.3">
      <c r="A74" s="2">
        <v>45723</v>
      </c>
      <c r="B74" t="s">
        <v>144</v>
      </c>
      <c r="C74">
        <v>2.13</v>
      </c>
      <c r="D74" t="s">
        <v>1254</v>
      </c>
      <c r="E74" t="s">
        <v>1260</v>
      </c>
      <c r="F74" t="s">
        <v>1375</v>
      </c>
      <c r="G74" t="s">
        <v>1259</v>
      </c>
      <c r="H74" t="s">
        <v>690</v>
      </c>
      <c r="I74" t="s">
        <v>358</v>
      </c>
      <c r="J74" s="4">
        <v>2.6</v>
      </c>
      <c r="K74">
        <f t="shared" si="5"/>
        <v>22.065727699530523</v>
      </c>
      <c r="L74" s="4">
        <v>3.16</v>
      </c>
      <c r="M74" s="4">
        <v>1.89</v>
      </c>
      <c r="N74" t="s">
        <v>1265</v>
      </c>
      <c r="O74" s="3">
        <v>1</v>
      </c>
      <c r="P74" t="s">
        <v>1335</v>
      </c>
      <c r="Q74" t="s">
        <v>1336</v>
      </c>
      <c r="R74" s="3">
        <v>2.1999999999999999E-2</v>
      </c>
      <c r="S74" t="s">
        <v>1263</v>
      </c>
      <c r="T74" t="s">
        <v>1337</v>
      </c>
      <c r="U74" t="s">
        <v>1338</v>
      </c>
      <c r="V74" s="3">
        <v>0.76800000000000002</v>
      </c>
      <c r="W74" s="3">
        <v>6.0000000000000001E-3</v>
      </c>
      <c r="X74" t="s">
        <v>1339</v>
      </c>
      <c r="Y74" s="3">
        <v>1.2E-2</v>
      </c>
      <c r="Z74" s="3">
        <v>0.10199999999999999</v>
      </c>
      <c r="AB74" s="3">
        <v>1.0999999999999999E-2</v>
      </c>
    </row>
    <row r="75" spans="1:28" x14ac:dyDescent="0.3">
      <c r="A75" s="2">
        <v>45723</v>
      </c>
      <c r="B75" t="s">
        <v>90</v>
      </c>
      <c r="C75">
        <v>4.5599999999999996</v>
      </c>
      <c r="D75" t="s">
        <v>1254</v>
      </c>
      <c r="E75" t="s">
        <v>1260</v>
      </c>
      <c r="F75" t="s">
        <v>1375</v>
      </c>
      <c r="G75" t="s">
        <v>1259</v>
      </c>
      <c r="H75" t="s">
        <v>691</v>
      </c>
      <c r="I75" t="s">
        <v>1340</v>
      </c>
      <c r="J75" s="4">
        <v>3.91</v>
      </c>
      <c r="K75">
        <f t="shared" si="5"/>
        <v>-14.254385964912275</v>
      </c>
      <c r="L75" s="4">
        <v>5.45</v>
      </c>
      <c r="M75" s="4">
        <v>3.42</v>
      </c>
      <c r="N75" t="s">
        <v>1242</v>
      </c>
      <c r="O75" s="3">
        <v>1</v>
      </c>
      <c r="P75" t="s">
        <v>1341</v>
      </c>
      <c r="Q75" t="s">
        <v>1342</v>
      </c>
      <c r="R75" s="3">
        <v>0</v>
      </c>
      <c r="S75" t="s">
        <v>1343</v>
      </c>
      <c r="U75" t="s">
        <v>1344</v>
      </c>
      <c r="V75" s="3">
        <v>0.77</v>
      </c>
      <c r="W75" s="3">
        <v>2.1000000000000001E-2</v>
      </c>
      <c r="X75" t="s">
        <v>1345</v>
      </c>
      <c r="Y75" s="3">
        <v>8.5999999999999993E-2</v>
      </c>
      <c r="Z75" s="3">
        <v>0.13800000000000001</v>
      </c>
      <c r="AA75" s="3">
        <v>-0.61099999999999999</v>
      </c>
      <c r="AB75" s="3">
        <v>7.0000000000000007E-2</v>
      </c>
    </row>
    <row r="76" spans="1:28" x14ac:dyDescent="0.3">
      <c r="A76" s="2">
        <v>45716</v>
      </c>
      <c r="B76" t="s">
        <v>145</v>
      </c>
      <c r="C76">
        <v>4.76</v>
      </c>
      <c r="D76" t="s">
        <v>1254</v>
      </c>
      <c r="E76" t="s">
        <v>1260</v>
      </c>
      <c r="F76" t="s">
        <v>1375</v>
      </c>
      <c r="G76" t="s">
        <v>1259</v>
      </c>
      <c r="H76" t="s">
        <v>692</v>
      </c>
      <c r="I76" t="s">
        <v>21</v>
      </c>
      <c r="J76" s="4">
        <v>3.97</v>
      </c>
      <c r="K76">
        <f t="shared" si="5"/>
        <v>-16.596638655462183</v>
      </c>
      <c r="L76" s="4">
        <v>6.62</v>
      </c>
      <c r="M76" s="4">
        <v>2.2799999999999998</v>
      </c>
      <c r="N76" t="s">
        <v>381</v>
      </c>
      <c r="P76" t="s">
        <v>1346</v>
      </c>
      <c r="R76" s="3">
        <v>0</v>
      </c>
      <c r="S76" t="s">
        <v>1347</v>
      </c>
      <c r="T76" t="s">
        <v>1348</v>
      </c>
      <c r="U76" t="s">
        <v>1349</v>
      </c>
      <c r="V76" s="3">
        <v>8.9999999999999993E-3</v>
      </c>
      <c r="W76" s="3">
        <v>0.14699999999999999</v>
      </c>
      <c r="X76" t="s">
        <v>1350</v>
      </c>
      <c r="Y76" s="3">
        <v>-2.1850000000000001</v>
      </c>
      <c r="Z76" s="3">
        <v>0.84099999999999997</v>
      </c>
      <c r="AB76" s="3">
        <v>-0.24099999999999999</v>
      </c>
    </row>
    <row r="77" spans="1:28" x14ac:dyDescent="0.3">
      <c r="A77" s="2">
        <v>45716</v>
      </c>
      <c r="B77" t="s">
        <v>146</v>
      </c>
      <c r="C77">
        <v>1.99</v>
      </c>
      <c r="D77" t="s">
        <v>1254</v>
      </c>
      <c r="E77" t="s">
        <v>1260</v>
      </c>
      <c r="F77" t="s">
        <v>1375</v>
      </c>
      <c r="G77" t="s">
        <v>1259</v>
      </c>
      <c r="H77" t="s">
        <v>693</v>
      </c>
      <c r="I77" t="s">
        <v>358</v>
      </c>
      <c r="J77" s="4">
        <v>0.98</v>
      </c>
      <c r="K77">
        <f t="shared" si="5"/>
        <v>-50.753768844221113</v>
      </c>
      <c r="L77" s="4">
        <v>2.5</v>
      </c>
      <c r="M77" s="4">
        <v>0.88</v>
      </c>
      <c r="N77" t="s">
        <v>1351</v>
      </c>
      <c r="O77" s="3">
        <v>0</v>
      </c>
      <c r="P77" t="s">
        <v>1352</v>
      </c>
      <c r="R77" s="3">
        <v>0</v>
      </c>
      <c r="S77" t="s">
        <v>1332</v>
      </c>
      <c r="U77" t="s">
        <v>1353</v>
      </c>
      <c r="V77" s="3">
        <v>0.19400000000000001</v>
      </c>
      <c r="W77" s="3">
        <v>0.04</v>
      </c>
      <c r="X77" t="s">
        <v>1354</v>
      </c>
      <c r="Y77" s="3">
        <v>-0.47899999999999998</v>
      </c>
      <c r="Z77" s="3">
        <v>0.156</v>
      </c>
      <c r="AB77" s="3">
        <v>-0.35199999999999998</v>
      </c>
    </row>
    <row r="78" spans="1:28" x14ac:dyDescent="0.3">
      <c r="A78" s="2">
        <v>45681</v>
      </c>
      <c r="B78" t="s">
        <v>147</v>
      </c>
      <c r="C78">
        <v>2.8</v>
      </c>
      <c r="D78" t="s">
        <v>1254</v>
      </c>
      <c r="E78" t="s">
        <v>1261</v>
      </c>
      <c r="F78" t="s">
        <v>1375</v>
      </c>
      <c r="G78" t="s">
        <v>1256</v>
      </c>
      <c r="H78" t="s">
        <v>694</v>
      </c>
      <c r="I78" t="s">
        <v>358</v>
      </c>
      <c r="J78" s="4">
        <v>1.77</v>
      </c>
      <c r="K78">
        <f t="shared" si="5"/>
        <v>-36.785714285714278</v>
      </c>
      <c r="L78" s="4">
        <v>4.5199999999999996</v>
      </c>
      <c r="M78" s="4">
        <v>1.48</v>
      </c>
      <c r="N78" t="s">
        <v>1243</v>
      </c>
      <c r="P78" t="s">
        <v>1355</v>
      </c>
      <c r="R78" s="3">
        <v>0</v>
      </c>
      <c r="S78" t="s">
        <v>1356</v>
      </c>
      <c r="U78" t="s">
        <v>1357</v>
      </c>
      <c r="W78" s="3">
        <v>2.1000000000000001E-2</v>
      </c>
      <c r="X78" t="s">
        <v>1358</v>
      </c>
      <c r="Y78" s="3">
        <v>-0.79600000000000004</v>
      </c>
      <c r="AB78" s="3">
        <v>-4.0750000000000002</v>
      </c>
    </row>
    <row r="79" spans="1:28" x14ac:dyDescent="0.3">
      <c r="A79" s="2">
        <v>45681</v>
      </c>
      <c r="B79" t="s">
        <v>148</v>
      </c>
      <c r="C79">
        <v>0.875</v>
      </c>
      <c r="D79" t="s">
        <v>1254</v>
      </c>
      <c r="E79" t="s">
        <v>1261</v>
      </c>
      <c r="F79" t="s">
        <v>1375</v>
      </c>
      <c r="G79" t="s">
        <v>1256</v>
      </c>
      <c r="H79" t="s">
        <v>695</v>
      </c>
      <c r="I79" t="s">
        <v>347</v>
      </c>
      <c r="J79" s="4">
        <v>0.63</v>
      </c>
      <c r="K79">
        <f t="shared" si="5"/>
        <v>-28.000000000000004</v>
      </c>
      <c r="L79" s="4">
        <v>1.2350000000000001</v>
      </c>
      <c r="M79" s="4">
        <v>0.56000000000000005</v>
      </c>
      <c r="N79" t="s">
        <v>1359</v>
      </c>
      <c r="O79" s="3">
        <v>1</v>
      </c>
      <c r="P79" t="s">
        <v>1360</v>
      </c>
      <c r="Q79" t="s">
        <v>1253</v>
      </c>
      <c r="R79" s="3">
        <v>8.0000000000000002E-3</v>
      </c>
      <c r="S79" t="s">
        <v>1361</v>
      </c>
      <c r="T79" t="s">
        <v>1362</v>
      </c>
      <c r="U79" t="s">
        <v>1363</v>
      </c>
      <c r="V79" s="3">
        <v>5.8380000000000001</v>
      </c>
      <c r="W79" s="3">
        <v>8.9999999999999993E-3</v>
      </c>
      <c r="X79" t="s">
        <v>1364</v>
      </c>
      <c r="Y79" s="3">
        <v>8.9999999999999993E-3</v>
      </c>
      <c r="Z79" s="3">
        <v>5.6000000000000001E-2</v>
      </c>
      <c r="AA79" s="3">
        <v>-2.9000000000000001E-2</v>
      </c>
      <c r="AB79" s="3">
        <v>8.5000000000000006E-2</v>
      </c>
    </row>
    <row r="80" spans="1:28" x14ac:dyDescent="0.3">
      <c r="A80" s="2">
        <v>45674</v>
      </c>
      <c r="B80" t="s">
        <v>149</v>
      </c>
      <c r="C80">
        <v>5.27</v>
      </c>
      <c r="D80" t="s">
        <v>1254</v>
      </c>
      <c r="E80" t="s">
        <v>1261</v>
      </c>
      <c r="F80" t="s">
        <v>1375</v>
      </c>
      <c r="G80" t="s">
        <v>1256</v>
      </c>
      <c r="H80" t="s">
        <v>696</v>
      </c>
      <c r="I80" t="s">
        <v>25</v>
      </c>
      <c r="J80" s="4">
        <v>7.32</v>
      </c>
      <c r="K80">
        <f t="shared" si="5"/>
        <v>38.899430740037964</v>
      </c>
      <c r="L80" s="4">
        <v>7.38</v>
      </c>
      <c r="M80" s="4">
        <v>4.4400000000000004</v>
      </c>
      <c r="N80" t="s">
        <v>1242</v>
      </c>
      <c r="O80" s="3">
        <v>1</v>
      </c>
      <c r="P80" t="s">
        <v>1365</v>
      </c>
      <c r="Q80" t="s">
        <v>1366</v>
      </c>
      <c r="R80" s="3">
        <v>3.6999999999999998E-2</v>
      </c>
      <c r="S80" t="s">
        <v>378</v>
      </c>
      <c r="T80" t="s">
        <v>1367</v>
      </c>
      <c r="U80" t="s">
        <v>1368</v>
      </c>
      <c r="V80" s="3">
        <v>0.41199999999999998</v>
      </c>
      <c r="W80" s="3">
        <v>4.1000000000000002E-2</v>
      </c>
      <c r="X80" t="s">
        <v>1369</v>
      </c>
      <c r="Y80" s="3">
        <v>0.115</v>
      </c>
      <c r="Z80" s="3">
        <v>8.7999999999999995E-2</v>
      </c>
      <c r="AA80" s="3">
        <v>6.4000000000000001E-2</v>
      </c>
      <c r="AB80" s="3">
        <v>0.11899999999999999</v>
      </c>
    </row>
    <row r="81" spans="1:28" x14ac:dyDescent="0.3">
      <c r="A81" s="2">
        <v>45660</v>
      </c>
      <c r="B81" t="s">
        <v>150</v>
      </c>
      <c r="C81">
        <v>1.36</v>
      </c>
      <c r="D81" t="s">
        <v>1254</v>
      </c>
      <c r="E81" t="s">
        <v>1261</v>
      </c>
      <c r="F81" t="s">
        <v>1375</v>
      </c>
      <c r="G81" t="s">
        <v>1256</v>
      </c>
      <c r="H81" t="s">
        <v>697</v>
      </c>
      <c r="I81" t="s">
        <v>358</v>
      </c>
      <c r="J81" s="4">
        <v>1.44</v>
      </c>
      <c r="K81">
        <f t="shared" si="5"/>
        <v>5.8823529411764497</v>
      </c>
      <c r="L81" s="4">
        <v>2.09</v>
      </c>
      <c r="M81" s="4">
        <v>0.89500000000000002</v>
      </c>
      <c r="N81" t="s">
        <v>1244</v>
      </c>
      <c r="P81" t="s">
        <v>1370</v>
      </c>
      <c r="R81" s="3">
        <v>0</v>
      </c>
      <c r="S81" t="s">
        <v>1371</v>
      </c>
      <c r="U81" t="s">
        <v>1372</v>
      </c>
      <c r="V81" s="3">
        <v>2.1999999999999999E-2</v>
      </c>
      <c r="W81" s="3">
        <v>5.5E-2</v>
      </c>
      <c r="X81" t="s">
        <v>1373</v>
      </c>
      <c r="Y81" s="3">
        <v>-1.8440000000000001</v>
      </c>
      <c r="Z81" s="3">
        <v>0.92900000000000005</v>
      </c>
      <c r="AB81" s="3">
        <v>-1.1299999999999999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2"/>
  <sheetViews>
    <sheetView workbookViewId="0">
      <selection activeCell="B10" sqref="B10"/>
    </sheetView>
  </sheetViews>
  <sheetFormatPr defaultRowHeight="14.4" x14ac:dyDescent="0.3"/>
  <cols>
    <col min="1" max="1" width="24.44140625" bestFit="1" customWidth="1"/>
    <col min="2" max="2" width="19.88671875" bestFit="1" customWidth="1"/>
    <col min="4" max="4" width="9.88671875" customWidth="1"/>
    <col min="5" max="5" width="12.33203125" bestFit="1" customWidth="1"/>
    <col min="7" max="7" width="12" customWidth="1"/>
    <col min="8" max="8" width="24.44140625" bestFit="1" customWidth="1"/>
    <col min="9" max="9" width="21.5546875" bestFit="1" customWidth="1"/>
    <col min="10" max="11" width="20.44140625" bestFit="1" customWidth="1"/>
    <col min="12" max="12" width="24.44140625" bestFit="1" customWidth="1"/>
  </cols>
  <sheetData>
    <row r="1" spans="1:12" x14ac:dyDescent="0.3">
      <c r="A1" s="1" t="s">
        <v>32</v>
      </c>
      <c r="B1" s="1" t="s">
        <v>57</v>
      </c>
      <c r="C1" s="1" t="s">
        <v>33</v>
      </c>
      <c r="D1" s="1" t="s">
        <v>34</v>
      </c>
      <c r="E1" s="1" t="s">
        <v>35</v>
      </c>
      <c r="F1" s="1" t="s">
        <v>36</v>
      </c>
      <c r="G1" s="1" t="s">
        <v>37</v>
      </c>
      <c r="H1" s="1" t="s">
        <v>38</v>
      </c>
      <c r="I1" s="1" t="s">
        <v>111</v>
      </c>
      <c r="J1" s="1" t="s">
        <v>112</v>
      </c>
      <c r="K1" s="1" t="s">
        <v>113</v>
      </c>
      <c r="L1" s="1" t="s">
        <v>56</v>
      </c>
    </row>
    <row r="2" spans="1:12" x14ac:dyDescent="0.3">
      <c r="A2">
        <v>17.330979246273024</v>
      </c>
      <c r="B2" s="5">
        <v>6289.8515000000007</v>
      </c>
      <c r="C2">
        <f>COUNTA(Trades!$A$15:A1048576)</f>
        <v>887</v>
      </c>
      <c r="D2">
        <f>COUNTIF(Trades!$J$15:J901,"&gt;0")</f>
        <v>446</v>
      </c>
      <c r="E2">
        <f>AVERAGEIF(Trades!$J$15:J901,"&gt;0")*100</f>
        <v>36.642190626569878</v>
      </c>
      <c r="F2">
        <f>C2-D2</f>
        <v>441</v>
      </c>
      <c r="G2">
        <f>AVERAGEIF(Trades!$J$15:J901,"&lt;0")*100</f>
        <v>-13.578783948682085</v>
      </c>
      <c r="H2">
        <v>-33.47</v>
      </c>
      <c r="I2">
        <v>5.09328391591235</v>
      </c>
      <c r="J2">
        <v>6.3877464349861413</v>
      </c>
      <c r="K2">
        <v>-9.7559775253829422</v>
      </c>
      <c r="L2">
        <v>0.85910929999999996</v>
      </c>
    </row>
    <row r="9" spans="1:12" x14ac:dyDescent="0.3">
      <c r="B9" s="5"/>
    </row>
    <row r="10" spans="1:12" x14ac:dyDescent="0.3">
      <c r="B10" s="5"/>
    </row>
    <row r="11" spans="1:12" x14ac:dyDescent="0.3">
      <c r="B11" s="5"/>
    </row>
    <row r="12" spans="1:12" x14ac:dyDescent="0.3">
      <c r="B12"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383"/>
  <sheetViews>
    <sheetView topLeftCell="A1354" workbookViewId="0">
      <selection activeCell="E1394" sqref="E1394"/>
    </sheetView>
  </sheetViews>
  <sheetFormatPr defaultRowHeight="14.4" x14ac:dyDescent="0.3"/>
  <cols>
    <col min="1" max="1" width="18.33203125" bestFit="1" customWidth="1"/>
    <col min="2" max="2" width="15.5546875" bestFit="1" customWidth="1"/>
    <col min="3" max="3" width="15.5546875" customWidth="1"/>
    <col min="4" max="4" width="12.6640625" bestFit="1" customWidth="1"/>
    <col min="5" max="5" width="13.33203125" bestFit="1" customWidth="1"/>
    <col min="8" max="9" width="10.6640625" bestFit="1" customWidth="1"/>
    <col min="10" max="10" width="15" bestFit="1" customWidth="1"/>
    <col min="11" max="11" width="11" bestFit="1" customWidth="1"/>
    <col min="12" max="12" width="10.6640625" bestFit="1" customWidth="1"/>
  </cols>
  <sheetData>
    <row r="1" spans="1:14" x14ac:dyDescent="0.3">
      <c r="A1" s="1" t="s">
        <v>39</v>
      </c>
      <c r="B1" s="1" t="s">
        <v>40</v>
      </c>
      <c r="C1" s="1" t="s">
        <v>110</v>
      </c>
      <c r="D1" s="1" t="s">
        <v>41</v>
      </c>
      <c r="E1" s="1" t="s">
        <v>42</v>
      </c>
    </row>
    <row r="2" spans="1:14" x14ac:dyDescent="0.3">
      <c r="A2" s="2">
        <v>36532</v>
      </c>
      <c r="B2">
        <v>98415.46</v>
      </c>
      <c r="C2">
        <v>85702.26</v>
      </c>
      <c r="D2">
        <v>0</v>
      </c>
      <c r="E2">
        <v>0</v>
      </c>
      <c r="H2" s="2"/>
      <c r="I2" s="2"/>
      <c r="N2" s="2"/>
    </row>
    <row r="3" spans="1:14" x14ac:dyDescent="0.3">
      <c r="A3" s="2">
        <v>36539</v>
      </c>
      <c r="B3">
        <v>98694.23</v>
      </c>
      <c r="C3">
        <v>80994.66</v>
      </c>
      <c r="D3">
        <v>0</v>
      </c>
      <c r="E3">
        <f>D3/MAX($B$2:B3,100000)</f>
        <v>0</v>
      </c>
      <c r="H3" s="2"/>
      <c r="I3" s="2"/>
      <c r="N3" s="2"/>
    </row>
    <row r="4" spans="1:14" x14ac:dyDescent="0.3">
      <c r="A4" s="2">
        <v>36546</v>
      </c>
      <c r="B4">
        <v>98334.83</v>
      </c>
      <c r="C4">
        <v>76295.64</v>
      </c>
      <c r="D4">
        <v>-359.4</v>
      </c>
      <c r="E4">
        <f>D4/MAX($B$2:B4,100000)</f>
        <v>-3.594E-3</v>
      </c>
      <c r="H4" s="2"/>
      <c r="I4" s="2"/>
      <c r="N4" s="2"/>
    </row>
    <row r="5" spans="1:14" x14ac:dyDescent="0.3">
      <c r="A5" s="2">
        <v>36553</v>
      </c>
      <c r="B5">
        <v>98011.41</v>
      </c>
      <c r="C5">
        <v>71600.710000000006</v>
      </c>
      <c r="D5">
        <v>-682.82</v>
      </c>
      <c r="E5">
        <f>D5/MAX($B$2:B5,100000)</f>
        <v>-6.8282000000000004E-3</v>
      </c>
      <c r="H5" s="2"/>
      <c r="I5" s="2"/>
      <c r="N5" s="2"/>
    </row>
    <row r="6" spans="1:14" x14ac:dyDescent="0.3">
      <c r="A6" s="2">
        <v>36560</v>
      </c>
      <c r="B6">
        <v>97927.59</v>
      </c>
      <c r="C6">
        <v>71600.710000000006</v>
      </c>
      <c r="D6">
        <v>-766.64</v>
      </c>
      <c r="E6">
        <f>D6/MAX($B$2:B6,100000)</f>
        <v>-7.6663999999999994E-3</v>
      </c>
      <c r="H6" s="2"/>
      <c r="I6" s="2"/>
      <c r="N6" s="2"/>
    </row>
    <row r="7" spans="1:14" x14ac:dyDescent="0.3">
      <c r="A7" s="2">
        <v>36567</v>
      </c>
      <c r="B7">
        <v>102326.2</v>
      </c>
      <c r="C7">
        <v>52757.48</v>
      </c>
      <c r="D7">
        <v>0</v>
      </c>
      <c r="E7">
        <f>D7/MAX($B$2:B7,100000)</f>
        <v>0</v>
      </c>
      <c r="H7" s="2"/>
      <c r="I7" s="2"/>
      <c r="N7" s="2"/>
    </row>
    <row r="8" spans="1:14" x14ac:dyDescent="0.3">
      <c r="A8" s="2">
        <v>36574</v>
      </c>
      <c r="B8">
        <v>99827.27</v>
      </c>
      <c r="C8">
        <v>47895.02</v>
      </c>
      <c r="D8">
        <v>-2498.94</v>
      </c>
      <c r="E8">
        <f>D8/MAX($B$2:B8,100000)</f>
        <v>-2.4421311452980762E-2</v>
      </c>
      <c r="H8" s="2"/>
      <c r="I8" s="2"/>
      <c r="N8" s="2"/>
    </row>
    <row r="9" spans="1:14" x14ac:dyDescent="0.3">
      <c r="A9" s="2">
        <v>36581</v>
      </c>
      <c r="B9">
        <v>96305.31</v>
      </c>
      <c r="C9">
        <v>14882.64</v>
      </c>
      <c r="D9">
        <v>-6020.89</v>
      </c>
      <c r="E9">
        <f>D9/MAX($B$2:B9,100000)</f>
        <v>-5.8840160193577018E-2</v>
      </c>
      <c r="H9" s="2"/>
      <c r="I9" s="2"/>
      <c r="N9" s="2"/>
    </row>
    <row r="10" spans="1:14" x14ac:dyDescent="0.3">
      <c r="A10" s="2">
        <v>36588</v>
      </c>
      <c r="B10">
        <v>94944.320000000007</v>
      </c>
      <c r="C10">
        <v>14882.64</v>
      </c>
      <c r="D10">
        <v>-7381.88</v>
      </c>
      <c r="E10">
        <f>D10/MAX($B$2:B10,100000)</f>
        <v>-7.2140663876895661E-2</v>
      </c>
      <c r="H10" s="2"/>
      <c r="I10" s="2"/>
      <c r="N10" s="2"/>
    </row>
    <row r="11" spans="1:14" x14ac:dyDescent="0.3">
      <c r="A11" s="2">
        <v>36595</v>
      </c>
      <c r="B11">
        <v>100688.6</v>
      </c>
      <c r="C11">
        <v>5759.11</v>
      </c>
      <c r="D11">
        <v>-1637.6</v>
      </c>
      <c r="E11">
        <f>D11/MAX($B$2:B11,100000)</f>
        <v>-1.6003721432047705E-2</v>
      </c>
      <c r="H11" s="2"/>
      <c r="I11" s="2"/>
      <c r="N11" s="2"/>
    </row>
    <row r="12" spans="1:14" x14ac:dyDescent="0.3">
      <c r="A12" s="2">
        <v>36602</v>
      </c>
      <c r="B12">
        <v>100100.18</v>
      </c>
      <c r="C12">
        <v>377.27</v>
      </c>
      <c r="D12">
        <v>-2226.02</v>
      </c>
      <c r="E12">
        <f>D12/MAX($B$2:B12,100000)</f>
        <v>-2.1754154849882044E-2</v>
      </c>
      <c r="H12" s="2"/>
      <c r="I12" s="2"/>
      <c r="N12" s="2"/>
    </row>
    <row r="13" spans="1:14" x14ac:dyDescent="0.3">
      <c r="A13" s="2">
        <v>36609</v>
      </c>
      <c r="B13">
        <v>107054.45</v>
      </c>
      <c r="C13">
        <v>377.27</v>
      </c>
      <c r="D13">
        <v>0</v>
      </c>
      <c r="E13">
        <f>D13/MAX($B$2:B13,100000)</f>
        <v>0</v>
      </c>
      <c r="H13" s="2"/>
      <c r="I13" s="2"/>
      <c r="N13" s="2"/>
    </row>
    <row r="14" spans="1:14" x14ac:dyDescent="0.3">
      <c r="A14" s="2">
        <v>36616</v>
      </c>
      <c r="B14">
        <v>106373.12</v>
      </c>
      <c r="C14">
        <v>377.27</v>
      </c>
      <c r="D14">
        <v>-681.33</v>
      </c>
      <c r="E14">
        <f>D14/MAX($B$2:B14,100000)</f>
        <v>-6.364331422000674E-3</v>
      </c>
      <c r="H14" s="2"/>
      <c r="I14" s="2"/>
      <c r="N14" s="2"/>
    </row>
    <row r="15" spans="1:14" x14ac:dyDescent="0.3">
      <c r="A15" s="2">
        <v>36623</v>
      </c>
      <c r="B15">
        <v>99764.71</v>
      </c>
      <c r="C15">
        <v>377.27</v>
      </c>
      <c r="D15">
        <v>-7289.73</v>
      </c>
      <c r="E15">
        <f>D15/MAX($B$2:B15,100000)</f>
        <v>-6.8093666353897478E-2</v>
      </c>
      <c r="H15" s="2"/>
      <c r="I15" s="2"/>
      <c r="N15" s="2"/>
    </row>
    <row r="16" spans="1:14" x14ac:dyDescent="0.3">
      <c r="A16" s="2">
        <v>36630</v>
      </c>
      <c r="B16">
        <v>96205.73</v>
      </c>
      <c r="C16">
        <v>26413.439999999999</v>
      </c>
      <c r="D16">
        <v>-10848.72</v>
      </c>
      <c r="E16">
        <f>D16/MAX($B$2:B16,100000)</f>
        <v>-0.10133833764033162</v>
      </c>
      <c r="H16" s="2"/>
      <c r="I16" s="2"/>
      <c r="N16" s="2"/>
    </row>
    <row r="17" spans="1:14" x14ac:dyDescent="0.3">
      <c r="A17" s="2">
        <v>36636</v>
      </c>
      <c r="B17">
        <v>90519.91</v>
      </c>
      <c r="C17">
        <v>30517.34</v>
      </c>
      <c r="D17">
        <v>-16534.53</v>
      </c>
      <c r="E17">
        <f>D17/MAX($B$2:B17,100000)</f>
        <v>-0.15444972161362744</v>
      </c>
      <c r="H17" s="2"/>
      <c r="I17" s="2"/>
      <c r="N17" s="2"/>
    </row>
    <row r="18" spans="1:14" x14ac:dyDescent="0.3">
      <c r="A18" s="2">
        <v>36644</v>
      </c>
      <c r="B18">
        <v>91400.49</v>
      </c>
      <c r="C18">
        <v>58008.3</v>
      </c>
      <c r="D18">
        <v>-15653.95</v>
      </c>
      <c r="E18">
        <f>D18/MAX($B$2:B18,100000)</f>
        <v>-0.14622418778481419</v>
      </c>
      <c r="H18" s="2"/>
      <c r="I18" s="2"/>
      <c r="N18" s="2"/>
    </row>
    <row r="19" spans="1:14" x14ac:dyDescent="0.3">
      <c r="A19" s="2">
        <v>36651</v>
      </c>
      <c r="B19">
        <v>91151.28</v>
      </c>
      <c r="C19">
        <v>65536.429999999993</v>
      </c>
      <c r="D19">
        <v>-15903.16</v>
      </c>
      <c r="E19">
        <f>D19/MAX($B$2:B19,100000)</f>
        <v>-0.14855206859686823</v>
      </c>
      <c r="H19" s="2"/>
      <c r="I19" s="2"/>
      <c r="N19" s="2"/>
    </row>
    <row r="20" spans="1:14" x14ac:dyDescent="0.3">
      <c r="A20" s="2">
        <v>36658</v>
      </c>
      <c r="B20">
        <v>90438.35</v>
      </c>
      <c r="C20">
        <v>65536.429999999993</v>
      </c>
      <c r="D20">
        <v>-16616.09</v>
      </c>
      <c r="E20">
        <f>D20/MAX($B$2:B20,100000)</f>
        <v>-0.1552115769124964</v>
      </c>
      <c r="H20" s="2"/>
      <c r="I20" s="2"/>
      <c r="N20" s="2"/>
    </row>
    <row r="21" spans="1:14" x14ac:dyDescent="0.3">
      <c r="A21" s="2">
        <v>36665</v>
      </c>
      <c r="B21">
        <v>90584.23</v>
      </c>
      <c r="C21">
        <v>61225.75</v>
      </c>
      <c r="D21">
        <v>-16470.21</v>
      </c>
      <c r="E21">
        <f>D21/MAX($B$2:B21,100000)</f>
        <v>-0.15384890586052238</v>
      </c>
      <c r="H21" s="2"/>
      <c r="I21" s="2"/>
      <c r="N21" s="2"/>
    </row>
    <row r="22" spans="1:14" x14ac:dyDescent="0.3">
      <c r="A22" s="2">
        <v>36672</v>
      </c>
      <c r="B22">
        <v>90161.4</v>
      </c>
      <c r="C22">
        <v>61225.75</v>
      </c>
      <c r="D22">
        <v>-16893.05</v>
      </c>
      <c r="E22">
        <f>D22/MAX($B$2:B22,100000)</f>
        <v>-0.15779867161056826</v>
      </c>
      <c r="H22" s="2"/>
      <c r="I22" s="2"/>
      <c r="N22" s="2"/>
    </row>
    <row r="23" spans="1:14" x14ac:dyDescent="0.3">
      <c r="A23" s="2">
        <v>36679</v>
      </c>
      <c r="B23">
        <v>90123.8</v>
      </c>
      <c r="C23">
        <v>65287.54</v>
      </c>
      <c r="D23">
        <v>-16930.64</v>
      </c>
      <c r="E23">
        <f>D23/MAX($B$2:B23,100000)</f>
        <v>-0.15814980133941187</v>
      </c>
      <c r="H23" s="2"/>
      <c r="I23" s="2"/>
      <c r="N23" s="2"/>
    </row>
    <row r="24" spans="1:14" x14ac:dyDescent="0.3">
      <c r="A24" s="2">
        <v>36686</v>
      </c>
      <c r="B24">
        <v>89861.64</v>
      </c>
      <c r="C24">
        <v>65287.54</v>
      </c>
      <c r="D24">
        <v>-17192.8</v>
      </c>
      <c r="E24">
        <f>D24/MAX($B$2:B24,100000)</f>
        <v>-0.16059864863160755</v>
      </c>
      <c r="H24" s="2"/>
      <c r="I24" s="2"/>
      <c r="N24" s="2"/>
    </row>
    <row r="25" spans="1:14" x14ac:dyDescent="0.3">
      <c r="A25" s="2">
        <v>36693</v>
      </c>
      <c r="B25">
        <v>91316.59</v>
      </c>
      <c r="C25">
        <v>65287.54</v>
      </c>
      <c r="D25">
        <v>-15737.86</v>
      </c>
      <c r="E25">
        <f>D25/MAX($B$2:B25,100000)</f>
        <v>-0.14700799452988644</v>
      </c>
      <c r="H25" s="2"/>
      <c r="I25" s="2"/>
      <c r="N25" s="2"/>
    </row>
    <row r="26" spans="1:14" x14ac:dyDescent="0.3">
      <c r="A26" s="2">
        <v>36700</v>
      </c>
      <c r="B26">
        <v>90386.52</v>
      </c>
      <c r="C26">
        <v>65287.54</v>
      </c>
      <c r="D26">
        <v>-16667.93</v>
      </c>
      <c r="E26">
        <f>D26/MAX($B$2:B26,100000)</f>
        <v>-0.15569581647470049</v>
      </c>
      <c r="H26" s="2"/>
      <c r="I26" s="2"/>
      <c r="N26" s="2"/>
    </row>
    <row r="27" spans="1:14" x14ac:dyDescent="0.3">
      <c r="A27" s="2">
        <v>36707</v>
      </c>
      <c r="B27">
        <v>90377.2</v>
      </c>
      <c r="C27">
        <v>60963.01</v>
      </c>
      <c r="D27">
        <v>-16677.25</v>
      </c>
      <c r="E27">
        <f>D27/MAX($B$2:B27,100000)</f>
        <v>-0.15578287497623874</v>
      </c>
      <c r="H27" s="2"/>
      <c r="I27" s="2"/>
      <c r="N27" s="2"/>
    </row>
    <row r="28" spans="1:14" x14ac:dyDescent="0.3">
      <c r="A28" s="2">
        <v>36714</v>
      </c>
      <c r="B28">
        <v>90875.69</v>
      </c>
      <c r="C28">
        <v>39476.57</v>
      </c>
      <c r="D28">
        <v>-16178.76</v>
      </c>
      <c r="E28">
        <f>D28/MAX($B$2:B28,100000)</f>
        <v>-0.15112645947926501</v>
      </c>
      <c r="H28" s="2"/>
      <c r="I28" s="2"/>
      <c r="N28" s="2"/>
    </row>
    <row r="29" spans="1:14" x14ac:dyDescent="0.3">
      <c r="A29" s="2">
        <v>36721</v>
      </c>
      <c r="B29">
        <v>91469.27</v>
      </c>
      <c r="C29">
        <v>13396.6</v>
      </c>
      <c r="D29">
        <v>-15585.17</v>
      </c>
      <c r="E29">
        <f>D29/MAX($B$2:B29,100000)</f>
        <v>-0.14558171098912751</v>
      </c>
      <c r="H29" s="2"/>
      <c r="I29" s="2"/>
      <c r="N29" s="2"/>
    </row>
    <row r="30" spans="1:14" x14ac:dyDescent="0.3">
      <c r="A30" s="2">
        <v>36728</v>
      </c>
      <c r="B30">
        <v>96078.28</v>
      </c>
      <c r="C30">
        <v>278.07</v>
      </c>
      <c r="D30">
        <v>-10976.16</v>
      </c>
      <c r="E30">
        <f>D30/MAX($B$2:B30,100000)</f>
        <v>-0.10252875989741669</v>
      </c>
      <c r="H30" s="2"/>
      <c r="I30" s="2"/>
      <c r="N30" s="2"/>
    </row>
    <row r="31" spans="1:14" x14ac:dyDescent="0.3">
      <c r="A31" s="2">
        <v>36735</v>
      </c>
      <c r="B31">
        <v>95557.3</v>
      </c>
      <c r="C31">
        <v>278.07</v>
      </c>
      <c r="D31">
        <v>-11497.15</v>
      </c>
      <c r="E31">
        <f>D31/MAX($B$2:B31,100000)</f>
        <v>-0.10739534881548594</v>
      </c>
      <c r="H31" s="2"/>
      <c r="I31" s="2"/>
      <c r="N31" s="2"/>
    </row>
    <row r="32" spans="1:14" x14ac:dyDescent="0.3">
      <c r="A32" s="2">
        <v>36742</v>
      </c>
      <c r="B32">
        <v>94328.46</v>
      </c>
      <c r="C32">
        <v>3951.84</v>
      </c>
      <c r="D32">
        <v>-12725.98</v>
      </c>
      <c r="E32">
        <f>D32/MAX($B$2:B32,100000)</f>
        <v>-0.1188739001508111</v>
      </c>
      <c r="H32" s="2"/>
      <c r="I32" s="2"/>
      <c r="N32" s="2"/>
    </row>
    <row r="33" spans="1:14" x14ac:dyDescent="0.3">
      <c r="A33" s="2">
        <v>36749</v>
      </c>
      <c r="B33">
        <v>94304.16</v>
      </c>
      <c r="C33">
        <v>3951.84</v>
      </c>
      <c r="D33">
        <v>-12750.28</v>
      </c>
      <c r="E33">
        <f>D33/MAX($B$2:B33,100000)</f>
        <v>-0.11910088744559429</v>
      </c>
      <c r="H33" s="2"/>
      <c r="I33" s="2"/>
      <c r="N33" s="2"/>
    </row>
    <row r="34" spans="1:14" x14ac:dyDescent="0.3">
      <c r="A34" s="2">
        <v>36756</v>
      </c>
      <c r="B34">
        <v>94650.66</v>
      </c>
      <c r="C34">
        <v>4304.04</v>
      </c>
      <c r="D34">
        <v>-12403.78</v>
      </c>
      <c r="E34">
        <f>D34/MAX($B$2:B34,100000)</f>
        <v>-0.11586421676072317</v>
      </c>
      <c r="H34" s="2"/>
      <c r="I34" s="2"/>
      <c r="N34" s="2"/>
    </row>
    <row r="35" spans="1:14" x14ac:dyDescent="0.3">
      <c r="A35" s="2">
        <v>36763</v>
      </c>
      <c r="B35">
        <v>95015.2</v>
      </c>
      <c r="C35">
        <v>4109.5</v>
      </c>
      <c r="D35">
        <v>-12039.24</v>
      </c>
      <c r="E35">
        <f>D35/MAX($B$2:B35,100000)</f>
        <v>-0.11245903369733813</v>
      </c>
      <c r="H35" s="2"/>
      <c r="I35" s="2"/>
      <c r="N35" s="2"/>
    </row>
    <row r="36" spans="1:14" x14ac:dyDescent="0.3">
      <c r="A36" s="2">
        <v>36770</v>
      </c>
      <c r="B36">
        <v>95990.57</v>
      </c>
      <c r="C36">
        <v>4109.5</v>
      </c>
      <c r="D36">
        <v>-11063.88</v>
      </c>
      <c r="E36">
        <f>D36/MAX($B$2:B36,100000)</f>
        <v>-0.1033481560084611</v>
      </c>
      <c r="H36" s="2"/>
      <c r="I36" s="2"/>
      <c r="N36" s="2"/>
    </row>
    <row r="37" spans="1:14" x14ac:dyDescent="0.3">
      <c r="A37" s="2">
        <v>36777</v>
      </c>
      <c r="B37">
        <v>95957.55</v>
      </c>
      <c r="C37">
        <v>4109.5</v>
      </c>
      <c r="D37">
        <v>-11096.9</v>
      </c>
      <c r="E37">
        <f>D37/MAX($B$2:B37,100000)</f>
        <v>-0.10365659718021997</v>
      </c>
      <c r="H37" s="2"/>
      <c r="I37" s="2"/>
      <c r="N37" s="2"/>
    </row>
    <row r="38" spans="1:14" x14ac:dyDescent="0.3">
      <c r="A38" s="2">
        <v>36784</v>
      </c>
      <c r="B38">
        <v>95820.67</v>
      </c>
      <c r="C38">
        <v>4109.5</v>
      </c>
      <c r="D38">
        <v>-11233.77</v>
      </c>
      <c r="E38">
        <f>D38/MAX($B$2:B38,100000)</f>
        <v>-0.10493510545334642</v>
      </c>
      <c r="H38" s="2"/>
      <c r="I38" s="2"/>
      <c r="N38" s="2"/>
    </row>
    <row r="39" spans="1:14" x14ac:dyDescent="0.3">
      <c r="A39" s="2">
        <v>36791</v>
      </c>
      <c r="B39">
        <v>92520.23</v>
      </c>
      <c r="C39">
        <v>4109.5</v>
      </c>
      <c r="D39">
        <v>-14534.21</v>
      </c>
      <c r="E39">
        <f>D39/MAX($B$2:B39,100000)</f>
        <v>-0.13576465060536952</v>
      </c>
      <c r="H39" s="2"/>
      <c r="I39" s="2"/>
      <c r="N39" s="2"/>
    </row>
    <row r="40" spans="1:14" x14ac:dyDescent="0.3">
      <c r="A40" s="2">
        <v>36798</v>
      </c>
      <c r="B40">
        <v>92861.32</v>
      </c>
      <c r="C40">
        <v>4109.5</v>
      </c>
      <c r="D40">
        <v>-14193.13</v>
      </c>
      <c r="E40">
        <f>D40/MAX($B$2:B40,100000)</f>
        <v>-0.13257860836238008</v>
      </c>
      <c r="H40" s="2"/>
      <c r="I40" s="2"/>
      <c r="N40" s="2"/>
    </row>
    <row r="41" spans="1:14" x14ac:dyDescent="0.3">
      <c r="A41" s="2">
        <v>36805</v>
      </c>
      <c r="B41">
        <v>94082.2</v>
      </c>
      <c r="C41">
        <v>20200.39</v>
      </c>
      <c r="D41">
        <v>-12972.25</v>
      </c>
      <c r="E41">
        <f>D41/MAX($B$2:B41,100000)</f>
        <v>-0.12117431830250867</v>
      </c>
      <c r="H41" s="2"/>
      <c r="I41" s="2"/>
      <c r="N41" s="2"/>
    </row>
    <row r="42" spans="1:14" x14ac:dyDescent="0.3">
      <c r="A42" s="2">
        <v>36812</v>
      </c>
      <c r="B42">
        <v>93007.88</v>
      </c>
      <c r="C42">
        <v>28127.32</v>
      </c>
      <c r="D42">
        <v>-14046.57</v>
      </c>
      <c r="E42">
        <f>D42/MAX($B$2:B42,100000)</f>
        <v>-0.1312095854025685</v>
      </c>
      <c r="H42" s="2"/>
      <c r="I42" s="2"/>
      <c r="N42" s="2"/>
    </row>
    <row r="43" spans="1:14" x14ac:dyDescent="0.3">
      <c r="A43" s="2">
        <v>36819</v>
      </c>
      <c r="B43">
        <v>92386.67</v>
      </c>
      <c r="C43">
        <v>28127.32</v>
      </c>
      <c r="D43">
        <v>-14667.77</v>
      </c>
      <c r="E43">
        <f>D43/MAX($B$2:B43,100000)</f>
        <v>-0.13701224003299256</v>
      </c>
      <c r="H43" s="2"/>
      <c r="I43" s="2"/>
      <c r="N43" s="2"/>
    </row>
    <row r="44" spans="1:14" x14ac:dyDescent="0.3">
      <c r="A44" s="2">
        <v>36826</v>
      </c>
      <c r="B44">
        <v>92531.02</v>
      </c>
      <c r="C44">
        <v>28127.32</v>
      </c>
      <c r="D44">
        <v>-14523.42</v>
      </c>
      <c r="E44">
        <f>D44/MAX($B$2:B44,100000)</f>
        <v>-0.13566386077365303</v>
      </c>
      <c r="H44" s="2"/>
      <c r="I44" s="2"/>
      <c r="N44" s="2"/>
    </row>
    <row r="45" spans="1:14" x14ac:dyDescent="0.3">
      <c r="A45" s="2">
        <v>36833</v>
      </c>
      <c r="B45">
        <v>92599.13</v>
      </c>
      <c r="C45">
        <v>31701.86</v>
      </c>
      <c r="D45">
        <v>-14455.32</v>
      </c>
      <c r="E45">
        <f>D45/MAX($B$2:B45,100000)</f>
        <v>-0.13502773588580391</v>
      </c>
      <c r="H45" s="2"/>
      <c r="I45" s="2"/>
      <c r="N45" s="2"/>
    </row>
    <row r="46" spans="1:14" x14ac:dyDescent="0.3">
      <c r="A46" s="2">
        <v>36840</v>
      </c>
      <c r="B46">
        <v>93146.81</v>
      </c>
      <c r="C46">
        <v>27278.09</v>
      </c>
      <c r="D46">
        <v>-13907.63</v>
      </c>
      <c r="E46">
        <f>D46/MAX($B$2:B46,100000)</f>
        <v>-0.12991174117470128</v>
      </c>
      <c r="H46" s="2"/>
      <c r="I46" s="2"/>
      <c r="N46" s="2"/>
    </row>
    <row r="47" spans="1:14" x14ac:dyDescent="0.3">
      <c r="A47" s="2">
        <v>36847</v>
      </c>
      <c r="B47">
        <v>96084.160000000003</v>
      </c>
      <c r="C47">
        <v>18110.580000000002</v>
      </c>
      <c r="D47">
        <v>-10970.28</v>
      </c>
      <c r="E47">
        <f>D47/MAX($B$2:B47,100000)</f>
        <v>-0.10247383457670373</v>
      </c>
      <c r="H47" s="2"/>
      <c r="I47" s="2"/>
      <c r="N47" s="2"/>
    </row>
    <row r="48" spans="1:14" x14ac:dyDescent="0.3">
      <c r="A48" s="2">
        <v>36854</v>
      </c>
      <c r="B48">
        <v>98912.91</v>
      </c>
      <c r="C48">
        <v>8827.2999999999993</v>
      </c>
      <c r="D48">
        <v>-8141.53</v>
      </c>
      <c r="E48">
        <f>D48/MAX($B$2:B48,100000)</f>
        <v>-7.6050365024527236E-2</v>
      </c>
      <c r="H48" s="2"/>
      <c r="I48" s="2"/>
      <c r="N48" s="2"/>
    </row>
    <row r="49" spans="1:14" x14ac:dyDescent="0.3">
      <c r="A49" s="2">
        <v>36861</v>
      </c>
      <c r="B49">
        <v>97725.34</v>
      </c>
      <c r="C49">
        <v>8827.2999999999993</v>
      </c>
      <c r="D49">
        <v>-9329.11</v>
      </c>
      <c r="E49">
        <f>D49/MAX($B$2:B49,100000)</f>
        <v>-8.7143598421177262E-2</v>
      </c>
      <c r="H49" s="2"/>
      <c r="I49" s="2"/>
      <c r="N49" s="2"/>
    </row>
    <row r="50" spans="1:14" x14ac:dyDescent="0.3">
      <c r="A50" s="2">
        <v>36868</v>
      </c>
      <c r="B50">
        <v>97872.59</v>
      </c>
      <c r="C50">
        <v>8827.2999999999993</v>
      </c>
      <c r="D50">
        <v>-9181.85</v>
      </c>
      <c r="E50">
        <f>D50/MAX($B$2:B50,100000)</f>
        <v>-8.5768036732709385E-2</v>
      </c>
      <c r="H50" s="2"/>
      <c r="I50" s="2"/>
      <c r="N50" s="2"/>
    </row>
    <row r="51" spans="1:14" x14ac:dyDescent="0.3">
      <c r="A51" s="2">
        <v>36875</v>
      </c>
      <c r="B51">
        <v>98313.83</v>
      </c>
      <c r="C51">
        <v>21718.97</v>
      </c>
      <c r="D51">
        <v>-8740.6200000000008</v>
      </c>
      <c r="E51">
        <f>D51/MAX($B$2:B51,100000)</f>
        <v>-8.1646489239821429E-2</v>
      </c>
      <c r="H51" s="2"/>
      <c r="I51" s="2"/>
      <c r="N51" s="2"/>
    </row>
    <row r="52" spans="1:14" x14ac:dyDescent="0.3">
      <c r="A52" s="2">
        <v>36882</v>
      </c>
      <c r="B52">
        <v>96820.4</v>
      </c>
      <c r="C52">
        <v>26176.36</v>
      </c>
      <c r="D52">
        <v>-10234.049999999999</v>
      </c>
      <c r="E52">
        <f>D52/MAX($B$2:B52,100000)</f>
        <v>-9.5596680007229956E-2</v>
      </c>
      <c r="H52" s="2"/>
      <c r="I52" s="2"/>
      <c r="N52" s="2"/>
    </row>
    <row r="53" spans="1:14" x14ac:dyDescent="0.3">
      <c r="A53" s="2">
        <v>36889</v>
      </c>
      <c r="B53">
        <v>97443.94</v>
      </c>
      <c r="C53">
        <v>26769.200000000001</v>
      </c>
      <c r="D53">
        <v>-9610.51</v>
      </c>
      <c r="E53">
        <f>D53/MAX($B$2:B53,100000)</f>
        <v>-8.9772167341011982E-2</v>
      </c>
      <c r="H53" s="2"/>
      <c r="I53" s="2"/>
      <c r="N53" s="2"/>
    </row>
    <row r="54" spans="1:14" x14ac:dyDescent="0.3">
      <c r="A54" s="2">
        <v>36896</v>
      </c>
      <c r="B54">
        <v>97253.89</v>
      </c>
      <c r="C54">
        <v>34545.370000000003</v>
      </c>
      <c r="D54">
        <v>-9800.5499999999993</v>
      </c>
      <c r="E54">
        <f>D54/MAX($B$2:B54,100000)</f>
        <v>-9.1547338760789479E-2</v>
      </c>
      <c r="H54" s="2"/>
      <c r="I54" s="2"/>
      <c r="N54" s="2"/>
    </row>
    <row r="55" spans="1:14" x14ac:dyDescent="0.3">
      <c r="A55" s="2">
        <v>36903</v>
      </c>
      <c r="B55">
        <v>96503.26</v>
      </c>
      <c r="C55">
        <v>34545.370000000003</v>
      </c>
      <c r="D55">
        <v>-10551.19</v>
      </c>
      <c r="E55">
        <f>D55/MAX($B$2:B55,100000)</f>
        <v>-9.8559097730173767E-2</v>
      </c>
      <c r="H55" s="2"/>
      <c r="I55" s="2"/>
      <c r="N55" s="2"/>
    </row>
    <row r="56" spans="1:14" x14ac:dyDescent="0.3">
      <c r="A56" s="2">
        <v>36910</v>
      </c>
      <c r="B56">
        <v>95956.43</v>
      </c>
      <c r="C56">
        <v>38892.370000000003</v>
      </c>
      <c r="D56">
        <v>-11098.02</v>
      </c>
      <c r="E56">
        <f>D56/MAX($B$2:B56,100000)</f>
        <v>-0.10366705914607006</v>
      </c>
      <c r="H56" s="2"/>
      <c r="I56" s="2"/>
      <c r="N56" s="2"/>
    </row>
    <row r="57" spans="1:14" x14ac:dyDescent="0.3">
      <c r="A57" s="2">
        <v>36916</v>
      </c>
      <c r="B57">
        <v>97338.8</v>
      </c>
      <c r="C57">
        <v>38163.96</v>
      </c>
      <c r="D57">
        <v>-9715.64</v>
      </c>
      <c r="E57">
        <f>D57/MAX($B$2:B57,100000)</f>
        <v>-9.0754190974779658E-2</v>
      </c>
      <c r="H57" s="2"/>
      <c r="I57" s="2"/>
      <c r="N57" s="2"/>
    </row>
    <row r="58" spans="1:14" x14ac:dyDescent="0.3">
      <c r="A58" s="2">
        <v>36924</v>
      </c>
      <c r="B58">
        <v>98702.51</v>
      </c>
      <c r="C58">
        <v>33517.07</v>
      </c>
      <c r="D58">
        <v>-8351.94</v>
      </c>
      <c r="E58">
        <f>D58/MAX($B$2:B58,100000)</f>
        <v>-7.8015813448203228E-2</v>
      </c>
      <c r="H58" s="2"/>
      <c r="I58" s="2"/>
      <c r="N58" s="2"/>
    </row>
    <row r="59" spans="1:14" x14ac:dyDescent="0.3">
      <c r="A59" s="2">
        <v>36931</v>
      </c>
      <c r="B59">
        <v>97115.8</v>
      </c>
      <c r="C59">
        <v>580.22</v>
      </c>
      <c r="D59">
        <v>-9938.64</v>
      </c>
      <c r="E59">
        <f>D59/MAX($B$2:B59,100000)</f>
        <v>-9.2837243103859768E-2</v>
      </c>
      <c r="H59" s="2"/>
      <c r="I59" s="2"/>
      <c r="N59" s="2"/>
    </row>
    <row r="60" spans="1:14" x14ac:dyDescent="0.3">
      <c r="A60" s="2">
        <v>36938</v>
      </c>
      <c r="B60">
        <v>98172.1</v>
      </c>
      <c r="C60">
        <v>580.22</v>
      </c>
      <c r="D60">
        <v>-8882.34</v>
      </c>
      <c r="E60">
        <f>D60/MAX($B$2:B60,100000)</f>
        <v>-8.2970301561495111E-2</v>
      </c>
      <c r="H60" s="2"/>
      <c r="I60" s="2"/>
      <c r="N60" s="2"/>
    </row>
    <row r="61" spans="1:14" x14ac:dyDescent="0.3">
      <c r="A61" s="2">
        <v>36945</v>
      </c>
      <c r="B61">
        <v>98991.82</v>
      </c>
      <c r="C61">
        <v>170.68</v>
      </c>
      <c r="D61">
        <v>-8062.63</v>
      </c>
      <c r="E61">
        <f>D61/MAX($B$2:B61,100000)</f>
        <v>-7.5313356894552264E-2</v>
      </c>
      <c r="H61" s="2"/>
      <c r="I61" s="2"/>
      <c r="N61" s="2"/>
    </row>
    <row r="62" spans="1:14" x14ac:dyDescent="0.3">
      <c r="A62" s="2">
        <v>36952</v>
      </c>
      <c r="B62">
        <v>100202.58</v>
      </c>
      <c r="C62">
        <v>170.68</v>
      </c>
      <c r="D62">
        <v>-6851.87</v>
      </c>
      <c r="E62">
        <f>D62/MAX($B$2:B62,100000)</f>
        <v>-6.4003598168969153E-2</v>
      </c>
      <c r="H62" s="2"/>
      <c r="I62" s="2"/>
      <c r="N62" s="2"/>
    </row>
    <row r="63" spans="1:14" x14ac:dyDescent="0.3">
      <c r="A63" s="2">
        <v>36959</v>
      </c>
      <c r="B63">
        <v>100528.13</v>
      </c>
      <c r="C63">
        <v>170.68</v>
      </c>
      <c r="D63">
        <v>-6526.32</v>
      </c>
      <c r="E63">
        <f>D63/MAX($B$2:B63,100000)</f>
        <v>-6.096262229174032E-2</v>
      </c>
      <c r="H63" s="2"/>
      <c r="I63" s="2"/>
      <c r="N63" s="2"/>
    </row>
    <row r="64" spans="1:14" x14ac:dyDescent="0.3">
      <c r="A64" s="2">
        <v>36966</v>
      </c>
      <c r="B64">
        <v>98178.16</v>
      </c>
      <c r="C64">
        <v>170.68</v>
      </c>
      <c r="D64">
        <v>-8876.2800000000007</v>
      </c>
      <c r="E64">
        <f>D64/MAX($B$2:B64,100000)</f>
        <v>-8.2913694853413392E-2</v>
      </c>
      <c r="H64" s="2"/>
      <c r="I64" s="2"/>
      <c r="N64" s="2"/>
    </row>
    <row r="65" spans="1:14" x14ac:dyDescent="0.3">
      <c r="A65" s="2">
        <v>36973</v>
      </c>
      <c r="B65">
        <v>96421.55</v>
      </c>
      <c r="C65">
        <v>170.68</v>
      </c>
      <c r="D65">
        <v>-10632.89</v>
      </c>
      <c r="E65">
        <f>D65/MAX($B$2:B65,100000)</f>
        <v>-9.9322260774773949E-2</v>
      </c>
      <c r="H65" s="2"/>
      <c r="I65" s="2"/>
      <c r="N65" s="2"/>
    </row>
    <row r="66" spans="1:14" x14ac:dyDescent="0.3">
      <c r="A66" s="2">
        <v>36980</v>
      </c>
      <c r="B66">
        <v>95769.84</v>
      </c>
      <c r="C66">
        <v>8268.9699999999993</v>
      </c>
      <c r="D66">
        <v>-11284.6</v>
      </c>
      <c r="E66">
        <f>D66/MAX($B$2:B66,100000)</f>
        <v>-0.10540991056420355</v>
      </c>
      <c r="H66" s="2"/>
      <c r="I66" s="2"/>
      <c r="N66" s="2"/>
    </row>
    <row r="67" spans="1:14" x14ac:dyDescent="0.3">
      <c r="A67" s="2">
        <v>36987</v>
      </c>
      <c r="B67">
        <v>95928.04</v>
      </c>
      <c r="C67">
        <v>21680.69</v>
      </c>
      <c r="D67">
        <v>-11126.41</v>
      </c>
      <c r="E67">
        <f>D67/MAX($B$2:B67,100000)</f>
        <v>-0.10393225129828793</v>
      </c>
      <c r="H67" s="2"/>
      <c r="I67" s="2"/>
      <c r="N67" s="2"/>
    </row>
    <row r="68" spans="1:14" x14ac:dyDescent="0.3">
      <c r="A68" s="2">
        <v>36993</v>
      </c>
      <c r="B68">
        <v>96882.880000000005</v>
      </c>
      <c r="C68">
        <v>27107.35</v>
      </c>
      <c r="D68">
        <v>-10171.56</v>
      </c>
      <c r="E68">
        <f>D68/MAX($B$2:B68,100000)</f>
        <v>-9.5012958359040653E-2</v>
      </c>
      <c r="H68" s="2"/>
      <c r="I68" s="2"/>
      <c r="N68" s="2"/>
    </row>
    <row r="69" spans="1:14" x14ac:dyDescent="0.3">
      <c r="A69" s="2">
        <v>37001</v>
      </c>
      <c r="B69">
        <v>97333.82</v>
      </c>
      <c r="C69">
        <v>27107.35</v>
      </c>
      <c r="D69">
        <v>-9720.6299999999992</v>
      </c>
      <c r="E69">
        <f>D69/MAX($B$2:B69,100000)</f>
        <v>-9.0800802769058164E-2</v>
      </c>
      <c r="H69" s="2"/>
      <c r="I69" s="2"/>
      <c r="N69" s="2"/>
    </row>
    <row r="70" spans="1:14" x14ac:dyDescent="0.3">
      <c r="A70" s="2">
        <v>37008</v>
      </c>
      <c r="B70">
        <v>97488.3</v>
      </c>
      <c r="C70">
        <v>12946.36</v>
      </c>
      <c r="D70">
        <v>-9566.15</v>
      </c>
      <c r="E70">
        <f>D70/MAX($B$2:B70,100000)</f>
        <v>-8.9357798765020979E-2</v>
      </c>
      <c r="H70" s="2"/>
      <c r="I70" s="2"/>
      <c r="N70" s="2"/>
    </row>
    <row r="71" spans="1:14" x14ac:dyDescent="0.3">
      <c r="A71" s="2">
        <v>37015</v>
      </c>
      <c r="B71">
        <v>98229.91</v>
      </c>
      <c r="C71">
        <v>8298.39</v>
      </c>
      <c r="D71">
        <v>-8824.5300000000007</v>
      </c>
      <c r="E71">
        <f>D71/MAX($B$2:B71,100000)</f>
        <v>-8.2430295984893681E-2</v>
      </c>
      <c r="H71" s="2"/>
      <c r="I71" s="2"/>
      <c r="N71" s="2"/>
    </row>
    <row r="72" spans="1:14" x14ac:dyDescent="0.3">
      <c r="A72" s="2">
        <v>37022</v>
      </c>
      <c r="B72">
        <v>99014.2</v>
      </c>
      <c r="C72">
        <v>3588.83</v>
      </c>
      <c r="D72">
        <v>-8040.25</v>
      </c>
      <c r="E72">
        <f>D72/MAX($B$2:B72,100000)</f>
        <v>-7.5104304398369237E-2</v>
      </c>
      <c r="H72" s="2"/>
      <c r="I72" s="2"/>
      <c r="N72" s="2"/>
    </row>
    <row r="73" spans="1:14" x14ac:dyDescent="0.3">
      <c r="A73" s="2">
        <v>37029</v>
      </c>
      <c r="B73">
        <v>99323.199999999997</v>
      </c>
      <c r="C73">
        <v>2765.24</v>
      </c>
      <c r="D73">
        <v>-7731.25</v>
      </c>
      <c r="E73">
        <f>D73/MAX($B$2:B73,100000)</f>
        <v>-7.2217922748657348E-2</v>
      </c>
      <c r="H73" s="2"/>
      <c r="I73" s="2"/>
      <c r="N73" s="2"/>
    </row>
    <row r="74" spans="1:14" x14ac:dyDescent="0.3">
      <c r="A74" s="2">
        <v>37036</v>
      </c>
      <c r="B74">
        <v>100577.52</v>
      </c>
      <c r="C74">
        <v>2765.24</v>
      </c>
      <c r="D74">
        <v>-6476.93</v>
      </c>
      <c r="E74">
        <f>D74/MAX($B$2:B74,100000)</f>
        <v>-6.0501268279833306E-2</v>
      </c>
      <c r="H74" s="2"/>
      <c r="I74" s="2"/>
      <c r="N74" s="2"/>
    </row>
    <row r="75" spans="1:14" x14ac:dyDescent="0.3">
      <c r="A75" s="2">
        <v>37043</v>
      </c>
      <c r="B75">
        <v>101793.43</v>
      </c>
      <c r="C75">
        <v>2765.24</v>
      </c>
      <c r="D75">
        <v>-5261.02</v>
      </c>
      <c r="E75">
        <f>D75/MAX($B$2:B75,100000)</f>
        <v>-4.914340319342167E-2</v>
      </c>
      <c r="H75" s="2"/>
      <c r="I75" s="2"/>
      <c r="N75" s="2"/>
    </row>
    <row r="76" spans="1:14" x14ac:dyDescent="0.3">
      <c r="A76" s="2">
        <v>37050</v>
      </c>
      <c r="B76">
        <v>100459.86</v>
      </c>
      <c r="C76">
        <v>2765.24</v>
      </c>
      <c r="D76">
        <v>-6594.59</v>
      </c>
      <c r="E76">
        <f>D76/MAX($B$2:B76,100000)</f>
        <v>-6.1600335156548842E-2</v>
      </c>
      <c r="H76" s="2"/>
      <c r="I76" s="2"/>
      <c r="N76" s="2"/>
    </row>
    <row r="77" spans="1:14" x14ac:dyDescent="0.3">
      <c r="A77" s="2">
        <v>37057</v>
      </c>
      <c r="B77">
        <v>102137.58</v>
      </c>
      <c r="C77">
        <v>2765.24</v>
      </c>
      <c r="D77">
        <v>-4916.87</v>
      </c>
      <c r="E77">
        <f>D77/MAX($B$2:B77,100000)</f>
        <v>-4.5928683954753864E-2</v>
      </c>
      <c r="H77" s="2"/>
      <c r="I77" s="2"/>
      <c r="N77" s="2"/>
    </row>
    <row r="78" spans="1:14" x14ac:dyDescent="0.3">
      <c r="A78" s="2">
        <v>37064</v>
      </c>
      <c r="B78">
        <v>104262.33</v>
      </c>
      <c r="C78">
        <v>2765.24</v>
      </c>
      <c r="D78">
        <v>-2792.12</v>
      </c>
      <c r="E78">
        <f>D78/MAX($B$2:B78,100000)</f>
        <v>-2.6081307222632969E-2</v>
      </c>
      <c r="H78" s="2"/>
      <c r="I78" s="2"/>
      <c r="N78" s="2"/>
    </row>
    <row r="79" spans="1:14" x14ac:dyDescent="0.3">
      <c r="A79" s="2">
        <v>37071</v>
      </c>
      <c r="B79">
        <v>107551.67</v>
      </c>
      <c r="C79">
        <v>2765.24</v>
      </c>
      <c r="D79">
        <v>0</v>
      </c>
      <c r="E79">
        <f>D79/MAX($B$2:B79,100000)</f>
        <v>0</v>
      </c>
      <c r="H79" s="2"/>
      <c r="I79" s="2"/>
      <c r="N79" s="2"/>
    </row>
    <row r="80" spans="1:14" x14ac:dyDescent="0.3">
      <c r="A80" s="2">
        <v>37078</v>
      </c>
      <c r="B80">
        <v>106982.9</v>
      </c>
      <c r="C80">
        <v>2765.24</v>
      </c>
      <c r="D80">
        <v>-568.77</v>
      </c>
      <c r="E80">
        <f>D80/MAX($B$2:B80,100000)</f>
        <v>-5.2883418732596159E-3</v>
      </c>
      <c r="H80" s="2"/>
      <c r="I80" s="2"/>
      <c r="N80" s="2"/>
    </row>
    <row r="81" spans="1:14" x14ac:dyDescent="0.3">
      <c r="A81" s="2">
        <v>37085</v>
      </c>
      <c r="B81">
        <v>109132.45</v>
      </c>
      <c r="C81">
        <v>2765.24</v>
      </c>
      <c r="D81">
        <v>0</v>
      </c>
      <c r="E81">
        <f>D81/MAX($B$2:B81,100000)</f>
        <v>0</v>
      </c>
      <c r="H81" s="2"/>
      <c r="I81" s="2"/>
      <c r="N81" s="2"/>
    </row>
    <row r="82" spans="1:14" x14ac:dyDescent="0.3">
      <c r="A82" s="2">
        <v>37092</v>
      </c>
      <c r="B82">
        <v>107533.4</v>
      </c>
      <c r="C82">
        <v>12571.98</v>
      </c>
      <c r="D82">
        <v>-1599.05</v>
      </c>
      <c r="E82">
        <f>D82/MAX($B$2:B82,100000)</f>
        <v>-1.4652378829578186E-2</v>
      </c>
      <c r="H82" s="2"/>
      <c r="I82" s="2"/>
      <c r="N82" s="2"/>
    </row>
    <row r="83" spans="1:14" x14ac:dyDescent="0.3">
      <c r="A83" s="2">
        <v>37099</v>
      </c>
      <c r="B83">
        <v>107282.17</v>
      </c>
      <c r="C83">
        <v>8144.14</v>
      </c>
      <c r="D83">
        <v>-1850.28</v>
      </c>
      <c r="E83">
        <f>D83/MAX($B$2:B83,100000)</f>
        <v>-1.695444388905408E-2</v>
      </c>
      <c r="H83" s="2"/>
      <c r="I83" s="2"/>
      <c r="N83" s="2"/>
    </row>
    <row r="84" spans="1:14" x14ac:dyDescent="0.3">
      <c r="A84" s="2">
        <v>37106</v>
      </c>
      <c r="B84">
        <v>107781.79</v>
      </c>
      <c r="C84">
        <v>8144.14</v>
      </c>
      <c r="D84">
        <v>-1350.66</v>
      </c>
      <c r="E84">
        <f>D84/MAX($B$2:B84,100000)</f>
        <v>-1.2376337193932694E-2</v>
      </c>
      <c r="H84" s="2"/>
      <c r="I84" s="2"/>
      <c r="N84" s="2"/>
    </row>
    <row r="85" spans="1:14" x14ac:dyDescent="0.3">
      <c r="A85" s="2">
        <v>37113</v>
      </c>
      <c r="B85">
        <v>109929.73</v>
      </c>
      <c r="C85">
        <v>7926.86</v>
      </c>
      <c r="D85">
        <v>0</v>
      </c>
      <c r="E85">
        <f>D85/MAX($B$2:B85,100000)</f>
        <v>0</v>
      </c>
      <c r="H85" s="2"/>
      <c r="I85" s="2"/>
      <c r="N85" s="2"/>
    </row>
    <row r="86" spans="1:14" x14ac:dyDescent="0.3">
      <c r="A86" s="2">
        <v>37120</v>
      </c>
      <c r="B86">
        <v>109583.37</v>
      </c>
      <c r="C86">
        <v>7926.86</v>
      </c>
      <c r="D86">
        <v>-346.36</v>
      </c>
      <c r="E86">
        <f>D86/MAX($B$2:B86,100000)</f>
        <v>-3.1507400227399813E-3</v>
      </c>
      <c r="H86" s="2"/>
      <c r="I86" s="2"/>
      <c r="N86" s="2"/>
    </row>
    <row r="87" spans="1:14" x14ac:dyDescent="0.3">
      <c r="A87" s="2">
        <v>37127</v>
      </c>
      <c r="B87">
        <v>108583.98</v>
      </c>
      <c r="C87">
        <v>7926.86</v>
      </c>
      <c r="D87">
        <v>-1345.74</v>
      </c>
      <c r="E87">
        <f>D87/MAX($B$2:B87,100000)</f>
        <v>-1.224182029738452E-2</v>
      </c>
      <c r="H87" s="2"/>
      <c r="I87" s="2"/>
      <c r="N87" s="2"/>
    </row>
    <row r="88" spans="1:14" x14ac:dyDescent="0.3">
      <c r="A88" s="2">
        <v>37134</v>
      </c>
      <c r="B88">
        <v>108938.01</v>
      </c>
      <c r="C88">
        <v>18182.63</v>
      </c>
      <c r="D88">
        <v>-991.72</v>
      </c>
      <c r="E88">
        <f>D88/MAX($B$2:B88,100000)</f>
        <v>-9.0213993975969929E-3</v>
      </c>
      <c r="H88" s="2"/>
      <c r="I88" s="2"/>
      <c r="N88" s="2"/>
    </row>
    <row r="89" spans="1:14" x14ac:dyDescent="0.3">
      <c r="A89" s="2">
        <v>37141</v>
      </c>
      <c r="B89">
        <v>108105.11</v>
      </c>
      <c r="C89">
        <v>18182.63</v>
      </c>
      <c r="D89">
        <v>-1824.62</v>
      </c>
      <c r="E89">
        <f>D89/MAX($B$2:B89,100000)</f>
        <v>-1.659805768648754E-2</v>
      </c>
      <c r="H89" s="2"/>
      <c r="I89" s="2"/>
      <c r="N89" s="2"/>
    </row>
    <row r="90" spans="1:14" x14ac:dyDescent="0.3">
      <c r="A90" s="2">
        <v>37148</v>
      </c>
      <c r="B90">
        <v>102807.3</v>
      </c>
      <c r="C90">
        <v>18182.63</v>
      </c>
      <c r="D90">
        <v>-7122.43</v>
      </c>
      <c r="E90">
        <f>D90/MAX($B$2:B90,100000)</f>
        <v>-6.4790753147487945E-2</v>
      </c>
      <c r="H90" s="2"/>
      <c r="I90" s="2"/>
      <c r="N90" s="2"/>
    </row>
    <row r="91" spans="1:14" x14ac:dyDescent="0.3">
      <c r="A91" s="2">
        <v>37155</v>
      </c>
      <c r="B91">
        <v>100049.73</v>
      </c>
      <c r="C91">
        <v>18182.63</v>
      </c>
      <c r="D91">
        <v>-9879.99</v>
      </c>
      <c r="E91">
        <f>D91/MAX($B$2:B91,100000)</f>
        <v>-8.9875505015795096E-2</v>
      </c>
      <c r="H91" s="2"/>
      <c r="I91" s="2"/>
      <c r="N91" s="2"/>
    </row>
    <row r="92" spans="1:14" x14ac:dyDescent="0.3">
      <c r="A92" s="2">
        <v>37162</v>
      </c>
      <c r="B92">
        <v>100712.04</v>
      </c>
      <c r="C92">
        <v>41477.61</v>
      </c>
      <c r="D92">
        <v>-9217.69</v>
      </c>
      <c r="E92">
        <f>D92/MAX($B$2:B92,100000)</f>
        <v>-8.3850747200052256E-2</v>
      </c>
      <c r="H92" s="2"/>
      <c r="I92" s="2"/>
      <c r="N92" s="2"/>
    </row>
    <row r="93" spans="1:14" x14ac:dyDescent="0.3">
      <c r="A93" s="2">
        <v>37169</v>
      </c>
      <c r="B93">
        <v>101968.95</v>
      </c>
      <c r="C93">
        <v>53672.44</v>
      </c>
      <c r="D93">
        <v>-7960.78</v>
      </c>
      <c r="E93">
        <f>D93/MAX($B$2:B93,100000)</f>
        <v>-7.2416988561692999E-2</v>
      </c>
      <c r="H93" s="2"/>
      <c r="I93" s="2"/>
      <c r="N93" s="2"/>
    </row>
    <row r="94" spans="1:14" x14ac:dyDescent="0.3">
      <c r="A94" s="2">
        <v>37176</v>
      </c>
      <c r="B94">
        <v>102118.34</v>
      </c>
      <c r="C94">
        <v>53672.44</v>
      </c>
      <c r="D94">
        <v>-7811.38</v>
      </c>
      <c r="E94">
        <f>D94/MAX($B$2:B94,100000)</f>
        <v>-7.1057938557658615E-2</v>
      </c>
      <c r="H94" s="2"/>
      <c r="I94" s="2"/>
      <c r="N94" s="2"/>
    </row>
    <row r="95" spans="1:14" x14ac:dyDescent="0.3">
      <c r="A95" s="2">
        <v>37183</v>
      </c>
      <c r="B95">
        <v>101995.24</v>
      </c>
      <c r="C95">
        <v>53672.44</v>
      </c>
      <c r="D95">
        <v>-7934.48</v>
      </c>
      <c r="E95">
        <f>D95/MAX($B$2:B95,100000)</f>
        <v>-7.217774481934959E-2</v>
      </c>
      <c r="H95" s="2"/>
      <c r="I95" s="2"/>
      <c r="N95" s="2"/>
    </row>
    <row r="96" spans="1:14" x14ac:dyDescent="0.3">
      <c r="A96" s="2">
        <v>37190</v>
      </c>
      <c r="B96">
        <v>102752.3</v>
      </c>
      <c r="C96">
        <v>53672.44</v>
      </c>
      <c r="D96">
        <v>-7177.43</v>
      </c>
      <c r="E96">
        <f>D96/MAX($B$2:B96,100000)</f>
        <v>-6.5291072760753618E-2</v>
      </c>
      <c r="H96" s="2"/>
      <c r="I96" s="2"/>
      <c r="N96" s="2"/>
    </row>
    <row r="97" spans="1:14" x14ac:dyDescent="0.3">
      <c r="A97" s="2">
        <v>37197</v>
      </c>
      <c r="B97">
        <v>102438.32</v>
      </c>
      <c r="C97">
        <v>29488.32</v>
      </c>
      <c r="D97">
        <v>-7491.41</v>
      </c>
      <c r="E97">
        <f>D97/MAX($B$2:B97,100000)</f>
        <v>-6.8147260982083735E-2</v>
      </c>
      <c r="H97" s="2"/>
      <c r="I97" s="2"/>
      <c r="N97" s="2"/>
    </row>
    <row r="98" spans="1:14" x14ac:dyDescent="0.3">
      <c r="A98" s="2">
        <v>37204</v>
      </c>
      <c r="B98">
        <v>102408.15</v>
      </c>
      <c r="C98">
        <v>9942.74</v>
      </c>
      <c r="D98">
        <v>-7521.58</v>
      </c>
      <c r="E98">
        <f>D98/MAX($B$2:B98,100000)</f>
        <v>-6.8421709031760564E-2</v>
      </c>
      <c r="H98" s="2"/>
      <c r="I98" s="2"/>
      <c r="N98" s="2"/>
    </row>
    <row r="99" spans="1:14" x14ac:dyDescent="0.3">
      <c r="A99" s="2">
        <v>37211</v>
      </c>
      <c r="B99">
        <v>103528.2</v>
      </c>
      <c r="C99">
        <v>193.72</v>
      </c>
      <c r="D99">
        <v>-6401.53</v>
      </c>
      <c r="E99">
        <f>D99/MAX($B$2:B99,100000)</f>
        <v>-5.8232927525611135E-2</v>
      </c>
      <c r="H99" s="2"/>
      <c r="I99" s="2"/>
      <c r="N99" s="2"/>
    </row>
    <row r="100" spans="1:14" x14ac:dyDescent="0.3">
      <c r="A100" s="2">
        <v>37218</v>
      </c>
      <c r="B100">
        <v>105347.72</v>
      </c>
      <c r="C100">
        <v>149.69999999999999</v>
      </c>
      <c r="D100">
        <v>-4582.01</v>
      </c>
      <c r="E100">
        <f>D100/MAX($B$2:B100,100000)</f>
        <v>-4.1681263112353685E-2</v>
      </c>
      <c r="H100" s="2"/>
      <c r="I100" s="2"/>
      <c r="N100" s="2"/>
    </row>
    <row r="101" spans="1:14" x14ac:dyDescent="0.3">
      <c r="A101" s="2">
        <v>37225</v>
      </c>
      <c r="B101">
        <v>106823.3</v>
      </c>
      <c r="C101">
        <v>149.69999999999999</v>
      </c>
      <c r="D101">
        <v>-3106.43</v>
      </c>
      <c r="E101">
        <f>D101/MAX($B$2:B101,100000)</f>
        <v>-2.8258324658852522E-2</v>
      </c>
      <c r="H101" s="2"/>
      <c r="I101" s="2"/>
      <c r="N101" s="2"/>
    </row>
    <row r="102" spans="1:14" x14ac:dyDescent="0.3">
      <c r="A102" s="2">
        <v>37232</v>
      </c>
      <c r="B102">
        <v>105897.02</v>
      </c>
      <c r="C102">
        <v>149.69999999999999</v>
      </c>
      <c r="D102">
        <v>-4032.71</v>
      </c>
      <c r="E102">
        <f>D102/MAX($B$2:B102,100000)</f>
        <v>-3.6684434683865778E-2</v>
      </c>
      <c r="H102" s="2"/>
      <c r="I102" s="2"/>
      <c r="N102" s="2"/>
    </row>
    <row r="103" spans="1:14" x14ac:dyDescent="0.3">
      <c r="A103" s="2">
        <v>37239</v>
      </c>
      <c r="B103">
        <v>106374.75</v>
      </c>
      <c r="C103">
        <v>958.14</v>
      </c>
      <c r="D103">
        <v>-3554.98</v>
      </c>
      <c r="E103">
        <f>D103/MAX($B$2:B103,100000)</f>
        <v>-3.2338658523040131E-2</v>
      </c>
      <c r="H103" s="2"/>
      <c r="I103" s="2"/>
      <c r="N103" s="2"/>
    </row>
    <row r="104" spans="1:14" x14ac:dyDescent="0.3">
      <c r="A104" s="2">
        <v>37246</v>
      </c>
      <c r="B104">
        <v>107956.87</v>
      </c>
      <c r="C104">
        <v>958.14</v>
      </c>
      <c r="D104">
        <v>-1972.86</v>
      </c>
      <c r="E104">
        <f>D104/MAX($B$2:B104,100000)</f>
        <v>-1.7946555495042149E-2</v>
      </c>
      <c r="H104" s="2"/>
      <c r="I104" s="2"/>
      <c r="N104" s="2"/>
    </row>
    <row r="105" spans="1:14" x14ac:dyDescent="0.3">
      <c r="A105" s="2">
        <v>37253</v>
      </c>
      <c r="B105">
        <v>109270.08</v>
      </c>
      <c r="C105">
        <v>994.2</v>
      </c>
      <c r="D105">
        <v>-659.65</v>
      </c>
      <c r="E105">
        <f>D105/MAX($B$2:B105,100000)</f>
        <v>-6.0006515071036742E-3</v>
      </c>
      <c r="H105" s="2"/>
      <c r="I105" s="2"/>
      <c r="N105" s="2"/>
    </row>
    <row r="106" spans="1:14" x14ac:dyDescent="0.3">
      <c r="A106" s="2">
        <v>37260</v>
      </c>
      <c r="B106">
        <v>111222.99</v>
      </c>
      <c r="C106">
        <v>994.2</v>
      </c>
      <c r="D106">
        <v>0</v>
      </c>
      <c r="E106">
        <f>D106/MAX($B$2:B106,100000)</f>
        <v>0</v>
      </c>
      <c r="H106" s="2"/>
      <c r="I106" s="2"/>
      <c r="N106" s="2"/>
    </row>
    <row r="107" spans="1:14" x14ac:dyDescent="0.3">
      <c r="A107" s="2">
        <v>37267</v>
      </c>
      <c r="B107">
        <v>112300.38</v>
      </c>
      <c r="C107">
        <v>994.2</v>
      </c>
      <c r="D107">
        <v>0</v>
      </c>
      <c r="E107">
        <f>D107/MAX($B$2:B107,100000)</f>
        <v>0</v>
      </c>
      <c r="H107" s="2"/>
      <c r="I107" s="2"/>
      <c r="N107" s="2"/>
    </row>
    <row r="108" spans="1:14" x14ac:dyDescent="0.3">
      <c r="A108" s="2">
        <v>37274</v>
      </c>
      <c r="B108">
        <v>112639.05</v>
      </c>
      <c r="C108">
        <v>994.2</v>
      </c>
      <c r="D108">
        <v>0</v>
      </c>
      <c r="E108">
        <f>D108/MAX($B$2:B108,100000)</f>
        <v>0</v>
      </c>
      <c r="H108" s="2"/>
      <c r="I108" s="2"/>
      <c r="N108" s="2"/>
    </row>
    <row r="109" spans="1:14" x14ac:dyDescent="0.3">
      <c r="A109" s="2">
        <v>37281</v>
      </c>
      <c r="B109">
        <v>114830.49</v>
      </c>
      <c r="C109">
        <v>994.2</v>
      </c>
      <c r="D109">
        <v>0</v>
      </c>
      <c r="E109">
        <f>D109/MAX($B$2:B109,100000)</f>
        <v>0</v>
      </c>
      <c r="H109" s="2"/>
      <c r="I109" s="2"/>
      <c r="N109" s="2"/>
    </row>
    <row r="110" spans="1:14" x14ac:dyDescent="0.3">
      <c r="A110" s="2">
        <v>37288</v>
      </c>
      <c r="B110">
        <v>115664.7</v>
      </c>
      <c r="C110">
        <v>994.2</v>
      </c>
      <c r="D110">
        <v>0</v>
      </c>
      <c r="E110">
        <f>D110/MAX($B$2:B110,100000)</f>
        <v>0</v>
      </c>
      <c r="H110" s="2"/>
      <c r="I110" s="2"/>
      <c r="N110" s="2"/>
    </row>
    <row r="111" spans="1:14" x14ac:dyDescent="0.3">
      <c r="A111" s="2">
        <v>37295</v>
      </c>
      <c r="B111">
        <v>117409.23</v>
      </c>
      <c r="C111">
        <v>749.46</v>
      </c>
      <c r="D111">
        <v>0</v>
      </c>
      <c r="E111">
        <f>D111/MAX($B$2:B111,100000)</f>
        <v>0</v>
      </c>
      <c r="H111" s="2"/>
      <c r="I111" s="2"/>
      <c r="N111" s="2"/>
    </row>
    <row r="112" spans="1:14" x14ac:dyDescent="0.3">
      <c r="A112" s="2">
        <v>37302</v>
      </c>
      <c r="B112">
        <v>118727.8</v>
      </c>
      <c r="C112">
        <v>749.46</v>
      </c>
      <c r="D112">
        <v>0</v>
      </c>
      <c r="E112">
        <f>D112/MAX($B$2:B112,100000)</f>
        <v>0</v>
      </c>
      <c r="H112" s="2"/>
      <c r="I112" s="2"/>
      <c r="N112" s="2"/>
    </row>
    <row r="113" spans="1:14" x14ac:dyDescent="0.3">
      <c r="A113" s="2">
        <v>37309</v>
      </c>
      <c r="B113">
        <v>121701.38</v>
      </c>
      <c r="C113">
        <v>749.46</v>
      </c>
      <c r="D113">
        <v>0</v>
      </c>
      <c r="E113">
        <f>D113/MAX($B$2:B113,100000)</f>
        <v>0</v>
      </c>
      <c r="H113" s="2"/>
      <c r="I113" s="2"/>
      <c r="N113" s="2"/>
    </row>
    <row r="114" spans="1:14" x14ac:dyDescent="0.3">
      <c r="A114" s="2">
        <v>37316</v>
      </c>
      <c r="B114">
        <v>121063.93</v>
      </c>
      <c r="C114">
        <v>4198.66</v>
      </c>
      <c r="D114">
        <v>-637.45000000000005</v>
      </c>
      <c r="E114">
        <f>D114/MAX($B$2:B114,100000)</f>
        <v>-5.2378206393386834E-3</v>
      </c>
      <c r="H114" s="2"/>
      <c r="I114" s="2"/>
      <c r="N114" s="2"/>
    </row>
    <row r="115" spans="1:14" x14ac:dyDescent="0.3">
      <c r="A115" s="2">
        <v>37323</v>
      </c>
      <c r="B115">
        <v>122541.82</v>
      </c>
      <c r="C115">
        <v>4198.66</v>
      </c>
      <c r="D115">
        <v>0</v>
      </c>
      <c r="E115">
        <f>D115/MAX($B$2:B115,100000)</f>
        <v>0</v>
      </c>
      <c r="H115" s="2"/>
      <c r="I115" s="2"/>
      <c r="N115" s="2"/>
    </row>
    <row r="116" spans="1:14" x14ac:dyDescent="0.3">
      <c r="A116" s="2">
        <v>37330</v>
      </c>
      <c r="B116">
        <v>122071.25</v>
      </c>
      <c r="C116">
        <v>2709.5</v>
      </c>
      <c r="D116">
        <v>-470.57</v>
      </c>
      <c r="E116">
        <f>D116/MAX($B$2:B116,100000)</f>
        <v>-3.8400767999039018E-3</v>
      </c>
      <c r="H116" s="2"/>
      <c r="I116" s="2"/>
      <c r="N116" s="2"/>
    </row>
    <row r="117" spans="1:14" x14ac:dyDescent="0.3">
      <c r="A117" s="2">
        <v>37337</v>
      </c>
      <c r="B117">
        <v>124544.47</v>
      </c>
      <c r="C117">
        <v>2709.5</v>
      </c>
      <c r="D117">
        <v>0</v>
      </c>
      <c r="E117">
        <f>D117/MAX($B$2:B117,100000)</f>
        <v>0</v>
      </c>
      <c r="H117" s="2"/>
      <c r="I117" s="2"/>
      <c r="N117" s="2"/>
    </row>
    <row r="118" spans="1:14" x14ac:dyDescent="0.3">
      <c r="A118" s="2">
        <v>37343</v>
      </c>
      <c r="B118">
        <v>125977.2</v>
      </c>
      <c r="C118">
        <v>1679.32</v>
      </c>
      <c r="D118">
        <v>0</v>
      </c>
      <c r="E118">
        <f>D118/MAX($B$2:B118,100000)</f>
        <v>0</v>
      </c>
      <c r="H118" s="2"/>
      <c r="I118" s="2"/>
      <c r="N118" s="2"/>
    </row>
    <row r="119" spans="1:14" x14ac:dyDescent="0.3">
      <c r="A119" s="2">
        <v>37351</v>
      </c>
      <c r="B119">
        <v>126100.8</v>
      </c>
      <c r="C119">
        <v>1679.32</v>
      </c>
      <c r="D119">
        <v>0</v>
      </c>
      <c r="E119">
        <f>D119/MAX($B$2:B119,100000)</f>
        <v>0</v>
      </c>
      <c r="H119" s="2"/>
      <c r="I119" s="2"/>
      <c r="N119" s="2"/>
    </row>
    <row r="120" spans="1:14" x14ac:dyDescent="0.3">
      <c r="A120" s="2">
        <v>37358</v>
      </c>
      <c r="B120">
        <v>126184.34</v>
      </c>
      <c r="C120">
        <v>1679.32</v>
      </c>
      <c r="D120">
        <v>0</v>
      </c>
      <c r="E120">
        <f>D120/MAX($B$2:B120,100000)</f>
        <v>0</v>
      </c>
      <c r="H120" s="2"/>
      <c r="I120" s="2"/>
      <c r="N120" s="2"/>
    </row>
    <row r="121" spans="1:14" x14ac:dyDescent="0.3">
      <c r="A121" s="2">
        <v>37365</v>
      </c>
      <c r="B121">
        <v>124399.09</v>
      </c>
      <c r="C121">
        <v>17305.09</v>
      </c>
      <c r="D121">
        <v>-1785.25</v>
      </c>
      <c r="E121">
        <f>D121/MAX($B$2:B121,100000)</f>
        <v>-1.4147952115135682E-2</v>
      </c>
      <c r="H121" s="2"/>
      <c r="I121" s="2"/>
      <c r="N121" s="2"/>
    </row>
    <row r="122" spans="1:14" x14ac:dyDescent="0.3">
      <c r="A122" s="2">
        <v>37372</v>
      </c>
      <c r="B122">
        <v>124071.72</v>
      </c>
      <c r="C122">
        <v>25427.279999999999</v>
      </c>
      <c r="D122">
        <v>-2112.62</v>
      </c>
      <c r="E122">
        <f>D122/MAX($B$2:B122,100000)</f>
        <v>-1.6742331100673823E-2</v>
      </c>
      <c r="H122" s="2"/>
      <c r="I122" s="2"/>
      <c r="N122" s="2"/>
    </row>
    <row r="123" spans="1:14" x14ac:dyDescent="0.3">
      <c r="A123" s="2">
        <v>37379</v>
      </c>
      <c r="B123">
        <v>124244.52</v>
      </c>
      <c r="C123">
        <v>32713.06</v>
      </c>
      <c r="D123">
        <v>-1939.81</v>
      </c>
      <c r="E123">
        <f>D123/MAX($B$2:B123,100000)</f>
        <v>-1.5372826770738746E-2</v>
      </c>
      <c r="H123" s="2"/>
      <c r="I123" s="2"/>
      <c r="N123" s="2"/>
    </row>
    <row r="124" spans="1:14" x14ac:dyDescent="0.3">
      <c r="A124" s="2">
        <v>37386</v>
      </c>
      <c r="B124">
        <v>124427.07</v>
      </c>
      <c r="C124">
        <v>32713.06</v>
      </c>
      <c r="D124">
        <v>-1757.27</v>
      </c>
      <c r="E124">
        <f>D124/MAX($B$2:B124,100000)</f>
        <v>-1.3926213030872136E-2</v>
      </c>
      <c r="H124" s="2"/>
      <c r="I124" s="2"/>
      <c r="N124" s="2"/>
    </row>
    <row r="125" spans="1:14" x14ac:dyDescent="0.3">
      <c r="A125" s="2">
        <v>37393</v>
      </c>
      <c r="B125">
        <v>125639.97</v>
      </c>
      <c r="C125">
        <v>32713.06</v>
      </c>
      <c r="D125">
        <v>-544.37</v>
      </c>
      <c r="E125">
        <f>D125/MAX($B$2:B125,100000)</f>
        <v>-4.314085250198242E-3</v>
      </c>
      <c r="H125" s="2"/>
      <c r="I125" s="2"/>
      <c r="N125" s="2"/>
    </row>
    <row r="126" spans="1:14" x14ac:dyDescent="0.3">
      <c r="A126" s="2">
        <v>37400</v>
      </c>
      <c r="B126">
        <v>126929.82</v>
      </c>
      <c r="C126">
        <v>37786.75</v>
      </c>
      <c r="D126">
        <v>0</v>
      </c>
      <c r="E126">
        <f>D126/MAX($B$2:B126,100000)</f>
        <v>0</v>
      </c>
      <c r="H126" s="2"/>
      <c r="I126" s="2"/>
      <c r="N126" s="2"/>
    </row>
    <row r="127" spans="1:14" x14ac:dyDescent="0.3">
      <c r="A127" s="2">
        <v>37407</v>
      </c>
      <c r="B127">
        <v>128342.7</v>
      </c>
      <c r="C127">
        <v>37786.75</v>
      </c>
      <c r="D127">
        <v>0</v>
      </c>
      <c r="E127">
        <f>D127/MAX($B$2:B127,100000)</f>
        <v>0</v>
      </c>
      <c r="H127" s="2"/>
      <c r="I127" s="2"/>
      <c r="N127" s="2"/>
    </row>
    <row r="128" spans="1:14" x14ac:dyDescent="0.3">
      <c r="A128" s="2">
        <v>37414</v>
      </c>
      <c r="B128">
        <v>130123.99</v>
      </c>
      <c r="C128">
        <v>43741.24</v>
      </c>
      <c r="D128">
        <v>0</v>
      </c>
      <c r="E128">
        <f>D128/MAX($B$2:B128,100000)</f>
        <v>0</v>
      </c>
      <c r="H128" s="2"/>
      <c r="I128" s="2"/>
      <c r="N128" s="2"/>
    </row>
    <row r="129" spans="1:14" x14ac:dyDescent="0.3">
      <c r="A129" s="2">
        <v>37421</v>
      </c>
      <c r="B129">
        <v>129545.18</v>
      </c>
      <c r="C129">
        <v>43741.24</v>
      </c>
      <c r="D129">
        <v>-578.80999999999995</v>
      </c>
      <c r="E129">
        <f>D129/MAX($B$2:B129,100000)</f>
        <v>-4.4481421143019052E-3</v>
      </c>
      <c r="H129" s="2"/>
      <c r="I129" s="2"/>
      <c r="N129" s="2"/>
    </row>
    <row r="130" spans="1:14" x14ac:dyDescent="0.3">
      <c r="A130" s="2">
        <v>37428</v>
      </c>
      <c r="B130">
        <v>128243.37</v>
      </c>
      <c r="C130">
        <v>48898.01</v>
      </c>
      <c r="D130">
        <v>-1880.63</v>
      </c>
      <c r="E130">
        <f>D130/MAX($B$2:B130,100000)</f>
        <v>-1.4452600170037824E-2</v>
      </c>
      <c r="H130" s="2"/>
      <c r="I130" s="2"/>
      <c r="N130" s="2"/>
    </row>
    <row r="131" spans="1:14" x14ac:dyDescent="0.3">
      <c r="A131" s="2">
        <v>37435</v>
      </c>
      <c r="B131">
        <v>125725.13</v>
      </c>
      <c r="C131">
        <v>48898.01</v>
      </c>
      <c r="D131">
        <v>-4398.8599999999997</v>
      </c>
      <c r="E131">
        <f>D131/MAX($B$2:B131,100000)</f>
        <v>-3.3805142310806786E-2</v>
      </c>
      <c r="H131" s="2"/>
      <c r="I131" s="2"/>
      <c r="N131" s="2"/>
    </row>
    <row r="132" spans="1:14" x14ac:dyDescent="0.3">
      <c r="A132" s="2">
        <v>37442</v>
      </c>
      <c r="B132">
        <v>125141.61</v>
      </c>
      <c r="C132">
        <v>48898.01</v>
      </c>
      <c r="D132">
        <v>-4982.38</v>
      </c>
      <c r="E132">
        <f>D132/MAX($B$2:B132,100000)</f>
        <v>-3.8289480671473412E-2</v>
      </c>
      <c r="H132" s="2"/>
      <c r="I132" s="2"/>
      <c r="N132" s="2"/>
    </row>
    <row r="133" spans="1:14" x14ac:dyDescent="0.3">
      <c r="A133" s="2">
        <v>37449</v>
      </c>
      <c r="B133">
        <v>124578.18</v>
      </c>
      <c r="C133">
        <v>54090.9</v>
      </c>
      <c r="D133">
        <v>-5545.81</v>
      </c>
      <c r="E133">
        <f>D133/MAX($B$2:B133,100000)</f>
        <v>-4.2619427824185228E-2</v>
      </c>
      <c r="H133" s="2"/>
      <c r="I133" s="2"/>
      <c r="N133" s="2"/>
    </row>
    <row r="134" spans="1:14" x14ac:dyDescent="0.3">
      <c r="A134" s="2">
        <v>37456</v>
      </c>
      <c r="B134">
        <v>123220.08</v>
      </c>
      <c r="C134">
        <v>62708.02</v>
      </c>
      <c r="D134">
        <v>-6903.91</v>
      </c>
      <c r="E134">
        <f>D134/MAX($B$2:B134,100000)</f>
        <v>-5.3056396441578522E-2</v>
      </c>
      <c r="H134" s="2"/>
      <c r="I134" s="2"/>
      <c r="N134" s="2"/>
    </row>
    <row r="135" spans="1:14" x14ac:dyDescent="0.3">
      <c r="A135" s="2">
        <v>37463</v>
      </c>
      <c r="B135">
        <v>122687.76</v>
      </c>
      <c r="C135">
        <v>68354</v>
      </c>
      <c r="D135">
        <v>-7436.23</v>
      </c>
      <c r="E135">
        <f>D135/MAX($B$2:B135,100000)</f>
        <v>-5.7147263928811275E-2</v>
      </c>
      <c r="H135" s="2"/>
      <c r="I135" s="2"/>
      <c r="N135" s="2"/>
    </row>
    <row r="136" spans="1:14" x14ac:dyDescent="0.3">
      <c r="A136" s="2">
        <v>37470</v>
      </c>
      <c r="B136">
        <v>122917.41</v>
      </c>
      <c r="C136">
        <v>73680.94</v>
      </c>
      <c r="D136">
        <v>-7206.58</v>
      </c>
      <c r="E136">
        <f>D136/MAX($B$2:B136,100000)</f>
        <v>-5.5382408731856438E-2</v>
      </c>
      <c r="H136" s="2"/>
      <c r="I136" s="2"/>
      <c r="N136" s="2"/>
    </row>
    <row r="137" spans="1:14" x14ac:dyDescent="0.3">
      <c r="A137" s="2">
        <v>37477</v>
      </c>
      <c r="B137">
        <v>123651.75</v>
      </c>
      <c r="C137">
        <v>73680.94</v>
      </c>
      <c r="D137">
        <v>-6472.24</v>
      </c>
      <c r="E137">
        <f>D137/MAX($B$2:B137,100000)</f>
        <v>-4.973902198971919E-2</v>
      </c>
      <c r="H137" s="2"/>
      <c r="I137" s="2"/>
      <c r="N137" s="2"/>
    </row>
    <row r="138" spans="1:14" x14ac:dyDescent="0.3">
      <c r="A138" s="2">
        <v>37484</v>
      </c>
      <c r="B138">
        <v>123935.6</v>
      </c>
      <c r="C138">
        <v>80997.64</v>
      </c>
      <c r="D138">
        <v>-6188.39</v>
      </c>
      <c r="E138">
        <f>D138/MAX($B$2:B138,100000)</f>
        <v>-4.755764098534021E-2</v>
      </c>
      <c r="H138" s="2"/>
      <c r="I138" s="2"/>
      <c r="N138" s="2"/>
    </row>
    <row r="139" spans="1:14" x14ac:dyDescent="0.3">
      <c r="A139" s="2">
        <v>37491</v>
      </c>
      <c r="B139">
        <v>124712.82</v>
      </c>
      <c r="C139">
        <v>80997.64</v>
      </c>
      <c r="D139">
        <v>-5411.17</v>
      </c>
      <c r="E139">
        <f>D139/MAX($B$2:B139,100000)</f>
        <v>-4.1584722386702098E-2</v>
      </c>
      <c r="H139" s="2"/>
      <c r="I139" s="2"/>
      <c r="N139" s="2"/>
    </row>
    <row r="140" spans="1:14" x14ac:dyDescent="0.3">
      <c r="A140" s="2">
        <v>37498</v>
      </c>
      <c r="B140">
        <v>125842.93</v>
      </c>
      <c r="C140">
        <v>80997.64</v>
      </c>
      <c r="D140">
        <v>-4281.0600000000004</v>
      </c>
      <c r="E140">
        <f>D140/MAX($B$2:B140,100000)</f>
        <v>-3.2899851902789025E-2</v>
      </c>
      <c r="H140" s="2"/>
      <c r="I140" s="2"/>
      <c r="N140" s="2"/>
    </row>
    <row r="141" spans="1:14" x14ac:dyDescent="0.3">
      <c r="A141" s="2">
        <v>37505</v>
      </c>
      <c r="B141">
        <v>125852.22</v>
      </c>
      <c r="C141">
        <v>89885.24</v>
      </c>
      <c r="D141">
        <v>-4271.7700000000004</v>
      </c>
      <c r="E141">
        <f>D141/MAX($B$2:B141,100000)</f>
        <v>-3.2828458457199172E-2</v>
      </c>
      <c r="H141" s="2"/>
      <c r="I141" s="2"/>
      <c r="N141" s="2"/>
    </row>
    <row r="142" spans="1:14" x14ac:dyDescent="0.3">
      <c r="A142" s="2">
        <v>37512</v>
      </c>
      <c r="B142">
        <v>125672.04</v>
      </c>
      <c r="C142">
        <v>89885.24</v>
      </c>
      <c r="D142">
        <v>-4451.95</v>
      </c>
      <c r="E142">
        <f>D142/MAX($B$2:B142,100000)</f>
        <v>-3.4213137792654523E-2</v>
      </c>
      <c r="H142" s="2"/>
      <c r="I142" s="2"/>
      <c r="N142" s="2"/>
    </row>
    <row r="143" spans="1:14" x14ac:dyDescent="0.3">
      <c r="A143" s="2">
        <v>37519</v>
      </c>
      <c r="B143">
        <v>126236.03</v>
      </c>
      <c r="C143">
        <v>89885.24</v>
      </c>
      <c r="D143">
        <v>-3887.96</v>
      </c>
      <c r="E143">
        <f>D143/MAX($B$2:B143,100000)</f>
        <v>-2.9878887052264536E-2</v>
      </c>
      <c r="H143" s="2"/>
      <c r="I143" s="2"/>
      <c r="N143" s="2"/>
    </row>
    <row r="144" spans="1:14" x14ac:dyDescent="0.3">
      <c r="A144" s="2">
        <v>37526</v>
      </c>
      <c r="B144">
        <v>126067.3</v>
      </c>
      <c r="C144">
        <v>89885.24</v>
      </c>
      <c r="D144">
        <v>-4056.69</v>
      </c>
      <c r="E144">
        <f>D144/MAX($B$2:B144,100000)</f>
        <v>-3.1175573389657048E-2</v>
      </c>
      <c r="H144" s="2"/>
      <c r="I144" s="2"/>
      <c r="N144" s="2"/>
    </row>
    <row r="145" spans="1:14" x14ac:dyDescent="0.3">
      <c r="A145" s="2">
        <v>37533</v>
      </c>
      <c r="B145">
        <v>125235.81</v>
      </c>
      <c r="C145">
        <v>89885.24</v>
      </c>
      <c r="D145">
        <v>-4888.18</v>
      </c>
      <c r="E145">
        <f>D145/MAX($B$2:B145,100000)</f>
        <v>-3.7565555744179073E-2</v>
      </c>
      <c r="H145" s="2"/>
      <c r="I145" s="2"/>
      <c r="N145" s="2"/>
    </row>
    <row r="146" spans="1:14" x14ac:dyDescent="0.3">
      <c r="A146" s="2">
        <v>37540</v>
      </c>
      <c r="B146">
        <v>125022.23</v>
      </c>
      <c r="C146">
        <v>89885.24</v>
      </c>
      <c r="D146">
        <v>-5101.7700000000004</v>
      </c>
      <c r="E146">
        <f>D146/MAX($B$2:B146,100000)</f>
        <v>-3.9206990194506026E-2</v>
      </c>
      <c r="H146" s="2"/>
      <c r="I146" s="2"/>
      <c r="N146" s="2"/>
    </row>
    <row r="147" spans="1:14" x14ac:dyDescent="0.3">
      <c r="A147" s="2">
        <v>37547</v>
      </c>
      <c r="B147">
        <v>125103.94</v>
      </c>
      <c r="C147">
        <v>89885.24</v>
      </c>
      <c r="D147">
        <v>-5020.05</v>
      </c>
      <c r="E147">
        <f>D147/MAX($B$2:B147,100000)</f>
        <v>-3.8578973792611188E-2</v>
      </c>
      <c r="H147" s="2"/>
      <c r="I147" s="2"/>
      <c r="N147" s="2"/>
    </row>
    <row r="148" spans="1:14" x14ac:dyDescent="0.3">
      <c r="A148" s="2">
        <v>37554</v>
      </c>
      <c r="B148">
        <v>125160.98</v>
      </c>
      <c r="C148">
        <v>89885.24</v>
      </c>
      <c r="D148">
        <v>-4963.01</v>
      </c>
      <c r="E148">
        <f>D148/MAX($B$2:B148,100000)</f>
        <v>-3.8140622647676266E-2</v>
      </c>
      <c r="H148" s="2"/>
      <c r="I148" s="2"/>
      <c r="N148" s="2"/>
    </row>
    <row r="149" spans="1:14" x14ac:dyDescent="0.3">
      <c r="A149" s="2">
        <v>37561</v>
      </c>
      <c r="B149">
        <v>125496.35</v>
      </c>
      <c r="C149">
        <v>89885.24</v>
      </c>
      <c r="D149">
        <v>-4627.6400000000003</v>
      </c>
      <c r="E149">
        <f>D149/MAX($B$2:B149,100000)</f>
        <v>-3.5563311576904462E-2</v>
      </c>
      <c r="H149" s="2"/>
      <c r="I149" s="2"/>
      <c r="N149" s="2"/>
    </row>
    <row r="150" spans="1:14" x14ac:dyDescent="0.3">
      <c r="A150" s="2">
        <v>37568</v>
      </c>
      <c r="B150">
        <v>125930.55</v>
      </c>
      <c r="C150">
        <v>89885.24</v>
      </c>
      <c r="D150">
        <v>-4193.45</v>
      </c>
      <c r="E150">
        <f>D150/MAX($B$2:B150,100000)</f>
        <v>-3.2226570980493294E-2</v>
      </c>
      <c r="H150" s="2"/>
      <c r="I150" s="2"/>
      <c r="N150" s="2"/>
    </row>
    <row r="151" spans="1:14" x14ac:dyDescent="0.3">
      <c r="A151" s="2">
        <v>37575</v>
      </c>
      <c r="B151">
        <v>125763.85</v>
      </c>
      <c r="C151">
        <v>89885.24</v>
      </c>
      <c r="D151">
        <v>-4360.1400000000003</v>
      </c>
      <c r="E151">
        <f>D151/MAX($B$2:B151,100000)</f>
        <v>-3.3507579962772434E-2</v>
      </c>
      <c r="H151" s="2"/>
      <c r="I151" s="2"/>
      <c r="N151" s="2"/>
    </row>
    <row r="152" spans="1:14" x14ac:dyDescent="0.3">
      <c r="A152" s="2">
        <v>37582</v>
      </c>
      <c r="B152">
        <v>125420.09</v>
      </c>
      <c r="C152">
        <v>89885.24</v>
      </c>
      <c r="D152">
        <v>-4703.91</v>
      </c>
      <c r="E152">
        <f>D152/MAX($B$2:B152,100000)</f>
        <v>-3.6149444848716981E-2</v>
      </c>
      <c r="H152" s="2"/>
      <c r="I152" s="2"/>
      <c r="N152" s="2"/>
    </row>
    <row r="153" spans="1:14" x14ac:dyDescent="0.3">
      <c r="A153" s="2">
        <v>37589</v>
      </c>
      <c r="B153">
        <v>126454.95</v>
      </c>
      <c r="C153">
        <v>89885.24</v>
      </c>
      <c r="D153">
        <v>-3669.05</v>
      </c>
      <c r="E153">
        <f>D153/MAX($B$2:B153,100000)</f>
        <v>-2.8196568518994845E-2</v>
      </c>
      <c r="H153" s="2"/>
      <c r="I153" s="2"/>
      <c r="N153" s="2"/>
    </row>
    <row r="154" spans="1:14" x14ac:dyDescent="0.3">
      <c r="A154" s="2">
        <v>37596</v>
      </c>
      <c r="B154">
        <v>125110.24</v>
      </c>
      <c r="C154">
        <v>71843.25</v>
      </c>
      <c r="D154">
        <v>-5013.75</v>
      </c>
      <c r="E154">
        <f>D154/MAX($B$2:B154,100000)</f>
        <v>-3.8530558431231626E-2</v>
      </c>
      <c r="H154" s="2"/>
      <c r="I154" s="2"/>
      <c r="N154" s="2"/>
    </row>
    <row r="155" spans="1:14" x14ac:dyDescent="0.3">
      <c r="A155" s="2">
        <v>37603</v>
      </c>
      <c r="B155">
        <v>125306.16</v>
      </c>
      <c r="C155">
        <v>71843.25</v>
      </c>
      <c r="D155">
        <v>-4817.83</v>
      </c>
      <c r="E155">
        <f>D155/MAX($B$2:B155,100000)</f>
        <v>-3.7024917542107336E-2</v>
      </c>
      <c r="H155" s="2"/>
      <c r="I155" s="2"/>
      <c r="N155" s="2"/>
    </row>
    <row r="156" spans="1:14" x14ac:dyDescent="0.3">
      <c r="A156" s="2">
        <v>37610</v>
      </c>
      <c r="B156">
        <v>125734.55</v>
      </c>
      <c r="C156">
        <v>77447.64</v>
      </c>
      <c r="D156">
        <v>-4389.45</v>
      </c>
      <c r="E156">
        <f>D156/MAX($B$2:B156,100000)</f>
        <v>-3.3732826667857325E-2</v>
      </c>
      <c r="H156" s="2"/>
      <c r="I156" s="2"/>
      <c r="N156" s="2"/>
    </row>
    <row r="157" spans="1:14" x14ac:dyDescent="0.3">
      <c r="A157" s="2">
        <v>37617</v>
      </c>
      <c r="B157">
        <v>126814.71</v>
      </c>
      <c r="C157">
        <v>59515.13</v>
      </c>
      <c r="D157">
        <v>-3309.28</v>
      </c>
      <c r="E157">
        <f>D157/MAX($B$2:B157,100000)</f>
        <v>-2.5431743985102208E-2</v>
      </c>
      <c r="H157" s="2"/>
      <c r="I157" s="2"/>
      <c r="N157" s="2"/>
    </row>
    <row r="158" spans="1:14" x14ac:dyDescent="0.3">
      <c r="A158" s="2">
        <v>37624</v>
      </c>
      <c r="B158">
        <v>126326</v>
      </c>
      <c r="C158">
        <v>41354.800000000003</v>
      </c>
      <c r="D158">
        <v>-3797.99</v>
      </c>
      <c r="E158">
        <f>D158/MAX($B$2:B158,100000)</f>
        <v>-2.9187469581896462E-2</v>
      </c>
      <c r="H158" s="2"/>
      <c r="I158" s="2"/>
      <c r="N158" s="2"/>
    </row>
    <row r="159" spans="1:14" x14ac:dyDescent="0.3">
      <c r="A159" s="2">
        <v>37631</v>
      </c>
      <c r="B159">
        <v>126508.55</v>
      </c>
      <c r="C159">
        <v>41265.980000000003</v>
      </c>
      <c r="D159">
        <v>-3615.45</v>
      </c>
      <c r="E159">
        <f>D159/MAX($B$2:B159,100000)</f>
        <v>-2.7784653698368762E-2</v>
      </c>
      <c r="H159" s="2"/>
      <c r="I159" s="2"/>
      <c r="N159" s="2"/>
    </row>
    <row r="160" spans="1:14" x14ac:dyDescent="0.3">
      <c r="A160" s="2">
        <v>37638</v>
      </c>
      <c r="B160">
        <v>126903.35</v>
      </c>
      <c r="C160">
        <v>5069.07</v>
      </c>
      <c r="D160">
        <v>-3220.64</v>
      </c>
      <c r="E160">
        <f>D160/MAX($B$2:B160,100000)</f>
        <v>-2.4750547535469822E-2</v>
      </c>
      <c r="H160" s="2"/>
      <c r="I160" s="2"/>
      <c r="N160" s="2"/>
    </row>
    <row r="161" spans="1:14" x14ac:dyDescent="0.3">
      <c r="A161" s="2">
        <v>37645</v>
      </c>
      <c r="B161">
        <v>128930.88</v>
      </c>
      <c r="C161">
        <v>5069.07</v>
      </c>
      <c r="D161">
        <v>-1193.1199999999999</v>
      </c>
      <c r="E161">
        <f>D161/MAX($B$2:B161,100000)</f>
        <v>-9.1691009474886218E-3</v>
      </c>
      <c r="H161" s="2"/>
      <c r="I161" s="2"/>
      <c r="N161" s="2"/>
    </row>
    <row r="162" spans="1:14" x14ac:dyDescent="0.3">
      <c r="A162" s="2">
        <v>37652</v>
      </c>
      <c r="B162">
        <v>126786.17</v>
      </c>
      <c r="C162">
        <v>5069.07</v>
      </c>
      <c r="D162">
        <v>-3337.82</v>
      </c>
      <c r="E162">
        <f>D162/MAX($B$2:B162,100000)</f>
        <v>-2.5651073257129606E-2</v>
      </c>
      <c r="H162" s="2"/>
      <c r="I162" s="2"/>
      <c r="N162" s="2"/>
    </row>
    <row r="163" spans="1:14" x14ac:dyDescent="0.3">
      <c r="A163" s="2">
        <v>37659</v>
      </c>
      <c r="B163">
        <v>124851.93</v>
      </c>
      <c r="C163">
        <v>5069.07</v>
      </c>
      <c r="D163">
        <v>-5272.06</v>
      </c>
      <c r="E163">
        <f>D163/MAX($B$2:B163,100000)</f>
        <v>-4.0515665097573476E-2</v>
      </c>
      <c r="H163" s="2"/>
      <c r="I163" s="2"/>
      <c r="N163" s="2"/>
    </row>
    <row r="164" spans="1:14" x14ac:dyDescent="0.3">
      <c r="A164" s="2">
        <v>37666</v>
      </c>
      <c r="B164">
        <v>124454.3</v>
      </c>
      <c r="C164">
        <v>18752.12</v>
      </c>
      <c r="D164">
        <v>-5669.7</v>
      </c>
      <c r="E164">
        <f>D164/MAX($B$2:B164,100000)</f>
        <v>-4.3571519748203232E-2</v>
      </c>
      <c r="H164" s="2"/>
      <c r="I164" s="2"/>
      <c r="N164" s="2"/>
    </row>
    <row r="165" spans="1:14" x14ac:dyDescent="0.3">
      <c r="A165" s="2">
        <v>37673</v>
      </c>
      <c r="B165">
        <v>126190.82</v>
      </c>
      <c r="C165">
        <v>35960.620000000003</v>
      </c>
      <c r="D165">
        <v>-3933.17</v>
      </c>
      <c r="E165">
        <f>D165/MAX($B$2:B165,100000)</f>
        <v>-3.022632490749784E-2</v>
      </c>
      <c r="H165" s="2"/>
      <c r="I165" s="2"/>
      <c r="N165" s="2"/>
    </row>
    <row r="166" spans="1:14" x14ac:dyDescent="0.3">
      <c r="A166" s="2">
        <v>37680</v>
      </c>
      <c r="B166">
        <v>122870.59</v>
      </c>
      <c r="C166">
        <v>44108.78</v>
      </c>
      <c r="D166">
        <v>-7253.4</v>
      </c>
      <c r="E166">
        <f>D166/MAX($B$2:B166,100000)</f>
        <v>-5.5742219401664517E-2</v>
      </c>
      <c r="H166" s="2"/>
      <c r="I166" s="2"/>
      <c r="N166" s="2"/>
    </row>
    <row r="167" spans="1:14" x14ac:dyDescent="0.3">
      <c r="A167" s="2">
        <v>37687</v>
      </c>
      <c r="B167">
        <v>121466.89</v>
      </c>
      <c r="C167">
        <v>44108.78</v>
      </c>
      <c r="D167">
        <v>-8657.1</v>
      </c>
      <c r="E167">
        <f>D167/MAX($B$2:B167,100000)</f>
        <v>-6.652962301570986E-2</v>
      </c>
      <c r="H167" s="2"/>
      <c r="I167" s="2"/>
      <c r="N167" s="2"/>
    </row>
    <row r="168" spans="1:14" x14ac:dyDescent="0.3">
      <c r="A168" s="2">
        <v>37694</v>
      </c>
      <c r="B168">
        <v>120758.09</v>
      </c>
      <c r="C168">
        <v>61207.79</v>
      </c>
      <c r="D168">
        <v>-9365.9</v>
      </c>
      <c r="E168">
        <f>D168/MAX($B$2:B168,100000)</f>
        <v>-7.1976735419809978E-2</v>
      </c>
      <c r="H168" s="2"/>
      <c r="I168" s="2"/>
      <c r="N168" s="2"/>
    </row>
    <row r="169" spans="1:14" x14ac:dyDescent="0.3">
      <c r="A169" s="2">
        <v>37701</v>
      </c>
      <c r="B169">
        <v>121607.97</v>
      </c>
      <c r="C169">
        <v>75490.350000000006</v>
      </c>
      <c r="D169">
        <v>-8516.02</v>
      </c>
      <c r="E169">
        <f>D169/MAX($B$2:B169,100000)</f>
        <v>-6.5445426319927627E-2</v>
      </c>
      <c r="H169" s="2"/>
      <c r="I169" s="2"/>
      <c r="N169" s="2"/>
    </row>
    <row r="170" spans="1:14" x14ac:dyDescent="0.3">
      <c r="A170" s="2">
        <v>37708</v>
      </c>
      <c r="B170">
        <v>122012.38</v>
      </c>
      <c r="C170">
        <v>75490.350000000006</v>
      </c>
      <c r="D170">
        <v>-8111.61</v>
      </c>
      <c r="E170">
        <f>D170/MAX($B$2:B170,100000)</f>
        <v>-6.2337544368259834E-2</v>
      </c>
      <c r="H170" s="2"/>
      <c r="I170" s="2"/>
      <c r="N170" s="2"/>
    </row>
    <row r="171" spans="1:14" x14ac:dyDescent="0.3">
      <c r="A171" s="2">
        <v>37715</v>
      </c>
      <c r="B171">
        <v>122364.06</v>
      </c>
      <c r="C171">
        <v>75490.350000000006</v>
      </c>
      <c r="D171">
        <v>-7759.93</v>
      </c>
      <c r="E171">
        <f>D171/MAX($B$2:B171,100000)</f>
        <v>-5.9634891306360953E-2</v>
      </c>
      <c r="H171" s="2"/>
      <c r="I171" s="2"/>
      <c r="N171" s="2"/>
    </row>
    <row r="172" spans="1:14" x14ac:dyDescent="0.3">
      <c r="A172" s="2">
        <v>37722</v>
      </c>
      <c r="B172">
        <v>122878.54</v>
      </c>
      <c r="C172">
        <v>57968.86</v>
      </c>
      <c r="D172">
        <v>-7245.45</v>
      </c>
      <c r="E172">
        <f>D172/MAX($B$2:B172,100000)</f>
        <v>-5.5681123826590309E-2</v>
      </c>
      <c r="H172" s="2"/>
      <c r="I172" s="2"/>
      <c r="N172" s="2"/>
    </row>
    <row r="173" spans="1:14" x14ac:dyDescent="0.3">
      <c r="A173" s="2">
        <v>37728</v>
      </c>
      <c r="B173">
        <v>123537.69</v>
      </c>
      <c r="C173">
        <v>39682.04</v>
      </c>
      <c r="D173">
        <v>-6586.3</v>
      </c>
      <c r="E173">
        <f>D173/MAX($B$2:B173,100000)</f>
        <v>-5.0615570580029093E-2</v>
      </c>
      <c r="H173" s="2"/>
      <c r="I173" s="2"/>
      <c r="N173" s="2"/>
    </row>
    <row r="174" spans="1:14" x14ac:dyDescent="0.3">
      <c r="A174" s="2">
        <v>37735</v>
      </c>
      <c r="B174">
        <v>123082.5</v>
      </c>
      <c r="C174">
        <v>16113.51</v>
      </c>
      <c r="D174">
        <v>-7041.49</v>
      </c>
      <c r="E174">
        <f>D174/MAX($B$2:B174,100000)</f>
        <v>-5.4113695714372113E-2</v>
      </c>
      <c r="H174" s="2"/>
      <c r="I174" s="2"/>
      <c r="N174" s="2"/>
    </row>
    <row r="175" spans="1:14" x14ac:dyDescent="0.3">
      <c r="A175" s="2">
        <v>37743</v>
      </c>
      <c r="B175">
        <v>125952.38</v>
      </c>
      <c r="C175">
        <v>4369.16</v>
      </c>
      <c r="D175">
        <v>-4171.6099999999997</v>
      </c>
      <c r="E175">
        <f>D175/MAX($B$2:B175,100000)</f>
        <v>-3.2058731061044156E-2</v>
      </c>
      <c r="H175" s="2"/>
      <c r="I175" s="2"/>
      <c r="N175" s="2"/>
    </row>
    <row r="176" spans="1:14" x14ac:dyDescent="0.3">
      <c r="A176" s="2">
        <v>37750</v>
      </c>
      <c r="B176">
        <v>127044.03</v>
      </c>
      <c r="C176">
        <v>4369.16</v>
      </c>
      <c r="D176">
        <v>-3079.96</v>
      </c>
      <c r="E176">
        <f>D176/MAX($B$2:B176,100000)</f>
        <v>-2.3669424830886295E-2</v>
      </c>
      <c r="H176" s="2"/>
      <c r="I176" s="2"/>
      <c r="N176" s="2"/>
    </row>
    <row r="177" spans="1:14" x14ac:dyDescent="0.3">
      <c r="A177" s="2">
        <v>37757</v>
      </c>
      <c r="B177">
        <v>127947.3</v>
      </c>
      <c r="C177">
        <v>4369.16</v>
      </c>
      <c r="D177">
        <v>-2176.6999999999998</v>
      </c>
      <c r="E177">
        <f>D177/MAX($B$2:B177,100000)</f>
        <v>-1.6727891605537146E-2</v>
      </c>
      <c r="H177" s="2"/>
      <c r="I177" s="2"/>
      <c r="N177" s="2"/>
    </row>
    <row r="178" spans="1:14" x14ac:dyDescent="0.3">
      <c r="A178" s="2">
        <v>37764</v>
      </c>
      <c r="B178">
        <v>130715</v>
      </c>
      <c r="C178">
        <v>4369.16</v>
      </c>
      <c r="D178">
        <v>0</v>
      </c>
      <c r="E178">
        <f>D178/MAX($B$2:B178,100000)</f>
        <v>0</v>
      </c>
      <c r="H178" s="2"/>
      <c r="I178" s="2"/>
      <c r="N178" s="2"/>
    </row>
    <row r="179" spans="1:14" x14ac:dyDescent="0.3">
      <c r="A179" s="2">
        <v>37771</v>
      </c>
      <c r="B179">
        <v>132532.60999999999</v>
      </c>
      <c r="C179">
        <v>4369.16</v>
      </c>
      <c r="D179">
        <v>0</v>
      </c>
      <c r="E179">
        <f>D179/MAX($B$2:B179,100000)</f>
        <v>0</v>
      </c>
      <c r="H179" s="2"/>
      <c r="I179" s="2"/>
      <c r="N179" s="2"/>
    </row>
    <row r="180" spans="1:14" x14ac:dyDescent="0.3">
      <c r="A180" s="2">
        <v>37778</v>
      </c>
      <c r="B180">
        <v>133249.95000000001</v>
      </c>
      <c r="C180">
        <v>4369.16</v>
      </c>
      <c r="D180">
        <v>0</v>
      </c>
      <c r="E180">
        <f>D180/MAX($B$2:B180,100000)</f>
        <v>0</v>
      </c>
      <c r="H180" s="2"/>
      <c r="I180" s="2"/>
      <c r="N180" s="2"/>
    </row>
    <row r="181" spans="1:14" x14ac:dyDescent="0.3">
      <c r="A181" s="2">
        <v>37785</v>
      </c>
      <c r="B181">
        <v>133074.32999999999</v>
      </c>
      <c r="C181">
        <v>4369.16</v>
      </c>
      <c r="D181">
        <v>-175.63</v>
      </c>
      <c r="E181">
        <f>D181/MAX($B$2:B181,100000)</f>
        <v>-1.3180492750653938E-3</v>
      </c>
      <c r="H181" s="2"/>
      <c r="I181" s="2"/>
      <c r="N181" s="2"/>
    </row>
    <row r="182" spans="1:14" x14ac:dyDescent="0.3">
      <c r="A182" s="2">
        <v>37792</v>
      </c>
      <c r="B182">
        <v>137643.57999999999</v>
      </c>
      <c r="C182">
        <v>974.11</v>
      </c>
      <c r="D182">
        <v>0</v>
      </c>
      <c r="E182">
        <f>D182/MAX($B$2:B182,100000)</f>
        <v>0</v>
      </c>
      <c r="H182" s="2"/>
      <c r="I182" s="2"/>
      <c r="N182" s="2"/>
    </row>
    <row r="183" spans="1:14" x14ac:dyDescent="0.3">
      <c r="A183" s="2">
        <v>37799</v>
      </c>
      <c r="B183">
        <v>137757.75</v>
      </c>
      <c r="C183">
        <v>974.11</v>
      </c>
      <c r="D183">
        <v>0</v>
      </c>
      <c r="E183">
        <f>D183/MAX($B$2:B183,100000)</f>
        <v>0</v>
      </c>
      <c r="H183" s="2"/>
      <c r="I183" s="2"/>
      <c r="N183" s="2"/>
    </row>
    <row r="184" spans="1:14" x14ac:dyDescent="0.3">
      <c r="A184" s="2">
        <v>37806</v>
      </c>
      <c r="B184">
        <v>141814.5</v>
      </c>
      <c r="C184">
        <v>974.11</v>
      </c>
      <c r="D184">
        <v>0</v>
      </c>
      <c r="E184">
        <f>D184/MAX($B$2:B184,100000)</f>
        <v>0</v>
      </c>
      <c r="H184" s="2"/>
      <c r="I184" s="2"/>
      <c r="N184" s="2"/>
    </row>
    <row r="185" spans="1:14" x14ac:dyDescent="0.3">
      <c r="A185" s="2">
        <v>37813</v>
      </c>
      <c r="B185">
        <v>142524.38</v>
      </c>
      <c r="C185">
        <v>974.11</v>
      </c>
      <c r="D185">
        <v>0</v>
      </c>
      <c r="E185">
        <f>D185/MAX($B$2:B185,100000)</f>
        <v>0</v>
      </c>
      <c r="H185" s="2"/>
      <c r="I185" s="2"/>
      <c r="N185" s="2"/>
    </row>
    <row r="186" spans="1:14" x14ac:dyDescent="0.3">
      <c r="A186" s="2">
        <v>37820</v>
      </c>
      <c r="B186">
        <v>143395.07999999999</v>
      </c>
      <c r="C186">
        <v>974.11</v>
      </c>
      <c r="D186">
        <v>0</v>
      </c>
      <c r="E186">
        <f>D186/MAX($B$2:B186,100000)</f>
        <v>0</v>
      </c>
      <c r="H186" s="2"/>
      <c r="I186" s="2"/>
      <c r="N186" s="2"/>
    </row>
    <row r="187" spans="1:14" x14ac:dyDescent="0.3">
      <c r="A187" s="2">
        <v>37827</v>
      </c>
      <c r="B187">
        <v>145921.97</v>
      </c>
      <c r="C187">
        <v>6209.05</v>
      </c>
      <c r="D187">
        <v>0</v>
      </c>
      <c r="E187">
        <f>D187/MAX($B$2:B187,100000)</f>
        <v>0</v>
      </c>
      <c r="H187" s="2"/>
      <c r="I187" s="2"/>
      <c r="N187" s="2"/>
    </row>
    <row r="188" spans="1:14" x14ac:dyDescent="0.3">
      <c r="A188" s="2">
        <v>37834</v>
      </c>
      <c r="B188">
        <v>153746.23000000001</v>
      </c>
      <c r="C188">
        <v>6209.05</v>
      </c>
      <c r="D188">
        <v>0</v>
      </c>
      <c r="E188">
        <f>D188/MAX($B$2:B188,100000)</f>
        <v>0</v>
      </c>
      <c r="H188" s="2"/>
      <c r="I188" s="2"/>
      <c r="N188" s="2"/>
    </row>
    <row r="189" spans="1:14" x14ac:dyDescent="0.3">
      <c r="A189" s="2">
        <v>37841</v>
      </c>
      <c r="B189">
        <v>156094.09</v>
      </c>
      <c r="C189">
        <v>6209.05</v>
      </c>
      <c r="D189">
        <v>0</v>
      </c>
      <c r="E189">
        <f>D189/MAX($B$2:B189,100000)</f>
        <v>0</v>
      </c>
      <c r="H189" s="2"/>
      <c r="I189" s="2"/>
      <c r="N189" s="2"/>
    </row>
    <row r="190" spans="1:14" x14ac:dyDescent="0.3">
      <c r="A190" s="2">
        <v>37848</v>
      </c>
      <c r="B190">
        <v>157811.82999999999</v>
      </c>
      <c r="C190">
        <v>1329.67</v>
      </c>
      <c r="D190">
        <v>0</v>
      </c>
      <c r="E190">
        <f>D190/MAX($B$2:B190,100000)</f>
        <v>0</v>
      </c>
      <c r="H190" s="2"/>
      <c r="I190" s="2"/>
      <c r="N190" s="2"/>
    </row>
    <row r="191" spans="1:14" x14ac:dyDescent="0.3">
      <c r="A191" s="2">
        <v>37855</v>
      </c>
      <c r="B191">
        <v>160984.25</v>
      </c>
      <c r="C191">
        <v>1329.67</v>
      </c>
      <c r="D191">
        <v>0</v>
      </c>
      <c r="E191">
        <f>D191/MAX($B$2:B191,100000)</f>
        <v>0</v>
      </c>
      <c r="H191" s="2"/>
      <c r="I191" s="2"/>
      <c r="N191" s="2"/>
    </row>
    <row r="192" spans="1:14" x14ac:dyDescent="0.3">
      <c r="A192" s="2">
        <v>37862</v>
      </c>
      <c r="B192">
        <v>164302.17000000001</v>
      </c>
      <c r="C192">
        <v>1329.67</v>
      </c>
      <c r="D192">
        <v>0</v>
      </c>
      <c r="E192">
        <f>D192/MAX($B$2:B192,100000)</f>
        <v>0</v>
      </c>
      <c r="H192" s="2"/>
      <c r="I192" s="2"/>
      <c r="N192" s="2"/>
    </row>
    <row r="193" spans="1:14" x14ac:dyDescent="0.3">
      <c r="A193" s="2">
        <v>37869</v>
      </c>
      <c r="B193">
        <v>167201.57999999999</v>
      </c>
      <c r="C193">
        <v>1329.67</v>
      </c>
      <c r="D193">
        <v>0</v>
      </c>
      <c r="E193">
        <f>D193/MAX($B$2:B193,100000)</f>
        <v>0</v>
      </c>
      <c r="H193" s="2"/>
      <c r="I193" s="2"/>
      <c r="N193" s="2"/>
    </row>
    <row r="194" spans="1:14" x14ac:dyDescent="0.3">
      <c r="A194" s="2">
        <v>37876</v>
      </c>
      <c r="B194">
        <v>168555.7</v>
      </c>
      <c r="C194">
        <v>1329.67</v>
      </c>
      <c r="D194">
        <v>0</v>
      </c>
      <c r="E194">
        <f>D194/MAX($B$2:B194,100000)</f>
        <v>0</v>
      </c>
      <c r="H194" s="2"/>
      <c r="I194" s="2"/>
      <c r="N194" s="2"/>
    </row>
    <row r="195" spans="1:14" x14ac:dyDescent="0.3">
      <c r="A195" s="2">
        <v>37883</v>
      </c>
      <c r="B195">
        <v>168207.56</v>
      </c>
      <c r="C195">
        <v>1329.67</v>
      </c>
      <c r="D195">
        <v>-348.14</v>
      </c>
      <c r="E195">
        <f>D195/MAX($B$2:B195,100000)</f>
        <v>-2.0654300032570834E-3</v>
      </c>
      <c r="H195" s="2"/>
      <c r="I195" s="2"/>
      <c r="N195" s="2"/>
    </row>
    <row r="196" spans="1:14" x14ac:dyDescent="0.3">
      <c r="A196" s="2">
        <v>37890</v>
      </c>
      <c r="B196">
        <v>170550.66</v>
      </c>
      <c r="C196">
        <v>1329.67</v>
      </c>
      <c r="D196">
        <v>0</v>
      </c>
      <c r="E196">
        <f>D196/MAX($B$2:B196,100000)</f>
        <v>0</v>
      </c>
      <c r="H196" s="2"/>
      <c r="I196" s="2"/>
      <c r="N196" s="2"/>
    </row>
    <row r="197" spans="1:14" x14ac:dyDescent="0.3">
      <c r="A197" s="2">
        <v>37897</v>
      </c>
      <c r="B197">
        <v>173228.89</v>
      </c>
      <c r="C197">
        <v>1329.67</v>
      </c>
      <c r="D197">
        <v>0</v>
      </c>
      <c r="E197">
        <f>D197/MAX($B$2:B197,100000)</f>
        <v>0</v>
      </c>
      <c r="H197" s="2"/>
      <c r="I197" s="2"/>
      <c r="N197" s="2"/>
    </row>
    <row r="198" spans="1:14" x14ac:dyDescent="0.3">
      <c r="A198" s="2">
        <v>37904</v>
      </c>
      <c r="B198">
        <v>176521.05</v>
      </c>
      <c r="C198">
        <v>1329.67</v>
      </c>
      <c r="D198">
        <v>0</v>
      </c>
      <c r="E198">
        <f>D198/MAX($B$2:B198,100000)</f>
        <v>0</v>
      </c>
      <c r="H198" s="2"/>
      <c r="I198" s="2"/>
      <c r="N198" s="2"/>
    </row>
    <row r="199" spans="1:14" x14ac:dyDescent="0.3">
      <c r="A199" s="2">
        <v>37911</v>
      </c>
      <c r="B199">
        <v>177589.13</v>
      </c>
      <c r="C199">
        <v>1329.67</v>
      </c>
      <c r="D199">
        <v>0</v>
      </c>
      <c r="E199">
        <f>D199/MAX($B$2:B199,100000)</f>
        <v>0</v>
      </c>
      <c r="H199" s="2"/>
      <c r="I199" s="2"/>
      <c r="N199" s="2"/>
    </row>
    <row r="200" spans="1:14" x14ac:dyDescent="0.3">
      <c r="A200" s="2">
        <v>37918</v>
      </c>
      <c r="B200">
        <v>178930.7</v>
      </c>
      <c r="C200">
        <v>1329.67</v>
      </c>
      <c r="D200">
        <v>0</v>
      </c>
      <c r="E200">
        <f>D200/MAX($B$2:B200,100000)</f>
        <v>0</v>
      </c>
      <c r="H200" s="2"/>
      <c r="I200" s="2"/>
      <c r="N200" s="2"/>
    </row>
    <row r="201" spans="1:14" x14ac:dyDescent="0.3">
      <c r="A201" s="2">
        <v>37925</v>
      </c>
      <c r="B201">
        <v>176736.02</v>
      </c>
      <c r="C201">
        <v>1329.67</v>
      </c>
      <c r="D201">
        <v>-2194.69</v>
      </c>
      <c r="E201">
        <f>D201/MAX($B$2:B201,100000)</f>
        <v>-1.2265586620965547E-2</v>
      </c>
      <c r="H201" s="2"/>
      <c r="I201" s="2"/>
      <c r="N201" s="2"/>
    </row>
    <row r="202" spans="1:14" x14ac:dyDescent="0.3">
      <c r="A202" s="2">
        <v>37932</v>
      </c>
      <c r="B202">
        <v>174260.34</v>
      </c>
      <c r="C202">
        <v>1329.67</v>
      </c>
      <c r="D202">
        <v>-4670.3599999999997</v>
      </c>
      <c r="E202">
        <f>D202/MAX($B$2:B202,100000)</f>
        <v>-2.6101501866365021E-2</v>
      </c>
      <c r="H202" s="2"/>
      <c r="I202" s="2"/>
      <c r="N202" s="2"/>
    </row>
    <row r="203" spans="1:14" x14ac:dyDescent="0.3">
      <c r="A203" s="2">
        <v>37939</v>
      </c>
      <c r="B203">
        <v>173801.5</v>
      </c>
      <c r="C203">
        <v>1329.67</v>
      </c>
      <c r="D203">
        <v>-5129.2</v>
      </c>
      <c r="E203">
        <f>D203/MAX($B$2:B203,100000)</f>
        <v>-2.8665846609888631E-2</v>
      </c>
      <c r="H203" s="2"/>
      <c r="I203" s="2"/>
      <c r="N203" s="2"/>
    </row>
    <row r="204" spans="1:14" x14ac:dyDescent="0.3">
      <c r="A204" s="2">
        <v>37946</v>
      </c>
      <c r="B204">
        <v>172560.53</v>
      </c>
      <c r="C204">
        <v>7858.88</v>
      </c>
      <c r="D204">
        <v>-6370.17</v>
      </c>
      <c r="E204">
        <f>D204/MAX($B$2:B204,100000)</f>
        <v>-3.5601324982241729E-2</v>
      </c>
      <c r="H204" s="2"/>
      <c r="I204" s="2"/>
      <c r="N204" s="2"/>
    </row>
    <row r="205" spans="1:14" x14ac:dyDescent="0.3">
      <c r="A205" s="2">
        <v>37953</v>
      </c>
      <c r="B205">
        <v>174458.95</v>
      </c>
      <c r="C205">
        <v>7858.88</v>
      </c>
      <c r="D205">
        <v>-4471.75</v>
      </c>
      <c r="E205">
        <f>D205/MAX($B$2:B205,100000)</f>
        <v>-2.4991519062966833E-2</v>
      </c>
      <c r="H205" s="2"/>
      <c r="I205" s="2"/>
      <c r="N205" s="2"/>
    </row>
    <row r="206" spans="1:14" x14ac:dyDescent="0.3">
      <c r="A206" s="2">
        <v>37960</v>
      </c>
      <c r="B206">
        <v>175758.02</v>
      </c>
      <c r="C206">
        <v>19021.439999999999</v>
      </c>
      <c r="D206">
        <v>-3172.69</v>
      </c>
      <c r="E206">
        <f>D206/MAX($B$2:B206,100000)</f>
        <v>-1.7731389862108624E-2</v>
      </c>
      <c r="H206" s="2"/>
      <c r="I206" s="2"/>
      <c r="N206" s="2"/>
    </row>
    <row r="207" spans="1:14" x14ac:dyDescent="0.3">
      <c r="A207" s="2">
        <v>37967</v>
      </c>
      <c r="B207">
        <v>177404.72</v>
      </c>
      <c r="C207">
        <v>7261.5</v>
      </c>
      <c r="D207">
        <v>-1525.98</v>
      </c>
      <c r="E207">
        <f>D207/MAX($B$2:B207,100000)</f>
        <v>-8.5283296829442908E-3</v>
      </c>
      <c r="H207" s="2"/>
      <c r="I207" s="2"/>
      <c r="N207" s="2"/>
    </row>
    <row r="208" spans="1:14" x14ac:dyDescent="0.3">
      <c r="A208" s="2">
        <v>37974</v>
      </c>
      <c r="B208">
        <v>176432</v>
      </c>
      <c r="C208">
        <v>7261.5</v>
      </c>
      <c r="D208">
        <v>-2498.6999999999998</v>
      </c>
      <c r="E208">
        <f>D208/MAX($B$2:B208,100000)</f>
        <v>-1.396462429309224E-2</v>
      </c>
      <c r="H208" s="2"/>
      <c r="I208" s="2"/>
      <c r="N208" s="2"/>
    </row>
    <row r="209" spans="1:14" x14ac:dyDescent="0.3">
      <c r="A209" s="2">
        <v>37979</v>
      </c>
      <c r="B209">
        <v>178612.8</v>
      </c>
      <c r="C209">
        <v>15454.03</v>
      </c>
      <c r="D209">
        <v>-317.91000000000003</v>
      </c>
      <c r="E209">
        <f>D209/MAX($B$2:B209,100000)</f>
        <v>-1.7767213787237182E-3</v>
      </c>
      <c r="H209" s="2"/>
      <c r="I209" s="2"/>
      <c r="N209" s="2"/>
    </row>
    <row r="210" spans="1:14" x14ac:dyDescent="0.3">
      <c r="A210" s="2">
        <v>37988</v>
      </c>
      <c r="B210">
        <v>179854.72</v>
      </c>
      <c r="C210">
        <v>7309.84</v>
      </c>
      <c r="D210">
        <v>0</v>
      </c>
      <c r="E210">
        <f>D210/MAX($B$2:B210,100000)</f>
        <v>0</v>
      </c>
      <c r="H210" s="2"/>
      <c r="I210" s="2"/>
      <c r="N210" s="2"/>
    </row>
    <row r="211" spans="1:14" x14ac:dyDescent="0.3">
      <c r="A211" s="2">
        <v>37995</v>
      </c>
      <c r="B211">
        <v>180918.86</v>
      </c>
      <c r="C211">
        <v>7309.84</v>
      </c>
      <c r="D211">
        <v>0</v>
      </c>
      <c r="E211">
        <f>D211/MAX($B$2:B211,100000)</f>
        <v>0</v>
      </c>
      <c r="H211" s="2"/>
      <c r="I211" s="2"/>
      <c r="N211" s="2"/>
    </row>
    <row r="212" spans="1:14" x14ac:dyDescent="0.3">
      <c r="A212" s="2">
        <v>38002</v>
      </c>
      <c r="B212">
        <v>180068.42</v>
      </c>
      <c r="C212">
        <v>7309.84</v>
      </c>
      <c r="D212">
        <v>-850.44</v>
      </c>
      <c r="E212">
        <f>D212/MAX($B$2:B212,100000)</f>
        <v>-4.700670786893086E-3</v>
      </c>
      <c r="H212" s="2"/>
      <c r="I212" s="2"/>
      <c r="N212" s="2"/>
    </row>
    <row r="213" spans="1:14" x14ac:dyDescent="0.3">
      <c r="A213" s="2">
        <v>38009</v>
      </c>
      <c r="B213">
        <v>182028.25</v>
      </c>
      <c r="C213">
        <v>7309.84</v>
      </c>
      <c r="D213">
        <v>0</v>
      </c>
      <c r="E213">
        <f>D213/MAX($B$2:B213,100000)</f>
        <v>0</v>
      </c>
      <c r="H213" s="2"/>
      <c r="I213" s="2"/>
      <c r="N213" s="2"/>
    </row>
    <row r="214" spans="1:14" x14ac:dyDescent="0.3">
      <c r="A214" s="2">
        <v>38016</v>
      </c>
      <c r="B214">
        <v>179505.75</v>
      </c>
      <c r="C214">
        <v>7309.84</v>
      </c>
      <c r="D214">
        <v>-2522.5</v>
      </c>
      <c r="E214">
        <f>D214/MAX($B$2:B214,100000)</f>
        <v>-1.3857739114670387E-2</v>
      </c>
      <c r="H214" s="2"/>
      <c r="I214" s="2"/>
      <c r="N214" s="2"/>
    </row>
    <row r="215" spans="1:14" x14ac:dyDescent="0.3">
      <c r="A215" s="2">
        <v>38023</v>
      </c>
      <c r="B215">
        <v>182154.7</v>
      </c>
      <c r="C215">
        <v>8405.6200000000008</v>
      </c>
      <c r="D215">
        <v>0</v>
      </c>
      <c r="E215">
        <f>D215/MAX($B$2:B215,100000)</f>
        <v>0</v>
      </c>
      <c r="H215" s="2"/>
      <c r="I215" s="2"/>
      <c r="N215" s="2"/>
    </row>
    <row r="216" spans="1:14" x14ac:dyDescent="0.3">
      <c r="A216" s="2">
        <v>38030</v>
      </c>
      <c r="B216">
        <v>183407.19</v>
      </c>
      <c r="C216">
        <v>8405.6200000000008</v>
      </c>
      <c r="D216">
        <v>0</v>
      </c>
      <c r="E216">
        <f>D216/MAX($B$2:B216,100000)</f>
        <v>0</v>
      </c>
      <c r="H216" s="2"/>
      <c r="I216" s="2"/>
      <c r="N216" s="2"/>
    </row>
    <row r="217" spans="1:14" x14ac:dyDescent="0.3">
      <c r="A217" s="2">
        <v>38037</v>
      </c>
      <c r="B217">
        <v>188993.33</v>
      </c>
      <c r="C217">
        <v>8405.6200000000008</v>
      </c>
      <c r="D217">
        <v>0</v>
      </c>
      <c r="E217">
        <f>D217/MAX($B$2:B217,100000)</f>
        <v>0</v>
      </c>
      <c r="H217" s="2"/>
      <c r="I217" s="2"/>
      <c r="N217" s="2"/>
    </row>
    <row r="218" spans="1:14" x14ac:dyDescent="0.3">
      <c r="A218" s="2">
        <v>38044</v>
      </c>
      <c r="B218">
        <v>185773.36</v>
      </c>
      <c r="C218">
        <v>8405.6200000000008</v>
      </c>
      <c r="D218">
        <v>-3219.97</v>
      </c>
      <c r="E218">
        <f>D218/MAX($B$2:B218,100000)</f>
        <v>-1.7037479576660193E-2</v>
      </c>
      <c r="H218" s="2"/>
      <c r="I218" s="2"/>
      <c r="N218" s="2"/>
    </row>
    <row r="219" spans="1:14" x14ac:dyDescent="0.3">
      <c r="A219" s="2">
        <v>38051</v>
      </c>
      <c r="B219">
        <v>187669.92</v>
      </c>
      <c r="C219">
        <v>6932.51</v>
      </c>
      <c r="D219">
        <v>-1323.41</v>
      </c>
      <c r="E219">
        <f>D219/MAX($B$2:B219,100000)</f>
        <v>-7.002416434484752E-3</v>
      </c>
      <c r="H219" s="2"/>
      <c r="I219" s="2"/>
      <c r="N219" s="2"/>
    </row>
    <row r="220" spans="1:14" x14ac:dyDescent="0.3">
      <c r="A220" s="2">
        <v>38058</v>
      </c>
      <c r="B220">
        <v>185757.14</v>
      </c>
      <c r="C220">
        <v>6932.51</v>
      </c>
      <c r="D220">
        <v>-3236.19</v>
      </c>
      <c r="E220">
        <f>D220/MAX($B$2:B220,100000)</f>
        <v>-1.7123302711264998E-2</v>
      </c>
      <c r="H220" s="2"/>
      <c r="I220" s="2"/>
      <c r="N220" s="2"/>
    </row>
    <row r="221" spans="1:14" x14ac:dyDescent="0.3">
      <c r="A221" s="2">
        <v>38065</v>
      </c>
      <c r="B221">
        <v>189726.63</v>
      </c>
      <c r="C221">
        <v>6932.51</v>
      </c>
      <c r="D221">
        <v>0</v>
      </c>
      <c r="E221">
        <f>D221/MAX($B$2:B221,100000)</f>
        <v>0</v>
      </c>
      <c r="H221" s="2"/>
      <c r="I221" s="2"/>
      <c r="N221" s="2"/>
    </row>
    <row r="222" spans="1:14" x14ac:dyDescent="0.3">
      <c r="A222" s="2">
        <v>38072</v>
      </c>
      <c r="B222">
        <v>189621.3</v>
      </c>
      <c r="C222">
        <v>6932.51</v>
      </c>
      <c r="D222">
        <v>-105.33</v>
      </c>
      <c r="E222">
        <f>D222/MAX($B$2:B222,100000)</f>
        <v>-5.5516718976139515E-4</v>
      </c>
      <c r="H222" s="2"/>
      <c r="I222" s="2"/>
      <c r="N222" s="2"/>
    </row>
    <row r="223" spans="1:14" x14ac:dyDescent="0.3">
      <c r="A223" s="2">
        <v>38079</v>
      </c>
      <c r="B223">
        <v>190847.42</v>
      </c>
      <c r="C223">
        <v>29861.09</v>
      </c>
      <c r="D223">
        <v>0</v>
      </c>
      <c r="E223">
        <f>D223/MAX($B$2:B223,100000)</f>
        <v>0</v>
      </c>
      <c r="H223" s="2"/>
      <c r="I223" s="2"/>
      <c r="N223" s="2"/>
    </row>
    <row r="224" spans="1:14" x14ac:dyDescent="0.3">
      <c r="A224" s="2">
        <v>38085</v>
      </c>
      <c r="B224">
        <v>190563.61</v>
      </c>
      <c r="C224">
        <v>21742.85</v>
      </c>
      <c r="D224">
        <v>-283.81</v>
      </c>
      <c r="E224">
        <f>D224/MAX($B$2:B224,100000)</f>
        <v>-1.4871042008322668E-3</v>
      </c>
      <c r="H224" s="2"/>
      <c r="I224" s="2"/>
      <c r="N224" s="2"/>
    </row>
    <row r="225" spans="1:14" x14ac:dyDescent="0.3">
      <c r="A225" s="2">
        <v>38093</v>
      </c>
      <c r="B225">
        <v>186120.42</v>
      </c>
      <c r="C225">
        <v>3552.52</v>
      </c>
      <c r="D225">
        <v>-4727</v>
      </c>
      <c r="E225">
        <f>D225/MAX($B$2:B225,100000)</f>
        <v>-2.4768477352221999E-2</v>
      </c>
      <c r="H225" s="2"/>
      <c r="I225" s="2"/>
      <c r="N225" s="2"/>
    </row>
    <row r="226" spans="1:14" x14ac:dyDescent="0.3">
      <c r="A226" s="2">
        <v>38100</v>
      </c>
      <c r="B226">
        <v>185460.02</v>
      </c>
      <c r="C226">
        <v>3552.52</v>
      </c>
      <c r="D226">
        <v>-5387.41</v>
      </c>
      <c r="E226">
        <f>D226/MAX($B$2:B226,100000)</f>
        <v>-2.8228885672124882E-2</v>
      </c>
      <c r="H226" s="2"/>
      <c r="I226" s="2"/>
      <c r="N226" s="2"/>
    </row>
    <row r="227" spans="1:14" x14ac:dyDescent="0.3">
      <c r="A227" s="2">
        <v>38107</v>
      </c>
      <c r="B227">
        <v>183023.56</v>
      </c>
      <c r="C227">
        <v>3552.52</v>
      </c>
      <c r="D227">
        <v>-7823.86</v>
      </c>
      <c r="E227">
        <f>D227/MAX($B$2:B227,100000)</f>
        <v>-4.0995366874752609E-2</v>
      </c>
      <c r="H227" s="2"/>
      <c r="I227" s="2"/>
      <c r="N227" s="2"/>
    </row>
    <row r="228" spans="1:14" x14ac:dyDescent="0.3">
      <c r="A228" s="2">
        <v>38114</v>
      </c>
      <c r="B228">
        <v>184346.73</v>
      </c>
      <c r="C228">
        <v>3207.28</v>
      </c>
      <c r="D228">
        <v>-6500.69</v>
      </c>
      <c r="E228">
        <f>D228/MAX($B$2:B228,100000)</f>
        <v>-3.406223673340724E-2</v>
      </c>
      <c r="H228" s="2"/>
      <c r="I228" s="2"/>
      <c r="N228" s="2"/>
    </row>
    <row r="229" spans="1:14" x14ac:dyDescent="0.3">
      <c r="A229" s="2">
        <v>38121</v>
      </c>
      <c r="B229">
        <v>183698.98</v>
      </c>
      <c r="C229">
        <v>2622.9</v>
      </c>
      <c r="D229">
        <v>-7148.44</v>
      </c>
      <c r="E229">
        <f>D229/MAX($B$2:B229,100000)</f>
        <v>-3.745630933863292E-2</v>
      </c>
      <c r="H229" s="2"/>
      <c r="I229" s="2"/>
      <c r="N229" s="2"/>
    </row>
    <row r="230" spans="1:14" x14ac:dyDescent="0.3">
      <c r="A230" s="2">
        <v>38128</v>
      </c>
      <c r="B230">
        <v>183635.22</v>
      </c>
      <c r="C230">
        <v>2622.9</v>
      </c>
      <c r="D230">
        <v>-7212.2</v>
      </c>
      <c r="E230">
        <f>D230/MAX($B$2:B230,100000)</f>
        <v>-3.7790398214447955E-2</v>
      </c>
      <c r="H230" s="2"/>
      <c r="I230" s="2"/>
      <c r="N230" s="2"/>
    </row>
    <row r="231" spans="1:14" x14ac:dyDescent="0.3">
      <c r="A231" s="2">
        <v>38135</v>
      </c>
      <c r="B231">
        <v>181733</v>
      </c>
      <c r="C231">
        <v>11544.87</v>
      </c>
      <c r="D231">
        <v>-9114.42</v>
      </c>
      <c r="E231">
        <f>D231/MAX($B$2:B231,100000)</f>
        <v>-4.7757627533031359E-2</v>
      </c>
      <c r="H231" s="2"/>
      <c r="I231" s="2"/>
      <c r="N231" s="2"/>
    </row>
    <row r="232" spans="1:14" x14ac:dyDescent="0.3">
      <c r="A232" s="2">
        <v>38142</v>
      </c>
      <c r="B232">
        <v>180742.34</v>
      </c>
      <c r="C232">
        <v>13265.64</v>
      </c>
      <c r="D232">
        <v>-10105.08</v>
      </c>
      <c r="E232">
        <f>D232/MAX($B$2:B232,100000)</f>
        <v>-5.2948475803340694E-2</v>
      </c>
      <c r="H232" s="2"/>
      <c r="I232" s="2"/>
      <c r="N232" s="2"/>
    </row>
    <row r="233" spans="1:14" x14ac:dyDescent="0.3">
      <c r="A233" s="2">
        <v>38149</v>
      </c>
      <c r="B233">
        <v>181794.33</v>
      </c>
      <c r="C233">
        <v>4644.1000000000004</v>
      </c>
      <c r="D233">
        <v>-9053.09</v>
      </c>
      <c r="E233">
        <f>D233/MAX($B$2:B233,100000)</f>
        <v>-4.7436271341787066E-2</v>
      </c>
      <c r="H233" s="2"/>
      <c r="I233" s="2"/>
      <c r="N233" s="2"/>
    </row>
    <row r="234" spans="1:14" x14ac:dyDescent="0.3">
      <c r="A234" s="2">
        <v>38156</v>
      </c>
      <c r="B234">
        <v>178923.03</v>
      </c>
      <c r="C234">
        <v>4644.1000000000004</v>
      </c>
      <c r="D234">
        <v>-11924.39</v>
      </c>
      <c r="E234">
        <f>D234/MAX($B$2:B234,100000)</f>
        <v>-6.2481274308030986E-2</v>
      </c>
      <c r="H234" s="2"/>
      <c r="I234" s="2"/>
      <c r="N234" s="2"/>
    </row>
    <row r="235" spans="1:14" x14ac:dyDescent="0.3">
      <c r="A235" s="2">
        <v>38163</v>
      </c>
      <c r="B235">
        <v>181240.88</v>
      </c>
      <c r="C235">
        <v>6592.98</v>
      </c>
      <c r="D235">
        <v>-9606.5499999999993</v>
      </c>
      <c r="E235">
        <f>D235/MAX($B$2:B235,100000)</f>
        <v>-5.0336284346940603E-2</v>
      </c>
      <c r="H235" s="2"/>
      <c r="I235" s="2"/>
      <c r="N235" s="2"/>
    </row>
    <row r="236" spans="1:14" x14ac:dyDescent="0.3">
      <c r="A236" s="2">
        <v>38170</v>
      </c>
      <c r="B236">
        <v>183261.81</v>
      </c>
      <c r="C236">
        <v>33244.230000000003</v>
      </c>
      <c r="D236">
        <v>-7585.61</v>
      </c>
      <c r="E236">
        <f>D236/MAX($B$2:B236,100000)</f>
        <v>-3.9746987410152042E-2</v>
      </c>
      <c r="H236" s="2"/>
      <c r="I236" s="2"/>
      <c r="N236" s="2"/>
    </row>
    <row r="237" spans="1:14" x14ac:dyDescent="0.3">
      <c r="A237" s="2">
        <v>38177</v>
      </c>
      <c r="B237">
        <v>184102.75</v>
      </c>
      <c r="C237">
        <v>24484.46</v>
      </c>
      <c r="D237">
        <v>-6744.67</v>
      </c>
      <c r="E237">
        <f>D237/MAX($B$2:B237,100000)</f>
        <v>-3.5340640182612897E-2</v>
      </c>
      <c r="H237" s="2"/>
      <c r="I237" s="2"/>
      <c r="N237" s="2"/>
    </row>
    <row r="238" spans="1:14" x14ac:dyDescent="0.3">
      <c r="A238" s="2">
        <v>38184</v>
      </c>
      <c r="B238">
        <v>188542.67</v>
      </c>
      <c r="C238">
        <v>6906.47</v>
      </c>
      <c r="D238">
        <v>-2304.75</v>
      </c>
      <c r="E238">
        <f>D238/MAX($B$2:B238,100000)</f>
        <v>-1.2076401137620827E-2</v>
      </c>
      <c r="H238" s="2"/>
      <c r="I238" s="2"/>
      <c r="N238" s="2"/>
    </row>
    <row r="239" spans="1:14" x14ac:dyDescent="0.3">
      <c r="A239" s="2">
        <v>38191</v>
      </c>
      <c r="B239">
        <v>190491.28</v>
      </c>
      <c r="C239">
        <v>6906.47</v>
      </c>
      <c r="D239">
        <v>-356.14</v>
      </c>
      <c r="E239">
        <f>D239/MAX($B$2:B239,100000)</f>
        <v>-1.8660980588576987E-3</v>
      </c>
      <c r="H239" s="2"/>
      <c r="I239" s="2"/>
      <c r="N239" s="2"/>
    </row>
    <row r="240" spans="1:14" x14ac:dyDescent="0.3">
      <c r="A240" s="2">
        <v>38198</v>
      </c>
      <c r="B240">
        <v>196042.13</v>
      </c>
      <c r="C240">
        <v>6906.47</v>
      </c>
      <c r="D240">
        <v>0</v>
      </c>
      <c r="E240">
        <f>D240/MAX($B$2:B240,100000)</f>
        <v>0</v>
      </c>
      <c r="H240" s="2"/>
      <c r="I240" s="2"/>
      <c r="N240" s="2"/>
    </row>
    <row r="241" spans="1:14" x14ac:dyDescent="0.3">
      <c r="A241" s="2">
        <v>38205</v>
      </c>
      <c r="B241">
        <v>195367.61</v>
      </c>
      <c r="C241">
        <v>6906.47</v>
      </c>
      <c r="D241">
        <v>-674.52</v>
      </c>
      <c r="E241">
        <f>D241/MAX($B$2:B241,100000)</f>
        <v>-3.4406889988391779E-3</v>
      </c>
      <c r="H241" s="2"/>
      <c r="I241" s="2"/>
      <c r="N241" s="2"/>
    </row>
    <row r="242" spans="1:14" x14ac:dyDescent="0.3">
      <c r="A242" s="2">
        <v>38212</v>
      </c>
      <c r="B242">
        <v>195877.88</v>
      </c>
      <c r="C242">
        <v>8086.69</v>
      </c>
      <c r="D242">
        <v>-164.25</v>
      </c>
      <c r="E242">
        <f>D242/MAX($B$2:B242,100000)</f>
        <v>-8.3783011335369592E-4</v>
      </c>
      <c r="H242" s="2"/>
      <c r="I242" s="2"/>
      <c r="N242" s="2"/>
    </row>
    <row r="243" spans="1:14" x14ac:dyDescent="0.3">
      <c r="A243" s="2">
        <v>38219</v>
      </c>
      <c r="B243">
        <v>194879.55</v>
      </c>
      <c r="C243">
        <v>8086.69</v>
      </c>
      <c r="D243">
        <v>-1162.58</v>
      </c>
      <c r="E243">
        <f>D243/MAX($B$2:B243,100000)</f>
        <v>-5.9302559097883702E-3</v>
      </c>
      <c r="H243" s="2"/>
      <c r="I243" s="2"/>
      <c r="N243" s="2"/>
    </row>
    <row r="244" spans="1:14" x14ac:dyDescent="0.3">
      <c r="A244" s="2">
        <v>38226</v>
      </c>
      <c r="B244">
        <v>198776.66</v>
      </c>
      <c r="C244">
        <v>8086.69</v>
      </c>
      <c r="D244">
        <v>0</v>
      </c>
      <c r="E244">
        <f>D244/MAX($B$2:B244,100000)</f>
        <v>0</v>
      </c>
      <c r="H244" s="2"/>
      <c r="I244" s="2"/>
      <c r="N244" s="2"/>
    </row>
    <row r="245" spans="1:14" x14ac:dyDescent="0.3">
      <c r="A245" s="2">
        <v>38233</v>
      </c>
      <c r="B245">
        <v>203805.88</v>
      </c>
      <c r="C245">
        <v>8086.69</v>
      </c>
      <c r="D245">
        <v>0</v>
      </c>
      <c r="E245">
        <f>D245/MAX($B$2:B245,100000)</f>
        <v>0</v>
      </c>
      <c r="H245" s="2"/>
      <c r="I245" s="2"/>
      <c r="N245" s="2"/>
    </row>
    <row r="246" spans="1:14" x14ac:dyDescent="0.3">
      <c r="A246" s="2">
        <v>38240</v>
      </c>
      <c r="B246">
        <v>201784.39</v>
      </c>
      <c r="C246">
        <v>8086.69</v>
      </c>
      <c r="D246">
        <v>-2021.48</v>
      </c>
      <c r="E246">
        <f>D246/MAX($B$2:B246,100000)</f>
        <v>-9.9186539662153017E-3</v>
      </c>
      <c r="H246" s="2"/>
      <c r="I246" s="2"/>
      <c r="N246" s="2"/>
    </row>
    <row r="247" spans="1:14" x14ac:dyDescent="0.3">
      <c r="A247" s="2">
        <v>38247</v>
      </c>
      <c r="B247">
        <v>201404.42</v>
      </c>
      <c r="C247">
        <v>8086.69</v>
      </c>
      <c r="D247">
        <v>-2401.4499999999998</v>
      </c>
      <c r="E247">
        <f>D247/MAX($B$2:B247,100000)</f>
        <v>-1.178302608344764E-2</v>
      </c>
      <c r="H247" s="2"/>
      <c r="I247" s="2"/>
      <c r="N247" s="2"/>
    </row>
    <row r="248" spans="1:14" x14ac:dyDescent="0.3">
      <c r="A248" s="2">
        <v>38254</v>
      </c>
      <c r="B248">
        <v>202502.25</v>
      </c>
      <c r="C248">
        <v>8086.69</v>
      </c>
      <c r="D248">
        <v>-1303.6300000000001</v>
      </c>
      <c r="E248">
        <f>D248/MAX($B$2:B248,100000)</f>
        <v>-6.3964297791604448E-3</v>
      </c>
      <c r="H248" s="2"/>
      <c r="I248" s="2"/>
      <c r="N248" s="2"/>
    </row>
    <row r="249" spans="1:14" x14ac:dyDescent="0.3">
      <c r="A249" s="2">
        <v>38261</v>
      </c>
      <c r="B249">
        <v>199805.83</v>
      </c>
      <c r="C249">
        <v>8086.69</v>
      </c>
      <c r="D249">
        <v>-4000.05</v>
      </c>
      <c r="E249">
        <f>D249/MAX($B$2:B249,100000)</f>
        <v>-1.9626764448601779E-2</v>
      </c>
      <c r="H249" s="2"/>
      <c r="I249" s="2"/>
      <c r="N249" s="2"/>
    </row>
    <row r="250" spans="1:14" x14ac:dyDescent="0.3">
      <c r="A250" s="2">
        <v>38268</v>
      </c>
      <c r="B250">
        <v>205185.3</v>
      </c>
      <c r="C250">
        <v>256.23</v>
      </c>
      <c r="D250">
        <v>0</v>
      </c>
      <c r="E250">
        <f>D250/MAX($B$2:B250,100000)</f>
        <v>0</v>
      </c>
      <c r="H250" s="2"/>
      <c r="I250" s="2"/>
      <c r="N250" s="2"/>
    </row>
    <row r="251" spans="1:14" x14ac:dyDescent="0.3">
      <c r="A251" s="2">
        <v>38275</v>
      </c>
      <c r="B251">
        <v>211111.95</v>
      </c>
      <c r="C251">
        <v>256.23</v>
      </c>
      <c r="D251">
        <v>0</v>
      </c>
      <c r="E251">
        <f>D251/MAX($B$2:B251,100000)</f>
        <v>0</v>
      </c>
      <c r="H251" s="2"/>
      <c r="I251" s="2"/>
      <c r="N251" s="2"/>
    </row>
    <row r="252" spans="1:14" x14ac:dyDescent="0.3">
      <c r="A252" s="2">
        <v>38282</v>
      </c>
      <c r="B252">
        <v>216666.97</v>
      </c>
      <c r="C252">
        <v>8931.4699999999993</v>
      </c>
      <c r="D252">
        <v>0</v>
      </c>
      <c r="E252">
        <f>D252/MAX($B$2:B252,100000)</f>
        <v>0</v>
      </c>
      <c r="H252" s="2"/>
      <c r="I252" s="2"/>
      <c r="N252" s="2"/>
    </row>
    <row r="253" spans="1:14" x14ac:dyDescent="0.3">
      <c r="A253" s="2">
        <v>38289</v>
      </c>
      <c r="B253">
        <v>217681.61</v>
      </c>
      <c r="C253">
        <v>8931.4699999999993</v>
      </c>
      <c r="D253">
        <v>0</v>
      </c>
      <c r="E253">
        <f>D253/MAX($B$2:B253,100000)</f>
        <v>0</v>
      </c>
      <c r="H253" s="2"/>
      <c r="I253" s="2"/>
      <c r="N253" s="2"/>
    </row>
    <row r="254" spans="1:14" x14ac:dyDescent="0.3">
      <c r="A254" s="2">
        <v>38296</v>
      </c>
      <c r="B254">
        <v>222104</v>
      </c>
      <c r="C254">
        <v>8931.4699999999993</v>
      </c>
      <c r="D254">
        <v>0</v>
      </c>
      <c r="E254">
        <f>D254/MAX($B$2:B254,100000)</f>
        <v>0</v>
      </c>
      <c r="H254" s="2"/>
      <c r="I254" s="2"/>
      <c r="N254" s="2"/>
    </row>
    <row r="255" spans="1:14" x14ac:dyDescent="0.3">
      <c r="A255" s="2">
        <v>38303</v>
      </c>
      <c r="B255">
        <v>222081</v>
      </c>
      <c r="C255">
        <v>8931.4699999999993</v>
      </c>
      <c r="D255">
        <v>-23</v>
      </c>
      <c r="E255">
        <f>D255/MAX($B$2:B255,100000)</f>
        <v>-1.0355509130857616E-4</v>
      </c>
      <c r="H255" s="2"/>
      <c r="I255" s="2"/>
      <c r="N255" s="2"/>
    </row>
    <row r="256" spans="1:14" x14ac:dyDescent="0.3">
      <c r="A256" s="2">
        <v>38310</v>
      </c>
      <c r="B256">
        <v>223327.52</v>
      </c>
      <c r="C256">
        <v>8931.4699999999993</v>
      </c>
      <c r="D256">
        <v>0</v>
      </c>
      <c r="E256">
        <f>D256/MAX($B$2:B256,100000)</f>
        <v>0</v>
      </c>
      <c r="H256" s="2"/>
      <c r="I256" s="2"/>
      <c r="N256" s="2"/>
    </row>
    <row r="257" spans="1:14" x14ac:dyDescent="0.3">
      <c r="A257" s="2">
        <v>38317</v>
      </c>
      <c r="B257">
        <v>224238.59</v>
      </c>
      <c r="C257">
        <v>8931.4699999999993</v>
      </c>
      <c r="D257">
        <v>0</v>
      </c>
      <c r="E257">
        <f>D257/MAX($B$2:B257,100000)</f>
        <v>0</v>
      </c>
      <c r="H257" s="2"/>
      <c r="I257" s="2"/>
      <c r="N257" s="2"/>
    </row>
    <row r="258" spans="1:14" x14ac:dyDescent="0.3">
      <c r="A258" s="2">
        <v>38324</v>
      </c>
      <c r="B258">
        <v>223782.05</v>
      </c>
      <c r="C258">
        <v>8931.4699999999993</v>
      </c>
      <c r="D258">
        <v>-456.55</v>
      </c>
      <c r="E258">
        <f>D258/MAX($B$2:B258,100000)</f>
        <v>-2.0360010290824608E-3</v>
      </c>
      <c r="H258" s="2"/>
      <c r="I258" s="2"/>
      <c r="N258" s="2"/>
    </row>
    <row r="259" spans="1:14" x14ac:dyDescent="0.3">
      <c r="A259" s="2">
        <v>38331</v>
      </c>
      <c r="B259">
        <v>222220.19</v>
      </c>
      <c r="C259">
        <v>8931.4699999999993</v>
      </c>
      <c r="D259">
        <v>-2018.41</v>
      </c>
      <c r="E259">
        <f>D259/MAX($B$2:B259,100000)</f>
        <v>-9.0011714754360522E-3</v>
      </c>
      <c r="H259" s="2"/>
      <c r="I259" s="2"/>
      <c r="N259" s="2"/>
    </row>
    <row r="260" spans="1:14" x14ac:dyDescent="0.3">
      <c r="A260" s="2">
        <v>38338</v>
      </c>
      <c r="B260">
        <v>224584.84</v>
      </c>
      <c r="C260">
        <v>8931.4699999999993</v>
      </c>
      <c r="D260">
        <v>0</v>
      </c>
      <c r="E260">
        <f>D260/MAX($B$2:B260,100000)</f>
        <v>0</v>
      </c>
      <c r="H260" s="2"/>
      <c r="I260" s="2"/>
      <c r="N260" s="2"/>
    </row>
    <row r="261" spans="1:14" x14ac:dyDescent="0.3">
      <c r="A261" s="2">
        <v>38345</v>
      </c>
      <c r="B261">
        <v>227709.84</v>
      </c>
      <c r="C261">
        <v>8931.4699999999993</v>
      </c>
      <c r="D261">
        <v>0</v>
      </c>
      <c r="E261">
        <f>D261/MAX($B$2:B261,100000)</f>
        <v>0</v>
      </c>
      <c r="H261" s="2"/>
      <c r="I261" s="2"/>
      <c r="N261" s="2"/>
    </row>
    <row r="262" spans="1:14" x14ac:dyDescent="0.3">
      <c r="A262" s="2">
        <v>38352</v>
      </c>
      <c r="B262">
        <v>229798.25</v>
      </c>
      <c r="C262">
        <v>8931.4699999999993</v>
      </c>
      <c r="D262">
        <v>0</v>
      </c>
      <c r="E262">
        <f>D262/MAX($B$2:B262,100000)</f>
        <v>0</v>
      </c>
      <c r="H262" s="2"/>
      <c r="I262" s="2"/>
      <c r="N262" s="2"/>
    </row>
    <row r="263" spans="1:14" x14ac:dyDescent="0.3">
      <c r="A263" s="2">
        <v>38359</v>
      </c>
      <c r="B263">
        <v>228541.09</v>
      </c>
      <c r="C263">
        <v>20042.37</v>
      </c>
      <c r="D263">
        <v>-1257.1600000000001</v>
      </c>
      <c r="E263">
        <f>D263/MAX($B$2:B263,100000)</f>
        <v>-5.4707118091630383E-3</v>
      </c>
      <c r="H263" s="2"/>
      <c r="I263" s="2"/>
      <c r="N263" s="2"/>
    </row>
    <row r="264" spans="1:14" x14ac:dyDescent="0.3">
      <c r="A264" s="2">
        <v>38366</v>
      </c>
      <c r="B264">
        <v>230502.22</v>
      </c>
      <c r="C264">
        <v>20042.37</v>
      </c>
      <c r="D264">
        <v>0</v>
      </c>
      <c r="E264">
        <f>D264/MAX($B$2:B264,100000)</f>
        <v>0</v>
      </c>
      <c r="H264" s="2"/>
      <c r="I264" s="2"/>
      <c r="N264" s="2"/>
    </row>
    <row r="265" spans="1:14" x14ac:dyDescent="0.3">
      <c r="A265" s="2">
        <v>38373</v>
      </c>
      <c r="B265">
        <v>237833.98</v>
      </c>
      <c r="C265">
        <v>9029.14</v>
      </c>
      <c r="D265">
        <v>0</v>
      </c>
      <c r="E265">
        <f>D265/MAX($B$2:B265,100000)</f>
        <v>0</v>
      </c>
      <c r="H265" s="2"/>
      <c r="I265" s="2"/>
      <c r="N265" s="2"/>
    </row>
    <row r="266" spans="1:14" x14ac:dyDescent="0.3">
      <c r="A266" s="2">
        <v>38380</v>
      </c>
      <c r="B266">
        <v>241858.55</v>
      </c>
      <c r="C266">
        <v>9029.14</v>
      </c>
      <c r="D266">
        <v>0</v>
      </c>
      <c r="E266">
        <f>D266/MAX($B$2:B266,100000)</f>
        <v>0</v>
      </c>
      <c r="H266" s="2"/>
      <c r="I266" s="2"/>
      <c r="N266" s="2"/>
    </row>
    <row r="267" spans="1:14" x14ac:dyDescent="0.3">
      <c r="A267" s="2">
        <v>38387</v>
      </c>
      <c r="B267">
        <v>243332.44</v>
      </c>
      <c r="C267">
        <v>9029.14</v>
      </c>
      <c r="D267">
        <v>0</v>
      </c>
      <c r="E267">
        <f>D267/MAX($B$2:B267,100000)</f>
        <v>0</v>
      </c>
      <c r="H267" s="2"/>
      <c r="I267" s="2"/>
      <c r="N267" s="2"/>
    </row>
    <row r="268" spans="1:14" x14ac:dyDescent="0.3">
      <c r="A268" s="2">
        <v>38394</v>
      </c>
      <c r="B268">
        <v>244367.28</v>
      </c>
      <c r="C268">
        <v>9029.14</v>
      </c>
      <c r="D268">
        <v>0</v>
      </c>
      <c r="E268">
        <f>D268/MAX($B$2:B268,100000)</f>
        <v>0</v>
      </c>
      <c r="H268" s="2"/>
      <c r="I268" s="2"/>
      <c r="N268" s="2"/>
    </row>
    <row r="269" spans="1:14" x14ac:dyDescent="0.3">
      <c r="A269" s="2">
        <v>38401</v>
      </c>
      <c r="B269">
        <v>244421.92</v>
      </c>
      <c r="C269">
        <v>9029.14</v>
      </c>
      <c r="D269">
        <v>0</v>
      </c>
      <c r="E269">
        <f>D269/MAX($B$2:B269,100000)</f>
        <v>0</v>
      </c>
      <c r="H269" s="2"/>
      <c r="I269" s="2"/>
      <c r="N269" s="2"/>
    </row>
    <row r="270" spans="1:14" x14ac:dyDescent="0.3">
      <c r="A270" s="2">
        <v>38408</v>
      </c>
      <c r="B270">
        <v>238540.06</v>
      </c>
      <c r="C270">
        <v>9029.14</v>
      </c>
      <c r="D270">
        <v>-5881.86</v>
      </c>
      <c r="E270">
        <f>D270/MAX($B$2:B270,100000)</f>
        <v>-2.4064371967947879E-2</v>
      </c>
      <c r="H270" s="2"/>
      <c r="I270" s="2"/>
      <c r="N270" s="2"/>
    </row>
    <row r="271" spans="1:14" x14ac:dyDescent="0.3">
      <c r="A271" s="2">
        <v>38415</v>
      </c>
      <c r="B271">
        <v>238767.98</v>
      </c>
      <c r="C271">
        <v>9029.14</v>
      </c>
      <c r="D271">
        <v>-5653.94</v>
      </c>
      <c r="E271">
        <f>D271/MAX($B$2:B271,100000)</f>
        <v>-2.3131886043608524E-2</v>
      </c>
      <c r="H271" s="2"/>
      <c r="I271" s="2"/>
      <c r="N271" s="2"/>
    </row>
    <row r="272" spans="1:14" x14ac:dyDescent="0.3">
      <c r="A272" s="2">
        <v>38422</v>
      </c>
      <c r="B272">
        <v>239401.39</v>
      </c>
      <c r="C272">
        <v>9071.6</v>
      </c>
      <c r="D272">
        <v>-5020.53</v>
      </c>
      <c r="E272">
        <f>D272/MAX($B$2:B272,100000)</f>
        <v>-2.0540424524936225E-2</v>
      </c>
      <c r="H272" s="2"/>
      <c r="I272" s="2"/>
      <c r="N272" s="2"/>
    </row>
    <row r="273" spans="1:14" x14ac:dyDescent="0.3">
      <c r="A273" s="2">
        <v>38429</v>
      </c>
      <c r="B273">
        <v>242566.89</v>
      </c>
      <c r="C273">
        <v>9071.6</v>
      </c>
      <c r="D273">
        <v>-1855.03</v>
      </c>
      <c r="E273">
        <f>D273/MAX($B$2:B273,100000)</f>
        <v>-7.5894584250054166E-3</v>
      </c>
      <c r="H273" s="2"/>
      <c r="I273" s="2"/>
      <c r="N273" s="2"/>
    </row>
    <row r="274" spans="1:14" x14ac:dyDescent="0.3">
      <c r="A274" s="2">
        <v>38435</v>
      </c>
      <c r="B274">
        <v>242338.58</v>
      </c>
      <c r="C274">
        <v>9071.6</v>
      </c>
      <c r="D274">
        <v>-2083.34</v>
      </c>
      <c r="E274">
        <f>D274/MAX($B$2:B274,100000)</f>
        <v>-8.523539950917659E-3</v>
      </c>
      <c r="H274" s="2"/>
      <c r="I274" s="2"/>
      <c r="N274" s="2"/>
    </row>
    <row r="275" spans="1:14" x14ac:dyDescent="0.3">
      <c r="A275" s="2">
        <v>38443</v>
      </c>
      <c r="B275">
        <v>240768.28</v>
      </c>
      <c r="C275">
        <v>9071.6</v>
      </c>
      <c r="D275">
        <v>-3653.64</v>
      </c>
      <c r="E275">
        <f>D275/MAX($B$2:B275,100000)</f>
        <v>-1.4948086489133216E-2</v>
      </c>
      <c r="H275" s="2"/>
      <c r="I275" s="2"/>
      <c r="N275" s="2"/>
    </row>
    <row r="276" spans="1:14" x14ac:dyDescent="0.3">
      <c r="A276" s="2">
        <v>38450</v>
      </c>
      <c r="B276">
        <v>244979</v>
      </c>
      <c r="C276">
        <v>9071.6</v>
      </c>
      <c r="D276">
        <v>0</v>
      </c>
      <c r="E276">
        <f>D276/MAX($B$2:B276,100000)</f>
        <v>0</v>
      </c>
      <c r="H276" s="2"/>
      <c r="I276" s="2"/>
      <c r="N276" s="2"/>
    </row>
    <row r="277" spans="1:14" x14ac:dyDescent="0.3">
      <c r="A277" s="2">
        <v>38457</v>
      </c>
      <c r="B277">
        <v>236351.7</v>
      </c>
      <c r="C277">
        <v>17967.46</v>
      </c>
      <c r="D277">
        <v>-8627.2999999999993</v>
      </c>
      <c r="E277">
        <f>D277/MAX($B$2:B277,100000)</f>
        <v>-3.5216487943864574E-2</v>
      </c>
      <c r="H277" s="2"/>
      <c r="I277" s="2"/>
      <c r="N277" s="2"/>
    </row>
    <row r="278" spans="1:14" x14ac:dyDescent="0.3">
      <c r="A278" s="2">
        <v>38464</v>
      </c>
      <c r="B278">
        <v>232499.41</v>
      </c>
      <c r="C278">
        <v>32285.71</v>
      </c>
      <c r="D278">
        <v>-12479.59</v>
      </c>
      <c r="E278">
        <f>D278/MAX($B$2:B278,100000)</f>
        <v>-5.0941468452397963E-2</v>
      </c>
      <c r="H278" s="2"/>
      <c r="I278" s="2"/>
      <c r="N278" s="2"/>
    </row>
    <row r="279" spans="1:14" x14ac:dyDescent="0.3">
      <c r="A279" s="2">
        <v>38471</v>
      </c>
      <c r="B279">
        <v>229979.33</v>
      </c>
      <c r="C279">
        <v>74635.929999999993</v>
      </c>
      <c r="D279">
        <v>-14999.67</v>
      </c>
      <c r="E279">
        <f>D279/MAX($B$2:B279,100000)</f>
        <v>-6.1228391004943282E-2</v>
      </c>
      <c r="H279" s="2"/>
      <c r="I279" s="2"/>
      <c r="N279" s="2"/>
    </row>
    <row r="280" spans="1:14" x14ac:dyDescent="0.3">
      <c r="A280" s="2">
        <v>38478</v>
      </c>
      <c r="B280">
        <v>228142.16</v>
      </c>
      <c r="C280">
        <v>74635.929999999993</v>
      </c>
      <c r="D280">
        <v>-16836.84</v>
      </c>
      <c r="E280">
        <f>D280/MAX($B$2:B280,100000)</f>
        <v>-6.8727686862955606E-2</v>
      </c>
      <c r="H280" s="2"/>
      <c r="I280" s="2"/>
      <c r="N280" s="2"/>
    </row>
    <row r="281" spans="1:14" x14ac:dyDescent="0.3">
      <c r="A281" s="2">
        <v>38485</v>
      </c>
      <c r="B281">
        <v>227062.42</v>
      </c>
      <c r="C281">
        <v>85465.600000000006</v>
      </c>
      <c r="D281">
        <v>-17916.580000000002</v>
      </c>
      <c r="E281">
        <f>D281/MAX($B$2:B281,100000)</f>
        <v>-7.3135166687756922E-2</v>
      </c>
      <c r="H281" s="2"/>
      <c r="I281" s="2"/>
      <c r="N281" s="2"/>
    </row>
    <row r="282" spans="1:14" x14ac:dyDescent="0.3">
      <c r="A282" s="2">
        <v>38492</v>
      </c>
      <c r="B282">
        <v>225452.09</v>
      </c>
      <c r="C282">
        <v>102257.13</v>
      </c>
      <c r="D282">
        <v>-19526.91</v>
      </c>
      <c r="E282">
        <f>D282/MAX($B$2:B282,100000)</f>
        <v>-7.9708505627012927E-2</v>
      </c>
      <c r="H282" s="2"/>
      <c r="I282" s="2"/>
      <c r="N282" s="2"/>
    </row>
    <row r="283" spans="1:14" x14ac:dyDescent="0.3">
      <c r="A283" s="2">
        <v>38499</v>
      </c>
      <c r="B283">
        <v>227186.59</v>
      </c>
      <c r="C283">
        <v>102257.13</v>
      </c>
      <c r="D283">
        <v>-17792.41</v>
      </c>
      <c r="E283">
        <f>D283/MAX($B$2:B283,100000)</f>
        <v>-7.2628306916103016E-2</v>
      </c>
      <c r="H283" s="2"/>
      <c r="I283" s="2"/>
      <c r="N283" s="2"/>
    </row>
    <row r="284" spans="1:14" x14ac:dyDescent="0.3">
      <c r="A284" s="2">
        <v>38506</v>
      </c>
      <c r="B284">
        <v>228431.44</v>
      </c>
      <c r="C284">
        <v>117270.05</v>
      </c>
      <c r="D284">
        <v>-16547.560000000001</v>
      </c>
      <c r="E284">
        <f>D284/MAX($B$2:B284,100000)</f>
        <v>-6.7546850954571622E-2</v>
      </c>
      <c r="H284" s="2"/>
      <c r="I284" s="2"/>
      <c r="N284" s="2"/>
    </row>
    <row r="285" spans="1:14" x14ac:dyDescent="0.3">
      <c r="A285" s="2">
        <v>38513</v>
      </c>
      <c r="B285">
        <v>227744.81</v>
      </c>
      <c r="C285">
        <v>116869.93</v>
      </c>
      <c r="D285">
        <v>-17234.189999999999</v>
      </c>
      <c r="E285">
        <f>D285/MAX($B$2:B285,100000)</f>
        <v>-7.0349662624143286E-2</v>
      </c>
      <c r="H285" s="2"/>
      <c r="I285" s="2"/>
      <c r="N285" s="2"/>
    </row>
    <row r="286" spans="1:14" x14ac:dyDescent="0.3">
      <c r="A286" s="2">
        <v>38520</v>
      </c>
      <c r="B286">
        <v>229191.86</v>
      </c>
      <c r="C286">
        <v>116869.93</v>
      </c>
      <c r="D286">
        <v>-15787.14</v>
      </c>
      <c r="E286">
        <f>D286/MAX($B$2:B286,100000)</f>
        <v>-6.4442829793574144E-2</v>
      </c>
      <c r="H286" s="2"/>
      <c r="I286" s="2"/>
      <c r="N286" s="2"/>
    </row>
    <row r="287" spans="1:14" x14ac:dyDescent="0.3">
      <c r="A287" s="2">
        <v>38527</v>
      </c>
      <c r="B287">
        <v>228782.22</v>
      </c>
      <c r="C287">
        <v>95021.16</v>
      </c>
      <c r="D287">
        <v>-16196.78</v>
      </c>
      <c r="E287">
        <f>D287/MAX($B$2:B287,100000)</f>
        <v>-6.6114973120144999E-2</v>
      </c>
      <c r="H287" s="2"/>
      <c r="I287" s="2"/>
      <c r="N287" s="2"/>
    </row>
    <row r="288" spans="1:14" x14ac:dyDescent="0.3">
      <c r="A288" s="2">
        <v>38534</v>
      </c>
      <c r="B288">
        <v>228200.61</v>
      </c>
      <c r="C288">
        <v>84214.24</v>
      </c>
      <c r="D288">
        <v>-16778.39</v>
      </c>
      <c r="E288">
        <f>D288/MAX($B$2:B288,100000)</f>
        <v>-6.848909498365166E-2</v>
      </c>
      <c r="H288" s="2"/>
      <c r="I288" s="2"/>
      <c r="N288" s="2"/>
    </row>
    <row r="289" spans="1:14" x14ac:dyDescent="0.3">
      <c r="A289" s="2">
        <v>38541</v>
      </c>
      <c r="B289">
        <v>226761.48</v>
      </c>
      <c r="C289">
        <v>62475.86</v>
      </c>
      <c r="D289">
        <v>-18217.52</v>
      </c>
      <c r="E289">
        <f>D289/MAX($B$2:B289,100000)</f>
        <v>-7.4363598512525567E-2</v>
      </c>
      <c r="H289" s="2"/>
      <c r="I289" s="2"/>
      <c r="N289" s="2"/>
    </row>
    <row r="290" spans="1:14" x14ac:dyDescent="0.3">
      <c r="A290" s="2">
        <v>38548</v>
      </c>
      <c r="B290">
        <v>228349.86</v>
      </c>
      <c r="C290">
        <v>62475.86</v>
      </c>
      <c r="D290">
        <v>-16629.14</v>
      </c>
      <c r="E290">
        <f>D290/MAX($B$2:B290,100000)</f>
        <v>-6.7879859089962816E-2</v>
      </c>
      <c r="H290" s="2"/>
      <c r="I290" s="2"/>
      <c r="N290" s="2"/>
    </row>
    <row r="291" spans="1:14" x14ac:dyDescent="0.3">
      <c r="A291" s="2">
        <v>38555</v>
      </c>
      <c r="B291">
        <v>230429.84</v>
      </c>
      <c r="C291">
        <v>50034.67</v>
      </c>
      <c r="D291">
        <v>-14549.16</v>
      </c>
      <c r="E291">
        <f>D291/MAX($B$2:B291,100000)</f>
        <v>-5.9389417052073852E-2</v>
      </c>
      <c r="H291" s="2"/>
      <c r="I291" s="2"/>
      <c r="N291" s="2"/>
    </row>
    <row r="292" spans="1:14" x14ac:dyDescent="0.3">
      <c r="A292" s="2">
        <v>38562</v>
      </c>
      <c r="B292">
        <v>235206.2</v>
      </c>
      <c r="C292">
        <v>28023.18</v>
      </c>
      <c r="D292">
        <v>-9772.7999999999993</v>
      </c>
      <c r="E292">
        <f>D292/MAX($B$2:B292,100000)</f>
        <v>-3.9892398940317333E-2</v>
      </c>
      <c r="H292" s="2"/>
      <c r="I292" s="2"/>
      <c r="N292" s="2"/>
    </row>
    <row r="293" spans="1:14" x14ac:dyDescent="0.3">
      <c r="A293" s="2">
        <v>38569</v>
      </c>
      <c r="B293">
        <v>235442.25</v>
      </c>
      <c r="C293">
        <v>16802.96</v>
      </c>
      <c r="D293">
        <v>-9536.75</v>
      </c>
      <c r="E293">
        <f>D293/MAX($B$2:B293,100000)</f>
        <v>-3.8928846962392696E-2</v>
      </c>
      <c r="H293" s="2"/>
      <c r="I293" s="2"/>
      <c r="N293" s="2"/>
    </row>
    <row r="294" spans="1:14" x14ac:dyDescent="0.3">
      <c r="A294" s="2">
        <v>38576</v>
      </c>
      <c r="B294">
        <v>238486.72</v>
      </c>
      <c r="C294">
        <v>5580.29</v>
      </c>
      <c r="D294">
        <v>-6492.28</v>
      </c>
      <c r="E294">
        <f>D294/MAX($B$2:B294,100000)</f>
        <v>-2.6501373587123792E-2</v>
      </c>
      <c r="H294" s="2"/>
      <c r="I294" s="2"/>
      <c r="N294" s="2"/>
    </row>
    <row r="295" spans="1:14" x14ac:dyDescent="0.3">
      <c r="A295" s="2">
        <v>38583</v>
      </c>
      <c r="B295">
        <v>243081.42</v>
      </c>
      <c r="C295">
        <v>5580.29</v>
      </c>
      <c r="D295">
        <v>-1897.58</v>
      </c>
      <c r="E295">
        <f>D295/MAX($B$2:B295,100000)</f>
        <v>-7.745888423089326E-3</v>
      </c>
      <c r="H295" s="2"/>
      <c r="I295" s="2"/>
      <c r="N295" s="2"/>
    </row>
    <row r="296" spans="1:14" x14ac:dyDescent="0.3">
      <c r="A296" s="2">
        <v>38590</v>
      </c>
      <c r="B296">
        <v>245544.27</v>
      </c>
      <c r="C296">
        <v>5580.29</v>
      </c>
      <c r="D296">
        <v>0</v>
      </c>
      <c r="E296">
        <f>D296/MAX($B$2:B296,100000)</f>
        <v>0</v>
      </c>
      <c r="H296" s="2"/>
      <c r="I296" s="2"/>
      <c r="N296" s="2"/>
    </row>
    <row r="297" spans="1:14" x14ac:dyDescent="0.3">
      <c r="A297" s="2">
        <v>38597</v>
      </c>
      <c r="B297">
        <v>249869.67</v>
      </c>
      <c r="C297">
        <v>5580.29</v>
      </c>
      <c r="D297">
        <v>0</v>
      </c>
      <c r="E297">
        <f>D297/MAX($B$2:B297,100000)</f>
        <v>0</v>
      </c>
      <c r="H297" s="2"/>
      <c r="I297" s="2"/>
      <c r="N297" s="2"/>
    </row>
    <row r="298" spans="1:14" x14ac:dyDescent="0.3">
      <c r="A298" s="2">
        <v>38604</v>
      </c>
      <c r="B298">
        <v>253377.47</v>
      </c>
      <c r="C298">
        <v>5580.29</v>
      </c>
      <c r="D298">
        <v>0</v>
      </c>
      <c r="E298">
        <f>D298/MAX($B$2:B298,100000)</f>
        <v>0</v>
      </c>
      <c r="H298" s="2"/>
      <c r="I298" s="2"/>
      <c r="N298" s="2"/>
    </row>
    <row r="299" spans="1:14" x14ac:dyDescent="0.3">
      <c r="A299" s="2">
        <v>38611</v>
      </c>
      <c r="B299">
        <v>253124.08</v>
      </c>
      <c r="C299">
        <v>5580.29</v>
      </c>
      <c r="D299">
        <v>-253.39</v>
      </c>
      <c r="E299">
        <f>D299/MAX($B$2:B299,100000)</f>
        <v>-1.0000494519106216E-3</v>
      </c>
      <c r="H299" s="2"/>
      <c r="I299" s="2"/>
      <c r="N299" s="2"/>
    </row>
    <row r="300" spans="1:14" x14ac:dyDescent="0.3">
      <c r="A300" s="2">
        <v>38618</v>
      </c>
      <c r="B300">
        <v>254518.31</v>
      </c>
      <c r="C300">
        <v>5580.29</v>
      </c>
      <c r="D300">
        <v>0</v>
      </c>
      <c r="E300">
        <f>D300/MAX($B$2:B300,100000)</f>
        <v>0</v>
      </c>
      <c r="H300" s="2"/>
      <c r="I300" s="2"/>
      <c r="N300" s="2"/>
    </row>
    <row r="301" spans="1:14" x14ac:dyDescent="0.3">
      <c r="A301" s="2">
        <v>38625</v>
      </c>
      <c r="B301">
        <v>255585.66</v>
      </c>
      <c r="C301">
        <v>3904.54</v>
      </c>
      <c r="D301">
        <v>0</v>
      </c>
      <c r="E301">
        <f>D301/MAX($B$2:B301,100000)</f>
        <v>0</v>
      </c>
      <c r="H301" s="2"/>
      <c r="I301" s="2"/>
      <c r="N301" s="2"/>
    </row>
    <row r="302" spans="1:14" x14ac:dyDescent="0.3">
      <c r="A302" s="2">
        <v>38632</v>
      </c>
      <c r="B302">
        <v>249140.06</v>
      </c>
      <c r="C302">
        <v>3904.54</v>
      </c>
      <c r="D302">
        <v>-6445.59</v>
      </c>
      <c r="E302">
        <f>D302/MAX($B$2:B302,100000)</f>
        <v>-2.5218903126255205E-2</v>
      </c>
      <c r="H302" s="2"/>
      <c r="I302" s="2"/>
      <c r="N302" s="2"/>
    </row>
    <row r="303" spans="1:14" x14ac:dyDescent="0.3">
      <c r="A303" s="2">
        <v>38639</v>
      </c>
      <c r="B303">
        <v>248135.45</v>
      </c>
      <c r="C303">
        <v>2106.44</v>
      </c>
      <c r="D303">
        <v>-7450.2</v>
      </c>
      <c r="E303">
        <f>D303/MAX($B$2:B303,100000)</f>
        <v>-2.9149522707964132E-2</v>
      </c>
      <c r="H303" s="2"/>
      <c r="I303" s="2"/>
      <c r="N303" s="2"/>
    </row>
    <row r="304" spans="1:14" x14ac:dyDescent="0.3">
      <c r="A304" s="2">
        <v>38646</v>
      </c>
      <c r="B304">
        <v>247681.03</v>
      </c>
      <c r="C304">
        <v>2106.44</v>
      </c>
      <c r="D304">
        <v>-7904.63</v>
      </c>
      <c r="E304">
        <f>D304/MAX($B$2:B304,100000)</f>
        <v>-3.0927517607990996E-2</v>
      </c>
      <c r="H304" s="2"/>
      <c r="I304" s="2"/>
      <c r="N304" s="2"/>
    </row>
    <row r="305" spans="1:14" x14ac:dyDescent="0.3">
      <c r="A305" s="2">
        <v>38653</v>
      </c>
      <c r="B305">
        <v>248025.03</v>
      </c>
      <c r="C305">
        <v>35872.9</v>
      </c>
      <c r="D305">
        <v>-7560.63</v>
      </c>
      <c r="E305">
        <f>D305/MAX($B$2:B305,100000)</f>
        <v>-2.9581589201835502E-2</v>
      </c>
      <c r="H305" s="2"/>
      <c r="I305" s="2"/>
      <c r="N305" s="2"/>
    </row>
    <row r="306" spans="1:14" x14ac:dyDescent="0.3">
      <c r="A306" s="2">
        <v>38660</v>
      </c>
      <c r="B306">
        <v>251349.45</v>
      </c>
      <c r="C306">
        <v>54286.03</v>
      </c>
      <c r="D306">
        <v>-4236.2</v>
      </c>
      <c r="E306">
        <f>D306/MAX($B$2:B306,100000)</f>
        <v>-1.6574482308592743E-2</v>
      </c>
      <c r="H306" s="2"/>
      <c r="I306" s="2"/>
      <c r="N306" s="2"/>
    </row>
    <row r="307" spans="1:14" x14ac:dyDescent="0.3">
      <c r="A307" s="2">
        <v>38667</v>
      </c>
      <c r="B307">
        <v>251391.77</v>
      </c>
      <c r="C307">
        <v>30346.85</v>
      </c>
      <c r="D307">
        <v>-4193.8900000000003</v>
      </c>
      <c r="E307">
        <f>D307/MAX($B$2:B307,100000)</f>
        <v>-1.6408940939800772E-2</v>
      </c>
      <c r="H307" s="2"/>
      <c r="I307" s="2"/>
      <c r="N307" s="2"/>
    </row>
    <row r="308" spans="1:14" x14ac:dyDescent="0.3">
      <c r="A308" s="2">
        <v>38674</v>
      </c>
      <c r="B308">
        <v>251467</v>
      </c>
      <c r="C308">
        <v>6394.76</v>
      </c>
      <c r="D308">
        <v>-4118.66</v>
      </c>
      <c r="E308">
        <f>D308/MAX($B$2:B308,100000)</f>
        <v>-1.6114597352605776E-2</v>
      </c>
      <c r="H308" s="2"/>
      <c r="I308" s="2"/>
      <c r="N308" s="2"/>
    </row>
    <row r="309" spans="1:14" x14ac:dyDescent="0.3">
      <c r="A309" s="2">
        <v>38681</v>
      </c>
      <c r="B309">
        <v>254955.88</v>
      </c>
      <c r="C309">
        <v>6394.76</v>
      </c>
      <c r="D309">
        <v>-629.78</v>
      </c>
      <c r="E309">
        <f>D309/MAX($B$2:B309,100000)</f>
        <v>-2.4640662547343226E-3</v>
      </c>
      <c r="H309" s="2"/>
      <c r="I309" s="2"/>
      <c r="N309" s="2"/>
    </row>
    <row r="310" spans="1:14" x14ac:dyDescent="0.3">
      <c r="A310" s="2">
        <v>38688</v>
      </c>
      <c r="B310">
        <v>255721.55</v>
      </c>
      <c r="C310">
        <v>6394.76</v>
      </c>
      <c r="D310">
        <v>0</v>
      </c>
      <c r="E310">
        <f>D310/MAX($B$2:B310,100000)</f>
        <v>0</v>
      </c>
      <c r="H310" s="2"/>
      <c r="I310" s="2"/>
      <c r="N310" s="2"/>
    </row>
    <row r="311" spans="1:14" x14ac:dyDescent="0.3">
      <c r="A311" s="2">
        <v>38695</v>
      </c>
      <c r="B311">
        <v>257086.84</v>
      </c>
      <c r="C311">
        <v>2664.59</v>
      </c>
      <c r="D311">
        <v>0</v>
      </c>
      <c r="E311">
        <f>D311/MAX($B$2:B311,100000)</f>
        <v>0</v>
      </c>
      <c r="H311" s="2"/>
      <c r="I311" s="2"/>
      <c r="N311" s="2"/>
    </row>
    <row r="312" spans="1:14" x14ac:dyDescent="0.3">
      <c r="A312" s="2">
        <v>38702</v>
      </c>
      <c r="B312">
        <v>260446.55</v>
      </c>
      <c r="C312">
        <v>2664.59</v>
      </c>
      <c r="D312">
        <v>0</v>
      </c>
      <c r="E312">
        <f>D312/MAX($B$2:B312,100000)</f>
        <v>0</v>
      </c>
      <c r="H312" s="2"/>
      <c r="I312" s="2"/>
      <c r="N312" s="2"/>
    </row>
    <row r="313" spans="1:14" x14ac:dyDescent="0.3">
      <c r="A313" s="2">
        <v>38709</v>
      </c>
      <c r="B313">
        <v>264350.75</v>
      </c>
      <c r="C313">
        <v>2664.59</v>
      </c>
      <c r="D313">
        <v>0</v>
      </c>
      <c r="E313">
        <f>D313/MAX($B$2:B313,100000)</f>
        <v>0</v>
      </c>
      <c r="H313" s="2"/>
      <c r="I313" s="2"/>
      <c r="N313" s="2"/>
    </row>
    <row r="314" spans="1:14" x14ac:dyDescent="0.3">
      <c r="A314" s="2">
        <v>38716</v>
      </c>
      <c r="B314">
        <v>268283.19</v>
      </c>
      <c r="C314">
        <v>2664.59</v>
      </c>
      <c r="D314">
        <v>0</v>
      </c>
      <c r="E314">
        <f>D314/MAX($B$2:B314,100000)</f>
        <v>0</v>
      </c>
      <c r="H314" s="2"/>
      <c r="I314" s="2"/>
      <c r="N314" s="2"/>
    </row>
    <row r="315" spans="1:14" x14ac:dyDescent="0.3">
      <c r="A315" s="2">
        <v>38723</v>
      </c>
      <c r="B315">
        <v>269626.25</v>
      </c>
      <c r="C315">
        <v>2664.59</v>
      </c>
      <c r="D315">
        <v>0</v>
      </c>
      <c r="E315">
        <f>D315/MAX($B$2:B315,100000)</f>
        <v>0</v>
      </c>
      <c r="H315" s="2"/>
      <c r="I315" s="2"/>
      <c r="N315" s="2"/>
    </row>
    <row r="316" spans="1:14" x14ac:dyDescent="0.3">
      <c r="A316" s="2">
        <v>38730</v>
      </c>
      <c r="B316">
        <v>274105.81</v>
      </c>
      <c r="C316">
        <v>12779.25</v>
      </c>
      <c r="D316">
        <v>0</v>
      </c>
      <c r="E316">
        <f>D316/MAX($B$2:B316,100000)</f>
        <v>0</v>
      </c>
      <c r="H316" s="2"/>
      <c r="I316" s="2"/>
      <c r="N316" s="2"/>
    </row>
    <row r="317" spans="1:14" x14ac:dyDescent="0.3">
      <c r="A317" s="2">
        <v>38737</v>
      </c>
      <c r="B317">
        <v>274738.69</v>
      </c>
      <c r="C317">
        <v>12779.25</v>
      </c>
      <c r="D317">
        <v>0</v>
      </c>
      <c r="E317">
        <f>D317/MAX($B$2:B317,100000)</f>
        <v>0</v>
      </c>
      <c r="H317" s="2"/>
      <c r="I317" s="2"/>
      <c r="N317" s="2"/>
    </row>
    <row r="318" spans="1:14" x14ac:dyDescent="0.3">
      <c r="A318" s="2">
        <v>38744</v>
      </c>
      <c r="B318">
        <v>275078.21999999997</v>
      </c>
      <c r="C318">
        <v>12779.25</v>
      </c>
      <c r="D318">
        <v>0</v>
      </c>
      <c r="E318">
        <f>D318/MAX($B$2:B318,100000)</f>
        <v>0</v>
      </c>
      <c r="H318" s="2"/>
      <c r="I318" s="2"/>
      <c r="N318" s="2"/>
    </row>
    <row r="319" spans="1:14" x14ac:dyDescent="0.3">
      <c r="A319" s="2">
        <v>38751</v>
      </c>
      <c r="B319">
        <v>274718.96999999997</v>
      </c>
      <c r="C319">
        <v>12337.38</v>
      </c>
      <c r="D319">
        <v>-359.25</v>
      </c>
      <c r="E319">
        <f>D319/MAX($B$2:B319,100000)</f>
        <v>-1.3059921647013712E-3</v>
      </c>
      <c r="H319" s="2"/>
      <c r="I319" s="2"/>
      <c r="N319" s="2"/>
    </row>
    <row r="320" spans="1:14" x14ac:dyDescent="0.3">
      <c r="A320" s="2">
        <v>38758</v>
      </c>
      <c r="B320">
        <v>279055.03000000003</v>
      </c>
      <c r="C320">
        <v>12337.38</v>
      </c>
      <c r="D320">
        <v>0</v>
      </c>
      <c r="E320">
        <f>D320/MAX($B$2:B320,100000)</f>
        <v>0</v>
      </c>
      <c r="H320" s="2"/>
      <c r="I320" s="2"/>
      <c r="N320" s="2"/>
    </row>
    <row r="321" spans="1:14" x14ac:dyDescent="0.3">
      <c r="A321" s="2">
        <v>38765</v>
      </c>
      <c r="B321">
        <v>279998.88</v>
      </c>
      <c r="C321">
        <v>12337.38</v>
      </c>
      <c r="D321">
        <v>0</v>
      </c>
      <c r="E321">
        <f>D321/MAX($B$2:B321,100000)</f>
        <v>0</v>
      </c>
      <c r="H321" s="2"/>
      <c r="I321" s="2"/>
      <c r="N321" s="2"/>
    </row>
    <row r="322" spans="1:14" x14ac:dyDescent="0.3">
      <c r="A322" s="2">
        <v>38772</v>
      </c>
      <c r="B322">
        <v>282383.25</v>
      </c>
      <c r="C322">
        <v>11994.21</v>
      </c>
      <c r="D322">
        <v>0</v>
      </c>
      <c r="E322">
        <f>D322/MAX($B$2:B322,100000)</f>
        <v>0</v>
      </c>
      <c r="H322" s="2"/>
      <c r="I322" s="2"/>
      <c r="N322" s="2"/>
    </row>
    <row r="323" spans="1:14" x14ac:dyDescent="0.3">
      <c r="A323" s="2">
        <v>38779</v>
      </c>
      <c r="B323">
        <v>284880.56</v>
      </c>
      <c r="C323">
        <v>5015</v>
      </c>
      <c r="D323">
        <v>0</v>
      </c>
      <c r="E323">
        <f>D323/MAX($B$2:B323,100000)</f>
        <v>0</v>
      </c>
      <c r="H323" s="2"/>
      <c r="I323" s="2"/>
      <c r="N323" s="2"/>
    </row>
    <row r="324" spans="1:14" x14ac:dyDescent="0.3">
      <c r="A324" s="2">
        <v>38786</v>
      </c>
      <c r="B324">
        <v>286396.28000000003</v>
      </c>
      <c r="C324">
        <v>5015</v>
      </c>
      <c r="D324">
        <v>0</v>
      </c>
      <c r="E324">
        <f>D324/MAX($B$2:B324,100000)</f>
        <v>0</v>
      </c>
      <c r="H324" s="2"/>
      <c r="I324" s="2"/>
      <c r="N324" s="2"/>
    </row>
    <row r="325" spans="1:14" x14ac:dyDescent="0.3">
      <c r="A325" s="2">
        <v>38793</v>
      </c>
      <c r="B325">
        <v>292154.56</v>
      </c>
      <c r="C325">
        <v>5015</v>
      </c>
      <c r="D325">
        <v>0</v>
      </c>
      <c r="E325">
        <f>D325/MAX($B$2:B325,100000)</f>
        <v>0</v>
      </c>
      <c r="H325" s="2"/>
      <c r="I325" s="2"/>
      <c r="N325" s="2"/>
    </row>
    <row r="326" spans="1:14" x14ac:dyDescent="0.3">
      <c r="A326" s="2">
        <v>38800</v>
      </c>
      <c r="B326">
        <v>295103.96999999997</v>
      </c>
      <c r="C326">
        <v>5015</v>
      </c>
      <c r="D326">
        <v>0</v>
      </c>
      <c r="E326">
        <f>D326/MAX($B$2:B326,100000)</f>
        <v>0</v>
      </c>
      <c r="H326" s="2"/>
      <c r="I326" s="2"/>
      <c r="N326" s="2"/>
    </row>
    <row r="327" spans="1:14" x14ac:dyDescent="0.3">
      <c r="A327" s="2">
        <v>38807</v>
      </c>
      <c r="B327">
        <v>297230.34000000003</v>
      </c>
      <c r="C327">
        <v>5015</v>
      </c>
      <c r="D327">
        <v>0</v>
      </c>
      <c r="E327">
        <f>D327/MAX($B$2:B327,100000)</f>
        <v>0</v>
      </c>
      <c r="H327" s="2"/>
      <c r="I327" s="2"/>
      <c r="N327" s="2"/>
    </row>
    <row r="328" spans="1:14" x14ac:dyDescent="0.3">
      <c r="A328" s="2">
        <v>38814</v>
      </c>
      <c r="B328">
        <v>295529.46999999997</v>
      </c>
      <c r="C328">
        <v>5015</v>
      </c>
      <c r="D328">
        <v>-1700.88</v>
      </c>
      <c r="E328">
        <f>D328/MAX($B$2:B328,100000)</f>
        <v>-5.7224306240069569E-3</v>
      </c>
      <c r="H328" s="2"/>
      <c r="I328" s="2"/>
      <c r="N328" s="2"/>
    </row>
    <row r="329" spans="1:14" x14ac:dyDescent="0.3">
      <c r="A329" s="2">
        <v>38820</v>
      </c>
      <c r="B329">
        <v>296106.25</v>
      </c>
      <c r="C329">
        <v>5015</v>
      </c>
      <c r="D329">
        <v>-1124.0899999999999</v>
      </c>
      <c r="E329">
        <f>D329/MAX($B$2:B329,100000)</f>
        <v>-3.7818817554089528E-3</v>
      </c>
      <c r="H329" s="2"/>
      <c r="I329" s="2"/>
      <c r="N329" s="2"/>
    </row>
    <row r="330" spans="1:14" x14ac:dyDescent="0.3">
      <c r="A330" s="2">
        <v>38828</v>
      </c>
      <c r="B330">
        <v>295312.88</v>
      </c>
      <c r="C330">
        <v>5015</v>
      </c>
      <c r="D330">
        <v>-1917.47</v>
      </c>
      <c r="E330">
        <f>D330/MAX($B$2:B330,100000)</f>
        <v>-6.451124740495872E-3</v>
      </c>
      <c r="H330" s="2"/>
      <c r="I330" s="2"/>
      <c r="N330" s="2"/>
    </row>
    <row r="331" spans="1:14" x14ac:dyDescent="0.3">
      <c r="A331" s="2">
        <v>38835</v>
      </c>
      <c r="B331">
        <v>299244.25</v>
      </c>
      <c r="C331">
        <v>5015</v>
      </c>
      <c r="D331">
        <v>0</v>
      </c>
      <c r="E331">
        <f>D331/MAX($B$2:B331,100000)</f>
        <v>0</v>
      </c>
      <c r="H331" s="2"/>
      <c r="I331" s="2"/>
      <c r="N331" s="2"/>
    </row>
    <row r="332" spans="1:14" x14ac:dyDescent="0.3">
      <c r="A332" s="2">
        <v>38842</v>
      </c>
      <c r="B332">
        <v>298212.81</v>
      </c>
      <c r="C332">
        <v>5015</v>
      </c>
      <c r="D332">
        <v>-1031.44</v>
      </c>
      <c r="E332">
        <f>D332/MAX($B$2:B332,100000)</f>
        <v>-3.4468164384110975E-3</v>
      </c>
      <c r="H332" s="2"/>
      <c r="I332" s="2"/>
      <c r="N332" s="2"/>
    </row>
    <row r="333" spans="1:14" x14ac:dyDescent="0.3">
      <c r="A333" s="2">
        <v>38849</v>
      </c>
      <c r="B333">
        <v>304948.19</v>
      </c>
      <c r="C333">
        <v>5015</v>
      </c>
      <c r="D333">
        <v>0</v>
      </c>
      <c r="E333">
        <f>D333/MAX($B$2:B333,100000)</f>
        <v>0</v>
      </c>
      <c r="H333" s="2"/>
      <c r="I333" s="2"/>
      <c r="N333" s="2"/>
    </row>
    <row r="334" spans="1:14" x14ac:dyDescent="0.3">
      <c r="A334" s="2">
        <v>38856</v>
      </c>
      <c r="B334">
        <v>297613.19</v>
      </c>
      <c r="C334">
        <v>5015</v>
      </c>
      <c r="D334">
        <v>-7335</v>
      </c>
      <c r="E334">
        <f>D334/MAX($B$2:B334,100000)</f>
        <v>-2.4053266228600996E-2</v>
      </c>
      <c r="H334" s="2"/>
      <c r="I334" s="2"/>
      <c r="N334" s="2"/>
    </row>
    <row r="335" spans="1:14" x14ac:dyDescent="0.3">
      <c r="A335" s="2">
        <v>38863</v>
      </c>
      <c r="B335">
        <v>292284.69</v>
      </c>
      <c r="C335">
        <v>5015</v>
      </c>
      <c r="D335">
        <v>-12663.5</v>
      </c>
      <c r="E335">
        <f>D335/MAX($B$2:B335,100000)</f>
        <v>-4.1526726228478354E-2</v>
      </c>
      <c r="H335" s="2"/>
      <c r="I335" s="2"/>
      <c r="N335" s="2"/>
    </row>
    <row r="336" spans="1:14" x14ac:dyDescent="0.3">
      <c r="A336" s="2">
        <v>38870</v>
      </c>
      <c r="B336">
        <v>295714.81</v>
      </c>
      <c r="C336">
        <v>5015</v>
      </c>
      <c r="D336">
        <v>-9233.3799999999992</v>
      </c>
      <c r="E336">
        <f>D336/MAX($B$2:B336,100000)</f>
        <v>-3.0278520426699367E-2</v>
      </c>
      <c r="H336" s="2"/>
      <c r="I336" s="2"/>
      <c r="N336" s="2"/>
    </row>
    <row r="337" spans="1:14" x14ac:dyDescent="0.3">
      <c r="A337" s="2">
        <v>38877</v>
      </c>
      <c r="B337">
        <v>292053.84000000003</v>
      </c>
      <c r="C337">
        <v>30946.14</v>
      </c>
      <c r="D337">
        <v>-12894.34</v>
      </c>
      <c r="E337">
        <f>D337/MAX($B$2:B337,100000)</f>
        <v>-4.2283707274996453E-2</v>
      </c>
      <c r="H337" s="2"/>
      <c r="I337" s="2"/>
      <c r="N337" s="2"/>
    </row>
    <row r="338" spans="1:14" x14ac:dyDescent="0.3">
      <c r="A338" s="2">
        <v>38884</v>
      </c>
      <c r="B338">
        <v>292288</v>
      </c>
      <c r="C338">
        <v>44621.65</v>
      </c>
      <c r="D338">
        <v>-12660.19</v>
      </c>
      <c r="E338">
        <f>D338/MAX($B$2:B338,100000)</f>
        <v>-4.1515871925653994E-2</v>
      </c>
      <c r="H338" s="2"/>
      <c r="I338" s="2"/>
      <c r="N338" s="2"/>
    </row>
    <row r="339" spans="1:14" x14ac:dyDescent="0.3">
      <c r="A339" s="2">
        <v>38891</v>
      </c>
      <c r="B339">
        <v>292199.59000000003</v>
      </c>
      <c r="C339">
        <v>72207</v>
      </c>
      <c r="D339">
        <v>-12748.59</v>
      </c>
      <c r="E339">
        <f>D339/MAX($B$2:B339,100000)</f>
        <v>-4.1805757233712389E-2</v>
      </c>
      <c r="H339" s="2"/>
      <c r="I339" s="2"/>
      <c r="N339" s="2"/>
    </row>
    <row r="340" spans="1:14" x14ac:dyDescent="0.3">
      <c r="A340" s="2">
        <v>38898</v>
      </c>
      <c r="B340">
        <v>295241.65999999997</v>
      </c>
      <c r="C340">
        <v>86493.73</v>
      </c>
      <c r="D340">
        <v>-9706.5300000000007</v>
      </c>
      <c r="E340">
        <f>D340/MAX($B$2:B340,100000)</f>
        <v>-3.1830095466380701E-2</v>
      </c>
      <c r="H340" s="2"/>
      <c r="I340" s="2"/>
      <c r="N340" s="2"/>
    </row>
    <row r="341" spans="1:14" x14ac:dyDescent="0.3">
      <c r="A341" s="2">
        <v>38905</v>
      </c>
      <c r="B341">
        <v>294632.28000000003</v>
      </c>
      <c r="C341">
        <v>86493.73</v>
      </c>
      <c r="D341">
        <v>-10315.91</v>
      </c>
      <c r="E341">
        <f>D341/MAX($B$2:B341,100000)</f>
        <v>-3.3828402129555186E-2</v>
      </c>
      <c r="H341" s="2"/>
      <c r="I341" s="2"/>
      <c r="N341" s="2"/>
    </row>
    <row r="342" spans="1:14" x14ac:dyDescent="0.3">
      <c r="A342" s="2">
        <v>38912</v>
      </c>
      <c r="B342">
        <v>292600.56</v>
      </c>
      <c r="C342">
        <v>44448.05</v>
      </c>
      <c r="D342">
        <v>-12347.63</v>
      </c>
      <c r="E342">
        <f>D342/MAX($B$2:B342,100000)</f>
        <v>-4.0490910931460192E-2</v>
      </c>
      <c r="H342" s="2"/>
      <c r="I342" s="2"/>
      <c r="N342" s="2"/>
    </row>
    <row r="343" spans="1:14" x14ac:dyDescent="0.3">
      <c r="A343" s="2">
        <v>38919</v>
      </c>
      <c r="B343">
        <v>296438.81</v>
      </c>
      <c r="C343">
        <v>44448.05</v>
      </c>
      <c r="D343">
        <v>-8509.3799999999992</v>
      </c>
      <c r="E343">
        <f>D343/MAX($B$2:B343,100000)</f>
        <v>-2.7904346636718844E-2</v>
      </c>
      <c r="H343" s="2"/>
      <c r="I343" s="2"/>
      <c r="N343" s="2"/>
    </row>
    <row r="344" spans="1:14" x14ac:dyDescent="0.3">
      <c r="A344" s="2">
        <v>38926</v>
      </c>
      <c r="B344">
        <v>295742.96999999997</v>
      </c>
      <c r="C344">
        <v>44448.05</v>
      </c>
      <c r="D344">
        <v>-9205.2199999999993</v>
      </c>
      <c r="E344">
        <f>D344/MAX($B$2:B344,100000)</f>
        <v>-3.0186176871553162E-2</v>
      </c>
      <c r="H344" s="2"/>
      <c r="I344" s="2"/>
      <c r="N344" s="2"/>
    </row>
    <row r="345" spans="1:14" x14ac:dyDescent="0.3">
      <c r="A345" s="2">
        <v>38933</v>
      </c>
      <c r="B345">
        <v>296582.40999999997</v>
      </c>
      <c r="C345">
        <v>44448.05</v>
      </c>
      <c r="D345">
        <v>-8365.7800000000007</v>
      </c>
      <c r="E345">
        <f>D345/MAX($B$2:B345,100000)</f>
        <v>-2.7433446973402272E-2</v>
      </c>
      <c r="H345" s="2"/>
      <c r="I345" s="2"/>
      <c r="N345" s="2"/>
    </row>
    <row r="346" spans="1:14" x14ac:dyDescent="0.3">
      <c r="A346" s="2">
        <v>38940</v>
      </c>
      <c r="B346">
        <v>296317.78000000003</v>
      </c>
      <c r="C346">
        <v>44448.05</v>
      </c>
      <c r="D346">
        <v>-8630.41</v>
      </c>
      <c r="E346">
        <f>D346/MAX($B$2:B346,100000)</f>
        <v>-2.830123372760468E-2</v>
      </c>
      <c r="H346" s="2"/>
      <c r="I346" s="2"/>
      <c r="N346" s="2"/>
    </row>
    <row r="347" spans="1:14" x14ac:dyDescent="0.3">
      <c r="A347" s="2">
        <v>38947</v>
      </c>
      <c r="B347">
        <v>303605.13</v>
      </c>
      <c r="C347">
        <v>44448.05</v>
      </c>
      <c r="D347">
        <v>-1343.06</v>
      </c>
      <c r="E347">
        <f>D347/MAX($B$2:B347,100000)</f>
        <v>-4.4042235502365166E-3</v>
      </c>
      <c r="H347" s="2"/>
      <c r="I347" s="2"/>
      <c r="N347" s="2"/>
    </row>
    <row r="348" spans="1:14" x14ac:dyDescent="0.3">
      <c r="A348" s="2">
        <v>38954</v>
      </c>
      <c r="B348">
        <v>308516.63</v>
      </c>
      <c r="C348">
        <v>1210.47</v>
      </c>
      <c r="D348">
        <v>0</v>
      </c>
      <c r="E348">
        <f>D348/MAX($B$2:B348,100000)</f>
        <v>0</v>
      </c>
      <c r="H348" s="2"/>
      <c r="I348" s="2"/>
      <c r="N348" s="2"/>
    </row>
    <row r="349" spans="1:14" x14ac:dyDescent="0.3">
      <c r="A349" s="2">
        <v>38961</v>
      </c>
      <c r="B349">
        <v>312517.46999999997</v>
      </c>
      <c r="C349">
        <v>1210.47</v>
      </c>
      <c r="D349">
        <v>0</v>
      </c>
      <c r="E349">
        <f>D349/MAX($B$2:B349,100000)</f>
        <v>0</v>
      </c>
      <c r="H349" s="2"/>
      <c r="I349" s="2"/>
      <c r="N349" s="2"/>
    </row>
    <row r="350" spans="1:14" x14ac:dyDescent="0.3">
      <c r="A350" s="2">
        <v>38968</v>
      </c>
      <c r="B350">
        <v>312256.59000000003</v>
      </c>
      <c r="C350">
        <v>1210.47</v>
      </c>
      <c r="D350">
        <v>-260.88</v>
      </c>
      <c r="E350">
        <f>D350/MAX($B$2:B350,100000)</f>
        <v>-8.3476933305520491E-4</v>
      </c>
      <c r="H350" s="2"/>
      <c r="I350" s="2"/>
      <c r="N350" s="2"/>
    </row>
    <row r="351" spans="1:14" x14ac:dyDescent="0.3">
      <c r="A351" s="2">
        <v>38975</v>
      </c>
      <c r="B351">
        <v>310168.21999999997</v>
      </c>
      <c r="C351">
        <v>1210.47</v>
      </c>
      <c r="D351">
        <v>-2349.25</v>
      </c>
      <c r="E351">
        <f>D351/MAX($B$2:B351,100000)</f>
        <v>-7.5171797595827211E-3</v>
      </c>
      <c r="H351" s="2"/>
      <c r="I351" s="2"/>
      <c r="N351" s="2"/>
    </row>
    <row r="352" spans="1:14" x14ac:dyDescent="0.3">
      <c r="A352" s="2">
        <v>38982</v>
      </c>
      <c r="B352">
        <v>309604.81</v>
      </c>
      <c r="C352">
        <v>1210.47</v>
      </c>
      <c r="D352">
        <v>-2912.66</v>
      </c>
      <c r="E352">
        <f>D352/MAX($B$2:B352,100000)</f>
        <v>-9.3199909752245211E-3</v>
      </c>
      <c r="H352" s="2"/>
      <c r="I352" s="2"/>
      <c r="N352" s="2"/>
    </row>
    <row r="353" spans="1:14" x14ac:dyDescent="0.3">
      <c r="A353" s="2">
        <v>38989</v>
      </c>
      <c r="B353">
        <v>316018.88</v>
      </c>
      <c r="C353">
        <v>1210.47</v>
      </c>
      <c r="D353">
        <v>0</v>
      </c>
      <c r="E353">
        <f>D353/MAX($B$2:B353,100000)</f>
        <v>0</v>
      </c>
      <c r="H353" s="2"/>
      <c r="I353" s="2"/>
      <c r="N353" s="2"/>
    </row>
    <row r="354" spans="1:14" x14ac:dyDescent="0.3">
      <c r="A354" s="2">
        <v>38996</v>
      </c>
      <c r="B354">
        <v>320503.65999999997</v>
      </c>
      <c r="C354">
        <v>14640.02</v>
      </c>
      <c r="D354">
        <v>0</v>
      </c>
      <c r="E354">
        <f>D354/MAX($B$2:B354,100000)</f>
        <v>0</v>
      </c>
      <c r="H354" s="2"/>
      <c r="I354" s="2"/>
      <c r="N354" s="2"/>
    </row>
    <row r="355" spans="1:14" x14ac:dyDescent="0.3">
      <c r="A355" s="2">
        <v>39003</v>
      </c>
      <c r="B355">
        <v>327762.94</v>
      </c>
      <c r="C355">
        <v>14640.02</v>
      </c>
      <c r="D355">
        <v>0</v>
      </c>
      <c r="E355">
        <f>D355/MAX($B$2:B355,100000)</f>
        <v>0</v>
      </c>
      <c r="H355" s="2"/>
      <c r="I355" s="2"/>
      <c r="N355" s="2"/>
    </row>
    <row r="356" spans="1:14" x14ac:dyDescent="0.3">
      <c r="A356" s="2">
        <v>39010</v>
      </c>
      <c r="B356">
        <v>333054.13</v>
      </c>
      <c r="C356">
        <v>14640.02</v>
      </c>
      <c r="D356">
        <v>0</v>
      </c>
      <c r="E356">
        <f>D356/MAX($B$2:B356,100000)</f>
        <v>0</v>
      </c>
      <c r="H356" s="2"/>
      <c r="I356" s="2"/>
      <c r="N356" s="2"/>
    </row>
    <row r="357" spans="1:14" x14ac:dyDescent="0.3">
      <c r="A357" s="2">
        <v>39017</v>
      </c>
      <c r="B357">
        <v>334546.56</v>
      </c>
      <c r="C357">
        <v>14640.02</v>
      </c>
      <c r="D357">
        <v>0</v>
      </c>
      <c r="E357">
        <f>D357/MAX($B$2:B357,100000)</f>
        <v>0</v>
      </c>
      <c r="H357" s="2"/>
      <c r="I357" s="2"/>
      <c r="N357" s="2"/>
    </row>
    <row r="358" spans="1:14" x14ac:dyDescent="0.3">
      <c r="A358" s="2">
        <v>39024</v>
      </c>
      <c r="B358">
        <v>339526.09</v>
      </c>
      <c r="C358">
        <v>14640.02</v>
      </c>
      <c r="D358">
        <v>0</v>
      </c>
      <c r="E358">
        <f>D358/MAX($B$2:B358,100000)</f>
        <v>0</v>
      </c>
      <c r="H358" s="2"/>
      <c r="I358" s="2"/>
      <c r="N358" s="2"/>
    </row>
    <row r="359" spans="1:14" x14ac:dyDescent="0.3">
      <c r="A359" s="2">
        <v>39031</v>
      </c>
      <c r="B359">
        <v>340358.13</v>
      </c>
      <c r="C359">
        <v>14640.02</v>
      </c>
      <c r="D359">
        <v>0</v>
      </c>
      <c r="E359">
        <f>D359/MAX($B$2:B359,100000)</f>
        <v>0</v>
      </c>
      <c r="H359" s="2"/>
      <c r="I359" s="2"/>
      <c r="N359" s="2"/>
    </row>
    <row r="360" spans="1:14" x14ac:dyDescent="0.3">
      <c r="A360" s="2">
        <v>39038</v>
      </c>
      <c r="B360">
        <v>342791.91</v>
      </c>
      <c r="C360">
        <v>13585.84</v>
      </c>
      <c r="D360">
        <v>0</v>
      </c>
      <c r="E360">
        <f>D360/MAX($B$2:B360,100000)</f>
        <v>0</v>
      </c>
      <c r="H360" s="2"/>
      <c r="I360" s="2"/>
      <c r="N360" s="2"/>
    </row>
    <row r="361" spans="1:14" x14ac:dyDescent="0.3">
      <c r="A361" s="2">
        <v>39045</v>
      </c>
      <c r="B361">
        <v>349884.09</v>
      </c>
      <c r="C361">
        <v>13585.84</v>
      </c>
      <c r="D361">
        <v>0</v>
      </c>
      <c r="E361">
        <f>D361/MAX($B$2:B361,100000)</f>
        <v>0</v>
      </c>
      <c r="H361" s="2"/>
      <c r="I361" s="2"/>
      <c r="N361" s="2"/>
    </row>
    <row r="362" spans="1:14" x14ac:dyDescent="0.3">
      <c r="A362" s="2">
        <v>39052</v>
      </c>
      <c r="B362">
        <v>353555.81</v>
      </c>
      <c r="C362">
        <v>13585.84</v>
      </c>
      <c r="D362">
        <v>0</v>
      </c>
      <c r="E362">
        <f>D362/MAX($B$2:B362,100000)</f>
        <v>0</v>
      </c>
      <c r="H362" s="2"/>
      <c r="I362" s="2"/>
      <c r="N362" s="2"/>
    </row>
    <row r="363" spans="1:14" x14ac:dyDescent="0.3">
      <c r="A363" s="2">
        <v>39059</v>
      </c>
      <c r="B363">
        <v>356379.72</v>
      </c>
      <c r="C363">
        <v>13585.84</v>
      </c>
      <c r="D363">
        <v>0</v>
      </c>
      <c r="E363">
        <f>D363/MAX($B$2:B363,100000)</f>
        <v>0</v>
      </c>
      <c r="H363" s="2"/>
      <c r="I363" s="2"/>
      <c r="N363" s="2"/>
    </row>
    <row r="364" spans="1:14" x14ac:dyDescent="0.3">
      <c r="A364" s="2">
        <v>39066</v>
      </c>
      <c r="B364">
        <v>362088.16</v>
      </c>
      <c r="C364">
        <v>13585.84</v>
      </c>
      <c r="D364">
        <v>0</v>
      </c>
      <c r="E364">
        <f>D364/MAX($B$2:B364,100000)</f>
        <v>0</v>
      </c>
      <c r="H364" s="2"/>
      <c r="I364" s="2"/>
      <c r="N364" s="2"/>
    </row>
    <row r="365" spans="1:14" x14ac:dyDescent="0.3">
      <c r="A365" s="2">
        <v>39073</v>
      </c>
      <c r="B365">
        <v>365730.69</v>
      </c>
      <c r="C365">
        <v>13585.84</v>
      </c>
      <c r="D365">
        <v>0</v>
      </c>
      <c r="E365">
        <f>D365/MAX($B$2:B365,100000)</f>
        <v>0</v>
      </c>
      <c r="H365" s="2"/>
      <c r="I365" s="2"/>
      <c r="N365" s="2"/>
    </row>
    <row r="366" spans="1:14" x14ac:dyDescent="0.3">
      <c r="A366" s="2">
        <v>39080</v>
      </c>
      <c r="B366">
        <v>370603.84</v>
      </c>
      <c r="C366">
        <v>13585.84</v>
      </c>
      <c r="D366">
        <v>0</v>
      </c>
      <c r="E366">
        <f>D366/MAX($B$2:B366,100000)</f>
        <v>0</v>
      </c>
      <c r="H366" s="2"/>
      <c r="I366" s="2"/>
      <c r="N366" s="2"/>
    </row>
    <row r="367" spans="1:14" x14ac:dyDescent="0.3">
      <c r="A367" s="2">
        <v>39087</v>
      </c>
      <c r="B367">
        <v>367436.97</v>
      </c>
      <c r="C367">
        <v>13585.84</v>
      </c>
      <c r="D367">
        <v>-3166.88</v>
      </c>
      <c r="E367">
        <f>D367/MAX($B$2:B367,100000)</f>
        <v>-8.545189386057089E-3</v>
      </c>
      <c r="H367" s="2"/>
      <c r="I367" s="2"/>
      <c r="N367" s="2"/>
    </row>
    <row r="368" spans="1:14" x14ac:dyDescent="0.3">
      <c r="A368" s="2">
        <v>39094</v>
      </c>
      <c r="B368">
        <v>368114.72</v>
      </c>
      <c r="C368">
        <v>13585.84</v>
      </c>
      <c r="D368">
        <v>-2489.13</v>
      </c>
      <c r="E368">
        <f>D368/MAX($B$2:B368,100000)</f>
        <v>-6.7164171855315907E-3</v>
      </c>
      <c r="H368" s="2"/>
      <c r="I368" s="2"/>
      <c r="N368" s="2"/>
    </row>
    <row r="369" spans="1:14" x14ac:dyDescent="0.3">
      <c r="A369" s="2">
        <v>39101</v>
      </c>
      <c r="B369">
        <v>375211.75</v>
      </c>
      <c r="C369">
        <v>15720.14</v>
      </c>
      <c r="D369">
        <v>0</v>
      </c>
      <c r="E369">
        <f>D369/MAX($B$2:B369,100000)</f>
        <v>0</v>
      </c>
      <c r="H369" s="2"/>
      <c r="I369" s="2"/>
      <c r="N369" s="2"/>
    </row>
    <row r="370" spans="1:14" x14ac:dyDescent="0.3">
      <c r="A370" s="2">
        <v>39107</v>
      </c>
      <c r="B370">
        <v>381101.16</v>
      </c>
      <c r="C370">
        <v>15720.14</v>
      </c>
      <c r="D370">
        <v>0</v>
      </c>
      <c r="E370">
        <f>D370/MAX($B$2:B370,100000)</f>
        <v>0</v>
      </c>
      <c r="H370" s="2"/>
      <c r="I370" s="2"/>
      <c r="N370" s="2"/>
    </row>
    <row r="371" spans="1:14" x14ac:dyDescent="0.3">
      <c r="A371" s="2">
        <v>39115</v>
      </c>
      <c r="B371">
        <v>390700.59</v>
      </c>
      <c r="C371">
        <v>15720.14</v>
      </c>
      <c r="D371">
        <v>0</v>
      </c>
      <c r="E371">
        <f>D371/MAX($B$2:B371,100000)</f>
        <v>0</v>
      </c>
      <c r="H371" s="2"/>
      <c r="I371" s="2"/>
      <c r="N371" s="2"/>
    </row>
    <row r="372" spans="1:14" x14ac:dyDescent="0.3">
      <c r="A372" s="2">
        <v>39122</v>
      </c>
      <c r="B372">
        <v>393470.78</v>
      </c>
      <c r="C372">
        <v>15720.14</v>
      </c>
      <c r="D372">
        <v>0</v>
      </c>
      <c r="E372">
        <f>D372/MAX($B$2:B372,100000)</f>
        <v>0</v>
      </c>
      <c r="H372" s="2"/>
      <c r="I372" s="2"/>
      <c r="N372" s="2"/>
    </row>
    <row r="373" spans="1:14" x14ac:dyDescent="0.3">
      <c r="A373" s="2">
        <v>39129</v>
      </c>
      <c r="B373">
        <v>400707.06</v>
      </c>
      <c r="C373">
        <v>15720.14</v>
      </c>
      <c r="D373">
        <v>0</v>
      </c>
      <c r="E373">
        <f>D373/MAX($B$2:B373,100000)</f>
        <v>0</v>
      </c>
      <c r="H373" s="2"/>
      <c r="I373" s="2"/>
      <c r="N373" s="2"/>
    </row>
    <row r="374" spans="1:14" x14ac:dyDescent="0.3">
      <c r="A374" s="2">
        <v>39136</v>
      </c>
      <c r="B374">
        <v>405505.41</v>
      </c>
      <c r="C374">
        <v>15720.14</v>
      </c>
      <c r="D374">
        <v>0</v>
      </c>
      <c r="E374">
        <f>D374/MAX($B$2:B374,100000)</f>
        <v>0</v>
      </c>
      <c r="H374" s="2"/>
      <c r="I374" s="2"/>
      <c r="N374" s="2"/>
    </row>
    <row r="375" spans="1:14" x14ac:dyDescent="0.3">
      <c r="A375" s="2">
        <v>39143</v>
      </c>
      <c r="B375">
        <v>405522.59</v>
      </c>
      <c r="C375">
        <v>15720.14</v>
      </c>
      <c r="D375">
        <v>0</v>
      </c>
      <c r="E375">
        <f>D375/MAX($B$2:B375,100000)</f>
        <v>0</v>
      </c>
      <c r="H375" s="2"/>
      <c r="I375" s="2"/>
      <c r="N375" s="2"/>
    </row>
    <row r="376" spans="1:14" x14ac:dyDescent="0.3">
      <c r="A376" s="2">
        <v>39150</v>
      </c>
      <c r="B376">
        <v>402171.69</v>
      </c>
      <c r="C376">
        <v>15964.96</v>
      </c>
      <c r="D376">
        <v>-3350.91</v>
      </c>
      <c r="E376">
        <f>D376/MAX($B$2:B376,100000)</f>
        <v>-8.2631894810101698E-3</v>
      </c>
      <c r="H376" s="2"/>
      <c r="I376" s="2"/>
      <c r="N376" s="2"/>
    </row>
    <row r="377" spans="1:14" x14ac:dyDescent="0.3">
      <c r="A377" s="2">
        <v>39157</v>
      </c>
      <c r="B377">
        <v>400568.25</v>
      </c>
      <c r="C377">
        <v>14267.22</v>
      </c>
      <c r="D377">
        <v>-4954.34</v>
      </c>
      <c r="E377">
        <f>D377/MAX($B$2:B377,100000)</f>
        <v>-1.2217173894060993E-2</v>
      </c>
      <c r="H377" s="2"/>
      <c r="I377" s="2"/>
      <c r="N377" s="2"/>
    </row>
    <row r="378" spans="1:14" x14ac:dyDescent="0.3">
      <c r="A378" s="2">
        <v>39164</v>
      </c>
      <c r="B378">
        <v>401160.22</v>
      </c>
      <c r="C378">
        <v>14267.22</v>
      </c>
      <c r="D378">
        <v>-4362.38</v>
      </c>
      <c r="E378">
        <f>D378/MAX($B$2:B378,100000)</f>
        <v>-1.0757427841442815E-2</v>
      </c>
      <c r="H378" s="2"/>
      <c r="I378" s="2"/>
      <c r="N378" s="2"/>
    </row>
    <row r="379" spans="1:14" x14ac:dyDescent="0.3">
      <c r="A379" s="2">
        <v>39171</v>
      </c>
      <c r="B379">
        <v>400640.5</v>
      </c>
      <c r="C379">
        <v>9943.77</v>
      </c>
      <c r="D379">
        <v>-4882.09</v>
      </c>
      <c r="E379">
        <f>D379/MAX($B$2:B379,100000)</f>
        <v>-1.2039008726986085E-2</v>
      </c>
      <c r="H379" s="2"/>
      <c r="I379" s="2"/>
      <c r="N379" s="2"/>
    </row>
    <row r="380" spans="1:14" x14ac:dyDescent="0.3">
      <c r="A380" s="2">
        <v>39177</v>
      </c>
      <c r="B380">
        <v>408874.31</v>
      </c>
      <c r="C380">
        <v>8706.44</v>
      </c>
      <c r="D380">
        <v>0</v>
      </c>
      <c r="E380">
        <f>D380/MAX($B$2:B380,100000)</f>
        <v>0</v>
      </c>
      <c r="H380" s="2"/>
      <c r="I380" s="2"/>
      <c r="N380" s="2"/>
    </row>
    <row r="381" spans="1:14" x14ac:dyDescent="0.3">
      <c r="A381" s="2">
        <v>39185</v>
      </c>
      <c r="B381">
        <v>417577.56</v>
      </c>
      <c r="C381">
        <v>8706.44</v>
      </c>
      <c r="D381">
        <v>0</v>
      </c>
      <c r="E381">
        <f>D381/MAX($B$2:B381,100000)</f>
        <v>0</v>
      </c>
      <c r="H381" s="2"/>
      <c r="I381" s="2"/>
      <c r="N381" s="2"/>
    </row>
    <row r="382" spans="1:14" x14ac:dyDescent="0.3">
      <c r="A382" s="2">
        <v>39192</v>
      </c>
      <c r="B382">
        <v>424293.19</v>
      </c>
      <c r="C382">
        <v>8706.44</v>
      </c>
      <c r="D382">
        <v>0</v>
      </c>
      <c r="E382">
        <f>D382/MAX($B$2:B382,100000)</f>
        <v>0</v>
      </c>
      <c r="H382" s="2"/>
      <c r="I382" s="2"/>
      <c r="N382" s="2"/>
    </row>
    <row r="383" spans="1:14" x14ac:dyDescent="0.3">
      <c r="A383" s="2">
        <v>39199</v>
      </c>
      <c r="B383">
        <v>422714.25</v>
      </c>
      <c r="C383">
        <v>8706.44</v>
      </c>
      <c r="D383">
        <v>-1578.94</v>
      </c>
      <c r="E383">
        <f>D383/MAX($B$2:B383,100000)</f>
        <v>-3.7213418391183702E-3</v>
      </c>
      <c r="H383" s="2"/>
      <c r="I383" s="2"/>
      <c r="N383" s="2"/>
    </row>
    <row r="384" spans="1:14" x14ac:dyDescent="0.3">
      <c r="A384" s="2">
        <v>39206</v>
      </c>
      <c r="B384">
        <v>432722.84</v>
      </c>
      <c r="C384">
        <v>8706.44</v>
      </c>
      <c r="D384">
        <v>0</v>
      </c>
      <c r="E384">
        <f>D384/MAX($B$2:B384,100000)</f>
        <v>0</v>
      </c>
      <c r="H384" s="2"/>
      <c r="I384" s="2"/>
      <c r="N384" s="2"/>
    </row>
    <row r="385" spans="1:14" x14ac:dyDescent="0.3">
      <c r="A385" s="2">
        <v>39213</v>
      </c>
      <c r="B385">
        <v>436633.56</v>
      </c>
      <c r="C385">
        <v>8706.44</v>
      </c>
      <c r="D385">
        <v>0</v>
      </c>
      <c r="E385">
        <f>D385/MAX($B$2:B385,100000)</f>
        <v>0</v>
      </c>
      <c r="H385" s="2"/>
      <c r="I385" s="2"/>
      <c r="N385" s="2"/>
    </row>
    <row r="386" spans="1:14" x14ac:dyDescent="0.3">
      <c r="A386" s="2">
        <v>39220</v>
      </c>
      <c r="B386">
        <v>438085.25</v>
      </c>
      <c r="C386">
        <v>8706.44</v>
      </c>
      <c r="D386">
        <v>0</v>
      </c>
      <c r="E386">
        <f>D386/MAX($B$2:B386,100000)</f>
        <v>0</v>
      </c>
      <c r="H386" s="2"/>
      <c r="I386" s="2"/>
      <c r="N386" s="2"/>
    </row>
    <row r="387" spans="1:14" x14ac:dyDescent="0.3">
      <c r="A387" s="2">
        <v>39227</v>
      </c>
      <c r="B387">
        <v>435829.97</v>
      </c>
      <c r="C387">
        <v>8706.44</v>
      </c>
      <c r="D387">
        <v>-2255.2800000000002</v>
      </c>
      <c r="E387">
        <f>D387/MAX($B$2:B387,100000)</f>
        <v>-5.1480391088264219E-3</v>
      </c>
      <c r="H387" s="2"/>
      <c r="I387" s="2"/>
      <c r="N387" s="2"/>
    </row>
    <row r="388" spans="1:14" x14ac:dyDescent="0.3">
      <c r="A388" s="2">
        <v>39234</v>
      </c>
      <c r="B388">
        <v>455263.19</v>
      </c>
      <c r="C388">
        <v>8706.44</v>
      </c>
      <c r="D388">
        <v>0</v>
      </c>
      <c r="E388">
        <f>D388/MAX($B$2:B388,100000)</f>
        <v>0</v>
      </c>
      <c r="H388" s="2"/>
      <c r="I388" s="2"/>
      <c r="N388" s="2"/>
    </row>
    <row r="389" spans="1:14" x14ac:dyDescent="0.3">
      <c r="A389" s="2">
        <v>39241</v>
      </c>
      <c r="B389">
        <v>441263.34</v>
      </c>
      <c r="C389">
        <v>8706.44</v>
      </c>
      <c r="D389">
        <v>-13999.84</v>
      </c>
      <c r="E389">
        <f>D389/MAX($B$2:B389,100000)</f>
        <v>-3.0751091473044417E-2</v>
      </c>
      <c r="H389" s="2"/>
      <c r="I389" s="2"/>
      <c r="N389" s="2"/>
    </row>
    <row r="390" spans="1:14" x14ac:dyDescent="0.3">
      <c r="A390" s="2">
        <v>39248</v>
      </c>
      <c r="B390">
        <v>430803.66</v>
      </c>
      <c r="C390">
        <v>8706.44</v>
      </c>
      <c r="D390">
        <v>-24459.53</v>
      </c>
      <c r="E390">
        <f>D390/MAX($B$2:B390,100000)</f>
        <v>-5.372613147133639E-2</v>
      </c>
      <c r="H390" s="2"/>
      <c r="I390" s="2"/>
      <c r="N390" s="2"/>
    </row>
    <row r="391" spans="1:14" x14ac:dyDescent="0.3">
      <c r="A391" s="2">
        <v>39255</v>
      </c>
      <c r="B391">
        <v>446757.5</v>
      </c>
      <c r="C391">
        <v>828.98</v>
      </c>
      <c r="D391">
        <v>-8505.69</v>
      </c>
      <c r="E391">
        <f>D391/MAX($B$2:B391,100000)</f>
        <v>-1.8683017179579136E-2</v>
      </c>
      <c r="H391" s="2"/>
      <c r="I391" s="2"/>
      <c r="N391" s="2"/>
    </row>
    <row r="392" spans="1:14" x14ac:dyDescent="0.3">
      <c r="A392" s="2">
        <v>39262</v>
      </c>
      <c r="B392">
        <v>450271.56</v>
      </c>
      <c r="C392">
        <v>828.98</v>
      </c>
      <c r="D392">
        <v>-4991.63</v>
      </c>
      <c r="E392">
        <f>D392/MAX($B$2:B392,100000)</f>
        <v>-1.0964273215236225E-2</v>
      </c>
      <c r="H392" s="2"/>
      <c r="I392" s="2"/>
      <c r="N392" s="2"/>
    </row>
    <row r="393" spans="1:14" x14ac:dyDescent="0.3">
      <c r="A393" s="2">
        <v>39269</v>
      </c>
      <c r="B393">
        <v>465194.72</v>
      </c>
      <c r="C393">
        <v>18049.990000000002</v>
      </c>
      <c r="D393">
        <v>0</v>
      </c>
      <c r="E393">
        <f>D393/MAX($B$2:B393,100000)</f>
        <v>0</v>
      </c>
      <c r="H393" s="2"/>
      <c r="I393" s="2"/>
      <c r="N393" s="2"/>
    </row>
    <row r="394" spans="1:14" x14ac:dyDescent="0.3">
      <c r="A394" s="2">
        <v>39276</v>
      </c>
      <c r="B394">
        <v>481328.47</v>
      </c>
      <c r="C394">
        <v>18049.990000000002</v>
      </c>
      <c r="D394">
        <v>0</v>
      </c>
      <c r="E394">
        <f>D394/MAX($B$2:B394,100000)</f>
        <v>0</v>
      </c>
      <c r="H394" s="2"/>
      <c r="I394" s="2"/>
      <c r="N394" s="2"/>
    </row>
    <row r="395" spans="1:14" x14ac:dyDescent="0.3">
      <c r="A395" s="2">
        <v>39283</v>
      </c>
      <c r="B395">
        <v>483512.94</v>
      </c>
      <c r="C395">
        <v>18049.990000000002</v>
      </c>
      <c r="D395">
        <v>0</v>
      </c>
      <c r="E395">
        <f>D395/MAX($B$2:B395,100000)</f>
        <v>0</v>
      </c>
      <c r="H395" s="2"/>
      <c r="I395" s="2"/>
      <c r="N395" s="2"/>
    </row>
    <row r="396" spans="1:14" x14ac:dyDescent="0.3">
      <c r="A396" s="2">
        <v>39290</v>
      </c>
      <c r="B396">
        <v>462318.88</v>
      </c>
      <c r="C396">
        <v>18049.990000000002</v>
      </c>
      <c r="D396">
        <v>-21194.06</v>
      </c>
      <c r="E396">
        <f>D396/MAX($B$2:B396,100000)</f>
        <v>-4.3833490785169064E-2</v>
      </c>
      <c r="H396" s="2"/>
      <c r="I396" s="2"/>
      <c r="N396" s="2"/>
    </row>
    <row r="397" spans="1:14" x14ac:dyDescent="0.3">
      <c r="A397" s="2">
        <v>39297</v>
      </c>
      <c r="B397">
        <v>454374.44</v>
      </c>
      <c r="C397">
        <v>18049.990000000002</v>
      </c>
      <c r="D397">
        <v>-29138.5</v>
      </c>
      <c r="E397">
        <f>D397/MAX($B$2:B397,100000)</f>
        <v>-6.0264157563187447E-2</v>
      </c>
      <c r="H397" s="2"/>
      <c r="I397" s="2"/>
      <c r="N397" s="2"/>
    </row>
    <row r="398" spans="1:14" x14ac:dyDescent="0.3">
      <c r="A398" s="2">
        <v>39304</v>
      </c>
      <c r="B398">
        <v>447065.28</v>
      </c>
      <c r="C398">
        <v>142018.92000000001</v>
      </c>
      <c r="D398">
        <v>-36447.660000000003</v>
      </c>
      <c r="E398">
        <f>D398/MAX($B$2:B398,100000)</f>
        <v>-7.5380940166771965E-2</v>
      </c>
      <c r="H398" s="2"/>
      <c r="I398" s="2"/>
      <c r="N398" s="2"/>
    </row>
    <row r="399" spans="1:14" x14ac:dyDescent="0.3">
      <c r="A399" s="2">
        <v>39311</v>
      </c>
      <c r="B399">
        <v>435253.03</v>
      </c>
      <c r="C399">
        <v>207057.52</v>
      </c>
      <c r="D399">
        <v>-48259.91</v>
      </c>
      <c r="E399">
        <f>D399/MAX($B$2:B399,100000)</f>
        <v>-9.9810999887614188E-2</v>
      </c>
      <c r="H399" s="2"/>
      <c r="I399" s="2"/>
      <c r="N399" s="2"/>
    </row>
    <row r="400" spans="1:14" x14ac:dyDescent="0.3">
      <c r="A400" s="2">
        <v>39318</v>
      </c>
      <c r="B400">
        <v>439207.88</v>
      </c>
      <c r="C400">
        <v>238460.17</v>
      </c>
      <c r="D400">
        <v>-44305.06</v>
      </c>
      <c r="E400">
        <f>D400/MAX($B$2:B400,100000)</f>
        <v>-9.1631591080064981E-2</v>
      </c>
      <c r="H400" s="2"/>
      <c r="I400" s="2"/>
      <c r="N400" s="2"/>
    </row>
    <row r="401" spans="1:14" x14ac:dyDescent="0.3">
      <c r="A401" s="2">
        <v>39325</v>
      </c>
      <c r="B401">
        <v>441467.31</v>
      </c>
      <c r="C401">
        <v>319465.63</v>
      </c>
      <c r="D401">
        <v>-42045.63</v>
      </c>
      <c r="E401">
        <f>D401/MAX($B$2:B401,100000)</f>
        <v>-8.6958644788286327E-2</v>
      </c>
      <c r="H401" s="2"/>
      <c r="I401" s="2"/>
      <c r="N401" s="2"/>
    </row>
    <row r="402" spans="1:14" x14ac:dyDescent="0.3">
      <c r="A402" s="2">
        <v>39332</v>
      </c>
      <c r="B402">
        <v>440783.19</v>
      </c>
      <c r="C402">
        <v>214348.34</v>
      </c>
      <c r="D402">
        <v>-42729.75</v>
      </c>
      <c r="E402">
        <f>D402/MAX($B$2:B402,100000)</f>
        <v>-8.8373539702991194E-2</v>
      </c>
      <c r="H402" s="2"/>
      <c r="I402" s="2"/>
      <c r="N402" s="2"/>
    </row>
    <row r="403" spans="1:14" x14ac:dyDescent="0.3">
      <c r="A403" s="2">
        <v>39339</v>
      </c>
      <c r="B403">
        <v>443079.03</v>
      </c>
      <c r="C403">
        <v>88850.13</v>
      </c>
      <c r="D403">
        <v>-40433.910000000003</v>
      </c>
      <c r="E403">
        <f>D403/MAX($B$2:B403,100000)</f>
        <v>-8.3625290359343851E-2</v>
      </c>
      <c r="H403" s="2"/>
      <c r="I403" s="2"/>
      <c r="N403" s="2"/>
    </row>
    <row r="404" spans="1:14" x14ac:dyDescent="0.3">
      <c r="A404" s="2">
        <v>39346</v>
      </c>
      <c r="B404">
        <v>450577.06</v>
      </c>
      <c r="C404">
        <v>46687.18</v>
      </c>
      <c r="D404">
        <v>-32935.879999999997</v>
      </c>
      <c r="E404">
        <f>D404/MAX($B$2:B404,100000)</f>
        <v>-6.8117887393044738E-2</v>
      </c>
      <c r="H404" s="2"/>
      <c r="I404" s="2"/>
      <c r="N404" s="2"/>
    </row>
    <row r="405" spans="1:14" x14ac:dyDescent="0.3">
      <c r="A405" s="2">
        <v>39353</v>
      </c>
      <c r="B405">
        <v>466122.69</v>
      </c>
      <c r="C405">
        <v>25183.7</v>
      </c>
      <c r="D405">
        <v>-17390.25</v>
      </c>
      <c r="E405">
        <f>D405/MAX($B$2:B405,100000)</f>
        <v>-3.5966462448760936E-2</v>
      </c>
      <c r="H405" s="2"/>
      <c r="I405" s="2"/>
      <c r="N405" s="2"/>
    </row>
    <row r="406" spans="1:14" x14ac:dyDescent="0.3">
      <c r="A406" s="2">
        <v>39360</v>
      </c>
      <c r="B406">
        <v>472231.25</v>
      </c>
      <c r="C406">
        <v>25183.7</v>
      </c>
      <c r="D406">
        <v>-11281.69</v>
      </c>
      <c r="E406">
        <f>D406/MAX($B$2:B406,100000)</f>
        <v>-2.333275713365603E-2</v>
      </c>
      <c r="H406" s="2"/>
      <c r="I406" s="2"/>
      <c r="N406" s="2"/>
    </row>
    <row r="407" spans="1:14" x14ac:dyDescent="0.3">
      <c r="A407" s="2">
        <v>39367</v>
      </c>
      <c r="B407">
        <v>485051.81</v>
      </c>
      <c r="C407">
        <v>25183.7</v>
      </c>
      <c r="D407">
        <v>0</v>
      </c>
      <c r="E407">
        <f>D407/MAX($B$2:B407,100000)</f>
        <v>0</v>
      </c>
      <c r="H407" s="2"/>
      <c r="I407" s="2"/>
      <c r="N407" s="2"/>
    </row>
    <row r="408" spans="1:14" x14ac:dyDescent="0.3">
      <c r="A408" s="2">
        <v>39374</v>
      </c>
      <c r="B408">
        <v>493116.72</v>
      </c>
      <c r="C408">
        <v>25183.7</v>
      </c>
      <c r="D408">
        <v>0</v>
      </c>
      <c r="E408">
        <f>D408/MAX($B$2:B408,100000)</f>
        <v>0</v>
      </c>
      <c r="H408" s="2"/>
      <c r="I408" s="2"/>
      <c r="N408" s="2"/>
    </row>
    <row r="409" spans="1:14" x14ac:dyDescent="0.3">
      <c r="A409" s="2">
        <v>39381</v>
      </c>
      <c r="B409">
        <v>507541.06</v>
      </c>
      <c r="C409">
        <v>25183.7</v>
      </c>
      <c r="D409">
        <v>0</v>
      </c>
      <c r="E409">
        <f>D409/MAX($B$2:B409,100000)</f>
        <v>0</v>
      </c>
      <c r="H409" s="2"/>
      <c r="I409" s="2"/>
      <c r="N409" s="2"/>
    </row>
    <row r="410" spans="1:14" x14ac:dyDescent="0.3">
      <c r="A410" s="2">
        <v>39388</v>
      </c>
      <c r="B410">
        <v>514576.97</v>
      </c>
      <c r="C410">
        <v>24461.96</v>
      </c>
      <c r="D410">
        <v>0</v>
      </c>
      <c r="E410">
        <f>D410/MAX($B$2:B410,100000)</f>
        <v>0</v>
      </c>
      <c r="H410" s="2"/>
      <c r="I410" s="2"/>
      <c r="N410" s="2"/>
    </row>
    <row r="411" spans="1:14" x14ac:dyDescent="0.3">
      <c r="A411" s="2">
        <v>39395</v>
      </c>
      <c r="B411">
        <v>534613.68999999994</v>
      </c>
      <c r="C411">
        <v>24461.96</v>
      </c>
      <c r="D411">
        <v>0</v>
      </c>
      <c r="E411">
        <f>D411/MAX($B$2:B411,100000)</f>
        <v>0</v>
      </c>
      <c r="H411" s="2"/>
      <c r="I411" s="2"/>
      <c r="N411" s="2"/>
    </row>
    <row r="412" spans="1:14" x14ac:dyDescent="0.3">
      <c r="A412" s="2">
        <v>39402</v>
      </c>
      <c r="B412">
        <v>521245.34</v>
      </c>
      <c r="C412">
        <v>24461.96</v>
      </c>
      <c r="D412">
        <v>-13368.34</v>
      </c>
      <c r="E412">
        <f>D412/MAX($B$2:B412,100000)</f>
        <v>-2.5005607319932271E-2</v>
      </c>
      <c r="H412" s="2"/>
      <c r="I412" s="2"/>
      <c r="N412" s="2"/>
    </row>
    <row r="413" spans="1:14" x14ac:dyDescent="0.3">
      <c r="A413" s="2">
        <v>39409</v>
      </c>
      <c r="B413">
        <v>500905.88</v>
      </c>
      <c r="C413">
        <v>24461.96</v>
      </c>
      <c r="D413">
        <v>-33707.81</v>
      </c>
      <c r="E413">
        <f>D413/MAX($B$2:B413,100000)</f>
        <v>-6.3050779713478722E-2</v>
      </c>
      <c r="H413" s="2"/>
      <c r="I413" s="2"/>
      <c r="N413" s="2"/>
    </row>
    <row r="414" spans="1:14" x14ac:dyDescent="0.3">
      <c r="A414" s="2">
        <v>39416</v>
      </c>
      <c r="B414">
        <v>508314.5</v>
      </c>
      <c r="C414">
        <v>24461.96</v>
      </c>
      <c r="D414">
        <v>-26299.19</v>
      </c>
      <c r="E414">
        <f>D414/MAX($B$2:B414,100000)</f>
        <v>-4.9192885427232512E-2</v>
      </c>
      <c r="H414" s="2"/>
      <c r="I414" s="2"/>
      <c r="N414" s="2"/>
    </row>
    <row r="415" spans="1:14" x14ac:dyDescent="0.3">
      <c r="A415" s="2">
        <v>39423</v>
      </c>
      <c r="B415">
        <v>510000.5</v>
      </c>
      <c r="C415">
        <v>134081.14000000001</v>
      </c>
      <c r="D415">
        <v>-24613.19</v>
      </c>
      <c r="E415">
        <f>D415/MAX($B$2:B415,100000)</f>
        <v>-4.6039206366002339E-2</v>
      </c>
      <c r="H415" s="2"/>
      <c r="I415" s="2"/>
      <c r="N415" s="2"/>
    </row>
    <row r="416" spans="1:14" x14ac:dyDescent="0.3">
      <c r="A416" s="2">
        <v>39430</v>
      </c>
      <c r="B416">
        <v>515493.31</v>
      </c>
      <c r="C416">
        <v>61262.23</v>
      </c>
      <c r="D416">
        <v>-19120.38</v>
      </c>
      <c r="E416">
        <f>D416/MAX($B$2:B416,100000)</f>
        <v>-3.5764852935210104E-2</v>
      </c>
      <c r="H416" s="2"/>
      <c r="I416" s="2"/>
      <c r="N416" s="2"/>
    </row>
    <row r="417" spans="1:14" x14ac:dyDescent="0.3">
      <c r="A417" s="2">
        <v>39437</v>
      </c>
      <c r="B417">
        <v>503236.56</v>
      </c>
      <c r="C417">
        <v>61262.23</v>
      </c>
      <c r="D417">
        <v>-31377.13</v>
      </c>
      <c r="E417">
        <f>D417/MAX($B$2:B417,100000)</f>
        <v>-5.8691220570876147E-2</v>
      </c>
      <c r="H417" s="2"/>
      <c r="I417" s="2"/>
      <c r="N417" s="2"/>
    </row>
    <row r="418" spans="1:14" x14ac:dyDescent="0.3">
      <c r="A418" s="2">
        <v>39444</v>
      </c>
      <c r="B418">
        <v>508488.78</v>
      </c>
      <c r="C418">
        <v>61262.23</v>
      </c>
      <c r="D418">
        <v>-26124.91</v>
      </c>
      <c r="E418">
        <f>D418/MAX($B$2:B418,100000)</f>
        <v>-4.8866893027000494E-2</v>
      </c>
      <c r="H418" s="2"/>
      <c r="I418" s="2"/>
      <c r="N418" s="2"/>
    </row>
    <row r="419" spans="1:14" x14ac:dyDescent="0.3">
      <c r="A419" s="2">
        <v>39451</v>
      </c>
      <c r="B419">
        <v>507643.59</v>
      </c>
      <c r="C419">
        <v>111799.21</v>
      </c>
      <c r="D419">
        <v>-26970.09</v>
      </c>
      <c r="E419">
        <f>D419/MAX($B$2:B419,100000)</f>
        <v>-5.044781026838277E-2</v>
      </c>
      <c r="H419" s="2"/>
      <c r="I419" s="2"/>
      <c r="N419" s="2"/>
    </row>
    <row r="420" spans="1:14" x14ac:dyDescent="0.3">
      <c r="A420" s="2">
        <v>39458</v>
      </c>
      <c r="B420">
        <v>492140.84</v>
      </c>
      <c r="C420">
        <v>111799.21</v>
      </c>
      <c r="D420">
        <v>-42472.84</v>
      </c>
      <c r="E420">
        <f>D420/MAX($B$2:B420,100000)</f>
        <v>-7.9445851826203701E-2</v>
      </c>
      <c r="H420" s="2"/>
      <c r="I420" s="2"/>
      <c r="N420" s="2"/>
    </row>
    <row r="421" spans="1:14" x14ac:dyDescent="0.3">
      <c r="A421" s="2">
        <v>39465</v>
      </c>
      <c r="B421">
        <v>477856.19</v>
      </c>
      <c r="C421">
        <v>134048.67000000001</v>
      </c>
      <c r="D421">
        <v>-56757.5</v>
      </c>
      <c r="E421">
        <f>D421/MAX($B$2:B421,100000)</f>
        <v>-0.10616544443521453</v>
      </c>
      <c r="H421" s="2"/>
      <c r="I421" s="2"/>
      <c r="N421" s="2"/>
    </row>
    <row r="422" spans="1:14" x14ac:dyDescent="0.3">
      <c r="A422" s="2">
        <v>39472</v>
      </c>
      <c r="B422">
        <v>469324.28</v>
      </c>
      <c r="C422">
        <v>148398.73000000001</v>
      </c>
      <c r="D422">
        <v>-65289.41</v>
      </c>
      <c r="E422">
        <f>D422/MAX($B$2:B422,100000)</f>
        <v>-0.1221244633671839</v>
      </c>
      <c r="H422" s="2"/>
      <c r="I422" s="2"/>
      <c r="N422" s="2"/>
    </row>
    <row r="423" spans="1:14" x14ac:dyDescent="0.3">
      <c r="A423" s="2">
        <v>39479</v>
      </c>
      <c r="B423">
        <v>475699.22</v>
      </c>
      <c r="C423">
        <v>292735.03000000003</v>
      </c>
      <c r="D423">
        <v>-58914.47</v>
      </c>
      <c r="E423">
        <f>D423/MAX($B$2:B423,100000)</f>
        <v>-0.11020007736801504</v>
      </c>
      <c r="H423" s="2"/>
      <c r="I423" s="2"/>
      <c r="N423" s="2"/>
    </row>
    <row r="424" spans="1:14" x14ac:dyDescent="0.3">
      <c r="A424" s="2">
        <v>39486</v>
      </c>
      <c r="B424">
        <v>475930.72</v>
      </c>
      <c r="C424">
        <v>365573.34</v>
      </c>
      <c r="D424">
        <v>-58682.97</v>
      </c>
      <c r="E424">
        <f>D424/MAX($B$2:B424,100000)</f>
        <v>-0.10976705441269191</v>
      </c>
      <c r="H424" s="2"/>
      <c r="I424" s="2"/>
      <c r="N424" s="2"/>
    </row>
    <row r="425" spans="1:14" x14ac:dyDescent="0.3">
      <c r="A425" s="2">
        <v>39493</v>
      </c>
      <c r="B425">
        <v>474987.09</v>
      </c>
      <c r="C425">
        <v>365573.34</v>
      </c>
      <c r="D425">
        <v>-59626.59</v>
      </c>
      <c r="E425">
        <f>D425/MAX($B$2:B425,100000)</f>
        <v>-0.11153210461183664</v>
      </c>
      <c r="H425" s="2"/>
      <c r="I425" s="2"/>
      <c r="N425" s="2"/>
    </row>
    <row r="426" spans="1:14" x14ac:dyDescent="0.3">
      <c r="A426" s="2">
        <v>39500</v>
      </c>
      <c r="B426">
        <v>475391.94</v>
      </c>
      <c r="C426">
        <v>365573.34</v>
      </c>
      <c r="D426">
        <v>-59221.75</v>
      </c>
      <c r="E426">
        <f>D426/MAX($B$2:B426,100000)</f>
        <v>-0.11077484753523616</v>
      </c>
      <c r="H426" s="2"/>
      <c r="I426" s="2"/>
      <c r="N426" s="2"/>
    </row>
    <row r="427" spans="1:14" x14ac:dyDescent="0.3">
      <c r="A427" s="2">
        <v>39507</v>
      </c>
      <c r="B427">
        <v>477123.94</v>
      </c>
      <c r="C427">
        <v>365573.34</v>
      </c>
      <c r="D427">
        <v>-57489.75</v>
      </c>
      <c r="E427">
        <f>D427/MAX($B$2:B427,100000)</f>
        <v>-0.10753512503579922</v>
      </c>
      <c r="H427" s="2"/>
      <c r="I427" s="2"/>
      <c r="N427" s="2"/>
    </row>
    <row r="428" spans="1:14" x14ac:dyDescent="0.3">
      <c r="A428" s="2">
        <v>39514</v>
      </c>
      <c r="B428">
        <v>473875</v>
      </c>
      <c r="C428">
        <v>365573.34</v>
      </c>
      <c r="D428">
        <v>-60738.69</v>
      </c>
      <c r="E428">
        <f>D428/MAX($B$2:B428,100000)</f>
        <v>-0.11361229825596125</v>
      </c>
      <c r="H428" s="2"/>
      <c r="I428" s="2"/>
      <c r="N428" s="2"/>
    </row>
    <row r="429" spans="1:14" x14ac:dyDescent="0.3">
      <c r="A429" s="2">
        <v>39521</v>
      </c>
      <c r="B429">
        <v>473123.88</v>
      </c>
      <c r="C429">
        <v>365573.34</v>
      </c>
      <c r="D429">
        <v>-61489.81</v>
      </c>
      <c r="E429">
        <f>D429/MAX($B$2:B429,100000)</f>
        <v>-0.11501727537130597</v>
      </c>
      <c r="H429" s="2"/>
      <c r="I429" s="2"/>
      <c r="N429" s="2"/>
    </row>
    <row r="430" spans="1:14" x14ac:dyDescent="0.3">
      <c r="A430" s="2">
        <v>39527</v>
      </c>
      <c r="B430">
        <v>470834.81</v>
      </c>
      <c r="C430">
        <v>376423.69</v>
      </c>
      <c r="D430">
        <v>-63778.879999999997</v>
      </c>
      <c r="E430">
        <f>D430/MAX($B$2:B430,100000)</f>
        <v>-0.11929900261252195</v>
      </c>
      <c r="H430" s="2"/>
      <c r="I430" s="2"/>
      <c r="N430" s="2"/>
    </row>
    <row r="431" spans="1:14" x14ac:dyDescent="0.3">
      <c r="A431" s="2">
        <v>39535</v>
      </c>
      <c r="B431">
        <v>471618.94</v>
      </c>
      <c r="C431">
        <v>376423.69</v>
      </c>
      <c r="D431">
        <v>-62994.75</v>
      </c>
      <c r="E431">
        <f>D431/MAX($B$2:B431,100000)</f>
        <v>-0.11783227997771625</v>
      </c>
      <c r="H431" s="2"/>
      <c r="I431" s="2"/>
      <c r="N431" s="2"/>
    </row>
    <row r="432" spans="1:14" x14ac:dyDescent="0.3">
      <c r="A432" s="2">
        <v>39542</v>
      </c>
      <c r="B432">
        <v>475286.13</v>
      </c>
      <c r="C432">
        <v>390198.34</v>
      </c>
      <c r="D432">
        <v>-59327.56</v>
      </c>
      <c r="E432">
        <f>D432/MAX($B$2:B432,100000)</f>
        <v>-0.11097276614820695</v>
      </c>
      <c r="H432" s="2"/>
      <c r="I432" s="2"/>
      <c r="N432" s="2"/>
    </row>
    <row r="433" spans="1:14" x14ac:dyDescent="0.3">
      <c r="A433" s="2">
        <v>39549</v>
      </c>
      <c r="B433">
        <v>472288.59</v>
      </c>
      <c r="C433">
        <v>390198.34</v>
      </c>
      <c r="D433">
        <v>-62325.09</v>
      </c>
      <c r="E433">
        <f>D433/MAX($B$2:B433,100000)</f>
        <v>-0.11657967456837853</v>
      </c>
      <c r="H433" s="2"/>
      <c r="I433" s="2"/>
      <c r="N433" s="2"/>
    </row>
    <row r="434" spans="1:14" x14ac:dyDescent="0.3">
      <c r="A434" s="2">
        <v>39556</v>
      </c>
      <c r="B434">
        <v>474962.81</v>
      </c>
      <c r="C434">
        <v>390198.34</v>
      </c>
      <c r="D434">
        <v>-59650.879999999997</v>
      </c>
      <c r="E434">
        <f>D434/MAX($B$2:B434,100000)</f>
        <v>-0.11157753928822886</v>
      </c>
      <c r="H434" s="2"/>
      <c r="I434" s="2"/>
      <c r="N434" s="2"/>
    </row>
    <row r="435" spans="1:14" x14ac:dyDescent="0.3">
      <c r="A435" s="2">
        <v>39562</v>
      </c>
      <c r="B435">
        <v>475175.19</v>
      </c>
      <c r="C435">
        <v>390198.34</v>
      </c>
      <c r="D435">
        <v>-59438.5</v>
      </c>
      <c r="E435">
        <f>D435/MAX($B$2:B435,100000)</f>
        <v>-0.11118028047504733</v>
      </c>
      <c r="H435" s="2"/>
      <c r="I435" s="2"/>
      <c r="N435" s="2"/>
    </row>
    <row r="436" spans="1:14" x14ac:dyDescent="0.3">
      <c r="A436" s="2">
        <v>39570</v>
      </c>
      <c r="B436">
        <v>472535.34</v>
      </c>
      <c r="C436">
        <v>276956.88</v>
      </c>
      <c r="D436">
        <v>-62078.34</v>
      </c>
      <c r="E436">
        <f>D436/MAX($B$2:B436,100000)</f>
        <v>-0.11611812634278035</v>
      </c>
      <c r="H436" s="2"/>
      <c r="I436" s="2"/>
      <c r="N436" s="2"/>
    </row>
    <row r="437" spans="1:14" x14ac:dyDescent="0.3">
      <c r="A437" s="2">
        <v>39577</v>
      </c>
      <c r="B437">
        <v>490820.97</v>
      </c>
      <c r="C437">
        <v>73739.05</v>
      </c>
      <c r="D437">
        <v>-43792.72</v>
      </c>
      <c r="E437">
        <f>D437/MAX($B$2:B437,100000)</f>
        <v>-8.1914699939689167E-2</v>
      </c>
      <c r="H437" s="2"/>
      <c r="I437" s="2"/>
      <c r="N437" s="2"/>
    </row>
    <row r="438" spans="1:14" x14ac:dyDescent="0.3">
      <c r="A438" s="2">
        <v>39584</v>
      </c>
      <c r="B438">
        <v>501117.44</v>
      </c>
      <c r="C438">
        <v>3548.08</v>
      </c>
      <c r="D438">
        <v>-33496.25</v>
      </c>
      <c r="E438">
        <f>D438/MAX($B$2:B438,100000)</f>
        <v>-6.2655054718108699E-2</v>
      </c>
      <c r="H438" s="2"/>
      <c r="I438" s="2"/>
      <c r="N438" s="2"/>
    </row>
    <row r="439" spans="1:14" x14ac:dyDescent="0.3">
      <c r="A439" s="2">
        <v>39591</v>
      </c>
      <c r="B439">
        <v>514594.03</v>
      </c>
      <c r="C439">
        <v>3548.08</v>
      </c>
      <c r="D439">
        <v>-20019.66</v>
      </c>
      <c r="E439">
        <f>D439/MAX($B$2:B439,100000)</f>
        <v>-3.7446964741961623E-2</v>
      </c>
      <c r="H439" s="2"/>
      <c r="I439" s="2"/>
      <c r="N439" s="2"/>
    </row>
    <row r="440" spans="1:14" x14ac:dyDescent="0.3">
      <c r="A440" s="2">
        <v>39598</v>
      </c>
      <c r="B440">
        <v>533364.06000000006</v>
      </c>
      <c r="C440">
        <v>3548.08</v>
      </c>
      <c r="D440">
        <v>-1249.6300000000001</v>
      </c>
      <c r="E440">
        <f>D440/MAX($B$2:B440,100000)</f>
        <v>-2.3374448192675355E-3</v>
      </c>
      <c r="H440" s="2"/>
      <c r="I440" s="2"/>
      <c r="N440" s="2"/>
    </row>
    <row r="441" spans="1:14" x14ac:dyDescent="0.3">
      <c r="A441" s="2">
        <v>39605</v>
      </c>
      <c r="B441">
        <v>523960.75</v>
      </c>
      <c r="C441">
        <v>3548.08</v>
      </c>
      <c r="D441">
        <v>-10652.94</v>
      </c>
      <c r="E441">
        <f>D441/MAX($B$2:B441,100000)</f>
        <v>-1.9926425752397028E-2</v>
      </c>
      <c r="H441" s="2"/>
      <c r="I441" s="2"/>
      <c r="N441" s="2"/>
    </row>
    <row r="442" spans="1:14" x14ac:dyDescent="0.3">
      <c r="A442" s="2">
        <v>39612</v>
      </c>
      <c r="B442">
        <v>513893.34</v>
      </c>
      <c r="C442">
        <v>3548.08</v>
      </c>
      <c r="D442">
        <v>-20720.34</v>
      </c>
      <c r="E442">
        <f>D442/MAX($B$2:B442,100000)</f>
        <v>-3.8757593356803122E-2</v>
      </c>
      <c r="H442" s="2"/>
      <c r="I442" s="2"/>
      <c r="N442" s="2"/>
    </row>
    <row r="443" spans="1:14" x14ac:dyDescent="0.3">
      <c r="A443" s="2">
        <v>39619</v>
      </c>
      <c r="B443">
        <v>513190.47</v>
      </c>
      <c r="C443">
        <v>27105</v>
      </c>
      <c r="D443">
        <v>-21423.22</v>
      </c>
      <c r="E443">
        <f>D443/MAX($B$2:B443,100000)</f>
        <v>-4.0072337092602328E-2</v>
      </c>
      <c r="H443" s="2"/>
      <c r="I443" s="2"/>
      <c r="N443" s="2"/>
    </row>
    <row r="444" spans="1:14" x14ac:dyDescent="0.3">
      <c r="A444" s="2">
        <v>39626</v>
      </c>
      <c r="B444">
        <v>516187.16</v>
      </c>
      <c r="C444">
        <v>203467.95</v>
      </c>
      <c r="D444">
        <v>-18426.53</v>
      </c>
      <c r="E444">
        <f>D444/MAX($B$2:B444,100000)</f>
        <v>-3.4466999900432782E-2</v>
      </c>
      <c r="H444" s="2"/>
      <c r="I444" s="2"/>
      <c r="N444" s="2"/>
    </row>
    <row r="445" spans="1:14" x14ac:dyDescent="0.3">
      <c r="A445" s="2">
        <v>39633</v>
      </c>
      <c r="B445">
        <v>503700.91</v>
      </c>
      <c r="C445">
        <v>252322.33</v>
      </c>
      <c r="D445">
        <v>-30912.78</v>
      </c>
      <c r="E445">
        <f>D445/MAX($B$2:B445,100000)</f>
        <v>-5.7822649472369481E-2</v>
      </c>
      <c r="H445" s="2"/>
      <c r="I445" s="2"/>
      <c r="N445" s="2"/>
    </row>
    <row r="446" spans="1:14" x14ac:dyDescent="0.3">
      <c r="A446" s="2">
        <v>39640</v>
      </c>
      <c r="B446">
        <v>499914.75</v>
      </c>
      <c r="C446">
        <v>279928.34000000003</v>
      </c>
      <c r="D446">
        <v>-34698.94</v>
      </c>
      <c r="E446">
        <f>D446/MAX($B$2:B446,100000)</f>
        <v>-6.4904697820214824E-2</v>
      </c>
      <c r="H446" s="2"/>
      <c r="I446" s="2"/>
      <c r="N446" s="2"/>
    </row>
    <row r="447" spans="1:14" x14ac:dyDescent="0.3">
      <c r="A447" s="2">
        <v>39647</v>
      </c>
      <c r="B447">
        <v>498397.53</v>
      </c>
      <c r="C447">
        <v>347987.28</v>
      </c>
      <c r="D447">
        <v>-36216.160000000003</v>
      </c>
      <c r="E447">
        <f>D447/MAX($B$2:B447,100000)</f>
        <v>-6.7742672283607266E-2</v>
      </c>
      <c r="H447" s="2"/>
      <c r="I447" s="2"/>
      <c r="N447" s="2"/>
    </row>
    <row r="448" spans="1:14" x14ac:dyDescent="0.3">
      <c r="A448" s="2">
        <v>39654</v>
      </c>
      <c r="B448">
        <v>498357.16</v>
      </c>
      <c r="C448">
        <v>392166.31</v>
      </c>
      <c r="D448">
        <v>-36256.53</v>
      </c>
      <c r="E448">
        <f>D448/MAX($B$2:B448,100000)</f>
        <v>-6.7818184753181313E-2</v>
      </c>
      <c r="H448" s="2"/>
      <c r="I448" s="2"/>
      <c r="N448" s="2"/>
    </row>
    <row r="449" spans="1:14" x14ac:dyDescent="0.3">
      <c r="A449" s="2">
        <v>39661</v>
      </c>
      <c r="B449">
        <v>485493.53</v>
      </c>
      <c r="C449">
        <v>414699.69</v>
      </c>
      <c r="D449">
        <v>-49120.160000000003</v>
      </c>
      <c r="E449">
        <f>D449/MAX($B$2:B449,100000)</f>
        <v>-9.1879727210128131E-2</v>
      </c>
      <c r="H449" s="2"/>
      <c r="I449" s="2"/>
      <c r="N449" s="2"/>
    </row>
    <row r="450" spans="1:14" x14ac:dyDescent="0.3">
      <c r="A450" s="2">
        <v>39668</v>
      </c>
      <c r="B450">
        <v>485504.06</v>
      </c>
      <c r="C450">
        <v>414699.69</v>
      </c>
      <c r="D450">
        <v>-49109.63</v>
      </c>
      <c r="E450">
        <f>D450/MAX($B$2:B450,100000)</f>
        <v>-9.1860030744816884E-2</v>
      </c>
      <c r="H450" s="2"/>
      <c r="I450" s="2"/>
      <c r="N450" s="2"/>
    </row>
    <row r="451" spans="1:14" x14ac:dyDescent="0.3">
      <c r="A451" s="2">
        <v>39675</v>
      </c>
      <c r="B451">
        <v>485827.94</v>
      </c>
      <c r="C451">
        <v>440361.5</v>
      </c>
      <c r="D451">
        <v>-48785.75</v>
      </c>
      <c r="E451">
        <f>D451/MAX($B$2:B451,100000)</f>
        <v>-9.1254210119460291E-2</v>
      </c>
      <c r="H451" s="2"/>
      <c r="I451" s="2"/>
      <c r="N451" s="2"/>
    </row>
    <row r="452" spans="1:14" x14ac:dyDescent="0.3">
      <c r="A452" s="2">
        <v>39682</v>
      </c>
      <c r="B452">
        <v>485133.94</v>
      </c>
      <c r="C452">
        <v>440361.5</v>
      </c>
      <c r="D452">
        <v>-49479.75</v>
      </c>
      <c r="E452">
        <f>D452/MAX($B$2:B452,100000)</f>
        <v>-9.2552343730666536E-2</v>
      </c>
      <c r="H452" s="2"/>
      <c r="I452" s="2"/>
      <c r="N452" s="2"/>
    </row>
    <row r="453" spans="1:14" x14ac:dyDescent="0.3">
      <c r="A453" s="2">
        <v>39689</v>
      </c>
      <c r="B453">
        <v>486091.09</v>
      </c>
      <c r="C453">
        <v>440361.5</v>
      </c>
      <c r="D453">
        <v>-48522.59</v>
      </c>
      <c r="E453">
        <f>D453/MAX($B$2:B453,100000)</f>
        <v>-9.0761966832536595E-2</v>
      </c>
      <c r="H453" s="2"/>
      <c r="I453" s="2"/>
      <c r="N453" s="2"/>
    </row>
    <row r="454" spans="1:14" x14ac:dyDescent="0.3">
      <c r="A454" s="2">
        <v>39696</v>
      </c>
      <c r="B454">
        <v>486188.5</v>
      </c>
      <c r="C454">
        <v>440361.5</v>
      </c>
      <c r="D454">
        <v>-48425.19</v>
      </c>
      <c r="E454">
        <f>D454/MAX($B$2:B454,100000)</f>
        <v>-9.0579779204681438E-2</v>
      </c>
      <c r="H454" s="2"/>
      <c r="I454" s="2"/>
      <c r="N454" s="2"/>
    </row>
    <row r="455" spans="1:14" x14ac:dyDescent="0.3">
      <c r="A455" s="2">
        <v>39703</v>
      </c>
      <c r="B455">
        <v>486289.72</v>
      </c>
      <c r="C455">
        <v>440361.5</v>
      </c>
      <c r="D455">
        <v>-48323.97</v>
      </c>
      <c r="E455">
        <f>D455/MAX($B$2:B455,100000)</f>
        <v>-9.0390446230436045E-2</v>
      </c>
      <c r="H455" s="2"/>
      <c r="I455" s="2"/>
      <c r="N455" s="2"/>
    </row>
    <row r="456" spans="1:14" x14ac:dyDescent="0.3">
      <c r="A456" s="2">
        <v>39710</v>
      </c>
      <c r="B456">
        <v>485561.09</v>
      </c>
      <c r="C456">
        <v>440361.5</v>
      </c>
      <c r="D456">
        <v>-49052.59</v>
      </c>
      <c r="E456">
        <f>D456/MAX($B$2:B456,100000)</f>
        <v>-9.1753336881440509E-2</v>
      </c>
      <c r="H456" s="2"/>
      <c r="I456" s="2"/>
      <c r="N456" s="2"/>
    </row>
    <row r="457" spans="1:14" x14ac:dyDescent="0.3">
      <c r="A457" s="2">
        <v>39717</v>
      </c>
      <c r="B457">
        <v>486098.59</v>
      </c>
      <c r="C457">
        <v>440361.5</v>
      </c>
      <c r="D457">
        <v>-48515.09</v>
      </c>
      <c r="E457">
        <f>D457/MAX($B$2:B457,100000)</f>
        <v>-9.0747938011089838E-2</v>
      </c>
      <c r="H457" s="2"/>
      <c r="I457" s="2"/>
      <c r="N457" s="2"/>
    </row>
    <row r="458" spans="1:14" x14ac:dyDescent="0.3">
      <c r="A458" s="2">
        <v>39724</v>
      </c>
      <c r="B458">
        <v>485703</v>
      </c>
      <c r="C458">
        <v>463365.66</v>
      </c>
      <c r="D458">
        <v>-48910.69</v>
      </c>
      <c r="E458">
        <f>D458/MAX($B$2:B458,100000)</f>
        <v>-9.1487911579667944E-2</v>
      </c>
      <c r="H458" s="2"/>
      <c r="I458" s="2"/>
      <c r="N458" s="2"/>
    </row>
    <row r="459" spans="1:14" x14ac:dyDescent="0.3">
      <c r="A459" s="2">
        <v>39731</v>
      </c>
      <c r="B459">
        <v>481952.5</v>
      </c>
      <c r="C459">
        <v>463365.66</v>
      </c>
      <c r="D459">
        <v>-52661.19</v>
      </c>
      <c r="E459">
        <f>D459/MAX($B$2:B459,100000)</f>
        <v>-9.8503257557807783E-2</v>
      </c>
      <c r="H459" s="2"/>
      <c r="I459" s="2"/>
      <c r="N459" s="2"/>
    </row>
    <row r="460" spans="1:14" x14ac:dyDescent="0.3">
      <c r="A460" s="2">
        <v>39738</v>
      </c>
      <c r="B460">
        <v>482227.16</v>
      </c>
      <c r="C460">
        <v>463365.66</v>
      </c>
      <c r="D460">
        <v>-52386.53</v>
      </c>
      <c r="E460">
        <f>D460/MAX($B$2:B460,100000)</f>
        <v>-9.7989503411332404E-2</v>
      </c>
      <c r="H460" s="2"/>
      <c r="I460" s="2"/>
      <c r="N460" s="2"/>
    </row>
    <row r="461" spans="1:14" x14ac:dyDescent="0.3">
      <c r="A461" s="2">
        <v>39745</v>
      </c>
      <c r="B461">
        <v>482227.16</v>
      </c>
      <c r="C461">
        <v>482227.16</v>
      </c>
      <c r="D461">
        <v>-52386.53</v>
      </c>
      <c r="E461">
        <f>D461/MAX($B$2:B461,100000)</f>
        <v>-9.7989503411332404E-2</v>
      </c>
      <c r="H461" s="2"/>
      <c r="I461" s="2"/>
      <c r="N461" s="2"/>
    </row>
    <row r="462" spans="1:14" x14ac:dyDescent="0.3">
      <c r="A462" s="2">
        <v>39752</v>
      </c>
      <c r="B462">
        <v>482227.16</v>
      </c>
      <c r="C462">
        <v>482227.16</v>
      </c>
      <c r="D462">
        <v>-52386.53</v>
      </c>
      <c r="E462">
        <f>D462/MAX($B$2:B462,100000)</f>
        <v>-9.7989503411332404E-2</v>
      </c>
      <c r="H462" s="2"/>
      <c r="I462" s="2"/>
      <c r="N462" s="2"/>
    </row>
    <row r="463" spans="1:14" x14ac:dyDescent="0.3">
      <c r="A463" s="2">
        <v>39759</v>
      </c>
      <c r="B463">
        <v>482227.16</v>
      </c>
      <c r="C463">
        <v>482227.16</v>
      </c>
      <c r="D463">
        <v>-52386.53</v>
      </c>
      <c r="E463">
        <f>D463/MAX($B$2:B463,100000)</f>
        <v>-9.7989503411332404E-2</v>
      </c>
      <c r="H463" s="2"/>
      <c r="I463" s="2"/>
      <c r="N463" s="2"/>
    </row>
    <row r="464" spans="1:14" x14ac:dyDescent="0.3">
      <c r="A464" s="2">
        <v>39766</v>
      </c>
      <c r="B464">
        <v>482227.16</v>
      </c>
      <c r="C464">
        <v>482227.16</v>
      </c>
      <c r="D464">
        <v>-52386.53</v>
      </c>
      <c r="E464">
        <f>D464/MAX($B$2:B464,100000)</f>
        <v>-9.7989503411332404E-2</v>
      </c>
      <c r="H464" s="2"/>
      <c r="I464" s="2"/>
      <c r="N464" s="2"/>
    </row>
    <row r="465" spans="1:14" x14ac:dyDescent="0.3">
      <c r="A465" s="2">
        <v>39773</v>
      </c>
      <c r="B465">
        <v>482227.16</v>
      </c>
      <c r="C465">
        <v>482227.16</v>
      </c>
      <c r="D465">
        <v>-52386.53</v>
      </c>
      <c r="E465">
        <f>D465/MAX($B$2:B465,100000)</f>
        <v>-9.7989503411332404E-2</v>
      </c>
      <c r="H465" s="2"/>
      <c r="I465" s="2"/>
      <c r="N465" s="2"/>
    </row>
    <row r="466" spans="1:14" x14ac:dyDescent="0.3">
      <c r="A466" s="2">
        <v>39780</v>
      </c>
      <c r="B466">
        <v>482227.16</v>
      </c>
      <c r="C466">
        <v>482227.16</v>
      </c>
      <c r="D466">
        <v>-52386.53</v>
      </c>
      <c r="E466">
        <f>D466/MAX($B$2:B466,100000)</f>
        <v>-9.7989503411332404E-2</v>
      </c>
      <c r="H466" s="2"/>
      <c r="I466" s="2"/>
      <c r="N466" s="2"/>
    </row>
    <row r="467" spans="1:14" x14ac:dyDescent="0.3">
      <c r="A467" s="2">
        <v>39787</v>
      </c>
      <c r="B467">
        <v>482227.16</v>
      </c>
      <c r="C467">
        <v>482227.16</v>
      </c>
      <c r="D467">
        <v>-52386.53</v>
      </c>
      <c r="E467">
        <f>D467/MAX($B$2:B467,100000)</f>
        <v>-9.7989503411332404E-2</v>
      </c>
      <c r="H467" s="2"/>
      <c r="I467" s="2"/>
      <c r="N467" s="2"/>
    </row>
    <row r="468" spans="1:14" x14ac:dyDescent="0.3">
      <c r="A468" s="2">
        <v>39794</v>
      </c>
      <c r="B468">
        <v>482227.16</v>
      </c>
      <c r="C468">
        <v>482227.16</v>
      </c>
      <c r="D468">
        <v>-52386.53</v>
      </c>
      <c r="E468">
        <f>D468/MAX($B$2:B468,100000)</f>
        <v>-9.7989503411332404E-2</v>
      </c>
      <c r="H468" s="2"/>
      <c r="I468" s="2"/>
      <c r="N468" s="2"/>
    </row>
    <row r="469" spans="1:14" x14ac:dyDescent="0.3">
      <c r="A469" s="2">
        <v>39801</v>
      </c>
      <c r="B469">
        <v>482227.16</v>
      </c>
      <c r="C469">
        <v>482227.16</v>
      </c>
      <c r="D469">
        <v>-52386.53</v>
      </c>
      <c r="E469">
        <f>D469/MAX($B$2:B469,100000)</f>
        <v>-9.7989503411332404E-2</v>
      </c>
      <c r="H469" s="2"/>
      <c r="I469" s="2"/>
      <c r="N469" s="2"/>
    </row>
    <row r="470" spans="1:14" x14ac:dyDescent="0.3">
      <c r="A470" s="2">
        <v>39806</v>
      </c>
      <c r="B470">
        <v>482227.16</v>
      </c>
      <c r="C470">
        <v>482227.16</v>
      </c>
      <c r="D470">
        <v>-52386.53</v>
      </c>
      <c r="E470">
        <f>D470/MAX($B$2:B470,100000)</f>
        <v>-9.7989503411332404E-2</v>
      </c>
      <c r="H470" s="2"/>
      <c r="I470" s="2"/>
      <c r="N470" s="2"/>
    </row>
    <row r="471" spans="1:14" x14ac:dyDescent="0.3">
      <c r="A471" s="2">
        <v>39815</v>
      </c>
      <c r="B471">
        <v>482227.16</v>
      </c>
      <c r="C471">
        <v>482227.16</v>
      </c>
      <c r="D471">
        <v>-52386.53</v>
      </c>
      <c r="E471">
        <f>D471/MAX($B$2:B471,100000)</f>
        <v>-9.7989503411332404E-2</v>
      </c>
      <c r="H471" s="2"/>
      <c r="I471" s="2"/>
      <c r="N471" s="2"/>
    </row>
    <row r="472" spans="1:14" x14ac:dyDescent="0.3">
      <c r="A472" s="2">
        <v>39822</v>
      </c>
      <c r="B472">
        <v>482227.16</v>
      </c>
      <c r="C472">
        <v>482227.16</v>
      </c>
      <c r="D472">
        <v>-52386.53</v>
      </c>
      <c r="E472">
        <f>D472/MAX($B$2:B472,100000)</f>
        <v>-9.7989503411332404E-2</v>
      </c>
      <c r="H472" s="2"/>
      <c r="I472" s="2"/>
      <c r="N472" s="2"/>
    </row>
    <row r="473" spans="1:14" x14ac:dyDescent="0.3">
      <c r="A473" s="2">
        <v>39829</v>
      </c>
      <c r="B473">
        <v>482227.16</v>
      </c>
      <c r="C473">
        <v>482227.16</v>
      </c>
      <c r="D473">
        <v>-52386.53</v>
      </c>
      <c r="E473">
        <f>D473/MAX($B$2:B473,100000)</f>
        <v>-9.7989503411332404E-2</v>
      </c>
      <c r="H473" s="2"/>
      <c r="I473" s="2"/>
      <c r="N473" s="2"/>
    </row>
    <row r="474" spans="1:14" x14ac:dyDescent="0.3">
      <c r="A474" s="2">
        <v>39836</v>
      </c>
      <c r="B474">
        <v>482227.16</v>
      </c>
      <c r="C474">
        <v>482227.16</v>
      </c>
      <c r="D474">
        <v>-52386.53</v>
      </c>
      <c r="E474">
        <f>D474/MAX($B$2:B474,100000)</f>
        <v>-9.7989503411332404E-2</v>
      </c>
      <c r="H474" s="2"/>
      <c r="I474" s="2"/>
      <c r="N474" s="2"/>
    </row>
    <row r="475" spans="1:14" x14ac:dyDescent="0.3">
      <c r="A475" s="2">
        <v>39843</v>
      </c>
      <c r="B475">
        <v>482227.16</v>
      </c>
      <c r="C475">
        <v>482227.16</v>
      </c>
      <c r="D475">
        <v>-52386.53</v>
      </c>
      <c r="E475">
        <f>D475/MAX($B$2:B475,100000)</f>
        <v>-9.7989503411332404E-2</v>
      </c>
      <c r="H475" s="2"/>
      <c r="I475" s="2"/>
      <c r="N475" s="2"/>
    </row>
    <row r="476" spans="1:14" x14ac:dyDescent="0.3">
      <c r="A476" s="2">
        <v>39850</v>
      </c>
      <c r="B476">
        <v>482227.16</v>
      </c>
      <c r="C476">
        <v>482227.16</v>
      </c>
      <c r="D476">
        <v>-52386.53</v>
      </c>
      <c r="E476">
        <f>D476/MAX($B$2:B476,100000)</f>
        <v>-9.7989503411332404E-2</v>
      </c>
      <c r="H476" s="2"/>
      <c r="I476" s="2"/>
      <c r="N476" s="2"/>
    </row>
    <row r="477" spans="1:14" x14ac:dyDescent="0.3">
      <c r="A477" s="2">
        <v>39857</v>
      </c>
      <c r="B477">
        <v>482227.16</v>
      </c>
      <c r="C477">
        <v>482227.16</v>
      </c>
      <c r="D477">
        <v>-52386.53</v>
      </c>
      <c r="E477">
        <f>D477/MAX($B$2:B477,100000)</f>
        <v>-9.7989503411332404E-2</v>
      </c>
      <c r="H477" s="2"/>
      <c r="I477" s="2"/>
      <c r="N477" s="2"/>
    </row>
    <row r="478" spans="1:14" x14ac:dyDescent="0.3">
      <c r="A478" s="2">
        <v>39864</v>
      </c>
      <c r="B478">
        <v>482227.16</v>
      </c>
      <c r="C478">
        <v>482227.16</v>
      </c>
      <c r="D478">
        <v>-52386.53</v>
      </c>
      <c r="E478">
        <f>D478/MAX($B$2:B478,100000)</f>
        <v>-9.7989503411332404E-2</v>
      </c>
      <c r="H478" s="2"/>
      <c r="I478" s="2"/>
      <c r="N478" s="2"/>
    </row>
    <row r="479" spans="1:14" x14ac:dyDescent="0.3">
      <c r="A479" s="2">
        <v>39871</v>
      </c>
      <c r="B479">
        <v>482227.16</v>
      </c>
      <c r="C479">
        <v>482227.16</v>
      </c>
      <c r="D479">
        <v>-52386.53</v>
      </c>
      <c r="E479">
        <f>D479/MAX($B$2:B479,100000)</f>
        <v>-9.7989503411332404E-2</v>
      </c>
      <c r="H479" s="2"/>
      <c r="I479" s="2"/>
      <c r="N479" s="2"/>
    </row>
    <row r="480" spans="1:14" x14ac:dyDescent="0.3">
      <c r="A480" s="2">
        <v>39878</v>
      </c>
      <c r="B480">
        <v>482227.16</v>
      </c>
      <c r="C480">
        <v>482227.16</v>
      </c>
      <c r="D480">
        <v>-52386.53</v>
      </c>
      <c r="E480">
        <f>D480/MAX($B$2:B480,100000)</f>
        <v>-9.7989503411332404E-2</v>
      </c>
      <c r="H480" s="2"/>
      <c r="I480" s="2"/>
      <c r="N480" s="2"/>
    </row>
    <row r="481" spans="1:14" x14ac:dyDescent="0.3">
      <c r="A481" s="2">
        <v>39885</v>
      </c>
      <c r="B481">
        <v>482227.16</v>
      </c>
      <c r="C481">
        <v>482227.16</v>
      </c>
      <c r="D481">
        <v>-52386.53</v>
      </c>
      <c r="E481">
        <f>D481/MAX($B$2:B481,100000)</f>
        <v>-9.7989503411332404E-2</v>
      </c>
      <c r="H481" s="2"/>
      <c r="I481" s="2"/>
      <c r="N481" s="2"/>
    </row>
    <row r="482" spans="1:14" x14ac:dyDescent="0.3">
      <c r="A482" s="2">
        <v>39892</v>
      </c>
      <c r="B482">
        <v>482227.16</v>
      </c>
      <c r="C482">
        <v>482227.16</v>
      </c>
      <c r="D482">
        <v>-52386.53</v>
      </c>
      <c r="E482">
        <f>D482/MAX($B$2:B482,100000)</f>
        <v>-9.7989503411332404E-2</v>
      </c>
      <c r="H482" s="2"/>
      <c r="I482" s="2"/>
      <c r="N482" s="2"/>
    </row>
    <row r="483" spans="1:14" x14ac:dyDescent="0.3">
      <c r="A483" s="2">
        <v>39899</v>
      </c>
      <c r="B483">
        <v>482227.16</v>
      </c>
      <c r="C483">
        <v>482227.16</v>
      </c>
      <c r="D483">
        <v>-52386.53</v>
      </c>
      <c r="E483">
        <f>D483/MAX($B$2:B483,100000)</f>
        <v>-9.7989503411332404E-2</v>
      </c>
      <c r="H483" s="2"/>
      <c r="I483" s="2"/>
      <c r="N483" s="2"/>
    </row>
    <row r="484" spans="1:14" x14ac:dyDescent="0.3">
      <c r="A484" s="2">
        <v>39906</v>
      </c>
      <c r="B484">
        <v>478634.34</v>
      </c>
      <c r="C484">
        <v>206546.08</v>
      </c>
      <c r="D484">
        <v>-55979.34</v>
      </c>
      <c r="E484">
        <f>D484/MAX($B$2:B484,100000)</f>
        <v>-0.10470988874228043</v>
      </c>
      <c r="H484" s="2"/>
      <c r="I484" s="2"/>
      <c r="N484" s="2"/>
    </row>
    <row r="485" spans="1:14" x14ac:dyDescent="0.3">
      <c r="A485" s="2">
        <v>39912</v>
      </c>
      <c r="B485">
        <v>478776.84</v>
      </c>
      <c r="C485">
        <v>1040.92</v>
      </c>
      <c r="D485">
        <v>-55836.84</v>
      </c>
      <c r="E485">
        <f>D485/MAX($B$2:B485,100000)</f>
        <v>-0.10444334113479212</v>
      </c>
      <c r="H485" s="2"/>
      <c r="I485" s="2"/>
      <c r="N485" s="2"/>
    </row>
    <row r="486" spans="1:14" x14ac:dyDescent="0.3">
      <c r="A486" s="2">
        <v>39920</v>
      </c>
      <c r="B486">
        <v>489313.22</v>
      </c>
      <c r="C486">
        <v>1040.92</v>
      </c>
      <c r="D486">
        <v>-45300.47</v>
      </c>
      <c r="E486">
        <f>D486/MAX($B$2:B486,100000)</f>
        <v>-8.4734960677868176E-2</v>
      </c>
      <c r="H486" s="2"/>
      <c r="I486" s="2"/>
      <c r="N486" s="2"/>
    </row>
    <row r="487" spans="1:14" x14ac:dyDescent="0.3">
      <c r="A487" s="2">
        <v>39927</v>
      </c>
      <c r="B487">
        <v>503226.72</v>
      </c>
      <c r="C487">
        <v>1040.92</v>
      </c>
      <c r="D487">
        <v>-31386.97</v>
      </c>
      <c r="E487">
        <f>D487/MAX($B$2:B487,100000)</f>
        <v>-5.8709626384614293E-2</v>
      </c>
      <c r="H487" s="2"/>
      <c r="I487" s="2"/>
      <c r="N487" s="2"/>
    </row>
    <row r="488" spans="1:14" x14ac:dyDescent="0.3">
      <c r="A488" s="2">
        <v>39934</v>
      </c>
      <c r="B488">
        <v>529170.25</v>
      </c>
      <c r="C488">
        <v>1040.92</v>
      </c>
      <c r="D488">
        <v>-5443.44</v>
      </c>
      <c r="E488">
        <f>D488/MAX($B$2:B488,100000)</f>
        <v>-1.018200637548208E-2</v>
      </c>
      <c r="H488" s="2"/>
      <c r="I488" s="2"/>
      <c r="N488" s="2"/>
    </row>
    <row r="489" spans="1:14" x14ac:dyDescent="0.3">
      <c r="A489" s="2">
        <v>39941</v>
      </c>
      <c r="B489">
        <v>541167.88</v>
      </c>
      <c r="C489">
        <v>1040.92</v>
      </c>
      <c r="D489">
        <v>0</v>
      </c>
      <c r="E489">
        <f>D489/MAX($B$2:B489,100000)</f>
        <v>0</v>
      </c>
      <c r="H489" s="2"/>
      <c r="I489" s="2"/>
      <c r="N489" s="2"/>
    </row>
    <row r="490" spans="1:14" x14ac:dyDescent="0.3">
      <c r="A490" s="2">
        <v>39948</v>
      </c>
      <c r="B490">
        <v>535792.88</v>
      </c>
      <c r="C490">
        <v>1040.92</v>
      </c>
      <c r="D490">
        <v>-5375</v>
      </c>
      <c r="E490">
        <f>D490/MAX($B$2:B490,100000)</f>
        <v>-9.9322228806336399E-3</v>
      </c>
      <c r="H490" s="2"/>
      <c r="I490" s="2"/>
      <c r="N490" s="2"/>
    </row>
    <row r="491" spans="1:14" x14ac:dyDescent="0.3">
      <c r="A491" s="2">
        <v>39955</v>
      </c>
      <c r="B491">
        <v>540557.81000000006</v>
      </c>
      <c r="C491">
        <v>1040.92</v>
      </c>
      <c r="D491">
        <v>-610.05999999999995</v>
      </c>
      <c r="E491">
        <f>D491/MAX($B$2:B491,100000)</f>
        <v>-1.127302677313369E-3</v>
      </c>
      <c r="H491" s="2"/>
      <c r="I491" s="2"/>
      <c r="N491" s="2"/>
    </row>
    <row r="492" spans="1:14" x14ac:dyDescent="0.3">
      <c r="A492" s="2">
        <v>39962</v>
      </c>
      <c r="B492">
        <v>573741.68999999994</v>
      </c>
      <c r="C492">
        <v>1040.92</v>
      </c>
      <c r="D492">
        <v>0</v>
      </c>
      <c r="E492">
        <f>D492/MAX($B$2:B492,100000)</f>
        <v>0</v>
      </c>
      <c r="H492" s="2"/>
      <c r="I492" s="2"/>
      <c r="N492" s="2"/>
    </row>
    <row r="493" spans="1:14" x14ac:dyDescent="0.3">
      <c r="A493" s="2">
        <v>39969</v>
      </c>
      <c r="B493">
        <v>579632.06000000006</v>
      </c>
      <c r="C493">
        <v>1040.92</v>
      </c>
      <c r="D493">
        <v>0</v>
      </c>
      <c r="E493">
        <f>D493/MAX($B$2:B493,100000)</f>
        <v>0</v>
      </c>
      <c r="H493" s="2"/>
      <c r="I493" s="2"/>
      <c r="N493" s="2"/>
    </row>
    <row r="494" spans="1:14" x14ac:dyDescent="0.3">
      <c r="A494" s="2">
        <v>39976</v>
      </c>
      <c r="B494">
        <v>608098.18999999994</v>
      </c>
      <c r="C494">
        <v>1040.92</v>
      </c>
      <c r="D494">
        <v>0</v>
      </c>
      <c r="E494">
        <f>D494/MAX($B$2:B494,100000)</f>
        <v>0</v>
      </c>
      <c r="H494" s="2"/>
      <c r="I494" s="2"/>
      <c r="N494" s="2"/>
    </row>
    <row r="495" spans="1:14" x14ac:dyDescent="0.3">
      <c r="A495" s="2">
        <v>39983</v>
      </c>
      <c r="B495">
        <v>584683.31000000006</v>
      </c>
      <c r="C495">
        <v>1040.92</v>
      </c>
      <c r="D495">
        <v>-23414.880000000001</v>
      </c>
      <c r="E495">
        <f>D495/MAX($B$2:B495,100000)</f>
        <v>-3.850509734291431E-2</v>
      </c>
      <c r="H495" s="2"/>
      <c r="I495" s="2"/>
      <c r="N495" s="2"/>
    </row>
    <row r="496" spans="1:14" x14ac:dyDescent="0.3">
      <c r="A496" s="2">
        <v>39990</v>
      </c>
      <c r="B496">
        <v>592572.31000000006</v>
      </c>
      <c r="C496">
        <v>1040.92</v>
      </c>
      <c r="D496">
        <v>-15525.88</v>
      </c>
      <c r="E496">
        <f>D496/MAX($B$2:B496,100000)</f>
        <v>-2.5531863530131541E-2</v>
      </c>
      <c r="H496" s="2"/>
      <c r="I496" s="2"/>
      <c r="N496" s="2"/>
    </row>
    <row r="497" spans="1:14" x14ac:dyDescent="0.3">
      <c r="A497" s="2">
        <v>39997</v>
      </c>
      <c r="B497">
        <v>596994.75</v>
      </c>
      <c r="C497">
        <v>1040.92</v>
      </c>
      <c r="D497">
        <v>-11103.44</v>
      </c>
      <c r="E497">
        <f>D497/MAX($B$2:B497,100000)</f>
        <v>-1.8259288027152328E-2</v>
      </c>
      <c r="H497" s="2"/>
      <c r="I497" s="2"/>
      <c r="N497" s="2"/>
    </row>
    <row r="498" spans="1:14" x14ac:dyDescent="0.3">
      <c r="A498" s="2">
        <v>40004</v>
      </c>
      <c r="B498">
        <v>598184.81000000006</v>
      </c>
      <c r="C498">
        <v>52755.839999999997</v>
      </c>
      <c r="D498">
        <v>-9913.3799999999992</v>
      </c>
      <c r="E498">
        <f>D498/MAX($B$2:B498,100000)</f>
        <v>-1.6302268553044039E-2</v>
      </c>
      <c r="H498" s="2"/>
      <c r="I498" s="2"/>
      <c r="N498" s="2"/>
    </row>
    <row r="499" spans="1:14" x14ac:dyDescent="0.3">
      <c r="A499" s="2">
        <v>40011</v>
      </c>
      <c r="B499">
        <v>608341.56000000006</v>
      </c>
      <c r="C499">
        <v>52755.839999999997</v>
      </c>
      <c r="D499">
        <v>0</v>
      </c>
      <c r="E499">
        <f>D499/MAX($B$2:B499,100000)</f>
        <v>0</v>
      </c>
      <c r="H499" s="2"/>
      <c r="I499" s="2"/>
      <c r="N499" s="2"/>
    </row>
    <row r="500" spans="1:14" x14ac:dyDescent="0.3">
      <c r="A500" s="2">
        <v>40018</v>
      </c>
      <c r="B500">
        <v>641540.63</v>
      </c>
      <c r="C500">
        <v>100700.59</v>
      </c>
      <c r="D500">
        <v>0</v>
      </c>
      <c r="E500">
        <f>D500/MAX($B$2:B500,100000)</f>
        <v>0</v>
      </c>
      <c r="H500" s="2"/>
      <c r="I500" s="2"/>
      <c r="N500" s="2"/>
    </row>
    <row r="501" spans="1:14" x14ac:dyDescent="0.3">
      <c r="A501" s="2">
        <v>40025</v>
      </c>
      <c r="B501">
        <v>651008.13</v>
      </c>
      <c r="C501">
        <v>7985.87</v>
      </c>
      <c r="D501">
        <v>0</v>
      </c>
      <c r="E501">
        <f>D501/MAX($B$2:B501,100000)</f>
        <v>0</v>
      </c>
      <c r="H501" s="2"/>
      <c r="I501" s="2"/>
      <c r="N501" s="2"/>
    </row>
    <row r="502" spans="1:14" x14ac:dyDescent="0.3">
      <c r="A502" s="2">
        <v>40032</v>
      </c>
      <c r="B502">
        <v>663099.63</v>
      </c>
      <c r="C502">
        <v>7985.87</v>
      </c>
      <c r="D502">
        <v>0</v>
      </c>
      <c r="E502">
        <f>D502/MAX($B$2:B502,100000)</f>
        <v>0</v>
      </c>
      <c r="H502" s="2"/>
      <c r="I502" s="2"/>
      <c r="N502" s="2"/>
    </row>
    <row r="503" spans="1:14" x14ac:dyDescent="0.3">
      <c r="A503" s="2">
        <v>40039</v>
      </c>
      <c r="B503">
        <v>700346.19</v>
      </c>
      <c r="C503">
        <v>7985.87</v>
      </c>
      <c r="D503">
        <v>0</v>
      </c>
      <c r="E503">
        <f>D503/MAX($B$2:B503,100000)</f>
        <v>0</v>
      </c>
      <c r="H503" s="2"/>
      <c r="I503" s="2"/>
      <c r="N503" s="2"/>
    </row>
    <row r="504" spans="1:14" x14ac:dyDescent="0.3">
      <c r="A504" s="2">
        <v>40046</v>
      </c>
      <c r="B504">
        <v>704575.25</v>
      </c>
      <c r="C504">
        <v>7985.87</v>
      </c>
      <c r="D504">
        <v>0</v>
      </c>
      <c r="E504">
        <f>D504/MAX($B$2:B504,100000)</f>
        <v>0</v>
      </c>
      <c r="H504" s="2"/>
      <c r="I504" s="2"/>
      <c r="N504" s="2"/>
    </row>
    <row r="505" spans="1:14" x14ac:dyDescent="0.3">
      <c r="A505" s="2">
        <v>40053</v>
      </c>
      <c r="B505">
        <v>734115.63</v>
      </c>
      <c r="C505">
        <v>7985.87</v>
      </c>
      <c r="D505">
        <v>0</v>
      </c>
      <c r="E505">
        <f>D505/MAX($B$2:B505,100000)</f>
        <v>0</v>
      </c>
      <c r="H505" s="2"/>
      <c r="I505" s="2"/>
      <c r="N505" s="2"/>
    </row>
    <row r="506" spans="1:14" x14ac:dyDescent="0.3">
      <c r="A506" s="2">
        <v>40060</v>
      </c>
      <c r="B506">
        <v>742578.38</v>
      </c>
      <c r="C506">
        <v>7985.87</v>
      </c>
      <c r="D506">
        <v>0</v>
      </c>
      <c r="E506">
        <f>D506/MAX($B$2:B506,100000)</f>
        <v>0</v>
      </c>
      <c r="H506" s="2"/>
      <c r="I506" s="2"/>
      <c r="N506" s="2"/>
    </row>
    <row r="507" spans="1:14" x14ac:dyDescent="0.3">
      <c r="A507" s="2">
        <v>40067</v>
      </c>
      <c r="B507">
        <v>781409.13</v>
      </c>
      <c r="C507">
        <v>7985.87</v>
      </c>
      <c r="D507">
        <v>0</v>
      </c>
      <c r="E507">
        <f>D507/MAX($B$2:B507,100000)</f>
        <v>0</v>
      </c>
      <c r="H507" s="2"/>
      <c r="I507" s="2"/>
      <c r="N507" s="2"/>
    </row>
    <row r="508" spans="1:14" x14ac:dyDescent="0.3">
      <c r="A508" s="2">
        <v>40074</v>
      </c>
      <c r="B508">
        <v>820270.5</v>
      </c>
      <c r="C508">
        <v>7985.87</v>
      </c>
      <c r="D508">
        <v>0</v>
      </c>
      <c r="E508">
        <f>D508/MAX($B$2:B508,100000)</f>
        <v>0</v>
      </c>
      <c r="H508" s="2"/>
      <c r="I508" s="2"/>
      <c r="N508" s="2"/>
    </row>
    <row r="509" spans="1:14" x14ac:dyDescent="0.3">
      <c r="A509" s="2">
        <v>40081</v>
      </c>
      <c r="B509">
        <v>819855.88</v>
      </c>
      <c r="C509">
        <v>7985.87</v>
      </c>
      <c r="D509">
        <v>-414.63</v>
      </c>
      <c r="E509">
        <f>D509/MAX($B$2:B509,100000)</f>
        <v>-5.0547959484097018E-4</v>
      </c>
      <c r="H509" s="2"/>
      <c r="I509" s="2"/>
      <c r="N509" s="2"/>
    </row>
    <row r="510" spans="1:14" x14ac:dyDescent="0.3">
      <c r="A510" s="2">
        <v>40088</v>
      </c>
      <c r="B510">
        <v>811613.44</v>
      </c>
      <c r="C510">
        <v>7985.87</v>
      </c>
      <c r="D510">
        <v>-8657.06</v>
      </c>
      <c r="E510">
        <f>D510/MAX($B$2:B510,100000)</f>
        <v>-1.0553908741079924E-2</v>
      </c>
      <c r="H510" s="2"/>
      <c r="I510" s="2"/>
      <c r="N510" s="2"/>
    </row>
    <row r="511" spans="1:14" x14ac:dyDescent="0.3">
      <c r="A511" s="2">
        <v>40095</v>
      </c>
      <c r="B511">
        <v>846252.06</v>
      </c>
      <c r="C511">
        <v>7985.87</v>
      </c>
      <c r="D511">
        <v>0</v>
      </c>
      <c r="E511">
        <f>D511/MAX($B$2:B511,100000)</f>
        <v>0</v>
      </c>
      <c r="H511" s="2"/>
      <c r="I511" s="2"/>
      <c r="N511" s="2"/>
    </row>
    <row r="512" spans="1:14" x14ac:dyDescent="0.3">
      <c r="A512" s="2">
        <v>40102</v>
      </c>
      <c r="B512">
        <v>900229.56</v>
      </c>
      <c r="C512">
        <v>7985.87</v>
      </c>
      <c r="D512">
        <v>0</v>
      </c>
      <c r="E512">
        <f>D512/MAX($B$2:B512,100000)</f>
        <v>0</v>
      </c>
      <c r="H512" s="2"/>
      <c r="I512" s="2"/>
      <c r="N512" s="2"/>
    </row>
    <row r="513" spans="1:14" x14ac:dyDescent="0.3">
      <c r="A513" s="2">
        <v>40109</v>
      </c>
      <c r="B513">
        <v>895886.69</v>
      </c>
      <c r="C513">
        <v>7985.87</v>
      </c>
      <c r="D513">
        <v>-4342.88</v>
      </c>
      <c r="E513">
        <f>D513/MAX($B$2:B513,100000)</f>
        <v>-4.8241917317178515E-3</v>
      </c>
      <c r="H513" s="2"/>
      <c r="I513" s="2"/>
      <c r="N513" s="2"/>
    </row>
    <row r="514" spans="1:14" x14ac:dyDescent="0.3">
      <c r="A514" s="2">
        <v>40116</v>
      </c>
      <c r="B514">
        <v>865380.81</v>
      </c>
      <c r="C514">
        <v>7985.87</v>
      </c>
      <c r="D514">
        <v>-34848.75</v>
      </c>
      <c r="E514">
        <f>D514/MAX($B$2:B514,100000)</f>
        <v>-3.8710959457940924E-2</v>
      </c>
      <c r="H514" s="2"/>
      <c r="I514" s="2"/>
      <c r="N514" s="2"/>
    </row>
    <row r="515" spans="1:14" x14ac:dyDescent="0.3">
      <c r="A515" s="2">
        <v>40123</v>
      </c>
      <c r="B515">
        <v>864521.25</v>
      </c>
      <c r="C515">
        <v>7985.87</v>
      </c>
      <c r="D515">
        <v>-35708.31</v>
      </c>
      <c r="E515">
        <f>D515/MAX($B$2:B515,100000)</f>
        <v>-3.9665782581056318E-2</v>
      </c>
      <c r="H515" s="2"/>
      <c r="I515" s="2"/>
      <c r="N515" s="2"/>
    </row>
    <row r="516" spans="1:14" x14ac:dyDescent="0.3">
      <c r="A516" s="2">
        <v>40130</v>
      </c>
      <c r="B516">
        <v>892344.63</v>
      </c>
      <c r="C516">
        <v>7985.87</v>
      </c>
      <c r="D516">
        <v>-7884.94</v>
      </c>
      <c r="E516">
        <f>D516/MAX($B$2:B516,100000)</f>
        <v>-8.7588103638809624E-3</v>
      </c>
      <c r="H516" s="2"/>
      <c r="I516" s="2"/>
      <c r="N516" s="2"/>
    </row>
    <row r="517" spans="1:14" x14ac:dyDescent="0.3">
      <c r="A517" s="2">
        <v>40137</v>
      </c>
      <c r="B517">
        <v>879979.38</v>
      </c>
      <c r="C517">
        <v>34761.97</v>
      </c>
      <c r="D517">
        <v>-20250.189999999999</v>
      </c>
      <c r="E517">
        <f>D517/MAX($B$2:B517,100000)</f>
        <v>-2.2494473520731754E-2</v>
      </c>
      <c r="H517" s="2"/>
      <c r="I517" s="2"/>
      <c r="N517" s="2"/>
    </row>
    <row r="518" spans="1:14" x14ac:dyDescent="0.3">
      <c r="A518" s="2">
        <v>40144</v>
      </c>
      <c r="B518">
        <v>872310.5</v>
      </c>
      <c r="C518">
        <v>34761.97</v>
      </c>
      <c r="D518">
        <v>-27919.06</v>
      </c>
      <c r="E518">
        <f>D518/MAX($B$2:B518,100000)</f>
        <v>-3.1013267327058221E-2</v>
      </c>
      <c r="H518" s="2"/>
      <c r="I518" s="2"/>
      <c r="N518" s="2"/>
    </row>
    <row r="519" spans="1:14" x14ac:dyDescent="0.3">
      <c r="A519" s="2">
        <v>40151</v>
      </c>
      <c r="B519">
        <v>900845.56</v>
      </c>
      <c r="C519">
        <v>34761.97</v>
      </c>
      <c r="D519">
        <v>0</v>
      </c>
      <c r="E519">
        <f>D519/MAX($B$2:B519,100000)</f>
        <v>0</v>
      </c>
      <c r="H519" s="2"/>
      <c r="I519" s="2"/>
      <c r="N519" s="2"/>
    </row>
    <row r="520" spans="1:14" x14ac:dyDescent="0.3">
      <c r="A520" s="2">
        <v>40158</v>
      </c>
      <c r="B520">
        <v>871219.44</v>
      </c>
      <c r="C520">
        <v>112651.72</v>
      </c>
      <c r="D520">
        <v>-29626.13</v>
      </c>
      <c r="E520">
        <f>D520/MAX($B$2:B520,100000)</f>
        <v>-3.2887024497295629E-2</v>
      </c>
      <c r="H520" s="2"/>
      <c r="I520" s="2"/>
      <c r="N520" s="2"/>
    </row>
    <row r="521" spans="1:14" x14ac:dyDescent="0.3">
      <c r="A521" s="2">
        <v>40165</v>
      </c>
      <c r="B521">
        <v>864474.06</v>
      </c>
      <c r="C521">
        <v>112651.72</v>
      </c>
      <c r="D521">
        <v>-36371.5</v>
      </c>
      <c r="E521">
        <f>D521/MAX($B$2:B521,100000)</f>
        <v>-4.0374845162138552E-2</v>
      </c>
      <c r="H521" s="2"/>
      <c r="I521" s="2"/>
      <c r="N521" s="2"/>
    </row>
    <row r="522" spans="1:14" x14ac:dyDescent="0.3">
      <c r="A522" s="2">
        <v>40171</v>
      </c>
      <c r="B522">
        <v>879760.31</v>
      </c>
      <c r="C522">
        <v>279215.90999999997</v>
      </c>
      <c r="D522">
        <v>-21085.25</v>
      </c>
      <c r="E522">
        <f>D522/MAX($B$2:B522,100000)</f>
        <v>-2.3406065297141499E-2</v>
      </c>
      <c r="H522" s="2"/>
      <c r="I522" s="2"/>
      <c r="N522" s="2"/>
    </row>
    <row r="523" spans="1:14" x14ac:dyDescent="0.3">
      <c r="A523" s="2">
        <v>40178</v>
      </c>
      <c r="B523">
        <v>887233.19</v>
      </c>
      <c r="C523">
        <v>324907.78000000003</v>
      </c>
      <c r="D523">
        <v>-13612.38</v>
      </c>
      <c r="E523">
        <f>D523/MAX($B$2:B523,100000)</f>
        <v>-1.5110670024282518E-2</v>
      </c>
      <c r="H523" s="2"/>
      <c r="I523" s="2"/>
      <c r="N523" s="2"/>
    </row>
    <row r="524" spans="1:14" x14ac:dyDescent="0.3">
      <c r="A524" s="2">
        <v>40186</v>
      </c>
      <c r="B524">
        <v>903563</v>
      </c>
      <c r="C524">
        <v>282491.69</v>
      </c>
      <c r="D524">
        <v>0</v>
      </c>
      <c r="E524">
        <f>D524/MAX($B$2:B524,100000)</f>
        <v>0</v>
      </c>
      <c r="H524" s="2"/>
      <c r="I524" s="2"/>
      <c r="N524" s="2"/>
    </row>
    <row r="525" spans="1:14" x14ac:dyDescent="0.3">
      <c r="A525" s="2">
        <v>40193</v>
      </c>
      <c r="B525">
        <v>914527.06</v>
      </c>
      <c r="C525">
        <v>153414.73000000001</v>
      </c>
      <c r="D525">
        <v>0</v>
      </c>
      <c r="E525">
        <f>D525/MAX($B$2:B525,100000)</f>
        <v>0</v>
      </c>
      <c r="H525" s="2"/>
      <c r="I525" s="2"/>
      <c r="N525" s="2"/>
    </row>
    <row r="526" spans="1:14" x14ac:dyDescent="0.3">
      <c r="A526" s="2">
        <v>40200</v>
      </c>
      <c r="B526">
        <v>875483.13</v>
      </c>
      <c r="C526">
        <v>65915.12</v>
      </c>
      <c r="D526">
        <v>-39043.94</v>
      </c>
      <c r="E526">
        <f>D526/MAX($B$2:B526,100000)</f>
        <v>-4.2693039613283836E-2</v>
      </c>
      <c r="H526" s="2"/>
      <c r="I526" s="2"/>
      <c r="N526" s="2"/>
    </row>
    <row r="527" spans="1:14" x14ac:dyDescent="0.3">
      <c r="A527" s="2">
        <v>40207</v>
      </c>
      <c r="B527">
        <v>844235.5</v>
      </c>
      <c r="C527">
        <v>65915.12</v>
      </c>
      <c r="D527">
        <v>-70291.56</v>
      </c>
      <c r="E527">
        <f>D527/MAX($B$2:B527,100000)</f>
        <v>-7.6861104580109404E-2</v>
      </c>
      <c r="H527" s="2"/>
      <c r="I527" s="2"/>
      <c r="N527" s="2"/>
    </row>
    <row r="528" spans="1:14" x14ac:dyDescent="0.3">
      <c r="A528" s="2">
        <v>40214</v>
      </c>
      <c r="B528">
        <v>813248.31</v>
      </c>
      <c r="C528">
        <v>69092.05</v>
      </c>
      <c r="D528">
        <v>-101278.75</v>
      </c>
      <c r="E528">
        <f>D528/MAX($B$2:B528,100000)</f>
        <v>-0.11074439940574311</v>
      </c>
      <c r="H528" s="2"/>
      <c r="I528" s="2"/>
      <c r="N528" s="2"/>
    </row>
    <row r="529" spans="1:14" x14ac:dyDescent="0.3">
      <c r="A529" s="2">
        <v>40221</v>
      </c>
      <c r="B529">
        <v>818631.94</v>
      </c>
      <c r="C529">
        <v>362110.31</v>
      </c>
      <c r="D529">
        <v>-95895.13</v>
      </c>
      <c r="E529">
        <f>D529/MAX($B$2:B529,100000)</f>
        <v>-0.10485761897521108</v>
      </c>
      <c r="H529" s="2"/>
      <c r="I529" s="2"/>
      <c r="N529" s="2"/>
    </row>
    <row r="530" spans="1:14" x14ac:dyDescent="0.3">
      <c r="A530" s="2">
        <v>40228</v>
      </c>
      <c r="B530">
        <v>821917.13</v>
      </c>
      <c r="C530">
        <v>537526.43999999994</v>
      </c>
      <c r="D530">
        <v>-92609.94</v>
      </c>
      <c r="E530">
        <f>D530/MAX($B$2:B530,100000)</f>
        <v>-0.10126539065995488</v>
      </c>
      <c r="H530" s="2"/>
      <c r="I530" s="2"/>
      <c r="N530" s="2"/>
    </row>
    <row r="531" spans="1:14" x14ac:dyDescent="0.3">
      <c r="A531" s="2">
        <v>40235</v>
      </c>
      <c r="B531">
        <v>818561.88</v>
      </c>
      <c r="C531">
        <v>577625.68999999994</v>
      </c>
      <c r="D531">
        <v>-95965.19</v>
      </c>
      <c r="E531">
        <f>D531/MAX($B$2:B531,100000)</f>
        <v>-0.10493422687787937</v>
      </c>
      <c r="H531" s="2"/>
      <c r="I531" s="2"/>
      <c r="N531" s="2"/>
    </row>
    <row r="532" spans="1:14" x14ac:dyDescent="0.3">
      <c r="A532" s="2">
        <v>40242</v>
      </c>
      <c r="B532">
        <v>825861.63</v>
      </c>
      <c r="C532">
        <v>577625.68999999994</v>
      </c>
      <c r="D532">
        <v>-88665.44</v>
      </c>
      <c r="E532">
        <f>D532/MAX($B$2:B532,100000)</f>
        <v>-9.6952232337444447E-2</v>
      </c>
      <c r="H532" s="2"/>
      <c r="I532" s="2"/>
      <c r="N532" s="2"/>
    </row>
    <row r="533" spans="1:14" x14ac:dyDescent="0.3">
      <c r="A533" s="2">
        <v>40249</v>
      </c>
      <c r="B533">
        <v>846234.13</v>
      </c>
      <c r="C533">
        <v>450063.81</v>
      </c>
      <c r="D533">
        <v>-68292.94</v>
      </c>
      <c r="E533">
        <f>D533/MAX($B$2:B533,100000)</f>
        <v>-7.467569084287129E-2</v>
      </c>
      <c r="H533" s="2"/>
      <c r="I533" s="2"/>
      <c r="N533" s="2"/>
    </row>
    <row r="534" spans="1:14" x14ac:dyDescent="0.3">
      <c r="A534" s="2">
        <v>40256</v>
      </c>
      <c r="B534">
        <v>842257.13</v>
      </c>
      <c r="C534">
        <v>167543.89000000001</v>
      </c>
      <c r="D534">
        <v>-72269.94</v>
      </c>
      <c r="E534">
        <f>D534/MAX($B$2:B534,100000)</f>
        <v>-7.9024386659482776E-2</v>
      </c>
      <c r="H534" s="2"/>
      <c r="I534" s="2"/>
      <c r="N534" s="2"/>
    </row>
    <row r="535" spans="1:14" x14ac:dyDescent="0.3">
      <c r="A535" s="2">
        <v>40263</v>
      </c>
      <c r="B535">
        <v>833166.63</v>
      </c>
      <c r="C535">
        <v>7553.01</v>
      </c>
      <c r="D535">
        <v>-81360.44</v>
      </c>
      <c r="E535">
        <f>D535/MAX($B$2:B535,100000)</f>
        <v>-8.8964497124885508E-2</v>
      </c>
      <c r="H535" s="2"/>
      <c r="I535" s="2"/>
      <c r="N535" s="2"/>
    </row>
    <row r="536" spans="1:14" x14ac:dyDescent="0.3">
      <c r="A536" s="2">
        <v>40269</v>
      </c>
      <c r="B536">
        <v>853415.31</v>
      </c>
      <c r="C536">
        <v>7553.01</v>
      </c>
      <c r="D536">
        <v>-61111.75</v>
      </c>
      <c r="E536">
        <f>D536/MAX($B$2:B536,100000)</f>
        <v>-6.6823337080916992E-2</v>
      </c>
      <c r="H536" s="2"/>
      <c r="I536" s="2"/>
      <c r="N536" s="2"/>
    </row>
    <row r="537" spans="1:14" x14ac:dyDescent="0.3">
      <c r="A537" s="2">
        <v>40277</v>
      </c>
      <c r="B537">
        <v>865366.88</v>
      </c>
      <c r="C537">
        <v>7553.01</v>
      </c>
      <c r="D537">
        <v>-49160.19</v>
      </c>
      <c r="E537">
        <f>D537/MAX($B$2:B537,100000)</f>
        <v>-5.375476806558354E-2</v>
      </c>
      <c r="H537" s="2"/>
      <c r="I537" s="2"/>
      <c r="N537" s="2"/>
    </row>
    <row r="538" spans="1:14" x14ac:dyDescent="0.3">
      <c r="A538" s="2">
        <v>40284</v>
      </c>
      <c r="B538">
        <v>870355.13</v>
      </c>
      <c r="C538">
        <v>7553.01</v>
      </c>
      <c r="D538">
        <v>-44171.94</v>
      </c>
      <c r="E538">
        <f>D538/MAX($B$2:B538,100000)</f>
        <v>-4.8300309451750942E-2</v>
      </c>
      <c r="H538" s="2"/>
      <c r="I538" s="2"/>
      <c r="N538" s="2"/>
    </row>
    <row r="539" spans="1:14" x14ac:dyDescent="0.3">
      <c r="A539" s="2">
        <v>40291</v>
      </c>
      <c r="B539">
        <v>866481.38</v>
      </c>
      <c r="C539">
        <v>7553.01</v>
      </c>
      <c r="D539">
        <v>-48045.69</v>
      </c>
      <c r="E539">
        <f>D539/MAX($B$2:B539,100000)</f>
        <v>-5.253610538325678E-2</v>
      </c>
      <c r="H539" s="2"/>
      <c r="I539" s="2"/>
      <c r="N539" s="2"/>
    </row>
    <row r="540" spans="1:14" x14ac:dyDescent="0.3">
      <c r="A540" s="2">
        <v>40298</v>
      </c>
      <c r="B540">
        <v>839510.06</v>
      </c>
      <c r="C540">
        <v>7553.01</v>
      </c>
      <c r="D540">
        <v>-75017</v>
      </c>
      <c r="E540">
        <f>D540/MAX($B$2:B540,100000)</f>
        <v>-8.2028190614720567E-2</v>
      </c>
      <c r="H540" s="2"/>
      <c r="I540" s="2"/>
      <c r="N540" s="2"/>
    </row>
    <row r="541" spans="1:14" x14ac:dyDescent="0.3">
      <c r="A541" s="2">
        <v>40305</v>
      </c>
      <c r="B541">
        <v>780566.88</v>
      </c>
      <c r="C541">
        <v>7553.01</v>
      </c>
      <c r="D541">
        <v>-133960.19</v>
      </c>
      <c r="E541">
        <f>D541/MAX($B$2:B541,100000)</f>
        <v>-0.14648029113539843</v>
      </c>
      <c r="H541" s="2"/>
      <c r="I541" s="2"/>
      <c r="N541" s="2"/>
    </row>
    <row r="542" spans="1:14" x14ac:dyDescent="0.3">
      <c r="A542" s="2">
        <v>40312</v>
      </c>
      <c r="B542">
        <v>800322.75</v>
      </c>
      <c r="C542">
        <v>38325.61</v>
      </c>
      <c r="D542">
        <v>-114204.31</v>
      </c>
      <c r="E542">
        <f>D542/MAX($B$2:B542,100000)</f>
        <v>-0.12487799978275109</v>
      </c>
      <c r="H542" s="2"/>
      <c r="I542" s="2"/>
      <c r="N542" s="2"/>
    </row>
    <row r="543" spans="1:14" x14ac:dyDescent="0.3">
      <c r="A543" s="2">
        <v>40319</v>
      </c>
      <c r="B543">
        <v>765955.44</v>
      </c>
      <c r="C543">
        <v>421775.13</v>
      </c>
      <c r="D543">
        <v>-148571.63</v>
      </c>
      <c r="E543">
        <f>D543/MAX($B$2:B543,100000)</f>
        <v>-0.16245733614487032</v>
      </c>
      <c r="H543" s="2"/>
      <c r="I543" s="2"/>
      <c r="N543" s="2"/>
    </row>
    <row r="544" spans="1:14" x14ac:dyDescent="0.3">
      <c r="A544" s="2">
        <v>40326</v>
      </c>
      <c r="B544">
        <v>773141.13</v>
      </c>
      <c r="C544">
        <v>421775.13</v>
      </c>
      <c r="D544">
        <v>-141385.94</v>
      </c>
      <c r="E544">
        <f>D544/MAX($B$2:B544,100000)</f>
        <v>-0.15460006180680974</v>
      </c>
      <c r="H544" s="2"/>
      <c r="I544" s="2"/>
      <c r="N544" s="2"/>
    </row>
    <row r="545" spans="1:14" x14ac:dyDescent="0.3">
      <c r="A545" s="2">
        <v>40333</v>
      </c>
      <c r="B545">
        <v>769827.75</v>
      </c>
      <c r="C545">
        <v>616618.38</v>
      </c>
      <c r="D545">
        <v>-144699.31</v>
      </c>
      <c r="E545">
        <f>D545/MAX($B$2:B545,100000)</f>
        <v>-0.15822310386310492</v>
      </c>
      <c r="H545" s="2"/>
      <c r="I545" s="2"/>
      <c r="N545" s="2"/>
    </row>
    <row r="546" spans="1:14" x14ac:dyDescent="0.3">
      <c r="A546" s="2">
        <v>40340</v>
      </c>
      <c r="B546">
        <v>769467.38</v>
      </c>
      <c r="C546">
        <v>616618.38</v>
      </c>
      <c r="D546">
        <v>-145059.69</v>
      </c>
      <c r="E546">
        <f>D546/MAX($B$2:B546,100000)</f>
        <v>-0.1586171654669245</v>
      </c>
      <c r="H546" s="2"/>
      <c r="I546" s="2"/>
      <c r="N546" s="2"/>
    </row>
    <row r="547" spans="1:14" x14ac:dyDescent="0.3">
      <c r="A547" s="2">
        <v>40347</v>
      </c>
      <c r="B547">
        <v>773573.13</v>
      </c>
      <c r="C547">
        <v>616618.38</v>
      </c>
      <c r="D547">
        <v>-140953.94</v>
      </c>
      <c r="E547">
        <f>D547/MAX($B$2:B547,100000)</f>
        <v>-0.15412768650060502</v>
      </c>
      <c r="H547" s="2"/>
      <c r="I547" s="2"/>
      <c r="N547" s="2"/>
    </row>
    <row r="548" spans="1:14" x14ac:dyDescent="0.3">
      <c r="A548" s="2">
        <v>40354</v>
      </c>
      <c r="B548">
        <v>771318.38</v>
      </c>
      <c r="C548">
        <v>616618.38</v>
      </c>
      <c r="D548">
        <v>-143208.69</v>
      </c>
      <c r="E548">
        <f>D548/MAX($B$2:B548,100000)</f>
        <v>-0.15659316849520014</v>
      </c>
      <c r="H548" s="2"/>
      <c r="I548" s="2"/>
      <c r="N548" s="2"/>
    </row>
    <row r="549" spans="1:14" x14ac:dyDescent="0.3">
      <c r="A549" s="2">
        <v>40361</v>
      </c>
      <c r="B549">
        <v>760332.25</v>
      </c>
      <c r="C549">
        <v>616618.38</v>
      </c>
      <c r="D549">
        <v>-154194.81</v>
      </c>
      <c r="E549">
        <f>D549/MAX($B$2:B549,100000)</f>
        <v>-0.16860606617807458</v>
      </c>
      <c r="H549" s="2"/>
      <c r="I549" s="2"/>
      <c r="N549" s="2"/>
    </row>
    <row r="550" spans="1:14" x14ac:dyDescent="0.3">
      <c r="A550" s="2">
        <v>40368</v>
      </c>
      <c r="B550">
        <v>758478</v>
      </c>
      <c r="C550">
        <v>616618.38</v>
      </c>
      <c r="D550">
        <v>-156049.06</v>
      </c>
      <c r="E550">
        <f>D550/MAX($B$2:B550,100000)</f>
        <v>-0.17063361689920908</v>
      </c>
      <c r="H550" s="2"/>
      <c r="I550" s="2"/>
      <c r="N550" s="2"/>
    </row>
    <row r="551" spans="1:14" x14ac:dyDescent="0.3">
      <c r="A551" s="2">
        <v>40375</v>
      </c>
      <c r="B551">
        <v>759888.5</v>
      </c>
      <c r="C551">
        <v>697533.69</v>
      </c>
      <c r="D551">
        <v>-154638.56</v>
      </c>
      <c r="E551">
        <f>D551/MAX($B$2:B551,100000)</f>
        <v>-0.16909128965522352</v>
      </c>
      <c r="H551" s="2"/>
      <c r="I551" s="2"/>
      <c r="N551" s="2"/>
    </row>
    <row r="552" spans="1:14" x14ac:dyDescent="0.3">
      <c r="A552" s="2">
        <v>40382</v>
      </c>
      <c r="B552">
        <v>760575.88</v>
      </c>
      <c r="C552">
        <v>697533.69</v>
      </c>
      <c r="D552">
        <v>-153951.19</v>
      </c>
      <c r="E552">
        <f>D552/MAX($B$2:B552,100000)</f>
        <v>-0.16833967712229311</v>
      </c>
      <c r="H552" s="2"/>
      <c r="I552" s="2"/>
      <c r="N552" s="2"/>
    </row>
    <row r="553" spans="1:14" x14ac:dyDescent="0.3">
      <c r="A553" s="2">
        <v>40389</v>
      </c>
      <c r="B553">
        <v>759323.13</v>
      </c>
      <c r="C553">
        <v>697533.69</v>
      </c>
      <c r="D553">
        <v>-155203.94</v>
      </c>
      <c r="E553">
        <f>D553/MAX($B$2:B553,100000)</f>
        <v>-0.16970951083721897</v>
      </c>
      <c r="H553" s="2"/>
      <c r="I553" s="2"/>
      <c r="N553" s="2"/>
    </row>
    <row r="554" spans="1:14" x14ac:dyDescent="0.3">
      <c r="A554" s="2">
        <v>40396</v>
      </c>
      <c r="B554">
        <v>760140.19</v>
      </c>
      <c r="C554">
        <v>697533.69</v>
      </c>
      <c r="D554">
        <v>-154386.88</v>
      </c>
      <c r="E554">
        <f>D554/MAX($B$2:B554,100000)</f>
        <v>-0.168816087300905</v>
      </c>
      <c r="H554" s="2"/>
      <c r="I554" s="2"/>
      <c r="N554" s="2"/>
    </row>
    <row r="555" spans="1:14" x14ac:dyDescent="0.3">
      <c r="A555" s="2">
        <v>40403</v>
      </c>
      <c r="B555">
        <v>751977.44</v>
      </c>
      <c r="C555">
        <v>335425.06</v>
      </c>
      <c r="D555">
        <v>-162549.63</v>
      </c>
      <c r="E555">
        <f>D555/MAX($B$2:B555,100000)</f>
        <v>-0.1777417389923924</v>
      </c>
      <c r="H555" s="2"/>
      <c r="I555" s="2"/>
      <c r="N555" s="2"/>
    </row>
    <row r="556" spans="1:14" x14ac:dyDescent="0.3">
      <c r="A556" s="2">
        <v>40410</v>
      </c>
      <c r="B556">
        <v>758746.31</v>
      </c>
      <c r="C556">
        <v>228260.67</v>
      </c>
      <c r="D556">
        <v>-155780.75</v>
      </c>
      <c r="E556">
        <f>D556/MAX($B$2:B556,100000)</f>
        <v>-0.17034023028252437</v>
      </c>
      <c r="H556" s="2"/>
      <c r="I556" s="2"/>
      <c r="N556" s="2"/>
    </row>
    <row r="557" spans="1:14" x14ac:dyDescent="0.3">
      <c r="A557" s="2">
        <v>40417</v>
      </c>
      <c r="B557">
        <v>756521.19</v>
      </c>
      <c r="C557">
        <v>228260.67</v>
      </c>
      <c r="D557">
        <v>-158005.88</v>
      </c>
      <c r="E557">
        <f>D557/MAX($B$2:B557,100000)</f>
        <v>-0.17277332395172648</v>
      </c>
      <c r="H557" s="2"/>
      <c r="I557" s="2"/>
      <c r="N557" s="2"/>
    </row>
    <row r="558" spans="1:14" x14ac:dyDescent="0.3">
      <c r="A558" s="2">
        <v>40424</v>
      </c>
      <c r="B558">
        <v>795912.94</v>
      </c>
      <c r="C558">
        <v>291066.46999999997</v>
      </c>
      <c r="D558">
        <v>-118614.13</v>
      </c>
      <c r="E558">
        <f>D558/MAX($B$2:B558,100000)</f>
        <v>-0.12969996754388</v>
      </c>
      <c r="H558" s="2"/>
      <c r="I558" s="2"/>
      <c r="N558" s="2"/>
    </row>
    <row r="559" spans="1:14" x14ac:dyDescent="0.3">
      <c r="A559" s="2">
        <v>40431</v>
      </c>
      <c r="B559">
        <v>820707.81</v>
      </c>
      <c r="C559">
        <v>19405.53</v>
      </c>
      <c r="D559">
        <v>-93819.25</v>
      </c>
      <c r="E559">
        <f>D559/MAX($B$2:B559,100000)</f>
        <v>-0.10258772441353457</v>
      </c>
      <c r="H559" s="2"/>
      <c r="I559" s="2"/>
      <c r="N559" s="2"/>
    </row>
    <row r="560" spans="1:14" x14ac:dyDescent="0.3">
      <c r="A560" s="2">
        <v>40438</v>
      </c>
      <c r="B560">
        <v>850392.13</v>
      </c>
      <c r="C560">
        <v>19405.53</v>
      </c>
      <c r="D560">
        <v>-64134.94</v>
      </c>
      <c r="E560">
        <f>D560/MAX($B$2:B560,100000)</f>
        <v>-7.0129078520650881E-2</v>
      </c>
      <c r="H560" s="2"/>
      <c r="I560" s="2"/>
      <c r="N560" s="2"/>
    </row>
    <row r="561" spans="1:14" x14ac:dyDescent="0.3">
      <c r="A561" s="2">
        <v>40445</v>
      </c>
      <c r="B561">
        <v>851927.25</v>
      </c>
      <c r="C561">
        <v>19405.53</v>
      </c>
      <c r="D561">
        <v>-62599.81</v>
      </c>
      <c r="E561">
        <f>D561/MAX($B$2:B561,100000)</f>
        <v>-6.8450473187747982E-2</v>
      </c>
      <c r="H561" s="2"/>
      <c r="I561" s="2"/>
      <c r="N561" s="2"/>
    </row>
    <row r="562" spans="1:14" x14ac:dyDescent="0.3">
      <c r="A562" s="2">
        <v>40452</v>
      </c>
      <c r="B562">
        <v>872740.06</v>
      </c>
      <c r="C562">
        <v>19405.53</v>
      </c>
      <c r="D562">
        <v>-41787</v>
      </c>
      <c r="E562">
        <f>D562/MAX($B$2:B562,100000)</f>
        <v>-4.5692469723093813E-2</v>
      </c>
      <c r="H562" s="2"/>
      <c r="I562" s="2"/>
      <c r="N562" s="2"/>
    </row>
    <row r="563" spans="1:14" x14ac:dyDescent="0.3">
      <c r="A563" s="2">
        <v>40459</v>
      </c>
      <c r="B563">
        <v>903229.43999999994</v>
      </c>
      <c r="C563">
        <v>19405.53</v>
      </c>
      <c r="D563">
        <v>-11297.63</v>
      </c>
      <c r="E563">
        <f>D563/MAX($B$2:B563,100000)</f>
        <v>-1.2353521830179633E-2</v>
      </c>
      <c r="H563" s="2"/>
      <c r="I563" s="2"/>
      <c r="N563" s="2"/>
    </row>
    <row r="564" spans="1:14" x14ac:dyDescent="0.3">
      <c r="A564" s="2">
        <v>40466</v>
      </c>
      <c r="B564">
        <v>922941.75</v>
      </c>
      <c r="C564">
        <v>19405.53</v>
      </c>
      <c r="D564">
        <v>0</v>
      </c>
      <c r="E564">
        <f>D564/MAX($B$2:B564,100000)</f>
        <v>0</v>
      </c>
      <c r="H564" s="2"/>
      <c r="I564" s="2"/>
      <c r="N564" s="2"/>
    </row>
    <row r="565" spans="1:14" x14ac:dyDescent="0.3">
      <c r="A565" s="2">
        <v>40473</v>
      </c>
      <c r="B565">
        <v>922656.13</v>
      </c>
      <c r="C565">
        <v>19405.53</v>
      </c>
      <c r="D565">
        <v>-285.63</v>
      </c>
      <c r="E565">
        <f>D565/MAX($B$2:B565,100000)</f>
        <v>-3.0947781915814296E-4</v>
      </c>
      <c r="H565" s="2"/>
      <c r="I565" s="2"/>
      <c r="N565" s="2"/>
    </row>
    <row r="566" spans="1:14" x14ac:dyDescent="0.3">
      <c r="A566" s="2">
        <v>40480</v>
      </c>
      <c r="B566">
        <v>929490.38</v>
      </c>
      <c r="C566">
        <v>19405.53</v>
      </c>
      <c r="D566">
        <v>0</v>
      </c>
      <c r="E566">
        <f>D566/MAX($B$2:B566,100000)</f>
        <v>0</v>
      </c>
      <c r="H566" s="2"/>
      <c r="I566" s="2"/>
      <c r="N566" s="2"/>
    </row>
    <row r="567" spans="1:14" x14ac:dyDescent="0.3">
      <c r="A567" s="2">
        <v>40487</v>
      </c>
      <c r="B567">
        <v>928170.38</v>
      </c>
      <c r="C567">
        <v>11985.4</v>
      </c>
      <c r="D567">
        <v>-1320</v>
      </c>
      <c r="E567">
        <f>D567/MAX($B$2:B567,100000)</f>
        <v>-1.4201330410756913E-3</v>
      </c>
      <c r="H567" s="2"/>
      <c r="I567" s="2"/>
      <c r="N567" s="2"/>
    </row>
    <row r="568" spans="1:14" x14ac:dyDescent="0.3">
      <c r="A568" s="2">
        <v>40494</v>
      </c>
      <c r="B568">
        <v>952464.38</v>
      </c>
      <c r="C568">
        <v>11985.4</v>
      </c>
      <c r="D568">
        <v>0</v>
      </c>
      <c r="E568">
        <f>D568/MAX($B$2:B568,100000)</f>
        <v>0</v>
      </c>
      <c r="H568" s="2"/>
      <c r="I568" s="2"/>
      <c r="N568" s="2"/>
    </row>
    <row r="569" spans="1:14" x14ac:dyDescent="0.3">
      <c r="A569" s="2">
        <v>40501</v>
      </c>
      <c r="B569">
        <v>939536.5</v>
      </c>
      <c r="C569">
        <v>5266.08</v>
      </c>
      <c r="D569">
        <v>-12927.88</v>
      </c>
      <c r="E569">
        <f>D569/MAX($B$2:B569,100000)</f>
        <v>-1.3573085011326091E-2</v>
      </c>
      <c r="H569" s="2"/>
      <c r="I569" s="2"/>
      <c r="N569" s="2"/>
    </row>
    <row r="570" spans="1:14" x14ac:dyDescent="0.3">
      <c r="A570" s="2">
        <v>40508</v>
      </c>
      <c r="B570">
        <v>946637.63</v>
      </c>
      <c r="C570">
        <v>5266.08</v>
      </c>
      <c r="D570">
        <v>-5826.75</v>
      </c>
      <c r="E570">
        <f>D570/MAX($B$2:B570,100000)</f>
        <v>-6.1175516085966381E-3</v>
      </c>
      <c r="H570" s="2"/>
      <c r="I570" s="2"/>
      <c r="N570" s="2"/>
    </row>
    <row r="571" spans="1:14" x14ac:dyDescent="0.3">
      <c r="A571" s="2">
        <v>40515</v>
      </c>
      <c r="B571">
        <v>963176.75</v>
      </c>
      <c r="C571">
        <v>21035.27</v>
      </c>
      <c r="D571">
        <v>0</v>
      </c>
      <c r="E571">
        <f>D571/MAX($B$2:B571,100000)</f>
        <v>0</v>
      </c>
      <c r="H571" s="2"/>
      <c r="I571" s="2"/>
      <c r="N571" s="2"/>
    </row>
    <row r="572" spans="1:14" x14ac:dyDescent="0.3">
      <c r="A572" s="2">
        <v>40522</v>
      </c>
      <c r="B572">
        <v>971027.81</v>
      </c>
      <c r="C572">
        <v>21035.27</v>
      </c>
      <c r="D572">
        <v>0</v>
      </c>
      <c r="E572">
        <f>D572/MAX($B$2:B572,100000)</f>
        <v>0</v>
      </c>
      <c r="H572" s="2"/>
      <c r="I572" s="2"/>
      <c r="N572" s="2"/>
    </row>
    <row r="573" spans="1:14" x14ac:dyDescent="0.3">
      <c r="A573" s="2">
        <v>40529</v>
      </c>
      <c r="B573">
        <v>996135.69</v>
      </c>
      <c r="C573">
        <v>60597.13</v>
      </c>
      <c r="D573">
        <v>0</v>
      </c>
      <c r="E573">
        <f>D573/MAX($B$2:B573,100000)</f>
        <v>0</v>
      </c>
      <c r="H573" s="2"/>
      <c r="I573" s="2"/>
      <c r="N573" s="2"/>
    </row>
    <row r="574" spans="1:14" x14ac:dyDescent="0.3">
      <c r="A574" s="2">
        <v>40536</v>
      </c>
      <c r="B574">
        <v>992095.25</v>
      </c>
      <c r="C574">
        <v>60597.13</v>
      </c>
      <c r="D574">
        <v>-4040.44</v>
      </c>
      <c r="E574">
        <f>D574/MAX($B$2:B574,100000)</f>
        <v>-4.0561140822090213E-3</v>
      </c>
      <c r="H574" s="2"/>
      <c r="I574" s="2"/>
      <c r="N574" s="2"/>
    </row>
    <row r="575" spans="1:14" x14ac:dyDescent="0.3">
      <c r="A575" s="2">
        <v>40543</v>
      </c>
      <c r="B575">
        <v>1008264.81</v>
      </c>
      <c r="C575">
        <v>60597.13</v>
      </c>
      <c r="D575">
        <v>0</v>
      </c>
      <c r="E575">
        <f>D575/MAX($B$2:B575,100000)</f>
        <v>0</v>
      </c>
      <c r="H575" s="2"/>
      <c r="I575" s="2"/>
      <c r="N575" s="2"/>
    </row>
    <row r="576" spans="1:14" x14ac:dyDescent="0.3">
      <c r="A576" s="2">
        <v>40550</v>
      </c>
      <c r="B576">
        <v>976883.38</v>
      </c>
      <c r="C576">
        <v>60597.13</v>
      </c>
      <c r="D576">
        <v>-31381.439999999999</v>
      </c>
      <c r="E576">
        <f>D576/MAX($B$2:B576,100000)</f>
        <v>-3.112420436452602E-2</v>
      </c>
      <c r="H576" s="2"/>
      <c r="I576" s="2"/>
      <c r="N576" s="2"/>
    </row>
    <row r="577" spans="1:14" x14ac:dyDescent="0.3">
      <c r="A577" s="2">
        <v>40557</v>
      </c>
      <c r="B577">
        <v>992185.25</v>
      </c>
      <c r="C577">
        <v>60597.13</v>
      </c>
      <c r="D577">
        <v>-16079.56</v>
      </c>
      <c r="E577">
        <f>D577/MAX($B$2:B577,100000)</f>
        <v>-1.5947754836350976E-2</v>
      </c>
      <c r="H577" s="2"/>
      <c r="I577" s="2"/>
      <c r="N577" s="2"/>
    </row>
    <row r="578" spans="1:14" x14ac:dyDescent="0.3">
      <c r="A578" s="2">
        <v>40564</v>
      </c>
      <c r="B578">
        <v>987562.31</v>
      </c>
      <c r="C578">
        <v>60597.13</v>
      </c>
      <c r="D578">
        <v>-20702.5</v>
      </c>
      <c r="E578">
        <f>D578/MAX($B$2:B578,100000)</f>
        <v>-2.0532800306697206E-2</v>
      </c>
      <c r="H578" s="2"/>
      <c r="I578" s="2"/>
      <c r="N578" s="2"/>
    </row>
    <row r="579" spans="1:14" x14ac:dyDescent="0.3">
      <c r="A579" s="2">
        <v>40571</v>
      </c>
      <c r="B579">
        <v>974308.38</v>
      </c>
      <c r="C579">
        <v>50056.38</v>
      </c>
      <c r="D579">
        <v>-33956.44</v>
      </c>
      <c r="E579">
        <f>D579/MAX($B$2:B579,100000)</f>
        <v>-3.3678096927730723E-2</v>
      </c>
      <c r="H579" s="2"/>
      <c r="I579" s="2"/>
      <c r="N579" s="2"/>
    </row>
    <row r="580" spans="1:14" x14ac:dyDescent="0.3">
      <c r="A580" s="2">
        <v>40578</v>
      </c>
      <c r="B580">
        <v>1006381.5</v>
      </c>
      <c r="C580">
        <v>23672.94</v>
      </c>
      <c r="D580">
        <v>-1883.31</v>
      </c>
      <c r="E580">
        <f>D580/MAX($B$2:B580,100000)</f>
        <v>-1.867872389595745E-3</v>
      </c>
      <c r="H580" s="2"/>
      <c r="I580" s="2"/>
      <c r="N580" s="2"/>
    </row>
    <row r="581" spans="1:14" x14ac:dyDescent="0.3">
      <c r="A581" s="2">
        <v>40585</v>
      </c>
      <c r="B581">
        <v>1044231.13</v>
      </c>
      <c r="C581">
        <v>18113.990000000002</v>
      </c>
      <c r="D581">
        <v>0</v>
      </c>
      <c r="E581">
        <f>D581/MAX($B$2:B581,100000)</f>
        <v>0</v>
      </c>
      <c r="H581" s="2"/>
      <c r="I581" s="2"/>
      <c r="N581" s="2"/>
    </row>
    <row r="582" spans="1:14" x14ac:dyDescent="0.3">
      <c r="A582" s="2">
        <v>40592</v>
      </c>
      <c r="B582">
        <v>1051981.75</v>
      </c>
      <c r="C582">
        <v>18113.990000000002</v>
      </c>
      <c r="D582">
        <v>0</v>
      </c>
      <c r="E582">
        <f>D582/MAX($B$2:B582,100000)</f>
        <v>0</v>
      </c>
      <c r="H582" s="2"/>
      <c r="I582" s="2"/>
      <c r="N582" s="2"/>
    </row>
    <row r="583" spans="1:14" x14ac:dyDescent="0.3">
      <c r="A583" s="2">
        <v>40599</v>
      </c>
      <c r="B583">
        <v>1037901.19</v>
      </c>
      <c r="C583">
        <v>18113.990000000002</v>
      </c>
      <c r="D583">
        <v>-14080.56</v>
      </c>
      <c r="E583">
        <f>D583/MAX($B$2:B583,100000)</f>
        <v>-1.3384794935843707E-2</v>
      </c>
      <c r="H583" s="2"/>
      <c r="I583" s="2"/>
      <c r="N583" s="2"/>
    </row>
    <row r="584" spans="1:14" x14ac:dyDescent="0.3">
      <c r="A584" s="2">
        <v>40606</v>
      </c>
      <c r="B584">
        <v>1060371.5</v>
      </c>
      <c r="C584">
        <v>98.18</v>
      </c>
      <c r="D584">
        <v>0</v>
      </c>
      <c r="E584">
        <f>D584/MAX($B$2:B584,100000)</f>
        <v>0</v>
      </c>
      <c r="H584" s="2"/>
      <c r="I584" s="2"/>
      <c r="N584" s="2"/>
    </row>
    <row r="585" spans="1:14" x14ac:dyDescent="0.3">
      <c r="A585" s="2">
        <v>40613</v>
      </c>
      <c r="B585">
        <v>1042906.88</v>
      </c>
      <c r="C585">
        <v>98.18</v>
      </c>
      <c r="D585">
        <v>-17464.63</v>
      </c>
      <c r="E585">
        <f>D585/MAX($B$2:B585,100000)</f>
        <v>-1.6470293665946323E-2</v>
      </c>
      <c r="H585" s="2"/>
      <c r="I585" s="2"/>
      <c r="N585" s="2"/>
    </row>
    <row r="586" spans="1:14" x14ac:dyDescent="0.3">
      <c r="A586" s="2">
        <v>40620</v>
      </c>
      <c r="B586">
        <v>1030094.31</v>
      </c>
      <c r="C586">
        <v>26204.84</v>
      </c>
      <c r="D586">
        <v>-30277.19</v>
      </c>
      <c r="E586">
        <f>D586/MAX($B$2:B586,100000)</f>
        <v>-2.8553379641003174E-2</v>
      </c>
      <c r="H586" s="2"/>
      <c r="I586" s="2"/>
      <c r="N586" s="2"/>
    </row>
    <row r="587" spans="1:14" x14ac:dyDescent="0.3">
      <c r="A587" s="2">
        <v>40627</v>
      </c>
      <c r="B587">
        <v>1043398</v>
      </c>
      <c r="C587">
        <v>274244.90999999997</v>
      </c>
      <c r="D587">
        <v>-16973.5</v>
      </c>
      <c r="E587">
        <f>D587/MAX($B$2:B587,100000)</f>
        <v>-1.6007125804493989E-2</v>
      </c>
      <c r="H587" s="2"/>
      <c r="I587" s="2"/>
      <c r="N587" s="2"/>
    </row>
    <row r="588" spans="1:14" x14ac:dyDescent="0.3">
      <c r="A588" s="2">
        <v>40634</v>
      </c>
      <c r="B588">
        <v>1058409.8799999999</v>
      </c>
      <c r="C588">
        <v>412010.41</v>
      </c>
      <c r="D588">
        <v>-1961.63</v>
      </c>
      <c r="E588">
        <f>D588/MAX($B$2:B588,100000)</f>
        <v>-1.8499459859115414E-3</v>
      </c>
      <c r="H588" s="2"/>
      <c r="I588" s="2"/>
      <c r="N588" s="2"/>
    </row>
    <row r="589" spans="1:14" x14ac:dyDescent="0.3">
      <c r="A589" s="2">
        <v>40641</v>
      </c>
      <c r="B589">
        <v>1091651.8799999999</v>
      </c>
      <c r="C589">
        <v>7858.09</v>
      </c>
      <c r="D589">
        <v>0</v>
      </c>
      <c r="E589">
        <f>D589/MAX($B$2:B589,100000)</f>
        <v>0</v>
      </c>
      <c r="H589" s="2"/>
      <c r="I589" s="2"/>
      <c r="N589" s="2"/>
    </row>
    <row r="590" spans="1:14" x14ac:dyDescent="0.3">
      <c r="A590" s="2">
        <v>40648</v>
      </c>
      <c r="B590">
        <v>1084381.5</v>
      </c>
      <c r="C590">
        <v>7858.09</v>
      </c>
      <c r="D590">
        <v>-7270.38</v>
      </c>
      <c r="E590">
        <f>D590/MAX($B$2:B590,100000)</f>
        <v>-6.659980286023051E-3</v>
      </c>
      <c r="H590" s="2"/>
      <c r="I590" s="2"/>
      <c r="N590" s="2"/>
    </row>
    <row r="591" spans="1:14" x14ac:dyDescent="0.3">
      <c r="A591" s="2">
        <v>40654</v>
      </c>
      <c r="B591">
        <v>1088871.8799999999</v>
      </c>
      <c r="C591">
        <v>8274.7999999999993</v>
      </c>
      <c r="D591">
        <v>-2780</v>
      </c>
      <c r="E591">
        <f>D591/MAX($B$2:B591,100000)</f>
        <v>-2.5465993792819744E-3</v>
      </c>
      <c r="H591" s="2"/>
      <c r="I591" s="2"/>
      <c r="N591" s="2"/>
    </row>
    <row r="592" spans="1:14" x14ac:dyDescent="0.3">
      <c r="A592" s="2">
        <v>40662</v>
      </c>
      <c r="B592">
        <v>1048011.25</v>
      </c>
      <c r="C592">
        <v>8274.7999999999993</v>
      </c>
      <c r="D592">
        <v>-43640.63</v>
      </c>
      <c r="E592">
        <f>D592/MAX($B$2:B592,100000)</f>
        <v>-3.9976691104127444E-2</v>
      </c>
      <c r="H592" s="2"/>
      <c r="I592" s="2"/>
      <c r="N592" s="2"/>
    </row>
    <row r="593" spans="1:14" x14ac:dyDescent="0.3">
      <c r="A593" s="2">
        <v>40669</v>
      </c>
      <c r="B593">
        <v>1049353.3799999999</v>
      </c>
      <c r="C593">
        <v>8274.7999999999993</v>
      </c>
      <c r="D593">
        <v>-42298.5</v>
      </c>
      <c r="E593">
        <f>D593/MAX($B$2:B593,100000)</f>
        <v>-3.8747242390128986E-2</v>
      </c>
      <c r="H593" s="2"/>
      <c r="I593" s="2"/>
      <c r="N593" s="2"/>
    </row>
    <row r="594" spans="1:14" x14ac:dyDescent="0.3">
      <c r="A594" s="2">
        <v>40676</v>
      </c>
      <c r="B594">
        <v>1053718.75</v>
      </c>
      <c r="C594">
        <v>278332.90999999997</v>
      </c>
      <c r="D594">
        <v>-37933.129999999997</v>
      </c>
      <c r="E594">
        <f>D594/MAX($B$2:B594,100000)</f>
        <v>-3.4748376011590802E-2</v>
      </c>
      <c r="H594" s="2"/>
      <c r="I594" s="2"/>
      <c r="N594" s="2"/>
    </row>
    <row r="595" spans="1:14" x14ac:dyDescent="0.3">
      <c r="A595" s="2">
        <v>40683</v>
      </c>
      <c r="B595">
        <v>1053984.1299999999</v>
      </c>
      <c r="C595">
        <v>278332.90999999997</v>
      </c>
      <c r="D595">
        <v>-37667.75</v>
      </c>
      <c r="E595">
        <f>D595/MAX($B$2:B595,100000)</f>
        <v>-3.4505276535593016E-2</v>
      </c>
      <c r="H595" s="2"/>
      <c r="I595" s="2"/>
      <c r="N595" s="2"/>
    </row>
    <row r="596" spans="1:14" x14ac:dyDescent="0.3">
      <c r="A596" s="2">
        <v>40690</v>
      </c>
      <c r="B596">
        <v>1050291.6299999999</v>
      </c>
      <c r="C596">
        <v>372515.97</v>
      </c>
      <c r="D596">
        <v>-41360.25</v>
      </c>
      <c r="E596">
        <f>D596/MAX($B$2:B596,100000)</f>
        <v>-3.7887765099621322E-2</v>
      </c>
      <c r="H596" s="2"/>
      <c r="I596" s="2"/>
      <c r="N596" s="2"/>
    </row>
    <row r="597" spans="1:14" x14ac:dyDescent="0.3">
      <c r="A597" s="2">
        <v>40697</v>
      </c>
      <c r="B597">
        <v>1048736</v>
      </c>
      <c r="C597">
        <v>417521.91</v>
      </c>
      <c r="D597">
        <v>-42915.88</v>
      </c>
      <c r="E597">
        <f>D597/MAX($B$2:B597,100000)</f>
        <v>-3.9312788981776869E-2</v>
      </c>
      <c r="H597" s="2"/>
      <c r="I597" s="2"/>
      <c r="N597" s="2"/>
    </row>
    <row r="598" spans="1:14" x14ac:dyDescent="0.3">
      <c r="A598" s="2">
        <v>40704</v>
      </c>
      <c r="B598">
        <v>1034312</v>
      </c>
      <c r="C598">
        <v>417521.91</v>
      </c>
      <c r="D598">
        <v>-57339.88</v>
      </c>
      <c r="E598">
        <f>D598/MAX($B$2:B598,100000)</f>
        <v>-5.2525792379893126E-2</v>
      </c>
      <c r="H598" s="2"/>
      <c r="I598" s="2"/>
      <c r="N598" s="2"/>
    </row>
    <row r="599" spans="1:14" x14ac:dyDescent="0.3">
      <c r="A599" s="2">
        <v>40711</v>
      </c>
      <c r="B599">
        <v>1040971.06</v>
      </c>
      <c r="C599">
        <v>506383.84</v>
      </c>
      <c r="D599">
        <v>-50680.81</v>
      </c>
      <c r="E599">
        <f>D599/MAX($B$2:B599,100000)</f>
        <v>-4.6425798304858872E-2</v>
      </c>
      <c r="H599" s="2"/>
      <c r="I599" s="2"/>
      <c r="N599" s="2"/>
    </row>
    <row r="600" spans="1:14" x14ac:dyDescent="0.3">
      <c r="A600" s="2">
        <v>40718</v>
      </c>
      <c r="B600">
        <v>1036086.13</v>
      </c>
      <c r="C600">
        <v>731216.75</v>
      </c>
      <c r="D600">
        <v>-55565.75</v>
      </c>
      <c r="E600">
        <f>D600/MAX($B$2:B600,100000)</f>
        <v>-5.0900613114869556E-2</v>
      </c>
      <c r="H600" s="2"/>
      <c r="I600" s="2"/>
      <c r="N600" s="2"/>
    </row>
    <row r="601" spans="1:14" x14ac:dyDescent="0.3">
      <c r="A601" s="2">
        <v>40725</v>
      </c>
      <c r="B601">
        <v>1032087.75</v>
      </c>
      <c r="C601">
        <v>776089.31</v>
      </c>
      <c r="D601">
        <v>-59564.13</v>
      </c>
      <c r="E601">
        <f>D601/MAX($B$2:B601,100000)</f>
        <v>-5.4563300894054249E-2</v>
      </c>
      <c r="H601" s="2"/>
      <c r="I601" s="2"/>
      <c r="N601" s="2"/>
    </row>
    <row r="602" spans="1:14" x14ac:dyDescent="0.3">
      <c r="A602" s="2">
        <v>40732</v>
      </c>
      <c r="B602">
        <v>1039078.81</v>
      </c>
      <c r="C602">
        <v>776089.31</v>
      </c>
      <c r="D602">
        <v>-52573.06</v>
      </c>
      <c r="E602">
        <f>D602/MAX($B$2:B602,100000)</f>
        <v>-4.815918056221366E-2</v>
      </c>
      <c r="H602" s="2"/>
      <c r="I602" s="2"/>
      <c r="N602" s="2"/>
    </row>
    <row r="603" spans="1:14" x14ac:dyDescent="0.3">
      <c r="A603" s="2">
        <v>40739</v>
      </c>
      <c r="B603">
        <v>1031388.94</v>
      </c>
      <c r="C603">
        <v>776089.31</v>
      </c>
      <c r="D603">
        <v>-60262.94</v>
      </c>
      <c r="E603">
        <f>D603/MAX($B$2:B603,100000)</f>
        <v>-5.5203440862484486E-2</v>
      </c>
      <c r="H603" s="2"/>
      <c r="I603" s="2"/>
      <c r="N603" s="2"/>
    </row>
    <row r="604" spans="1:14" x14ac:dyDescent="0.3">
      <c r="A604" s="2">
        <v>40746</v>
      </c>
      <c r="B604">
        <v>1029589.69</v>
      </c>
      <c r="C604">
        <v>776089.31</v>
      </c>
      <c r="D604">
        <v>-62062.19</v>
      </c>
      <c r="E604">
        <f>D604/MAX($B$2:B604,100000)</f>
        <v>-5.6851631126215815E-2</v>
      </c>
      <c r="H604" s="2"/>
      <c r="I604" s="2"/>
      <c r="N604" s="2"/>
    </row>
    <row r="605" spans="1:14" x14ac:dyDescent="0.3">
      <c r="A605" s="2">
        <v>40753</v>
      </c>
      <c r="B605">
        <v>1028210.31</v>
      </c>
      <c r="C605">
        <v>776089.31</v>
      </c>
      <c r="D605">
        <v>-63441.56</v>
      </c>
      <c r="E605">
        <f>D605/MAX($B$2:B605,100000)</f>
        <v>-5.811519327938134E-2</v>
      </c>
      <c r="H605" s="2"/>
      <c r="I605" s="2"/>
      <c r="N605" s="2"/>
    </row>
    <row r="606" spans="1:14" x14ac:dyDescent="0.3">
      <c r="A606" s="2">
        <v>40760</v>
      </c>
      <c r="B606">
        <v>1005175.25</v>
      </c>
      <c r="C606">
        <v>776089.31</v>
      </c>
      <c r="D606">
        <v>-86476.63</v>
      </c>
      <c r="E606">
        <f>D606/MAX($B$2:B606,100000)</f>
        <v>-7.9216306575682363E-2</v>
      </c>
      <c r="H606" s="2"/>
      <c r="I606" s="2"/>
      <c r="N606" s="2"/>
    </row>
    <row r="607" spans="1:14" x14ac:dyDescent="0.3">
      <c r="A607" s="2">
        <v>40767</v>
      </c>
      <c r="B607">
        <v>999310.31</v>
      </c>
      <c r="C607">
        <v>776089.31</v>
      </c>
      <c r="D607">
        <v>-92341.56</v>
      </c>
      <c r="E607">
        <f>D607/MAX($B$2:B607,100000)</f>
        <v>-8.4588834308607613E-2</v>
      </c>
      <c r="H607" s="2"/>
      <c r="I607" s="2"/>
      <c r="N607" s="2"/>
    </row>
    <row r="608" spans="1:14" x14ac:dyDescent="0.3">
      <c r="A608" s="2">
        <v>40774</v>
      </c>
      <c r="B608">
        <v>999163.06</v>
      </c>
      <c r="C608">
        <v>859140.63</v>
      </c>
      <c r="D608">
        <v>-92488.81</v>
      </c>
      <c r="E608">
        <f>D608/MAX($B$2:B608,100000)</f>
        <v>-8.4723721631844773E-2</v>
      </c>
      <c r="H608" s="2"/>
      <c r="I608" s="2"/>
      <c r="N608" s="2"/>
    </row>
    <row r="609" spans="1:14" x14ac:dyDescent="0.3">
      <c r="A609" s="2">
        <v>40781</v>
      </c>
      <c r="B609">
        <v>1003824.13</v>
      </c>
      <c r="C609">
        <v>898416.75</v>
      </c>
      <c r="D609">
        <v>-87827.75</v>
      </c>
      <c r="E609">
        <f>D609/MAX($B$2:B609,100000)</f>
        <v>-8.0453990515731086E-2</v>
      </c>
      <c r="H609" s="2"/>
      <c r="I609" s="2"/>
      <c r="N609" s="2"/>
    </row>
    <row r="610" spans="1:14" x14ac:dyDescent="0.3">
      <c r="A610" s="2">
        <v>40788</v>
      </c>
      <c r="B610">
        <v>1006390.56</v>
      </c>
      <c r="C610">
        <v>898416.75</v>
      </c>
      <c r="D610">
        <v>-85261.31</v>
      </c>
      <c r="E610">
        <f>D610/MAX($B$2:B610,100000)</f>
        <v>-7.8103021267182729E-2</v>
      </c>
      <c r="H610" s="2"/>
      <c r="I610" s="2"/>
      <c r="N610" s="2"/>
    </row>
    <row r="611" spans="1:14" x14ac:dyDescent="0.3">
      <c r="A611" s="2">
        <v>40795</v>
      </c>
      <c r="B611">
        <v>1004782.81</v>
      </c>
      <c r="C611">
        <v>898416.75</v>
      </c>
      <c r="D611">
        <v>-86869.06</v>
      </c>
      <c r="E611">
        <f>D611/MAX($B$2:B611,100000)</f>
        <v>-7.9575789307485101E-2</v>
      </c>
      <c r="H611" s="2"/>
      <c r="I611" s="2"/>
      <c r="N611" s="2"/>
    </row>
    <row r="612" spans="1:14" x14ac:dyDescent="0.3">
      <c r="A612" s="2">
        <v>40802</v>
      </c>
      <c r="B612">
        <v>1005431.94</v>
      </c>
      <c r="C612">
        <v>898416.75</v>
      </c>
      <c r="D612">
        <v>-86219.94</v>
      </c>
      <c r="E612">
        <f>D612/MAX($B$2:B612,100000)</f>
        <v>-7.8981167512852182E-2</v>
      </c>
      <c r="H612" s="2"/>
      <c r="I612" s="2"/>
      <c r="N612" s="2"/>
    </row>
    <row r="613" spans="1:14" x14ac:dyDescent="0.3">
      <c r="A613" s="2">
        <v>40809</v>
      </c>
      <c r="B613">
        <v>1002510.81</v>
      </c>
      <c r="C613">
        <v>898416.75</v>
      </c>
      <c r="D613">
        <v>-89141.06</v>
      </c>
      <c r="E613">
        <f>D613/MAX($B$2:B613,100000)</f>
        <v>-8.1657038872135684E-2</v>
      </c>
      <c r="H613" s="2"/>
      <c r="I613" s="2"/>
      <c r="N613" s="2"/>
    </row>
    <row r="614" spans="1:14" x14ac:dyDescent="0.3">
      <c r="A614" s="2">
        <v>40816</v>
      </c>
      <c r="B614">
        <v>1003015.25</v>
      </c>
      <c r="C614">
        <v>898416.75</v>
      </c>
      <c r="D614">
        <v>-88636.63</v>
      </c>
      <c r="E614">
        <f>D614/MAX($B$2:B614,100000)</f>
        <v>-8.119495933080792E-2</v>
      </c>
      <c r="H614" s="2"/>
      <c r="I614" s="2"/>
      <c r="N614" s="2"/>
    </row>
    <row r="615" spans="1:14" x14ac:dyDescent="0.3">
      <c r="A615" s="2">
        <v>40823</v>
      </c>
      <c r="B615">
        <v>1004460.81</v>
      </c>
      <c r="C615">
        <v>898416.75</v>
      </c>
      <c r="D615">
        <v>-87191.06</v>
      </c>
      <c r="E615">
        <f>D615/MAX($B$2:B615,100000)</f>
        <v>-7.9870755134869562E-2</v>
      </c>
      <c r="H615" s="2"/>
      <c r="I615" s="2"/>
      <c r="N615" s="2"/>
    </row>
    <row r="616" spans="1:14" x14ac:dyDescent="0.3">
      <c r="A616" s="2">
        <v>40830</v>
      </c>
      <c r="B616">
        <v>1002779.38</v>
      </c>
      <c r="C616">
        <v>898416.75</v>
      </c>
      <c r="D616">
        <v>-88872.5</v>
      </c>
      <c r="E616">
        <f>D616/MAX($B$2:B616,100000)</f>
        <v>-8.1411026379581752E-2</v>
      </c>
      <c r="H616" s="2"/>
      <c r="I616" s="2"/>
      <c r="N616" s="2"/>
    </row>
    <row r="617" spans="1:14" x14ac:dyDescent="0.3">
      <c r="A617" s="2">
        <v>40837</v>
      </c>
      <c r="B617">
        <v>1003283.81</v>
      </c>
      <c r="C617">
        <v>898416.75</v>
      </c>
      <c r="D617">
        <v>-88368.06</v>
      </c>
      <c r="E617">
        <f>D617/MAX($B$2:B617,100000)</f>
        <v>-8.0948937677824559E-2</v>
      </c>
      <c r="H617" s="2"/>
      <c r="I617" s="2"/>
      <c r="N617" s="2"/>
    </row>
    <row r="618" spans="1:14" x14ac:dyDescent="0.3">
      <c r="A618" s="2">
        <v>40844</v>
      </c>
      <c r="B618">
        <v>1000239.75</v>
      </c>
      <c r="C618">
        <v>898416.75</v>
      </c>
      <c r="D618">
        <v>-91412.13</v>
      </c>
      <c r="E618">
        <f>D618/MAX($B$2:B618,100000)</f>
        <v>-8.3737436516850061E-2</v>
      </c>
      <c r="H618" s="2"/>
      <c r="I618" s="2"/>
      <c r="N618" s="2"/>
    </row>
    <row r="619" spans="1:14" x14ac:dyDescent="0.3">
      <c r="A619" s="2">
        <v>40851</v>
      </c>
      <c r="B619">
        <v>1001124.44</v>
      </c>
      <c r="C619">
        <v>564772.81000000006</v>
      </c>
      <c r="D619">
        <v>-90527.44</v>
      </c>
      <c r="E619">
        <f>D619/MAX($B$2:B619,100000)</f>
        <v>-8.2927022486325969E-2</v>
      </c>
      <c r="H619" s="2"/>
      <c r="I619" s="2"/>
      <c r="N619" s="2"/>
    </row>
    <row r="620" spans="1:14" x14ac:dyDescent="0.3">
      <c r="A620" s="2">
        <v>40858</v>
      </c>
      <c r="B620">
        <v>1008640.5</v>
      </c>
      <c r="C620">
        <v>421557.28</v>
      </c>
      <c r="D620">
        <v>-83011.38</v>
      </c>
      <c r="E620">
        <f>D620/MAX($B$2:B620,100000)</f>
        <v>-7.6041988770266231E-2</v>
      </c>
      <c r="H620" s="2"/>
      <c r="I620" s="2"/>
      <c r="N620" s="2"/>
    </row>
    <row r="621" spans="1:14" x14ac:dyDescent="0.3">
      <c r="A621" s="2">
        <v>40865</v>
      </c>
      <c r="B621">
        <v>1014869.25</v>
      </c>
      <c r="C621">
        <v>324669.90999999997</v>
      </c>
      <c r="D621">
        <v>-76782.63</v>
      </c>
      <c r="E621">
        <f>D621/MAX($B$2:B621,100000)</f>
        <v>-7.0336186294114214E-2</v>
      </c>
      <c r="H621" s="2"/>
      <c r="I621" s="2"/>
      <c r="N621" s="2"/>
    </row>
    <row r="622" spans="1:14" x14ac:dyDescent="0.3">
      <c r="A622" s="2">
        <v>40872</v>
      </c>
      <c r="B622">
        <v>990933</v>
      </c>
      <c r="C622">
        <v>179429.16</v>
      </c>
      <c r="D622">
        <v>-100718.88</v>
      </c>
      <c r="E622">
        <f>D622/MAX($B$2:B622,100000)</f>
        <v>-9.2262819169056001E-2</v>
      </c>
      <c r="H622" s="2"/>
      <c r="I622" s="2"/>
      <c r="N622" s="2"/>
    </row>
    <row r="623" spans="1:14" x14ac:dyDescent="0.3">
      <c r="A623" s="2">
        <v>40879</v>
      </c>
      <c r="B623">
        <v>1005980.81</v>
      </c>
      <c r="C623">
        <v>227578.22</v>
      </c>
      <c r="D623">
        <v>-85671.06</v>
      </c>
      <c r="E623">
        <f>D623/MAX($B$2:B623,100000)</f>
        <v>-7.847836986274416E-2</v>
      </c>
      <c r="H623" s="2"/>
      <c r="I623" s="2"/>
      <c r="N623" s="2"/>
    </row>
    <row r="624" spans="1:14" x14ac:dyDescent="0.3">
      <c r="A624" s="2">
        <v>40886</v>
      </c>
      <c r="B624">
        <v>1005799.25</v>
      </c>
      <c r="C624">
        <v>119020.97</v>
      </c>
      <c r="D624">
        <v>-85852.63</v>
      </c>
      <c r="E624">
        <f>D624/MAX($B$2:B624,100000)</f>
        <v>-7.8644695779757204E-2</v>
      </c>
      <c r="H624" s="2"/>
      <c r="I624" s="2"/>
      <c r="N624" s="2"/>
    </row>
    <row r="625" spans="1:14" x14ac:dyDescent="0.3">
      <c r="A625" s="2">
        <v>40893</v>
      </c>
      <c r="B625">
        <v>978368</v>
      </c>
      <c r="C625">
        <v>70834.67</v>
      </c>
      <c r="D625">
        <v>-113283.88</v>
      </c>
      <c r="E625">
        <f>D625/MAX($B$2:B625,100000)</f>
        <v>-0.10377289873764521</v>
      </c>
      <c r="H625" s="2"/>
      <c r="I625" s="2"/>
      <c r="N625" s="2"/>
    </row>
    <row r="626" spans="1:14" x14ac:dyDescent="0.3">
      <c r="A626" s="2">
        <v>40900</v>
      </c>
      <c r="B626">
        <v>958718.19</v>
      </c>
      <c r="C626">
        <v>70834.67</v>
      </c>
      <c r="D626">
        <v>-132933.69</v>
      </c>
      <c r="E626">
        <f>D626/MAX($B$2:B626,100000)</f>
        <v>-0.12177296850347569</v>
      </c>
      <c r="H626" s="2"/>
      <c r="I626" s="2"/>
      <c r="N626" s="2"/>
    </row>
    <row r="627" spans="1:14" x14ac:dyDescent="0.3">
      <c r="A627" s="2">
        <v>40907</v>
      </c>
      <c r="B627">
        <v>958941.75</v>
      </c>
      <c r="C627">
        <v>288812.69</v>
      </c>
      <c r="D627">
        <v>-132710.13</v>
      </c>
      <c r="E627">
        <f>D627/MAX($B$2:B627,100000)</f>
        <v>-0.12156817794332019</v>
      </c>
      <c r="H627" s="2"/>
      <c r="I627" s="2"/>
      <c r="N627" s="2"/>
    </row>
    <row r="628" spans="1:14" x14ac:dyDescent="0.3">
      <c r="A628" s="2">
        <v>40914</v>
      </c>
      <c r="B628">
        <v>965918.44</v>
      </c>
      <c r="C628">
        <v>388349.84</v>
      </c>
      <c r="D628">
        <v>-125733.44</v>
      </c>
      <c r="E628">
        <f>D628/MAX($B$2:B628,100000)</f>
        <v>-0.11517723030898826</v>
      </c>
      <c r="H628" s="2"/>
      <c r="I628" s="2"/>
      <c r="N628" s="2"/>
    </row>
    <row r="629" spans="1:14" x14ac:dyDescent="0.3">
      <c r="A629" s="2">
        <v>40921</v>
      </c>
      <c r="B629">
        <v>965826.5</v>
      </c>
      <c r="C629">
        <v>388349.84</v>
      </c>
      <c r="D629">
        <v>-125825.38</v>
      </c>
      <c r="E629">
        <f>D629/MAX($B$2:B629,100000)</f>
        <v>-0.115261451297093</v>
      </c>
      <c r="H629" s="2"/>
      <c r="I629" s="2"/>
      <c r="N629" s="2"/>
    </row>
    <row r="630" spans="1:14" x14ac:dyDescent="0.3">
      <c r="A630" s="2">
        <v>40928</v>
      </c>
      <c r="B630">
        <v>975957.5</v>
      </c>
      <c r="C630">
        <v>203962.08</v>
      </c>
      <c r="D630">
        <v>-115694.38</v>
      </c>
      <c r="E630">
        <f>D630/MAX($B$2:B630,100000)</f>
        <v>-0.10598102024978881</v>
      </c>
      <c r="H630" s="2"/>
      <c r="I630" s="2"/>
      <c r="N630" s="2"/>
    </row>
    <row r="631" spans="1:14" x14ac:dyDescent="0.3">
      <c r="A631" s="2">
        <v>40935</v>
      </c>
      <c r="B631">
        <v>972776.38</v>
      </c>
      <c r="C631">
        <v>18205.11</v>
      </c>
      <c r="D631">
        <v>-118875.5</v>
      </c>
      <c r="E631">
        <f>D631/MAX($B$2:B631,100000)</f>
        <v>-0.10889506277404112</v>
      </c>
      <c r="H631" s="2"/>
      <c r="I631" s="2"/>
      <c r="N631" s="2"/>
    </row>
    <row r="632" spans="1:14" x14ac:dyDescent="0.3">
      <c r="A632" s="2">
        <v>40942</v>
      </c>
      <c r="B632">
        <v>985997.63</v>
      </c>
      <c r="C632">
        <v>18205.11</v>
      </c>
      <c r="D632">
        <v>-105654.25</v>
      </c>
      <c r="E632">
        <f>D632/MAX($B$2:B632,100000)</f>
        <v>-9.6783830024641193E-2</v>
      </c>
      <c r="H632" s="2"/>
      <c r="I632" s="2"/>
      <c r="N632" s="2"/>
    </row>
    <row r="633" spans="1:14" x14ac:dyDescent="0.3">
      <c r="A633" s="2">
        <v>40949</v>
      </c>
      <c r="B633">
        <v>1008965.38</v>
      </c>
      <c r="C633">
        <v>21528.75</v>
      </c>
      <c r="D633">
        <v>-82686.5</v>
      </c>
      <c r="E633">
        <f>D633/MAX($B$2:B633,100000)</f>
        <v>-7.5744384739208262E-2</v>
      </c>
      <c r="H633" s="2"/>
      <c r="I633" s="2"/>
      <c r="N633" s="2"/>
    </row>
    <row r="634" spans="1:14" x14ac:dyDescent="0.3">
      <c r="A634" s="2">
        <v>40956</v>
      </c>
      <c r="B634">
        <v>1030317.88</v>
      </c>
      <c r="C634">
        <v>21528.75</v>
      </c>
      <c r="D634">
        <v>-61334</v>
      </c>
      <c r="E634">
        <f>D634/MAX($B$2:B634,100000)</f>
        <v>-5.6184577816144103E-2</v>
      </c>
      <c r="H634" s="2"/>
      <c r="I634" s="2"/>
      <c r="N634" s="2"/>
    </row>
    <row r="635" spans="1:14" x14ac:dyDescent="0.3">
      <c r="A635" s="2">
        <v>40963</v>
      </c>
      <c r="B635">
        <v>1066519.6299999999</v>
      </c>
      <c r="C635">
        <v>21528.75</v>
      </c>
      <c r="D635">
        <v>-25132.25</v>
      </c>
      <c r="E635">
        <f>D635/MAX($B$2:B635,100000)</f>
        <v>-2.3022220233798345E-2</v>
      </c>
      <c r="H635" s="2"/>
      <c r="I635" s="2"/>
      <c r="N635" s="2"/>
    </row>
    <row r="636" spans="1:14" x14ac:dyDescent="0.3">
      <c r="A636" s="2">
        <v>40970</v>
      </c>
      <c r="B636">
        <v>1083658.8799999999</v>
      </c>
      <c r="C636">
        <v>18962.689999999999</v>
      </c>
      <c r="D636">
        <v>-7993</v>
      </c>
      <c r="E636">
        <f>D636/MAX($B$2:B636,100000)</f>
        <v>-7.3219312369067696E-3</v>
      </c>
      <c r="H636" s="2"/>
      <c r="I636" s="2"/>
      <c r="N636" s="2"/>
    </row>
    <row r="637" spans="1:14" x14ac:dyDescent="0.3">
      <c r="A637" s="2">
        <v>40977</v>
      </c>
      <c r="B637">
        <v>1057305.3799999999</v>
      </c>
      <c r="C637">
        <v>18962.689999999999</v>
      </c>
      <c r="D637">
        <v>-34346.5</v>
      </c>
      <c r="E637">
        <f>D637/MAX($B$2:B637,100000)</f>
        <v>-3.1462868913851916E-2</v>
      </c>
      <c r="H637" s="2"/>
      <c r="I637" s="2"/>
      <c r="N637" s="2"/>
    </row>
    <row r="638" spans="1:14" x14ac:dyDescent="0.3">
      <c r="A638" s="2">
        <v>40984</v>
      </c>
      <c r="B638">
        <v>1069995</v>
      </c>
      <c r="C638">
        <v>6737.56</v>
      </c>
      <c r="D638">
        <v>-21656.880000000001</v>
      </c>
      <c r="E638">
        <f>D638/MAX($B$2:B638,100000)</f>
        <v>-1.9838632073807268E-2</v>
      </c>
      <c r="H638" s="2"/>
      <c r="I638" s="2"/>
      <c r="N638" s="2"/>
    </row>
    <row r="639" spans="1:14" x14ac:dyDescent="0.3">
      <c r="A639" s="2">
        <v>40991</v>
      </c>
      <c r="B639">
        <v>1091206.8799999999</v>
      </c>
      <c r="C639">
        <v>6737.56</v>
      </c>
      <c r="D639">
        <v>-445</v>
      </c>
      <c r="E639">
        <f>D639/MAX($B$2:B639,100000)</f>
        <v>-4.0763910927355343E-4</v>
      </c>
      <c r="H639" s="2"/>
      <c r="I639" s="2"/>
      <c r="N639" s="2"/>
    </row>
    <row r="640" spans="1:14" x14ac:dyDescent="0.3">
      <c r="A640" s="2">
        <v>40998</v>
      </c>
      <c r="B640">
        <v>1107955</v>
      </c>
      <c r="C640">
        <v>6737.56</v>
      </c>
      <c r="D640">
        <v>0</v>
      </c>
      <c r="E640">
        <f>D640/MAX($B$2:B640,100000)</f>
        <v>0</v>
      </c>
      <c r="H640" s="2"/>
      <c r="I640" s="2"/>
      <c r="N640" s="2"/>
    </row>
    <row r="641" spans="1:14" x14ac:dyDescent="0.3">
      <c r="A641" s="2">
        <v>41004</v>
      </c>
      <c r="B641">
        <v>1093940.5</v>
      </c>
      <c r="C641">
        <v>6737.56</v>
      </c>
      <c r="D641">
        <v>-14014.5</v>
      </c>
      <c r="E641">
        <f>D641/MAX($B$2:B641,100000)</f>
        <v>-1.2648979426059723E-2</v>
      </c>
      <c r="H641" s="2"/>
      <c r="I641" s="2"/>
      <c r="N641" s="2"/>
    </row>
    <row r="642" spans="1:14" x14ac:dyDescent="0.3">
      <c r="A642" s="2">
        <v>41012</v>
      </c>
      <c r="B642">
        <v>1088233</v>
      </c>
      <c r="C642">
        <v>6737.56</v>
      </c>
      <c r="D642">
        <v>-19722</v>
      </c>
      <c r="E642">
        <f>D642/MAX($B$2:B642,100000)</f>
        <v>-1.7800361928056646E-2</v>
      </c>
      <c r="H642" s="2"/>
      <c r="I642" s="2"/>
      <c r="N642" s="2"/>
    </row>
    <row r="643" spans="1:14" x14ac:dyDescent="0.3">
      <c r="A643" s="2">
        <v>41019</v>
      </c>
      <c r="B643">
        <v>1103086.6299999999</v>
      </c>
      <c r="C643">
        <v>46405.19</v>
      </c>
      <c r="D643">
        <v>-4868.38</v>
      </c>
      <c r="E643">
        <f>D643/MAX($B$2:B643,100000)</f>
        <v>-4.3940232229648319E-3</v>
      </c>
      <c r="H643" s="2"/>
      <c r="I643" s="2"/>
      <c r="N643" s="2"/>
    </row>
    <row r="644" spans="1:14" x14ac:dyDescent="0.3">
      <c r="A644" s="2">
        <v>41026</v>
      </c>
      <c r="B644">
        <v>1109070.3799999999</v>
      </c>
      <c r="C644">
        <v>46405.19</v>
      </c>
      <c r="D644">
        <v>0</v>
      </c>
      <c r="E644">
        <f>D644/MAX($B$2:B644,100000)</f>
        <v>0</v>
      </c>
      <c r="H644" s="2"/>
      <c r="I644" s="2"/>
      <c r="N644" s="2"/>
    </row>
    <row r="645" spans="1:14" x14ac:dyDescent="0.3">
      <c r="A645" s="2">
        <v>41033</v>
      </c>
      <c r="B645">
        <v>1110730.75</v>
      </c>
      <c r="C645">
        <v>84125.38</v>
      </c>
      <c r="D645">
        <v>0</v>
      </c>
      <c r="E645">
        <f>D645/MAX($B$2:B645,100000)</f>
        <v>0</v>
      </c>
      <c r="H645" s="2"/>
      <c r="I645" s="2"/>
      <c r="N645" s="2"/>
    </row>
    <row r="646" spans="1:14" x14ac:dyDescent="0.3">
      <c r="A646" s="2">
        <v>41040</v>
      </c>
      <c r="B646">
        <v>1064908.75</v>
      </c>
      <c r="C646">
        <v>31180.799999999999</v>
      </c>
      <c r="D646">
        <v>-45822</v>
      </c>
      <c r="E646">
        <f>D646/MAX($B$2:B646,100000)</f>
        <v>-4.1253922248933865E-2</v>
      </c>
      <c r="H646" s="2"/>
      <c r="I646" s="2"/>
      <c r="N646" s="2"/>
    </row>
    <row r="647" spans="1:14" x14ac:dyDescent="0.3">
      <c r="A647" s="2">
        <v>41047</v>
      </c>
      <c r="B647">
        <v>1025523.31</v>
      </c>
      <c r="C647">
        <v>31180.799999999999</v>
      </c>
      <c r="D647">
        <v>-85207.44</v>
      </c>
      <c r="E647">
        <f>D647/MAX($B$2:B647,100000)</f>
        <v>-7.6712956762923876E-2</v>
      </c>
      <c r="H647" s="2"/>
      <c r="I647" s="2"/>
      <c r="N647" s="2"/>
    </row>
    <row r="648" spans="1:14" x14ac:dyDescent="0.3">
      <c r="A648" s="2">
        <v>41054</v>
      </c>
      <c r="B648">
        <v>1028202.44</v>
      </c>
      <c r="C648">
        <v>357916.59</v>
      </c>
      <c r="D648">
        <v>-82528.31</v>
      </c>
      <c r="E648">
        <f>D648/MAX($B$2:B648,100000)</f>
        <v>-7.4300914060405732E-2</v>
      </c>
      <c r="H648" s="2"/>
      <c r="I648" s="2"/>
      <c r="N648" s="2"/>
    </row>
    <row r="649" spans="1:14" x14ac:dyDescent="0.3">
      <c r="A649" s="2">
        <v>41061</v>
      </c>
      <c r="B649">
        <v>1028962.06</v>
      </c>
      <c r="C649">
        <v>665185.25</v>
      </c>
      <c r="D649">
        <v>-81768.69</v>
      </c>
      <c r="E649">
        <f>D649/MAX($B$2:B649,100000)</f>
        <v>-7.3617021947038022E-2</v>
      </c>
      <c r="H649" s="2"/>
      <c r="I649" s="2"/>
      <c r="N649" s="2"/>
    </row>
    <row r="650" spans="1:14" x14ac:dyDescent="0.3">
      <c r="A650" s="2">
        <v>41068</v>
      </c>
      <c r="B650">
        <v>1029774</v>
      </c>
      <c r="C650">
        <v>665185.25</v>
      </c>
      <c r="D650">
        <v>-80956.75</v>
      </c>
      <c r="E650">
        <f>D650/MAX($B$2:B650,100000)</f>
        <v>-7.2886025708750746E-2</v>
      </c>
      <c r="H650" s="2"/>
      <c r="I650" s="2"/>
      <c r="N650" s="2"/>
    </row>
    <row r="651" spans="1:14" x14ac:dyDescent="0.3">
      <c r="A651" s="2">
        <v>41075</v>
      </c>
      <c r="B651">
        <v>1028066.63</v>
      </c>
      <c r="C651">
        <v>665185.25</v>
      </c>
      <c r="D651">
        <v>-82664.13</v>
      </c>
      <c r="E651">
        <f>D651/MAX($B$2:B651,100000)</f>
        <v>-7.4423193919858618E-2</v>
      </c>
      <c r="H651" s="2"/>
      <c r="I651" s="2"/>
      <c r="N651" s="2"/>
    </row>
    <row r="652" spans="1:14" x14ac:dyDescent="0.3">
      <c r="A652" s="2">
        <v>41082</v>
      </c>
      <c r="B652">
        <v>1031683.75</v>
      </c>
      <c r="C652">
        <v>665185.25</v>
      </c>
      <c r="D652">
        <v>-79047</v>
      </c>
      <c r="E652">
        <f>D652/MAX($B$2:B652,100000)</f>
        <v>-7.1166662127612829E-2</v>
      </c>
      <c r="H652" s="2"/>
      <c r="I652" s="2"/>
      <c r="N652" s="2"/>
    </row>
    <row r="653" spans="1:14" x14ac:dyDescent="0.3">
      <c r="A653" s="2">
        <v>41089</v>
      </c>
      <c r="B653">
        <v>1039933.31</v>
      </c>
      <c r="C653">
        <v>665185.25</v>
      </c>
      <c r="D653">
        <v>-70797.440000000002</v>
      </c>
      <c r="E653">
        <f>D653/MAX($B$2:B653,100000)</f>
        <v>-6.3739515629687937E-2</v>
      </c>
      <c r="H653" s="2"/>
      <c r="I653" s="2"/>
      <c r="N653" s="2"/>
    </row>
    <row r="654" spans="1:14" x14ac:dyDescent="0.3">
      <c r="A654" s="2">
        <v>41096</v>
      </c>
      <c r="B654">
        <v>1045600.56</v>
      </c>
      <c r="C654">
        <v>665185.25</v>
      </c>
      <c r="D654">
        <v>-65130.19</v>
      </c>
      <c r="E654">
        <f>D654/MAX($B$2:B654,100000)</f>
        <v>-5.8637243994550434E-2</v>
      </c>
      <c r="H654" s="2"/>
      <c r="I654" s="2"/>
      <c r="N654" s="2"/>
    </row>
    <row r="655" spans="1:14" x14ac:dyDescent="0.3">
      <c r="A655" s="2">
        <v>41103</v>
      </c>
      <c r="B655">
        <v>1041850.81</v>
      </c>
      <c r="C655">
        <v>665185.25</v>
      </c>
      <c r="D655">
        <v>-68879.94</v>
      </c>
      <c r="E655">
        <f>D655/MAX($B$2:B655,100000)</f>
        <v>-6.2013174660015491E-2</v>
      </c>
      <c r="H655" s="2"/>
      <c r="I655" s="2"/>
      <c r="N655" s="2"/>
    </row>
    <row r="656" spans="1:14" x14ac:dyDescent="0.3">
      <c r="A656" s="2">
        <v>41110</v>
      </c>
      <c r="B656">
        <v>1038687.38</v>
      </c>
      <c r="C656">
        <v>665185.25</v>
      </c>
      <c r="D656">
        <v>-72043.38</v>
      </c>
      <c r="E656">
        <f>D656/MAX($B$2:B656,100000)</f>
        <v>-6.4861245625908892E-2</v>
      </c>
      <c r="H656" s="2"/>
      <c r="I656" s="2"/>
      <c r="N656" s="2"/>
    </row>
    <row r="657" spans="1:14" x14ac:dyDescent="0.3">
      <c r="A657" s="2">
        <v>41117</v>
      </c>
      <c r="B657">
        <v>1036402.31</v>
      </c>
      <c r="C657">
        <v>564388.81000000006</v>
      </c>
      <c r="D657">
        <v>-74328.44</v>
      </c>
      <c r="E657">
        <f>D657/MAX($B$2:B657,100000)</f>
        <v>-6.6918503876839647E-2</v>
      </c>
      <c r="H657" s="2"/>
      <c r="I657" s="2"/>
      <c r="N657" s="2"/>
    </row>
    <row r="658" spans="1:14" x14ac:dyDescent="0.3">
      <c r="A658" s="2">
        <v>41124</v>
      </c>
      <c r="B658">
        <v>1038350.44</v>
      </c>
      <c r="C658">
        <v>366313.22</v>
      </c>
      <c r="D658">
        <v>-72380.31</v>
      </c>
      <c r="E658">
        <f>D658/MAX($B$2:B658,100000)</f>
        <v>-6.516458646706233E-2</v>
      </c>
      <c r="H658" s="2"/>
      <c r="I658" s="2"/>
      <c r="N658" s="2"/>
    </row>
    <row r="659" spans="1:14" x14ac:dyDescent="0.3">
      <c r="A659" s="2">
        <v>41131</v>
      </c>
      <c r="B659">
        <v>1045093.25</v>
      </c>
      <c r="C659">
        <v>316639.44</v>
      </c>
      <c r="D659">
        <v>-65637.5</v>
      </c>
      <c r="E659">
        <f>D659/MAX($B$2:B659,100000)</f>
        <v>-5.909397934647978E-2</v>
      </c>
      <c r="H659" s="2"/>
      <c r="I659" s="2"/>
      <c r="N659" s="2"/>
    </row>
    <row r="660" spans="1:14" x14ac:dyDescent="0.3">
      <c r="A660" s="2">
        <v>41138</v>
      </c>
      <c r="B660">
        <v>1063777.5</v>
      </c>
      <c r="C660">
        <v>66682.63</v>
      </c>
      <c r="D660">
        <v>-46953.25</v>
      </c>
      <c r="E660">
        <f>D660/MAX($B$2:B660,100000)</f>
        <v>-4.2272395897925759E-2</v>
      </c>
      <c r="H660" s="2"/>
      <c r="I660" s="2"/>
      <c r="N660" s="2"/>
    </row>
    <row r="661" spans="1:14" x14ac:dyDescent="0.3">
      <c r="A661" s="2">
        <v>41145</v>
      </c>
      <c r="B661">
        <v>1069527.5</v>
      </c>
      <c r="C661">
        <v>14170.71</v>
      </c>
      <c r="D661">
        <v>-41203.25</v>
      </c>
      <c r="E661">
        <f>D661/MAX($B$2:B661,100000)</f>
        <v>-3.7095623759403437E-2</v>
      </c>
      <c r="H661" s="2"/>
      <c r="I661" s="2"/>
      <c r="N661" s="2"/>
    </row>
    <row r="662" spans="1:14" x14ac:dyDescent="0.3">
      <c r="A662" s="2">
        <v>41152</v>
      </c>
      <c r="B662">
        <v>1082103.6299999999</v>
      </c>
      <c r="C662">
        <v>14170.71</v>
      </c>
      <c r="D662">
        <v>-28627.13</v>
      </c>
      <c r="E662">
        <f>D662/MAX($B$2:B662,100000)</f>
        <v>-2.5773239824322863E-2</v>
      </c>
      <c r="H662" s="2"/>
      <c r="I662" s="2"/>
      <c r="N662" s="2"/>
    </row>
    <row r="663" spans="1:14" x14ac:dyDescent="0.3">
      <c r="A663" s="2">
        <v>41159</v>
      </c>
      <c r="B663">
        <v>1105834.25</v>
      </c>
      <c r="C663">
        <v>14170.71</v>
      </c>
      <c r="D663">
        <v>-4896.5</v>
      </c>
      <c r="E663">
        <f>D663/MAX($B$2:B663,100000)</f>
        <v>-4.408359091526007E-3</v>
      </c>
      <c r="H663" s="2"/>
      <c r="I663" s="2"/>
      <c r="N663" s="2"/>
    </row>
    <row r="664" spans="1:14" x14ac:dyDescent="0.3">
      <c r="A664" s="2">
        <v>41166</v>
      </c>
      <c r="B664">
        <v>1124692.3799999999</v>
      </c>
      <c r="C664">
        <v>14170.71</v>
      </c>
      <c r="D664">
        <v>0</v>
      </c>
      <c r="E664">
        <f>D664/MAX($B$2:B664,100000)</f>
        <v>0</v>
      </c>
      <c r="H664" s="2"/>
      <c r="I664" s="2"/>
      <c r="N664" s="2"/>
    </row>
    <row r="665" spans="1:14" x14ac:dyDescent="0.3">
      <c r="A665" s="2">
        <v>41173</v>
      </c>
      <c r="B665">
        <v>1132169.5</v>
      </c>
      <c r="C665">
        <v>14170.71</v>
      </c>
      <c r="D665">
        <v>0</v>
      </c>
      <c r="E665">
        <f>D665/MAX($B$2:B665,100000)</f>
        <v>0</v>
      </c>
      <c r="H665" s="2"/>
      <c r="I665" s="2"/>
      <c r="N665" s="2"/>
    </row>
    <row r="666" spans="1:14" x14ac:dyDescent="0.3">
      <c r="A666" s="2">
        <v>41180</v>
      </c>
      <c r="B666">
        <v>1140616.75</v>
      </c>
      <c r="C666">
        <v>11558.34</v>
      </c>
      <c r="D666">
        <v>0</v>
      </c>
      <c r="E666">
        <f>D666/MAX($B$2:B666,100000)</f>
        <v>0</v>
      </c>
      <c r="H666" s="2"/>
      <c r="I666" s="2"/>
      <c r="N666" s="2"/>
    </row>
    <row r="667" spans="1:14" x14ac:dyDescent="0.3">
      <c r="A667" s="2">
        <v>41187</v>
      </c>
      <c r="B667">
        <v>1165705.75</v>
      </c>
      <c r="C667">
        <v>11558.34</v>
      </c>
      <c r="D667">
        <v>0</v>
      </c>
      <c r="E667">
        <f>D667/MAX($B$2:B667,100000)</f>
        <v>0</v>
      </c>
      <c r="H667" s="2"/>
      <c r="I667" s="2"/>
      <c r="N667" s="2"/>
    </row>
    <row r="668" spans="1:14" x14ac:dyDescent="0.3">
      <c r="A668" s="2">
        <v>41194</v>
      </c>
      <c r="B668">
        <v>1175527.6299999999</v>
      </c>
      <c r="C668">
        <v>6371.98</v>
      </c>
      <c r="D668">
        <v>0</v>
      </c>
      <c r="E668">
        <f>D668/MAX($B$2:B668,100000)</f>
        <v>0</v>
      </c>
      <c r="H668" s="2"/>
      <c r="I668" s="2"/>
      <c r="N668" s="2"/>
    </row>
    <row r="669" spans="1:14" x14ac:dyDescent="0.3">
      <c r="A669" s="2">
        <v>41201</v>
      </c>
      <c r="B669">
        <v>1172623.25</v>
      </c>
      <c r="C669">
        <v>13857.72</v>
      </c>
      <c r="D669">
        <v>-2904.38</v>
      </c>
      <c r="E669">
        <f>D669/MAX($B$2:B669,100000)</f>
        <v>-2.4707033045237741E-3</v>
      </c>
      <c r="H669" s="2"/>
      <c r="I669" s="2"/>
      <c r="N669" s="2"/>
    </row>
    <row r="670" spans="1:14" x14ac:dyDescent="0.3">
      <c r="A670" s="2">
        <v>41208</v>
      </c>
      <c r="B670">
        <v>1159254.6299999999</v>
      </c>
      <c r="C670">
        <v>13857.72</v>
      </c>
      <c r="D670">
        <v>-16273</v>
      </c>
      <c r="E670">
        <f>D670/MAX($B$2:B670,100000)</f>
        <v>-1.3843145481829296E-2</v>
      </c>
      <c r="H670" s="2"/>
      <c r="I670" s="2"/>
      <c r="N670" s="2"/>
    </row>
    <row r="671" spans="1:14" x14ac:dyDescent="0.3">
      <c r="A671" s="2">
        <v>41215</v>
      </c>
      <c r="B671">
        <v>1195634</v>
      </c>
      <c r="C671">
        <v>72754.16</v>
      </c>
      <c r="D671">
        <v>0</v>
      </c>
      <c r="E671">
        <f>D671/MAX($B$2:B671,100000)</f>
        <v>0</v>
      </c>
      <c r="H671" s="2"/>
      <c r="I671" s="2"/>
      <c r="N671" s="2"/>
    </row>
    <row r="672" spans="1:14" x14ac:dyDescent="0.3">
      <c r="A672" s="2">
        <v>41222</v>
      </c>
      <c r="B672">
        <v>1210831</v>
      </c>
      <c r="C672">
        <v>15883.17</v>
      </c>
      <c r="D672">
        <v>0</v>
      </c>
      <c r="E672">
        <f>D672/MAX($B$2:B672,100000)</f>
        <v>0</v>
      </c>
      <c r="H672" s="2"/>
      <c r="I672" s="2"/>
      <c r="N672" s="2"/>
    </row>
    <row r="673" spans="1:14" x14ac:dyDescent="0.3">
      <c r="A673" s="2">
        <v>41229</v>
      </c>
      <c r="B673">
        <v>1197800.5</v>
      </c>
      <c r="C673">
        <v>15883.17</v>
      </c>
      <c r="D673">
        <v>-13030.5</v>
      </c>
      <c r="E673">
        <f>D673/MAX($B$2:B673,100000)</f>
        <v>-1.0761617434637865E-2</v>
      </c>
      <c r="H673" s="2"/>
      <c r="I673" s="2"/>
      <c r="N673" s="2"/>
    </row>
    <row r="674" spans="1:14" x14ac:dyDescent="0.3">
      <c r="A674" s="2">
        <v>41236</v>
      </c>
      <c r="B674">
        <v>1191952.6299999999</v>
      </c>
      <c r="C674">
        <v>49633.82</v>
      </c>
      <c r="D674">
        <v>-18878.38</v>
      </c>
      <c r="E674">
        <f>D674/MAX($B$2:B674,100000)</f>
        <v>-1.5591259226101745E-2</v>
      </c>
      <c r="H674" s="2"/>
      <c r="I674" s="2"/>
      <c r="N674" s="2"/>
    </row>
    <row r="675" spans="1:14" x14ac:dyDescent="0.3">
      <c r="A675" s="2">
        <v>41243</v>
      </c>
      <c r="B675">
        <v>1206106</v>
      </c>
      <c r="C675">
        <v>100219.83</v>
      </c>
      <c r="D675">
        <v>-4725</v>
      </c>
      <c r="E675">
        <f>D675/MAX($B$2:B675,100000)</f>
        <v>-3.9022786829871385E-3</v>
      </c>
      <c r="H675" s="2"/>
      <c r="I675" s="2"/>
      <c r="N675" s="2"/>
    </row>
    <row r="676" spans="1:14" x14ac:dyDescent="0.3">
      <c r="A676" s="2">
        <v>41250</v>
      </c>
      <c r="B676">
        <v>1218035.5</v>
      </c>
      <c r="C676">
        <v>213578.39</v>
      </c>
      <c r="D676">
        <v>0</v>
      </c>
      <c r="E676">
        <f>D676/MAX($B$2:B676,100000)</f>
        <v>0</v>
      </c>
      <c r="H676" s="2"/>
      <c r="I676" s="2"/>
      <c r="N676" s="2"/>
    </row>
    <row r="677" spans="1:14" x14ac:dyDescent="0.3">
      <c r="A677" s="2">
        <v>41257</v>
      </c>
      <c r="B677">
        <v>1254002.25</v>
      </c>
      <c r="C677">
        <v>205317.36</v>
      </c>
      <c r="D677">
        <v>0</v>
      </c>
      <c r="E677">
        <f>D677/MAX($B$2:B677,100000)</f>
        <v>0</v>
      </c>
      <c r="H677" s="2"/>
      <c r="I677" s="2"/>
      <c r="N677" s="2"/>
    </row>
    <row r="678" spans="1:14" x14ac:dyDescent="0.3">
      <c r="A678" s="2">
        <v>41264</v>
      </c>
      <c r="B678">
        <v>1254228.5</v>
      </c>
      <c r="C678">
        <v>205317.36</v>
      </c>
      <c r="D678">
        <v>0</v>
      </c>
      <c r="E678">
        <f>D678/MAX($B$2:B678,100000)</f>
        <v>0</v>
      </c>
      <c r="H678" s="2"/>
      <c r="I678" s="2"/>
      <c r="N678" s="2"/>
    </row>
    <row r="679" spans="1:14" x14ac:dyDescent="0.3">
      <c r="A679" s="2">
        <v>41271</v>
      </c>
      <c r="B679">
        <v>1277679.1299999999</v>
      </c>
      <c r="C679">
        <v>26083.37</v>
      </c>
      <c r="D679">
        <v>0</v>
      </c>
      <c r="E679">
        <f>D679/MAX($B$2:B679,100000)</f>
        <v>0</v>
      </c>
      <c r="H679" s="2"/>
      <c r="I679" s="2"/>
      <c r="N679" s="2"/>
    </row>
    <row r="680" spans="1:14" x14ac:dyDescent="0.3">
      <c r="A680" s="2">
        <v>41278</v>
      </c>
      <c r="B680">
        <v>1324898.1299999999</v>
      </c>
      <c r="C680">
        <v>26083.37</v>
      </c>
      <c r="D680">
        <v>0</v>
      </c>
      <c r="E680">
        <f>D680/MAX($B$2:B680,100000)</f>
        <v>0</v>
      </c>
      <c r="H680" s="2"/>
      <c r="I680" s="2"/>
      <c r="N680" s="2"/>
    </row>
    <row r="681" spans="1:14" x14ac:dyDescent="0.3">
      <c r="A681" s="2">
        <v>41285</v>
      </c>
      <c r="B681">
        <v>1352761.75</v>
      </c>
      <c r="C681">
        <v>46903.23</v>
      </c>
      <c r="D681">
        <v>0</v>
      </c>
      <c r="E681">
        <f>D681/MAX($B$2:B681,100000)</f>
        <v>0</v>
      </c>
      <c r="H681" s="2"/>
      <c r="I681" s="2"/>
      <c r="N681" s="2"/>
    </row>
    <row r="682" spans="1:14" x14ac:dyDescent="0.3">
      <c r="A682" s="2">
        <v>41292</v>
      </c>
      <c r="B682">
        <v>1360647.5</v>
      </c>
      <c r="C682">
        <v>46903.23</v>
      </c>
      <c r="D682">
        <v>0</v>
      </c>
      <c r="E682">
        <f>D682/MAX($B$2:B682,100000)</f>
        <v>0</v>
      </c>
      <c r="H682" s="2"/>
      <c r="I682" s="2"/>
      <c r="N682" s="2"/>
    </row>
    <row r="683" spans="1:14" x14ac:dyDescent="0.3">
      <c r="A683" s="2">
        <v>41299</v>
      </c>
      <c r="B683">
        <v>1391034.75</v>
      </c>
      <c r="C683">
        <v>46903.23</v>
      </c>
      <c r="D683">
        <v>0</v>
      </c>
      <c r="E683">
        <f>D683/MAX($B$2:B683,100000)</f>
        <v>0</v>
      </c>
      <c r="H683" s="2"/>
      <c r="I683" s="2"/>
      <c r="N683" s="2"/>
    </row>
    <row r="684" spans="1:14" x14ac:dyDescent="0.3">
      <c r="A684" s="2">
        <v>41306</v>
      </c>
      <c r="B684">
        <v>1390707.63</v>
      </c>
      <c r="C684">
        <v>46903.23</v>
      </c>
      <c r="D684">
        <v>-327.13</v>
      </c>
      <c r="E684">
        <f>D684/MAX($B$2:B684,100000)</f>
        <v>-2.3517025724914493E-4</v>
      </c>
      <c r="H684" s="2"/>
      <c r="I684" s="2"/>
      <c r="N684" s="2"/>
    </row>
    <row r="685" spans="1:14" x14ac:dyDescent="0.3">
      <c r="A685" s="2">
        <v>41313</v>
      </c>
      <c r="B685">
        <v>1392534</v>
      </c>
      <c r="C685">
        <v>46903.23</v>
      </c>
      <c r="D685">
        <v>0</v>
      </c>
      <c r="E685">
        <f>D685/MAX($B$2:B685,100000)</f>
        <v>0</v>
      </c>
      <c r="H685" s="2"/>
      <c r="I685" s="2"/>
      <c r="N685" s="2"/>
    </row>
    <row r="686" spans="1:14" x14ac:dyDescent="0.3">
      <c r="A686" s="2">
        <v>41320</v>
      </c>
      <c r="B686">
        <v>1432774.63</v>
      </c>
      <c r="C686">
        <v>46903.23</v>
      </c>
      <c r="D686">
        <v>0</v>
      </c>
      <c r="E686">
        <f>D686/MAX($B$2:B686,100000)</f>
        <v>0</v>
      </c>
      <c r="H686" s="2"/>
      <c r="I686" s="2"/>
      <c r="N686" s="2"/>
    </row>
    <row r="687" spans="1:14" x14ac:dyDescent="0.3">
      <c r="A687" s="2">
        <v>41327</v>
      </c>
      <c r="B687">
        <v>1453642.13</v>
      </c>
      <c r="C687">
        <v>46903.23</v>
      </c>
      <c r="D687">
        <v>0</v>
      </c>
      <c r="E687">
        <f>D687/MAX($B$2:B687,100000)</f>
        <v>0</v>
      </c>
      <c r="H687" s="2"/>
      <c r="I687" s="2"/>
      <c r="N687" s="2"/>
    </row>
    <row r="688" spans="1:14" x14ac:dyDescent="0.3">
      <c r="A688" s="2">
        <v>41334</v>
      </c>
      <c r="B688">
        <v>1474671.88</v>
      </c>
      <c r="C688">
        <v>38055.58</v>
      </c>
      <c r="D688">
        <v>0</v>
      </c>
      <c r="E688">
        <f>D688/MAX($B$2:B688,100000)</f>
        <v>0</v>
      </c>
      <c r="H688" s="2"/>
      <c r="I688" s="2"/>
      <c r="N688" s="2"/>
    </row>
    <row r="689" spans="1:14" x14ac:dyDescent="0.3">
      <c r="A689" s="2">
        <v>41341</v>
      </c>
      <c r="B689">
        <v>1468870.63</v>
      </c>
      <c r="C689">
        <v>38055.58</v>
      </c>
      <c r="D689">
        <v>-5801.25</v>
      </c>
      <c r="E689">
        <f>D689/MAX($B$2:B689,100000)</f>
        <v>-3.933925965957933E-3</v>
      </c>
      <c r="H689" s="2"/>
      <c r="I689" s="2"/>
      <c r="N689" s="2"/>
    </row>
    <row r="690" spans="1:14" x14ac:dyDescent="0.3">
      <c r="A690" s="2">
        <v>41348</v>
      </c>
      <c r="B690">
        <v>1465689.88</v>
      </c>
      <c r="C690">
        <v>38055.58</v>
      </c>
      <c r="D690">
        <v>-8982</v>
      </c>
      <c r="E690">
        <f>D690/MAX($B$2:B690,100000)</f>
        <v>-6.0908464600274341E-3</v>
      </c>
      <c r="H690" s="2"/>
      <c r="I690" s="2"/>
      <c r="N690" s="2"/>
    </row>
    <row r="691" spans="1:14" x14ac:dyDescent="0.3">
      <c r="A691" s="2">
        <v>41355</v>
      </c>
      <c r="B691">
        <v>1448230</v>
      </c>
      <c r="C691">
        <v>10904.53</v>
      </c>
      <c r="D691">
        <v>-26441.88</v>
      </c>
      <c r="E691">
        <f>D691/MAX($B$2:B691,100000)</f>
        <v>-1.7930687062399267E-2</v>
      </c>
      <c r="H691" s="2"/>
      <c r="I691" s="2"/>
      <c r="N691" s="2"/>
    </row>
    <row r="692" spans="1:14" x14ac:dyDescent="0.3">
      <c r="A692" s="2">
        <v>41361</v>
      </c>
      <c r="B692">
        <v>1460794.5</v>
      </c>
      <c r="C692">
        <v>10904.53</v>
      </c>
      <c r="D692">
        <v>-13877.38</v>
      </c>
      <c r="E692">
        <f>D692/MAX($B$2:B692,100000)</f>
        <v>-9.4104866229632045E-3</v>
      </c>
      <c r="H692" s="2"/>
      <c r="I692" s="2"/>
      <c r="N692" s="2"/>
    </row>
    <row r="693" spans="1:14" x14ac:dyDescent="0.3">
      <c r="A693" s="2">
        <v>41369</v>
      </c>
      <c r="B693">
        <v>1454871</v>
      </c>
      <c r="C693">
        <v>18047.03</v>
      </c>
      <c r="D693">
        <v>-19800.88</v>
      </c>
      <c r="E693">
        <f>D693/MAX($B$2:B693,100000)</f>
        <v>-1.3427312386264531E-2</v>
      </c>
      <c r="H693" s="2"/>
      <c r="I693" s="2"/>
      <c r="N693" s="2"/>
    </row>
    <row r="694" spans="1:14" x14ac:dyDescent="0.3">
      <c r="A694" s="2">
        <v>41376</v>
      </c>
      <c r="B694">
        <v>1491695</v>
      </c>
      <c r="C694">
        <v>18047.03</v>
      </c>
      <c r="D694">
        <v>0</v>
      </c>
      <c r="E694">
        <f>D694/MAX($B$2:B694,100000)</f>
        <v>0</v>
      </c>
      <c r="H694" s="2"/>
      <c r="I694" s="2"/>
      <c r="N694" s="2"/>
    </row>
    <row r="695" spans="1:14" x14ac:dyDescent="0.3">
      <c r="A695" s="2">
        <v>41383</v>
      </c>
      <c r="B695">
        <v>1474092.13</v>
      </c>
      <c r="C695">
        <v>39356.559999999998</v>
      </c>
      <c r="D695">
        <v>-17602.88</v>
      </c>
      <c r="E695">
        <f>D695/MAX($B$2:B695,100000)</f>
        <v>-1.180058926255032E-2</v>
      </c>
      <c r="H695" s="2"/>
      <c r="I695" s="2"/>
      <c r="N695" s="2"/>
    </row>
    <row r="696" spans="1:14" x14ac:dyDescent="0.3">
      <c r="A696" s="2">
        <v>41390</v>
      </c>
      <c r="B696">
        <v>1488712.88</v>
      </c>
      <c r="C696">
        <v>39356.559999999998</v>
      </c>
      <c r="D696">
        <v>-2982.13</v>
      </c>
      <c r="E696">
        <f>D696/MAX($B$2:B696,100000)</f>
        <v>-1.9991553233067081E-3</v>
      </c>
      <c r="H696" s="2"/>
      <c r="I696" s="2"/>
      <c r="N696" s="2"/>
    </row>
    <row r="697" spans="1:14" x14ac:dyDescent="0.3">
      <c r="A697" s="2">
        <v>41397</v>
      </c>
      <c r="B697">
        <v>1488350.5</v>
      </c>
      <c r="C697">
        <v>21510.47</v>
      </c>
      <c r="D697">
        <v>-3344.5</v>
      </c>
      <c r="E697">
        <f>D697/MAX($B$2:B697,100000)</f>
        <v>-2.2420803180274789E-3</v>
      </c>
      <c r="H697" s="2"/>
      <c r="I697" s="2"/>
      <c r="N697" s="2"/>
    </row>
    <row r="698" spans="1:14" x14ac:dyDescent="0.3">
      <c r="A698" s="2">
        <v>41404</v>
      </c>
      <c r="B698">
        <v>1515866.25</v>
      </c>
      <c r="C698">
        <v>21510.47</v>
      </c>
      <c r="D698">
        <v>0</v>
      </c>
      <c r="E698">
        <f>D698/MAX($B$2:B698,100000)</f>
        <v>0</v>
      </c>
      <c r="H698" s="2"/>
      <c r="I698" s="2"/>
      <c r="N698" s="2"/>
    </row>
    <row r="699" spans="1:14" x14ac:dyDescent="0.3">
      <c r="A699" s="2">
        <v>41411</v>
      </c>
      <c r="B699">
        <v>1521656.38</v>
      </c>
      <c r="C699">
        <v>21510.47</v>
      </c>
      <c r="D699">
        <v>0</v>
      </c>
      <c r="E699">
        <f>D699/MAX($B$2:B699,100000)</f>
        <v>0</v>
      </c>
      <c r="H699" s="2"/>
      <c r="I699" s="2"/>
      <c r="N699" s="2"/>
    </row>
    <row r="700" spans="1:14" x14ac:dyDescent="0.3">
      <c r="A700" s="2">
        <v>41418</v>
      </c>
      <c r="B700">
        <v>1468866.63</v>
      </c>
      <c r="C700">
        <v>14934.44</v>
      </c>
      <c r="D700">
        <v>-52789.75</v>
      </c>
      <c r="E700">
        <f>D700/MAX($B$2:B700,100000)</f>
        <v>-3.469229367013859E-2</v>
      </c>
      <c r="H700" s="2"/>
      <c r="I700" s="2"/>
      <c r="N700" s="2"/>
    </row>
    <row r="701" spans="1:14" x14ac:dyDescent="0.3">
      <c r="A701" s="2">
        <v>41425</v>
      </c>
      <c r="B701">
        <v>1461715</v>
      </c>
      <c r="C701">
        <v>14934.44</v>
      </c>
      <c r="D701">
        <v>-59941.38</v>
      </c>
      <c r="E701">
        <f>D701/MAX($B$2:B701,100000)</f>
        <v>-3.9392191816657054E-2</v>
      </c>
      <c r="H701" s="2"/>
      <c r="I701" s="2"/>
      <c r="N701" s="2"/>
    </row>
    <row r="702" spans="1:14" x14ac:dyDescent="0.3">
      <c r="A702" s="2">
        <v>41432</v>
      </c>
      <c r="B702">
        <v>1448149.75</v>
      </c>
      <c r="C702">
        <v>489157.13</v>
      </c>
      <c r="D702">
        <v>-73506.63</v>
      </c>
      <c r="E702">
        <f>D702/MAX($B$2:B702,100000)</f>
        <v>-4.8306983735710428E-2</v>
      </c>
      <c r="H702" s="2"/>
      <c r="I702" s="2"/>
      <c r="N702" s="2"/>
    </row>
    <row r="703" spans="1:14" x14ac:dyDescent="0.3">
      <c r="A703" s="2">
        <v>41439</v>
      </c>
      <c r="B703">
        <v>1454934.63</v>
      </c>
      <c r="C703">
        <v>489157.13</v>
      </c>
      <c r="D703">
        <v>-66721.75</v>
      </c>
      <c r="E703">
        <f>D703/MAX($B$2:B703,100000)</f>
        <v>-4.3848105838454804E-2</v>
      </c>
      <c r="H703" s="2"/>
      <c r="I703" s="2"/>
      <c r="N703" s="2"/>
    </row>
    <row r="704" spans="1:14" x14ac:dyDescent="0.3">
      <c r="A704" s="2">
        <v>41446</v>
      </c>
      <c r="B704">
        <v>1457424.25</v>
      </c>
      <c r="C704">
        <v>618121.38</v>
      </c>
      <c r="D704">
        <v>-64232.13</v>
      </c>
      <c r="E704">
        <f>D704/MAX($B$2:B704,100000)</f>
        <v>-4.2211980867848761E-2</v>
      </c>
      <c r="H704" s="2"/>
      <c r="I704" s="2"/>
      <c r="N704" s="2"/>
    </row>
    <row r="705" spans="1:14" x14ac:dyDescent="0.3">
      <c r="A705" s="2">
        <v>41453</v>
      </c>
      <c r="B705">
        <v>1473599.38</v>
      </c>
      <c r="C705">
        <v>618121.38</v>
      </c>
      <c r="D705">
        <v>-48057</v>
      </c>
      <c r="E705">
        <f>D705/MAX($B$2:B705,100000)</f>
        <v>-3.1582031680503324E-2</v>
      </c>
      <c r="H705" s="2"/>
      <c r="I705" s="2"/>
      <c r="N705" s="2"/>
    </row>
    <row r="706" spans="1:14" x14ac:dyDescent="0.3">
      <c r="A706" s="2">
        <v>41460</v>
      </c>
      <c r="B706">
        <v>1492048.63</v>
      </c>
      <c r="C706">
        <v>667047.31000000006</v>
      </c>
      <c r="D706">
        <v>-29607.75</v>
      </c>
      <c r="E706">
        <f>D706/MAX($B$2:B706,100000)</f>
        <v>-1.9457579509507925E-2</v>
      </c>
      <c r="H706" s="2"/>
      <c r="I706" s="2"/>
      <c r="N706" s="2"/>
    </row>
    <row r="707" spans="1:14" x14ac:dyDescent="0.3">
      <c r="A707" s="2">
        <v>41467</v>
      </c>
      <c r="B707">
        <v>1514378</v>
      </c>
      <c r="C707">
        <v>787592.56</v>
      </c>
      <c r="D707">
        <v>-7278.38</v>
      </c>
      <c r="E707">
        <f>D707/MAX($B$2:B707,100000)</f>
        <v>-4.7831955332780195E-3</v>
      </c>
      <c r="H707" s="2"/>
      <c r="I707" s="2"/>
      <c r="N707" s="2"/>
    </row>
    <row r="708" spans="1:14" x14ac:dyDescent="0.3">
      <c r="A708" s="2">
        <v>41474</v>
      </c>
      <c r="B708">
        <v>1520819.25</v>
      </c>
      <c r="C708">
        <v>570968.18999999994</v>
      </c>
      <c r="D708">
        <v>-837.13</v>
      </c>
      <c r="E708">
        <f>D708/MAX($B$2:B708,100000)</f>
        <v>-5.5014391619742696E-4</v>
      </c>
      <c r="H708" s="2"/>
      <c r="I708" s="2"/>
      <c r="N708" s="2"/>
    </row>
    <row r="709" spans="1:14" x14ac:dyDescent="0.3">
      <c r="A709" s="2">
        <v>41481</v>
      </c>
      <c r="B709">
        <v>1510900.13</v>
      </c>
      <c r="C709">
        <v>61303.32</v>
      </c>
      <c r="D709">
        <v>-10756.25</v>
      </c>
      <c r="E709">
        <f>D709/MAX($B$2:B709,100000)</f>
        <v>-7.0687772491710649E-3</v>
      </c>
      <c r="H709" s="2"/>
      <c r="I709" s="2"/>
      <c r="N709" s="2"/>
    </row>
    <row r="710" spans="1:14" x14ac:dyDescent="0.3">
      <c r="A710" s="2">
        <v>41488</v>
      </c>
      <c r="B710">
        <v>1537943.25</v>
      </c>
      <c r="C710">
        <v>61303.32</v>
      </c>
      <c r="D710">
        <v>0</v>
      </c>
      <c r="E710">
        <f>D710/MAX($B$2:B710,100000)</f>
        <v>0</v>
      </c>
      <c r="H710" s="2"/>
      <c r="I710" s="2"/>
      <c r="N710" s="2"/>
    </row>
    <row r="711" spans="1:14" x14ac:dyDescent="0.3">
      <c r="A711" s="2">
        <v>41495</v>
      </c>
      <c r="B711">
        <v>1525100.25</v>
      </c>
      <c r="C711">
        <v>61303.32</v>
      </c>
      <c r="D711">
        <v>-12843</v>
      </c>
      <c r="E711">
        <f>D711/MAX($B$2:B711,100000)</f>
        <v>-8.3507632677603683E-3</v>
      </c>
      <c r="H711" s="2"/>
      <c r="I711" s="2"/>
      <c r="N711" s="2"/>
    </row>
    <row r="712" spans="1:14" x14ac:dyDescent="0.3">
      <c r="A712" s="2">
        <v>41502</v>
      </c>
      <c r="B712">
        <v>1544755.5</v>
      </c>
      <c r="C712">
        <v>61303.32</v>
      </c>
      <c r="D712">
        <v>0</v>
      </c>
      <c r="E712">
        <f>D712/MAX($B$2:B712,100000)</f>
        <v>0</v>
      </c>
      <c r="H712" s="2"/>
      <c r="I712" s="2"/>
      <c r="N712" s="2"/>
    </row>
    <row r="713" spans="1:14" x14ac:dyDescent="0.3">
      <c r="A713" s="2">
        <v>41509</v>
      </c>
      <c r="B713">
        <v>1539800.5</v>
      </c>
      <c r="C713">
        <v>61303.32</v>
      </c>
      <c r="D713">
        <v>-4955</v>
      </c>
      <c r="E713">
        <f>D713/MAX($B$2:B713,100000)</f>
        <v>-3.2076273559149006E-3</v>
      </c>
      <c r="H713" s="2"/>
      <c r="I713" s="2"/>
      <c r="N713" s="2"/>
    </row>
    <row r="714" spans="1:14" x14ac:dyDescent="0.3">
      <c r="A714" s="2">
        <v>41516</v>
      </c>
      <c r="B714">
        <v>1547187.88</v>
      </c>
      <c r="C714">
        <v>61303.32</v>
      </c>
      <c r="D714">
        <v>0</v>
      </c>
      <c r="E714">
        <f>D714/MAX($B$2:B714,100000)</f>
        <v>0</v>
      </c>
      <c r="H714" s="2"/>
      <c r="I714" s="2"/>
      <c r="N714" s="2"/>
    </row>
    <row r="715" spans="1:14" x14ac:dyDescent="0.3">
      <c r="A715" s="2">
        <v>41523</v>
      </c>
      <c r="B715">
        <v>1602501.5</v>
      </c>
      <c r="C715">
        <v>61303.32</v>
      </c>
      <c r="D715">
        <v>0</v>
      </c>
      <c r="E715">
        <f>D715/MAX($B$2:B715,100000)</f>
        <v>0</v>
      </c>
      <c r="H715" s="2"/>
      <c r="I715" s="2"/>
      <c r="N715" s="2"/>
    </row>
    <row r="716" spans="1:14" x14ac:dyDescent="0.3">
      <c r="A716" s="2">
        <v>41530</v>
      </c>
      <c r="B716">
        <v>1606563.38</v>
      </c>
      <c r="C716">
        <v>61303.32</v>
      </c>
      <c r="D716">
        <v>0</v>
      </c>
      <c r="E716">
        <f>D716/MAX($B$2:B716,100000)</f>
        <v>0</v>
      </c>
      <c r="H716" s="2"/>
      <c r="I716" s="2"/>
      <c r="N716" s="2"/>
    </row>
    <row r="717" spans="1:14" x14ac:dyDescent="0.3">
      <c r="A717" s="2">
        <v>41537</v>
      </c>
      <c r="B717">
        <v>1647940.38</v>
      </c>
      <c r="C717">
        <v>61303.32</v>
      </c>
      <c r="D717">
        <v>0</v>
      </c>
      <c r="E717">
        <f>D717/MAX($B$2:B717,100000)</f>
        <v>0</v>
      </c>
      <c r="H717" s="2"/>
      <c r="I717" s="2"/>
      <c r="N717" s="2"/>
    </row>
    <row r="718" spans="1:14" x14ac:dyDescent="0.3">
      <c r="A718" s="2">
        <v>41544</v>
      </c>
      <c r="B718">
        <v>1669850.25</v>
      </c>
      <c r="C718">
        <v>57928.5</v>
      </c>
      <c r="D718">
        <v>0</v>
      </c>
      <c r="E718">
        <f>D718/MAX($B$2:B718,100000)</f>
        <v>0</v>
      </c>
      <c r="H718" s="2"/>
      <c r="I718" s="2"/>
      <c r="N718" s="2"/>
    </row>
    <row r="719" spans="1:14" x14ac:dyDescent="0.3">
      <c r="A719" s="2">
        <v>41551</v>
      </c>
      <c r="B719">
        <v>1658975</v>
      </c>
      <c r="C719">
        <v>50406.92</v>
      </c>
      <c r="D719">
        <v>-10875.25</v>
      </c>
      <c r="E719">
        <f>D719/MAX($B$2:B719,100000)</f>
        <v>-6.5127097474758592E-3</v>
      </c>
      <c r="H719" s="2"/>
      <c r="I719" s="2"/>
      <c r="N719" s="2"/>
    </row>
    <row r="720" spans="1:14" x14ac:dyDescent="0.3">
      <c r="A720" s="2">
        <v>41558</v>
      </c>
      <c r="B720">
        <v>1665165.5</v>
      </c>
      <c r="C720">
        <v>50406.92</v>
      </c>
      <c r="D720">
        <v>-4684.75</v>
      </c>
      <c r="E720">
        <f>D720/MAX($B$2:B720,100000)</f>
        <v>-2.8054910911921591E-3</v>
      </c>
      <c r="H720" s="2"/>
      <c r="I720" s="2"/>
      <c r="N720" s="2"/>
    </row>
    <row r="721" spans="1:14" x14ac:dyDescent="0.3">
      <c r="A721" s="2">
        <v>41565</v>
      </c>
      <c r="B721">
        <v>1660558.38</v>
      </c>
      <c r="C721">
        <v>50406.92</v>
      </c>
      <c r="D721">
        <v>-9291.8799999999992</v>
      </c>
      <c r="E721">
        <f>D721/MAX($B$2:B721,100000)</f>
        <v>-5.5644989722880836E-3</v>
      </c>
      <c r="H721" s="2"/>
      <c r="I721" s="2"/>
      <c r="N721" s="2"/>
    </row>
    <row r="722" spans="1:14" x14ac:dyDescent="0.3">
      <c r="A722" s="2">
        <v>41572</v>
      </c>
      <c r="B722">
        <v>1689746.25</v>
      </c>
      <c r="C722">
        <v>43479.57</v>
      </c>
      <c r="D722">
        <v>0</v>
      </c>
      <c r="E722">
        <f>D722/MAX($B$2:B722,100000)</f>
        <v>0</v>
      </c>
      <c r="H722" s="2"/>
      <c r="I722" s="2"/>
      <c r="N722" s="2"/>
    </row>
    <row r="723" spans="1:14" x14ac:dyDescent="0.3">
      <c r="A723" s="2">
        <v>41579</v>
      </c>
      <c r="B723">
        <v>1686958.38</v>
      </c>
      <c r="C723">
        <v>43479.57</v>
      </c>
      <c r="D723">
        <v>-2787.88</v>
      </c>
      <c r="E723">
        <f>D723/MAX($B$2:B723,100000)</f>
        <v>-1.6498808622892344E-3</v>
      </c>
      <c r="H723" s="2"/>
      <c r="I723" s="2"/>
      <c r="N723" s="2"/>
    </row>
    <row r="724" spans="1:14" x14ac:dyDescent="0.3">
      <c r="A724" s="2">
        <v>41586</v>
      </c>
      <c r="B724">
        <v>1692485.63</v>
      </c>
      <c r="C724">
        <v>43479.57</v>
      </c>
      <c r="D724">
        <v>0</v>
      </c>
      <c r="E724">
        <f>D724/MAX($B$2:B724,100000)</f>
        <v>0</v>
      </c>
      <c r="H724" s="2"/>
      <c r="I724" s="2"/>
      <c r="N724" s="2"/>
    </row>
    <row r="725" spans="1:14" x14ac:dyDescent="0.3">
      <c r="A725" s="2">
        <v>41593</v>
      </c>
      <c r="B725">
        <v>1674219.75</v>
      </c>
      <c r="C725">
        <v>43479.57</v>
      </c>
      <c r="D725">
        <v>-18265.88</v>
      </c>
      <c r="E725">
        <f>D725/MAX($B$2:B725,100000)</f>
        <v>-1.0792339784887865E-2</v>
      </c>
      <c r="H725" s="2"/>
      <c r="I725" s="2"/>
      <c r="N725" s="2"/>
    </row>
    <row r="726" spans="1:14" x14ac:dyDescent="0.3">
      <c r="A726" s="2">
        <v>41600</v>
      </c>
      <c r="B726">
        <v>1678832.75</v>
      </c>
      <c r="C726">
        <v>43479.57</v>
      </c>
      <c r="D726">
        <v>-13652.88</v>
      </c>
      <c r="E726">
        <f>D726/MAX($B$2:B726,100000)</f>
        <v>-8.066762729323735E-3</v>
      </c>
      <c r="H726" s="2"/>
      <c r="I726" s="2"/>
      <c r="N726" s="2"/>
    </row>
    <row r="727" spans="1:14" x14ac:dyDescent="0.3">
      <c r="A727" s="2">
        <v>41607</v>
      </c>
      <c r="B727">
        <v>1701598.75</v>
      </c>
      <c r="C727">
        <v>43479.57</v>
      </c>
      <c r="D727">
        <v>0</v>
      </c>
      <c r="E727">
        <f>D727/MAX($B$2:B727,100000)</f>
        <v>0</v>
      </c>
      <c r="H727" s="2"/>
      <c r="I727" s="2"/>
      <c r="N727" s="2"/>
    </row>
    <row r="728" spans="1:14" x14ac:dyDescent="0.3">
      <c r="A728" s="2">
        <v>41614</v>
      </c>
      <c r="B728">
        <v>1693794.13</v>
      </c>
      <c r="C728">
        <v>43479.57</v>
      </c>
      <c r="D728">
        <v>-7804.63</v>
      </c>
      <c r="E728">
        <f>D728/MAX($B$2:B728,100000)</f>
        <v>-4.586645353377228E-3</v>
      </c>
      <c r="H728" s="2"/>
      <c r="I728" s="2"/>
      <c r="N728" s="2"/>
    </row>
    <row r="729" spans="1:14" x14ac:dyDescent="0.3">
      <c r="A729" s="2">
        <v>41621</v>
      </c>
      <c r="B729">
        <v>1675642.38</v>
      </c>
      <c r="C729">
        <v>43479.57</v>
      </c>
      <c r="D729">
        <v>-25956.38</v>
      </c>
      <c r="E729">
        <f>D729/MAX($B$2:B729,100000)</f>
        <v>-1.5254113227339878E-2</v>
      </c>
      <c r="H729" s="2"/>
      <c r="I729" s="2"/>
      <c r="N729" s="2"/>
    </row>
    <row r="730" spans="1:14" x14ac:dyDescent="0.3">
      <c r="A730" s="2">
        <v>41628</v>
      </c>
      <c r="B730">
        <v>1704648.25</v>
      </c>
      <c r="C730">
        <v>330521.19</v>
      </c>
      <c r="D730">
        <v>0</v>
      </c>
      <c r="E730">
        <f>D730/MAX($B$2:B730,100000)</f>
        <v>0</v>
      </c>
      <c r="H730" s="2"/>
      <c r="I730" s="2"/>
      <c r="N730" s="2"/>
    </row>
    <row r="731" spans="1:14" x14ac:dyDescent="0.3">
      <c r="A731" s="2">
        <v>41635</v>
      </c>
      <c r="B731">
        <v>1721506.25</v>
      </c>
      <c r="C731">
        <v>584565.93999999994</v>
      </c>
      <c r="D731">
        <v>0</v>
      </c>
      <c r="E731">
        <f>D731/MAX($B$2:B731,100000)</f>
        <v>0</v>
      </c>
      <c r="H731" s="2"/>
      <c r="I731" s="2"/>
      <c r="N731" s="2"/>
    </row>
    <row r="732" spans="1:14" x14ac:dyDescent="0.3">
      <c r="A732" s="2">
        <v>41642</v>
      </c>
      <c r="B732">
        <v>1724007.38</v>
      </c>
      <c r="C732">
        <v>584565.93999999994</v>
      </c>
      <c r="D732">
        <v>0</v>
      </c>
      <c r="E732">
        <f>D732/MAX($B$2:B732,100000)</f>
        <v>0</v>
      </c>
      <c r="H732" s="2"/>
      <c r="I732" s="2"/>
      <c r="N732" s="2"/>
    </row>
    <row r="733" spans="1:14" x14ac:dyDescent="0.3">
      <c r="A733" s="2">
        <v>41649</v>
      </c>
      <c r="B733">
        <v>1662557.38</v>
      </c>
      <c r="C733">
        <v>502325.03</v>
      </c>
      <c r="D733">
        <v>-61450</v>
      </c>
      <c r="E733">
        <f>D733/MAX($B$2:B733,100000)</f>
        <v>-3.564369892662525E-2</v>
      </c>
      <c r="H733" s="2"/>
      <c r="I733" s="2"/>
      <c r="N733" s="2"/>
    </row>
    <row r="734" spans="1:14" x14ac:dyDescent="0.3">
      <c r="A734" s="2">
        <v>41656</v>
      </c>
      <c r="B734">
        <v>1678035.88</v>
      </c>
      <c r="C734">
        <v>279765.96999999997</v>
      </c>
      <c r="D734">
        <v>-45971.5</v>
      </c>
      <c r="E734">
        <f>D734/MAX($B$2:B734,100000)</f>
        <v>-2.6665489100168471E-2</v>
      </c>
      <c r="H734" s="2"/>
      <c r="I734" s="2"/>
      <c r="N734" s="2"/>
    </row>
    <row r="735" spans="1:14" x14ac:dyDescent="0.3">
      <c r="A735" s="2">
        <v>41663</v>
      </c>
      <c r="B735">
        <v>1699746.13</v>
      </c>
      <c r="C735">
        <v>39465.629999999997</v>
      </c>
      <c r="D735">
        <v>-24261.25</v>
      </c>
      <c r="E735">
        <f>D735/MAX($B$2:B735,100000)</f>
        <v>-1.4072590570928996E-2</v>
      </c>
      <c r="H735" s="2"/>
      <c r="I735" s="2"/>
      <c r="N735" s="2"/>
    </row>
    <row r="736" spans="1:14" x14ac:dyDescent="0.3">
      <c r="A736" s="2">
        <v>41670</v>
      </c>
      <c r="B736">
        <v>1662502.63</v>
      </c>
      <c r="C736">
        <v>39465.629999999997</v>
      </c>
      <c r="D736">
        <v>-61504.75</v>
      </c>
      <c r="E736">
        <f>D736/MAX($B$2:B736,100000)</f>
        <v>-3.5675456331283224E-2</v>
      </c>
      <c r="H736" s="2"/>
      <c r="I736" s="2"/>
      <c r="N736" s="2"/>
    </row>
    <row r="737" spans="1:14" x14ac:dyDescent="0.3">
      <c r="A737" s="2">
        <v>41677</v>
      </c>
      <c r="B737">
        <v>1687765.25</v>
      </c>
      <c r="C737">
        <v>39465.629999999997</v>
      </c>
      <c r="D737">
        <v>-36242.129999999997</v>
      </c>
      <c r="E737">
        <f>D737/MAX($B$2:B737,100000)</f>
        <v>-2.1022027179489221E-2</v>
      </c>
      <c r="H737" s="2"/>
      <c r="I737" s="2"/>
      <c r="N737" s="2"/>
    </row>
    <row r="738" spans="1:14" x14ac:dyDescent="0.3">
      <c r="A738" s="2">
        <v>41684</v>
      </c>
      <c r="B738">
        <v>1673592.25</v>
      </c>
      <c r="C738">
        <v>205242.98</v>
      </c>
      <c r="D738">
        <v>-50415.13</v>
      </c>
      <c r="E738">
        <f>D738/MAX($B$2:B738,100000)</f>
        <v>-2.9242989667480426E-2</v>
      </c>
      <c r="H738" s="2"/>
      <c r="I738" s="2"/>
      <c r="N738" s="2"/>
    </row>
    <row r="739" spans="1:14" x14ac:dyDescent="0.3">
      <c r="A739" s="2">
        <v>41691</v>
      </c>
      <c r="B739">
        <v>1688396.88</v>
      </c>
      <c r="C739">
        <v>34396.410000000003</v>
      </c>
      <c r="D739">
        <v>-35610.5</v>
      </c>
      <c r="E739">
        <f>D739/MAX($B$2:B739,100000)</f>
        <v>-2.0655654037861487E-2</v>
      </c>
      <c r="H739" s="2"/>
      <c r="I739" s="2"/>
      <c r="N739" s="2"/>
    </row>
    <row r="740" spans="1:14" x14ac:dyDescent="0.3">
      <c r="A740" s="2">
        <v>41698</v>
      </c>
      <c r="B740">
        <v>1733094.25</v>
      </c>
      <c r="C740">
        <v>34396.410000000003</v>
      </c>
      <c r="D740">
        <v>0</v>
      </c>
      <c r="E740">
        <f>D740/MAX($B$2:B740,100000)</f>
        <v>0</v>
      </c>
      <c r="H740" s="2"/>
      <c r="I740" s="2"/>
      <c r="N740" s="2"/>
    </row>
    <row r="741" spans="1:14" x14ac:dyDescent="0.3">
      <c r="A741" s="2">
        <v>41705</v>
      </c>
      <c r="B741">
        <v>1757907</v>
      </c>
      <c r="C741">
        <v>34396.410000000003</v>
      </c>
      <c r="D741">
        <v>0</v>
      </c>
      <c r="E741">
        <f>D741/MAX($B$2:B741,100000)</f>
        <v>0</v>
      </c>
      <c r="H741" s="2"/>
      <c r="I741" s="2"/>
      <c r="N741" s="2"/>
    </row>
    <row r="742" spans="1:14" x14ac:dyDescent="0.3">
      <c r="A742" s="2">
        <v>41712</v>
      </c>
      <c r="B742">
        <v>1774006.63</v>
      </c>
      <c r="C742">
        <v>34396.410000000003</v>
      </c>
      <c r="D742">
        <v>0</v>
      </c>
      <c r="E742">
        <f>D742/MAX($B$2:B742,100000)</f>
        <v>0</v>
      </c>
      <c r="H742" s="2"/>
      <c r="I742" s="2"/>
      <c r="N742" s="2"/>
    </row>
    <row r="743" spans="1:14" x14ac:dyDescent="0.3">
      <c r="A743" s="2">
        <v>41719</v>
      </c>
      <c r="B743">
        <v>1785601.75</v>
      </c>
      <c r="C743">
        <v>34396.410000000003</v>
      </c>
      <c r="D743">
        <v>0</v>
      </c>
      <c r="E743">
        <f>D743/MAX($B$2:B743,100000)</f>
        <v>0</v>
      </c>
      <c r="H743" s="2"/>
      <c r="I743" s="2"/>
      <c r="N743" s="2"/>
    </row>
    <row r="744" spans="1:14" x14ac:dyDescent="0.3">
      <c r="A744" s="2">
        <v>41726</v>
      </c>
      <c r="B744">
        <v>1741695.88</v>
      </c>
      <c r="C744">
        <v>34396.410000000003</v>
      </c>
      <c r="D744">
        <v>-43905.88</v>
      </c>
      <c r="E744">
        <f>D744/MAX($B$2:B744,100000)</f>
        <v>-2.4588842388847343E-2</v>
      </c>
      <c r="H744" s="2"/>
      <c r="I744" s="2"/>
      <c r="N744" s="2"/>
    </row>
    <row r="745" spans="1:14" x14ac:dyDescent="0.3">
      <c r="A745" s="2">
        <v>41733</v>
      </c>
      <c r="B745">
        <v>1745790.88</v>
      </c>
      <c r="C745">
        <v>34396.410000000003</v>
      </c>
      <c r="D745">
        <v>-39810.879999999997</v>
      </c>
      <c r="E745">
        <f>D745/MAX($B$2:B745,100000)</f>
        <v>-2.229549786227528E-2</v>
      </c>
      <c r="H745" s="2"/>
      <c r="I745" s="2"/>
      <c r="N745" s="2"/>
    </row>
    <row r="746" spans="1:14" x14ac:dyDescent="0.3">
      <c r="A746" s="2">
        <v>41740</v>
      </c>
      <c r="B746">
        <v>1734187.75</v>
      </c>
      <c r="C746">
        <v>34396.410000000003</v>
      </c>
      <c r="D746">
        <v>-51414</v>
      </c>
      <c r="E746">
        <f>D746/MAX($B$2:B746,100000)</f>
        <v>-2.8793654576111386E-2</v>
      </c>
      <c r="H746" s="2"/>
      <c r="I746" s="2"/>
      <c r="N746" s="2"/>
    </row>
    <row r="747" spans="1:14" x14ac:dyDescent="0.3">
      <c r="A747" s="2">
        <v>41746</v>
      </c>
      <c r="B747">
        <v>1725965</v>
      </c>
      <c r="C747">
        <v>34396.410000000003</v>
      </c>
      <c r="D747">
        <v>-59636.75</v>
      </c>
      <c r="E747">
        <f>D747/MAX($B$2:B747,100000)</f>
        <v>-3.3398684785115158E-2</v>
      </c>
      <c r="H747" s="2"/>
      <c r="I747" s="2"/>
      <c r="N747" s="2"/>
    </row>
    <row r="748" spans="1:14" x14ac:dyDescent="0.3">
      <c r="A748" s="2">
        <v>41753</v>
      </c>
      <c r="B748">
        <v>1763685.38</v>
      </c>
      <c r="C748">
        <v>26719.62</v>
      </c>
      <c r="D748">
        <v>-21916.38</v>
      </c>
      <c r="E748">
        <f>D748/MAX($B$2:B748,100000)</f>
        <v>-1.2273946304096084E-2</v>
      </c>
      <c r="H748" s="2"/>
      <c r="I748" s="2"/>
      <c r="N748" s="2"/>
    </row>
    <row r="749" spans="1:14" x14ac:dyDescent="0.3">
      <c r="A749" s="2">
        <v>41761</v>
      </c>
      <c r="B749">
        <v>1750451.75</v>
      </c>
      <c r="C749">
        <v>26719.62</v>
      </c>
      <c r="D749">
        <v>-35150</v>
      </c>
      <c r="E749">
        <f>D749/MAX($B$2:B749,100000)</f>
        <v>-1.9685240563860333E-2</v>
      </c>
      <c r="H749" s="2"/>
      <c r="I749" s="2"/>
      <c r="N749" s="2"/>
    </row>
    <row r="750" spans="1:14" x14ac:dyDescent="0.3">
      <c r="A750" s="2">
        <v>41768</v>
      </c>
      <c r="B750">
        <v>1780635.5</v>
      </c>
      <c r="C750">
        <v>26719.62</v>
      </c>
      <c r="D750">
        <v>-4966.25</v>
      </c>
      <c r="E750">
        <f>D750/MAX($B$2:B750,100000)</f>
        <v>-2.7812752759678915E-3</v>
      </c>
      <c r="H750" s="2"/>
      <c r="I750" s="2"/>
      <c r="N750" s="2"/>
    </row>
    <row r="751" spans="1:14" x14ac:dyDescent="0.3">
      <c r="A751" s="2">
        <v>41775</v>
      </c>
      <c r="B751">
        <v>1769308.38</v>
      </c>
      <c r="C751">
        <v>26719.62</v>
      </c>
      <c r="D751">
        <v>-16293.38</v>
      </c>
      <c r="E751">
        <f>D751/MAX($B$2:B751,100000)</f>
        <v>-9.1248678491718544E-3</v>
      </c>
      <c r="H751" s="2"/>
      <c r="I751" s="2"/>
      <c r="N751" s="2"/>
    </row>
    <row r="752" spans="1:14" x14ac:dyDescent="0.3">
      <c r="A752" s="2">
        <v>41782</v>
      </c>
      <c r="B752">
        <v>1759171.25</v>
      </c>
      <c r="C752">
        <v>26719.62</v>
      </c>
      <c r="D752">
        <v>-26430.5</v>
      </c>
      <c r="E752">
        <f>D752/MAX($B$2:B752,100000)</f>
        <v>-1.4802012822848095E-2</v>
      </c>
      <c r="H752" s="2"/>
      <c r="I752" s="2"/>
      <c r="N752" s="2"/>
    </row>
    <row r="753" spans="1:14" x14ac:dyDescent="0.3">
      <c r="A753" s="2">
        <v>41789</v>
      </c>
      <c r="B753">
        <v>1792189.75</v>
      </c>
      <c r="C753">
        <v>33204.03</v>
      </c>
      <c r="D753">
        <v>0</v>
      </c>
      <c r="E753">
        <f>D753/MAX($B$2:B753,100000)</f>
        <v>0</v>
      </c>
      <c r="H753" s="2"/>
      <c r="I753" s="2"/>
      <c r="N753" s="2"/>
    </row>
    <row r="754" spans="1:14" x14ac:dyDescent="0.3">
      <c r="A754" s="2">
        <v>41796</v>
      </c>
      <c r="B754">
        <v>1821484.5</v>
      </c>
      <c r="C754">
        <v>837.04</v>
      </c>
      <c r="D754">
        <v>0</v>
      </c>
      <c r="E754">
        <f>D754/MAX($B$2:B754,100000)</f>
        <v>0</v>
      </c>
      <c r="H754" s="2"/>
      <c r="I754" s="2"/>
      <c r="N754" s="2"/>
    </row>
    <row r="755" spans="1:14" x14ac:dyDescent="0.3">
      <c r="A755" s="2">
        <v>41803</v>
      </c>
      <c r="B755">
        <v>1824372.25</v>
      </c>
      <c r="C755">
        <v>837.04</v>
      </c>
      <c r="D755">
        <v>0</v>
      </c>
      <c r="E755">
        <f>D755/MAX($B$2:B755,100000)</f>
        <v>0</v>
      </c>
      <c r="H755" s="2"/>
      <c r="I755" s="2"/>
      <c r="N755" s="2"/>
    </row>
    <row r="756" spans="1:14" x14ac:dyDescent="0.3">
      <c r="A756" s="2">
        <v>41810</v>
      </c>
      <c r="B756">
        <v>1819802</v>
      </c>
      <c r="C756">
        <v>837.04</v>
      </c>
      <c r="D756">
        <v>-4570.25</v>
      </c>
      <c r="E756">
        <f>D756/MAX($B$2:B756,100000)</f>
        <v>-2.505108263952162E-3</v>
      </c>
      <c r="H756" s="2"/>
      <c r="I756" s="2"/>
      <c r="N756" s="2"/>
    </row>
    <row r="757" spans="1:14" x14ac:dyDescent="0.3">
      <c r="A757" s="2">
        <v>41817</v>
      </c>
      <c r="B757">
        <v>1811353.13</v>
      </c>
      <c r="C757">
        <v>84196.51</v>
      </c>
      <c r="D757">
        <v>-13019.13</v>
      </c>
      <c r="E757">
        <f>D757/MAX($B$2:B757,100000)</f>
        <v>-7.1362245287385833E-3</v>
      </c>
      <c r="H757" s="2"/>
      <c r="I757" s="2"/>
      <c r="N757" s="2"/>
    </row>
    <row r="758" spans="1:14" x14ac:dyDescent="0.3">
      <c r="A758" s="2">
        <v>41824</v>
      </c>
      <c r="B758">
        <v>1833646</v>
      </c>
      <c r="C758">
        <v>90098.29</v>
      </c>
      <c r="D758">
        <v>0</v>
      </c>
      <c r="E758">
        <f>D758/MAX($B$2:B758,100000)</f>
        <v>0</v>
      </c>
      <c r="H758" s="2"/>
      <c r="I758" s="2"/>
      <c r="N758" s="2"/>
    </row>
    <row r="759" spans="1:14" x14ac:dyDescent="0.3">
      <c r="A759" s="2">
        <v>41831</v>
      </c>
      <c r="B759">
        <v>1865536.75</v>
      </c>
      <c r="C759">
        <v>25422.880000000001</v>
      </c>
      <c r="D759">
        <v>0</v>
      </c>
      <c r="E759">
        <f>D759/MAX($B$2:B759,100000)</f>
        <v>0</v>
      </c>
      <c r="H759" s="2"/>
      <c r="I759" s="2"/>
      <c r="N759" s="2"/>
    </row>
    <row r="760" spans="1:14" x14ac:dyDescent="0.3">
      <c r="A760" s="2">
        <v>41838</v>
      </c>
      <c r="B760">
        <v>1863744.88</v>
      </c>
      <c r="C760">
        <v>25422.880000000001</v>
      </c>
      <c r="D760">
        <v>-1791.88</v>
      </c>
      <c r="E760">
        <f>D760/MAX($B$2:B760,100000)</f>
        <v>-9.6051712730933878E-4</v>
      </c>
      <c r="H760" s="2"/>
      <c r="I760" s="2"/>
      <c r="N760" s="2"/>
    </row>
    <row r="761" spans="1:14" x14ac:dyDescent="0.3">
      <c r="A761" s="2">
        <v>41845</v>
      </c>
      <c r="B761">
        <v>1858114.88</v>
      </c>
      <c r="C761">
        <v>6277.51</v>
      </c>
      <c r="D761">
        <v>-7421.88</v>
      </c>
      <c r="E761">
        <f>D761/MAX($B$2:B761,100000)</f>
        <v>-3.978415327385001E-3</v>
      </c>
      <c r="H761" s="2"/>
      <c r="I761" s="2"/>
      <c r="N761" s="2"/>
    </row>
    <row r="762" spans="1:14" x14ac:dyDescent="0.3">
      <c r="A762" s="2">
        <v>41852</v>
      </c>
      <c r="B762">
        <v>1821665.63</v>
      </c>
      <c r="C762">
        <v>6277.51</v>
      </c>
      <c r="D762">
        <v>-43871.13</v>
      </c>
      <c r="E762">
        <f>D762/MAX($B$2:B762,100000)</f>
        <v>-2.351662597909154E-2</v>
      </c>
      <c r="H762" s="2"/>
      <c r="I762" s="2"/>
      <c r="N762" s="2"/>
    </row>
    <row r="763" spans="1:14" x14ac:dyDescent="0.3">
      <c r="A763" s="2">
        <v>41859</v>
      </c>
      <c r="B763">
        <v>1822608.75</v>
      </c>
      <c r="C763">
        <v>52015.57</v>
      </c>
      <c r="D763">
        <v>-42928</v>
      </c>
      <c r="E763">
        <f>D763/MAX($B$2:B763,100000)</f>
        <v>-2.3011071746509418E-2</v>
      </c>
      <c r="H763" s="2"/>
      <c r="I763" s="2"/>
      <c r="N763" s="2"/>
    </row>
    <row r="764" spans="1:14" x14ac:dyDescent="0.3">
      <c r="A764" s="2">
        <v>41866</v>
      </c>
      <c r="B764">
        <v>1846169.5</v>
      </c>
      <c r="C764">
        <v>66417.759999999995</v>
      </c>
      <c r="D764">
        <v>-19367.25</v>
      </c>
      <c r="E764">
        <f>D764/MAX($B$2:B764,100000)</f>
        <v>-1.0381596610198111E-2</v>
      </c>
      <c r="H764" s="2"/>
      <c r="I764" s="2"/>
      <c r="N764" s="2"/>
    </row>
    <row r="765" spans="1:14" x14ac:dyDescent="0.3">
      <c r="A765" s="2">
        <v>41873</v>
      </c>
      <c r="B765">
        <v>1848774.25</v>
      </c>
      <c r="C765">
        <v>63499.12</v>
      </c>
      <c r="D765">
        <v>-16762.5</v>
      </c>
      <c r="E765">
        <f>D765/MAX($B$2:B765,100000)</f>
        <v>-8.9853496587510278E-3</v>
      </c>
      <c r="H765" s="2"/>
      <c r="I765" s="2"/>
      <c r="N765" s="2"/>
    </row>
    <row r="766" spans="1:14" x14ac:dyDescent="0.3">
      <c r="A766" s="2">
        <v>41880</v>
      </c>
      <c r="B766">
        <v>1856396.5</v>
      </c>
      <c r="C766">
        <v>63499.12</v>
      </c>
      <c r="D766">
        <v>-9140.25</v>
      </c>
      <c r="E766">
        <f>D766/MAX($B$2:B766,100000)</f>
        <v>-4.8995282456912202E-3</v>
      </c>
      <c r="H766" s="2"/>
      <c r="I766" s="2"/>
      <c r="N766" s="2"/>
    </row>
    <row r="767" spans="1:14" x14ac:dyDescent="0.3">
      <c r="A767" s="2">
        <v>41887</v>
      </c>
      <c r="B767">
        <v>1878376</v>
      </c>
      <c r="C767">
        <v>63499.12</v>
      </c>
      <c r="D767">
        <v>0</v>
      </c>
      <c r="E767">
        <f>D767/MAX($B$2:B767,100000)</f>
        <v>0</v>
      </c>
      <c r="H767" s="2"/>
      <c r="I767" s="2"/>
      <c r="N767" s="2"/>
    </row>
    <row r="768" spans="1:14" x14ac:dyDescent="0.3">
      <c r="A768" s="2">
        <v>41894</v>
      </c>
      <c r="B768">
        <v>1900672.38</v>
      </c>
      <c r="C768">
        <v>57181.16</v>
      </c>
      <c r="D768">
        <v>0</v>
      </c>
      <c r="E768">
        <f>D768/MAX($B$2:B768,100000)</f>
        <v>0</v>
      </c>
      <c r="H768" s="2"/>
      <c r="I768" s="2"/>
      <c r="N768" s="2"/>
    </row>
    <row r="769" spans="1:14" x14ac:dyDescent="0.3">
      <c r="A769" s="2">
        <v>41901</v>
      </c>
      <c r="B769">
        <v>1844787.25</v>
      </c>
      <c r="C769">
        <v>57181.16</v>
      </c>
      <c r="D769">
        <v>-55885.13</v>
      </c>
      <c r="E769">
        <f>D769/MAX($B$2:B769,100000)</f>
        <v>-2.9402821121649592E-2</v>
      </c>
      <c r="H769" s="2"/>
      <c r="I769" s="2"/>
      <c r="N769" s="2"/>
    </row>
    <row r="770" spans="1:14" x14ac:dyDescent="0.3">
      <c r="A770" s="2">
        <v>41908</v>
      </c>
      <c r="B770">
        <v>1819184.25</v>
      </c>
      <c r="C770">
        <v>57181.16</v>
      </c>
      <c r="D770">
        <v>-81488.13</v>
      </c>
      <c r="E770">
        <f>D770/MAX($B$2:B770,100000)</f>
        <v>-4.287331728364465E-2</v>
      </c>
      <c r="H770" s="2"/>
      <c r="I770" s="2"/>
      <c r="N770" s="2"/>
    </row>
    <row r="771" spans="1:14" x14ac:dyDescent="0.3">
      <c r="A771" s="2">
        <v>41915</v>
      </c>
      <c r="B771">
        <v>1820231.13</v>
      </c>
      <c r="C771">
        <v>412340.84</v>
      </c>
      <c r="D771">
        <v>-80441.25</v>
      </c>
      <c r="E771">
        <f>D771/MAX($B$2:B771,100000)</f>
        <v>-4.2322522727457117E-2</v>
      </c>
      <c r="H771" s="2"/>
      <c r="I771" s="2"/>
      <c r="N771" s="2"/>
    </row>
    <row r="772" spans="1:14" x14ac:dyDescent="0.3">
      <c r="A772" s="2">
        <v>41922</v>
      </c>
      <c r="B772">
        <v>1799985.13</v>
      </c>
      <c r="C772">
        <v>467003.06</v>
      </c>
      <c r="D772">
        <v>-100687.25</v>
      </c>
      <c r="E772">
        <f>D772/MAX($B$2:B772,100000)</f>
        <v>-5.2974542619491319E-2</v>
      </c>
      <c r="H772" s="2"/>
      <c r="I772" s="2"/>
      <c r="N772" s="2"/>
    </row>
    <row r="773" spans="1:14" x14ac:dyDescent="0.3">
      <c r="A773" s="2">
        <v>41929</v>
      </c>
      <c r="B773">
        <v>1779743.38</v>
      </c>
      <c r="C773">
        <v>467003.06</v>
      </c>
      <c r="D773">
        <v>-120929</v>
      </c>
      <c r="E773">
        <f>D773/MAX($B$2:B773,100000)</f>
        <v>-6.3624326460723343E-2</v>
      </c>
      <c r="H773" s="2"/>
      <c r="I773" s="2"/>
      <c r="N773" s="2"/>
    </row>
    <row r="774" spans="1:14" x14ac:dyDescent="0.3">
      <c r="A774" s="2">
        <v>41936</v>
      </c>
      <c r="B774">
        <v>1811755.13</v>
      </c>
      <c r="C774">
        <v>467003.06</v>
      </c>
      <c r="D774">
        <v>-88917.25</v>
      </c>
      <c r="E774">
        <f>D774/MAX($B$2:B774,100000)</f>
        <v>-4.6781997221425405E-2</v>
      </c>
      <c r="H774" s="2"/>
      <c r="I774" s="2"/>
      <c r="N774" s="2"/>
    </row>
    <row r="775" spans="1:14" x14ac:dyDescent="0.3">
      <c r="A775" s="2">
        <v>41943</v>
      </c>
      <c r="B775">
        <v>1814694.38</v>
      </c>
      <c r="C775">
        <v>553716.25</v>
      </c>
      <c r="D775">
        <v>-85978</v>
      </c>
      <c r="E775">
        <f>D775/MAX($B$2:B775,100000)</f>
        <v>-4.5235570793110594E-2</v>
      </c>
      <c r="H775" s="2"/>
      <c r="I775" s="2"/>
      <c r="N775" s="2"/>
    </row>
    <row r="776" spans="1:14" x14ac:dyDescent="0.3">
      <c r="A776" s="2">
        <v>41950</v>
      </c>
      <c r="B776">
        <v>1826324.38</v>
      </c>
      <c r="C776">
        <v>121234.71</v>
      </c>
      <c r="D776">
        <v>-74348</v>
      </c>
      <c r="E776">
        <f>D776/MAX($B$2:B776,100000)</f>
        <v>-3.9116683539116827E-2</v>
      </c>
      <c r="H776" s="2"/>
      <c r="I776" s="2"/>
      <c r="N776" s="2"/>
    </row>
    <row r="777" spans="1:14" x14ac:dyDescent="0.3">
      <c r="A777" s="2">
        <v>41957</v>
      </c>
      <c r="B777">
        <v>1824543.38</v>
      </c>
      <c r="C777">
        <v>35957.01</v>
      </c>
      <c r="D777">
        <v>-76129</v>
      </c>
      <c r="E777">
        <f>D777/MAX($B$2:B777,100000)</f>
        <v>-4.0053720357634708E-2</v>
      </c>
      <c r="H777" s="2"/>
      <c r="I777" s="2"/>
      <c r="N777" s="2"/>
    </row>
    <row r="778" spans="1:14" x14ac:dyDescent="0.3">
      <c r="A778" s="2">
        <v>41964</v>
      </c>
      <c r="B778">
        <v>1828732</v>
      </c>
      <c r="C778">
        <v>35957.01</v>
      </c>
      <c r="D778">
        <v>-71940.38</v>
      </c>
      <c r="E778">
        <f>D778/MAX($B$2:B778,100000)</f>
        <v>-3.784996339032401E-2</v>
      </c>
      <c r="H778" s="2"/>
      <c r="I778" s="2"/>
      <c r="N778" s="2"/>
    </row>
    <row r="779" spans="1:14" x14ac:dyDescent="0.3">
      <c r="A779" s="2">
        <v>41971</v>
      </c>
      <c r="B779">
        <v>1828790.13</v>
      </c>
      <c r="C779">
        <v>125945.65</v>
      </c>
      <c r="D779">
        <v>-71882.25</v>
      </c>
      <c r="E779">
        <f>D779/MAX($B$2:B779,100000)</f>
        <v>-3.7819379476646049E-2</v>
      </c>
      <c r="H779" s="2"/>
      <c r="I779" s="2"/>
      <c r="N779" s="2"/>
    </row>
    <row r="780" spans="1:14" x14ac:dyDescent="0.3">
      <c r="A780" s="2">
        <v>41978</v>
      </c>
      <c r="B780">
        <v>1884710.5</v>
      </c>
      <c r="C780">
        <v>204095.81</v>
      </c>
      <c r="D780">
        <v>-15961.88</v>
      </c>
      <c r="E780">
        <f>D780/MAX($B$2:B780,100000)</f>
        <v>-8.3980175478742952E-3</v>
      </c>
      <c r="H780" s="2"/>
      <c r="I780" s="2"/>
      <c r="N780" s="2"/>
    </row>
    <row r="781" spans="1:14" x14ac:dyDescent="0.3">
      <c r="A781" s="2">
        <v>41985</v>
      </c>
      <c r="B781">
        <v>1866225.13</v>
      </c>
      <c r="C781">
        <v>288031</v>
      </c>
      <c r="D781">
        <v>-34447.25</v>
      </c>
      <c r="E781">
        <f>D781/MAX($B$2:B781,100000)</f>
        <v>-1.8123717881353127E-2</v>
      </c>
      <c r="H781" s="2"/>
      <c r="I781" s="2"/>
      <c r="N781" s="2"/>
    </row>
    <row r="782" spans="1:14" x14ac:dyDescent="0.3">
      <c r="A782" s="2">
        <v>41992</v>
      </c>
      <c r="B782">
        <v>1902947.5</v>
      </c>
      <c r="C782">
        <v>288031</v>
      </c>
      <c r="D782">
        <v>0</v>
      </c>
      <c r="E782">
        <f>D782/MAX($B$2:B782,100000)</f>
        <v>0</v>
      </c>
      <c r="H782" s="2"/>
      <c r="I782" s="2"/>
      <c r="N782" s="2"/>
    </row>
    <row r="783" spans="1:14" x14ac:dyDescent="0.3">
      <c r="A783" s="2">
        <v>41997</v>
      </c>
      <c r="B783">
        <v>1913190.88</v>
      </c>
      <c r="C783">
        <v>455413.84</v>
      </c>
      <c r="D783">
        <v>0</v>
      </c>
      <c r="E783">
        <f>D783/MAX($B$2:B783,100000)</f>
        <v>0</v>
      </c>
      <c r="H783" s="2"/>
      <c r="I783" s="2"/>
      <c r="N783" s="2"/>
    </row>
    <row r="784" spans="1:14" x14ac:dyDescent="0.3">
      <c r="A784" s="2">
        <v>42006</v>
      </c>
      <c r="B784">
        <v>1939585.38</v>
      </c>
      <c r="C784">
        <v>165745.16</v>
      </c>
      <c r="D784">
        <v>0</v>
      </c>
      <c r="E784">
        <f>D784/MAX($B$2:B784,100000)</f>
        <v>0</v>
      </c>
      <c r="H784" s="2"/>
      <c r="I784" s="2"/>
      <c r="N784" s="2"/>
    </row>
    <row r="785" spans="1:14" x14ac:dyDescent="0.3">
      <c r="A785" s="2">
        <v>42013</v>
      </c>
      <c r="B785">
        <v>1885950.13</v>
      </c>
      <c r="C785">
        <v>73065.62</v>
      </c>
      <c r="D785">
        <v>-53635.25</v>
      </c>
      <c r="E785">
        <f>D785/MAX($B$2:B785,100000)</f>
        <v>-2.765294611573119E-2</v>
      </c>
      <c r="H785" s="2"/>
      <c r="I785" s="2"/>
      <c r="N785" s="2"/>
    </row>
    <row r="786" spans="1:14" x14ac:dyDescent="0.3">
      <c r="A786" s="2">
        <v>42020</v>
      </c>
      <c r="B786">
        <v>1859808.38</v>
      </c>
      <c r="C786">
        <v>73065.62</v>
      </c>
      <c r="D786">
        <v>-79777</v>
      </c>
      <c r="E786">
        <f>D786/MAX($B$2:B786,100000)</f>
        <v>-4.1130955524113097E-2</v>
      </c>
      <c r="H786" s="2"/>
      <c r="I786" s="2"/>
      <c r="N786" s="2"/>
    </row>
    <row r="787" spans="1:14" x14ac:dyDescent="0.3">
      <c r="A787" s="2">
        <v>42027</v>
      </c>
      <c r="B787">
        <v>1867964</v>
      </c>
      <c r="C787">
        <v>73065.62</v>
      </c>
      <c r="D787">
        <v>-71621.38</v>
      </c>
      <c r="E787">
        <f>D787/MAX($B$2:B787,100000)</f>
        <v>-3.6926129026606712E-2</v>
      </c>
      <c r="H787" s="2"/>
      <c r="I787" s="2"/>
      <c r="N787" s="2"/>
    </row>
    <row r="788" spans="1:14" x14ac:dyDescent="0.3">
      <c r="A788" s="2">
        <v>42034</v>
      </c>
      <c r="B788">
        <v>1907689.88</v>
      </c>
      <c r="C788">
        <v>54009.68</v>
      </c>
      <c r="D788">
        <v>-31895.5</v>
      </c>
      <c r="E788">
        <f>D788/MAX($B$2:B788,100000)</f>
        <v>-1.6444493925810062E-2</v>
      </c>
      <c r="H788" s="2"/>
      <c r="I788" s="2"/>
      <c r="N788" s="2"/>
    </row>
    <row r="789" spans="1:14" x14ac:dyDescent="0.3">
      <c r="A789" s="2">
        <v>42041</v>
      </c>
      <c r="B789">
        <v>1934611</v>
      </c>
      <c r="C789">
        <v>54009.68</v>
      </c>
      <c r="D789">
        <v>-4974.38</v>
      </c>
      <c r="E789">
        <f>D789/MAX($B$2:B789,100000)</f>
        <v>-2.5646615257535095E-3</v>
      </c>
      <c r="H789" s="2"/>
      <c r="I789" s="2"/>
      <c r="N789" s="2"/>
    </row>
    <row r="790" spans="1:14" x14ac:dyDescent="0.3">
      <c r="A790" s="2">
        <v>42048</v>
      </c>
      <c r="B790">
        <v>1977167.25</v>
      </c>
      <c r="C790">
        <v>54009.68</v>
      </c>
      <c r="D790">
        <v>0</v>
      </c>
      <c r="E790">
        <f>D790/MAX($B$2:B790,100000)</f>
        <v>0</v>
      </c>
      <c r="H790" s="2"/>
      <c r="I790" s="2"/>
      <c r="N790" s="2"/>
    </row>
    <row r="791" spans="1:14" x14ac:dyDescent="0.3">
      <c r="A791" s="2">
        <v>42055</v>
      </c>
      <c r="B791">
        <v>1997492.38</v>
      </c>
      <c r="C791">
        <v>54009.68</v>
      </c>
      <c r="D791">
        <v>0</v>
      </c>
      <c r="E791">
        <f>D791/MAX($B$2:B791,100000)</f>
        <v>0</v>
      </c>
      <c r="H791" s="2"/>
      <c r="I791" s="2"/>
      <c r="N791" s="2"/>
    </row>
    <row r="792" spans="1:14" x14ac:dyDescent="0.3">
      <c r="A792" s="2">
        <v>42062</v>
      </c>
      <c r="B792">
        <v>2022461.63</v>
      </c>
      <c r="C792">
        <v>54009.68</v>
      </c>
      <c r="D792">
        <v>0</v>
      </c>
      <c r="E792">
        <f>D792/MAX($B$2:B792,100000)</f>
        <v>0</v>
      </c>
      <c r="H792" s="2"/>
      <c r="I792" s="2"/>
      <c r="N792" s="2"/>
    </row>
    <row r="793" spans="1:14" x14ac:dyDescent="0.3">
      <c r="A793" s="2">
        <v>42069</v>
      </c>
      <c r="B793">
        <v>1999014.13</v>
      </c>
      <c r="C793">
        <v>54009.68</v>
      </c>
      <c r="D793">
        <v>-23447.5</v>
      </c>
      <c r="E793">
        <f>D793/MAX($B$2:B793,100000)</f>
        <v>-1.1593545040456467E-2</v>
      </c>
      <c r="H793" s="2"/>
      <c r="I793" s="2"/>
      <c r="N793" s="2"/>
    </row>
    <row r="794" spans="1:14" x14ac:dyDescent="0.3">
      <c r="A794" s="2">
        <v>42076</v>
      </c>
      <c r="B794">
        <v>2012200</v>
      </c>
      <c r="C794">
        <v>54009.68</v>
      </c>
      <c r="D794">
        <v>-10261.629999999999</v>
      </c>
      <c r="E794">
        <f>D794/MAX($B$2:B794,100000)</f>
        <v>-5.0738317344492714E-3</v>
      </c>
      <c r="H794" s="2"/>
      <c r="I794" s="2"/>
      <c r="N794" s="2"/>
    </row>
    <row r="795" spans="1:14" x14ac:dyDescent="0.3">
      <c r="A795" s="2">
        <v>42083</v>
      </c>
      <c r="B795">
        <v>2046346.5</v>
      </c>
      <c r="C795">
        <v>54009.68</v>
      </c>
      <c r="D795">
        <v>0</v>
      </c>
      <c r="E795">
        <f>D795/MAX($B$2:B795,100000)</f>
        <v>0</v>
      </c>
      <c r="H795" s="2"/>
      <c r="I795" s="2"/>
      <c r="N795" s="2"/>
    </row>
    <row r="796" spans="1:14" x14ac:dyDescent="0.3">
      <c r="A796" s="2">
        <v>42090</v>
      </c>
      <c r="B796">
        <v>2030315.5</v>
      </c>
      <c r="C796">
        <v>54009.68</v>
      </c>
      <c r="D796">
        <v>-16031</v>
      </c>
      <c r="E796">
        <f>D796/MAX($B$2:B796,100000)</f>
        <v>-7.8339616482350372E-3</v>
      </c>
      <c r="H796" s="2"/>
      <c r="I796" s="2"/>
      <c r="N796" s="2"/>
    </row>
    <row r="797" spans="1:14" x14ac:dyDescent="0.3">
      <c r="A797" s="2">
        <v>42096</v>
      </c>
      <c r="B797">
        <v>2080428.25</v>
      </c>
      <c r="C797">
        <v>28959.82</v>
      </c>
      <c r="D797">
        <v>0</v>
      </c>
      <c r="E797">
        <f>D797/MAX($B$2:B797,100000)</f>
        <v>0</v>
      </c>
      <c r="H797" s="2"/>
      <c r="I797" s="2"/>
      <c r="N797" s="2"/>
    </row>
    <row r="798" spans="1:14" x14ac:dyDescent="0.3">
      <c r="A798" s="2">
        <v>42104</v>
      </c>
      <c r="B798">
        <v>2071995.5</v>
      </c>
      <c r="C798">
        <v>28959.82</v>
      </c>
      <c r="D798">
        <v>-8432.75</v>
      </c>
      <c r="E798">
        <f>D798/MAX($B$2:B798,100000)</f>
        <v>-4.0533721843086876E-3</v>
      </c>
      <c r="H798" s="2"/>
      <c r="I798" s="2"/>
      <c r="N798" s="2"/>
    </row>
    <row r="799" spans="1:14" x14ac:dyDescent="0.3">
      <c r="A799" s="2">
        <v>42111</v>
      </c>
      <c r="B799">
        <v>2082519.13</v>
      </c>
      <c r="C799">
        <v>28959.82</v>
      </c>
      <c r="D799">
        <v>0</v>
      </c>
      <c r="E799">
        <f>D799/MAX($B$2:B799,100000)</f>
        <v>0</v>
      </c>
      <c r="H799" s="2"/>
      <c r="I799" s="2"/>
      <c r="N799" s="2"/>
    </row>
    <row r="800" spans="1:14" x14ac:dyDescent="0.3">
      <c r="A800" s="2">
        <v>42118</v>
      </c>
      <c r="B800">
        <v>2061553.63</v>
      </c>
      <c r="C800">
        <v>28959.82</v>
      </c>
      <c r="D800">
        <v>-20965.5</v>
      </c>
      <c r="E800">
        <f>D800/MAX($B$2:B800,100000)</f>
        <v>-1.0067374507143184E-2</v>
      </c>
      <c r="H800" s="2"/>
      <c r="I800" s="2"/>
      <c r="N800" s="2"/>
    </row>
    <row r="801" spans="1:14" x14ac:dyDescent="0.3">
      <c r="A801" s="2">
        <v>42125</v>
      </c>
      <c r="B801">
        <v>2051331.63</v>
      </c>
      <c r="C801">
        <v>95609.24</v>
      </c>
      <c r="D801">
        <v>-31187.5</v>
      </c>
      <c r="E801">
        <f>D801/MAX($B$2:B801,100000)</f>
        <v>-1.4975852826859747E-2</v>
      </c>
      <c r="H801" s="2"/>
      <c r="I801" s="2"/>
      <c r="N801" s="2"/>
    </row>
    <row r="802" spans="1:14" x14ac:dyDescent="0.3">
      <c r="A802" s="2">
        <v>42132</v>
      </c>
      <c r="B802">
        <v>2033858.75</v>
      </c>
      <c r="C802">
        <v>95609.24</v>
      </c>
      <c r="D802">
        <v>-48660.38</v>
      </c>
      <c r="E802">
        <f>D802/MAX($B$2:B802,100000)</f>
        <v>-2.3366114288707638E-2</v>
      </c>
      <c r="H802" s="2"/>
      <c r="I802" s="2"/>
      <c r="N802" s="2"/>
    </row>
    <row r="803" spans="1:14" x14ac:dyDescent="0.3">
      <c r="A803" s="2">
        <v>42139</v>
      </c>
      <c r="B803">
        <v>2024312.75</v>
      </c>
      <c r="C803">
        <v>305856.38</v>
      </c>
      <c r="D803">
        <v>-58206.38</v>
      </c>
      <c r="E803">
        <f>D803/MAX($B$2:B803,100000)</f>
        <v>-2.7949985746349423E-2</v>
      </c>
      <c r="H803" s="2"/>
      <c r="I803" s="2"/>
      <c r="N803" s="2"/>
    </row>
    <row r="804" spans="1:14" x14ac:dyDescent="0.3">
      <c r="A804" s="2">
        <v>42146</v>
      </c>
      <c r="B804">
        <v>2029815.5</v>
      </c>
      <c r="C804">
        <v>398847.91</v>
      </c>
      <c r="D804">
        <v>-52703.63</v>
      </c>
      <c r="E804">
        <f>D804/MAX($B$2:B804,100000)</f>
        <v>-2.530763306841748E-2</v>
      </c>
      <c r="H804" s="2"/>
      <c r="I804" s="2"/>
      <c r="N804" s="2"/>
    </row>
    <row r="805" spans="1:14" x14ac:dyDescent="0.3">
      <c r="A805" s="2">
        <v>42153</v>
      </c>
      <c r="B805">
        <v>2062975.5</v>
      </c>
      <c r="C805">
        <v>518965.28</v>
      </c>
      <c r="D805">
        <v>-19543.63</v>
      </c>
      <c r="E805">
        <f>D805/MAX($B$2:B805,100000)</f>
        <v>-9.3846100707848015E-3</v>
      </c>
      <c r="H805" s="2"/>
      <c r="I805" s="2"/>
      <c r="N805" s="2"/>
    </row>
    <row r="806" spans="1:14" x14ac:dyDescent="0.3">
      <c r="A806" s="2">
        <v>42160</v>
      </c>
      <c r="B806">
        <v>2059953.38</v>
      </c>
      <c r="C806">
        <v>518965.28</v>
      </c>
      <c r="D806">
        <v>-22565.75</v>
      </c>
      <c r="E806">
        <f>D806/MAX($B$2:B806,100000)</f>
        <v>-1.0835794819325381E-2</v>
      </c>
      <c r="H806" s="2"/>
      <c r="I806" s="2"/>
      <c r="N806" s="2"/>
    </row>
    <row r="807" spans="1:14" x14ac:dyDescent="0.3">
      <c r="A807" s="2">
        <v>42167</v>
      </c>
      <c r="B807">
        <v>2042853.13</v>
      </c>
      <c r="C807">
        <v>518965.28</v>
      </c>
      <c r="D807">
        <v>-39666</v>
      </c>
      <c r="E807">
        <f>D807/MAX($B$2:B807,100000)</f>
        <v>-1.9047123951269538E-2</v>
      </c>
      <c r="H807" s="2"/>
      <c r="I807" s="2"/>
      <c r="N807" s="2"/>
    </row>
    <row r="808" spans="1:14" x14ac:dyDescent="0.3">
      <c r="A808" s="2">
        <v>42174</v>
      </c>
      <c r="B808">
        <v>2028949.13</v>
      </c>
      <c r="C808">
        <v>710762.06</v>
      </c>
      <c r="D808">
        <v>-53570</v>
      </c>
      <c r="E808">
        <f>D808/MAX($B$2:B808,100000)</f>
        <v>-2.5723653256428912E-2</v>
      </c>
      <c r="H808" s="2"/>
      <c r="I808" s="2"/>
      <c r="N808" s="2"/>
    </row>
    <row r="809" spans="1:14" x14ac:dyDescent="0.3">
      <c r="A809" s="2">
        <v>42181</v>
      </c>
      <c r="B809">
        <v>2025937.25</v>
      </c>
      <c r="C809">
        <v>832752.5</v>
      </c>
      <c r="D809">
        <v>-56581.88</v>
      </c>
      <c r="E809">
        <f>D809/MAX($B$2:B809,100000)</f>
        <v>-2.7169920883271789E-2</v>
      </c>
      <c r="H809" s="2"/>
      <c r="I809" s="2"/>
      <c r="N809" s="2"/>
    </row>
    <row r="810" spans="1:14" x14ac:dyDescent="0.3">
      <c r="A810" s="2">
        <v>42188</v>
      </c>
      <c r="B810">
        <v>2024382.13</v>
      </c>
      <c r="C810">
        <v>939091.38</v>
      </c>
      <c r="D810">
        <v>-58137</v>
      </c>
      <c r="E810">
        <f>D810/MAX($B$2:B810,100000)</f>
        <v>-2.7916670326096838E-2</v>
      </c>
      <c r="H810" s="2"/>
      <c r="I810" s="2"/>
      <c r="N810" s="2"/>
    </row>
    <row r="811" spans="1:14" x14ac:dyDescent="0.3">
      <c r="A811" s="2">
        <v>42195</v>
      </c>
      <c r="B811">
        <v>1999023.75</v>
      </c>
      <c r="C811">
        <v>1138446.75</v>
      </c>
      <c r="D811">
        <v>-83495.38</v>
      </c>
      <c r="E811">
        <f>D811/MAX($B$2:B811,100000)</f>
        <v>-4.0093451626540405E-2</v>
      </c>
      <c r="H811" s="2"/>
      <c r="I811" s="2"/>
      <c r="N811" s="2"/>
    </row>
    <row r="812" spans="1:14" x14ac:dyDescent="0.3">
      <c r="A812" s="2">
        <v>42202</v>
      </c>
      <c r="B812">
        <v>2013075.38</v>
      </c>
      <c r="C812">
        <v>1138446.75</v>
      </c>
      <c r="D812">
        <v>-69443.75</v>
      </c>
      <c r="E812">
        <f>D812/MAX($B$2:B812,100000)</f>
        <v>-3.334603221628029E-2</v>
      </c>
      <c r="H812" s="2"/>
      <c r="I812" s="2"/>
      <c r="N812" s="2"/>
    </row>
    <row r="813" spans="1:14" x14ac:dyDescent="0.3">
      <c r="A813" s="2">
        <v>42209</v>
      </c>
      <c r="B813">
        <v>2010315.88</v>
      </c>
      <c r="C813">
        <v>1138446.75</v>
      </c>
      <c r="D813">
        <v>-72203.25</v>
      </c>
      <c r="E813">
        <f>D813/MAX($B$2:B813,100000)</f>
        <v>-3.4671110080030813E-2</v>
      </c>
      <c r="H813" s="2"/>
      <c r="I813" s="2"/>
      <c r="N813" s="2"/>
    </row>
    <row r="814" spans="1:14" x14ac:dyDescent="0.3">
      <c r="A814" s="2">
        <v>42216</v>
      </c>
      <c r="B814">
        <v>2022013.63</v>
      </c>
      <c r="C814">
        <v>1138446.75</v>
      </c>
      <c r="D814">
        <v>-60505.5</v>
      </c>
      <c r="E814">
        <f>D814/MAX($B$2:B814,100000)</f>
        <v>-2.9053994812523045E-2</v>
      </c>
      <c r="H814" s="2"/>
      <c r="I814" s="2"/>
      <c r="N814" s="2"/>
    </row>
    <row r="815" spans="1:14" x14ac:dyDescent="0.3">
      <c r="A815" s="2">
        <v>42223</v>
      </c>
      <c r="B815">
        <v>2041185.38</v>
      </c>
      <c r="C815">
        <v>271512.31</v>
      </c>
      <c r="D815">
        <v>-41333.75</v>
      </c>
      <c r="E815">
        <f>D815/MAX($B$2:B815,100000)</f>
        <v>-1.9847956930892637E-2</v>
      </c>
      <c r="H815" s="2"/>
      <c r="I815" s="2"/>
      <c r="N815" s="2"/>
    </row>
    <row r="816" spans="1:14" x14ac:dyDescent="0.3">
      <c r="A816" s="2">
        <v>42230</v>
      </c>
      <c r="B816">
        <v>2032349.38</v>
      </c>
      <c r="C816">
        <v>271512.31</v>
      </c>
      <c r="D816">
        <v>-50169.75</v>
      </c>
      <c r="E816">
        <f>D816/MAX($B$2:B816,100000)</f>
        <v>-2.4090895145822744E-2</v>
      </c>
      <c r="H816" s="2"/>
      <c r="I816" s="2"/>
      <c r="N816" s="2"/>
    </row>
    <row r="817" spans="1:14" x14ac:dyDescent="0.3">
      <c r="A817" s="2">
        <v>42237</v>
      </c>
      <c r="B817">
        <v>2027141.25</v>
      </c>
      <c r="C817">
        <v>271512.31</v>
      </c>
      <c r="D817">
        <v>-55377.88</v>
      </c>
      <c r="E817">
        <f>D817/MAX($B$2:B817,100000)</f>
        <v>-2.6591774933659312E-2</v>
      </c>
      <c r="H817" s="2"/>
      <c r="I817" s="2"/>
      <c r="N817" s="2"/>
    </row>
    <row r="818" spans="1:14" x14ac:dyDescent="0.3">
      <c r="A818" s="2">
        <v>42244</v>
      </c>
      <c r="B818">
        <v>2023310.88</v>
      </c>
      <c r="C818">
        <v>352336.03</v>
      </c>
      <c r="D818">
        <v>-59208.25</v>
      </c>
      <c r="E818">
        <f>D818/MAX($B$2:B818,100000)</f>
        <v>-2.8431071363075548E-2</v>
      </c>
      <c r="H818" s="2"/>
      <c r="I818" s="2"/>
      <c r="N818" s="2"/>
    </row>
    <row r="819" spans="1:14" x14ac:dyDescent="0.3">
      <c r="A819" s="2">
        <v>42251</v>
      </c>
      <c r="B819">
        <v>2002577.63</v>
      </c>
      <c r="C819">
        <v>510774.13</v>
      </c>
      <c r="D819">
        <v>-79941.5</v>
      </c>
      <c r="E819">
        <f>D819/MAX($B$2:B819,100000)</f>
        <v>-3.8386922284838747E-2</v>
      </c>
      <c r="H819" s="2"/>
      <c r="I819" s="2"/>
      <c r="N819" s="2"/>
    </row>
    <row r="820" spans="1:14" x14ac:dyDescent="0.3">
      <c r="A820" s="2">
        <v>42258</v>
      </c>
      <c r="B820">
        <v>2035628.25</v>
      </c>
      <c r="C820">
        <v>510774.13</v>
      </c>
      <c r="D820">
        <v>-46890.879999999997</v>
      </c>
      <c r="E820">
        <f>D820/MAX($B$2:B820,100000)</f>
        <v>-2.2516422214090299E-2</v>
      </c>
      <c r="H820" s="2"/>
      <c r="I820" s="2"/>
      <c r="N820" s="2"/>
    </row>
    <row r="821" spans="1:14" x14ac:dyDescent="0.3">
      <c r="A821" s="2">
        <v>42265</v>
      </c>
      <c r="B821">
        <v>2007361.13</v>
      </c>
      <c r="C821">
        <v>510774.13</v>
      </c>
      <c r="D821">
        <v>-75158</v>
      </c>
      <c r="E821">
        <f>D821/MAX($B$2:B821,100000)</f>
        <v>-3.6089944585527049E-2</v>
      </c>
      <c r="H821" s="2"/>
      <c r="I821" s="2"/>
      <c r="N821" s="2"/>
    </row>
    <row r="822" spans="1:14" x14ac:dyDescent="0.3">
      <c r="A822" s="2">
        <v>42272</v>
      </c>
      <c r="B822">
        <v>2033706.38</v>
      </c>
      <c r="C822">
        <v>510774.13</v>
      </c>
      <c r="D822">
        <v>-48812.75</v>
      </c>
      <c r="E822">
        <f>D822/MAX($B$2:B822,100000)</f>
        <v>-2.3439280483344229E-2</v>
      </c>
      <c r="H822" s="2"/>
      <c r="I822" s="2"/>
      <c r="N822" s="2"/>
    </row>
    <row r="823" spans="1:14" x14ac:dyDescent="0.3">
      <c r="A823" s="2">
        <v>42279</v>
      </c>
      <c r="B823">
        <v>2037373.88</v>
      </c>
      <c r="C823">
        <v>702811.81</v>
      </c>
      <c r="D823">
        <v>-45145.25</v>
      </c>
      <c r="E823">
        <f>D823/MAX($B$2:B823,100000)</f>
        <v>-2.1678192219055391E-2</v>
      </c>
      <c r="H823" s="2"/>
      <c r="I823" s="2"/>
      <c r="N823" s="2"/>
    </row>
    <row r="824" spans="1:14" x14ac:dyDescent="0.3">
      <c r="A824" s="2">
        <v>42286</v>
      </c>
      <c r="B824">
        <v>2032832.25</v>
      </c>
      <c r="C824">
        <v>702811.81</v>
      </c>
      <c r="D824">
        <v>-49686.879999999997</v>
      </c>
      <c r="E824">
        <f>D824/MAX($B$2:B824,100000)</f>
        <v>-2.3859026927642198E-2</v>
      </c>
      <c r="H824" s="2"/>
      <c r="I824" s="2"/>
      <c r="N824" s="2"/>
    </row>
    <row r="825" spans="1:14" x14ac:dyDescent="0.3">
      <c r="A825" s="2">
        <v>42293</v>
      </c>
      <c r="B825">
        <v>2041157.75</v>
      </c>
      <c r="C825">
        <v>702811.81</v>
      </c>
      <c r="D825">
        <v>-41361.379999999997</v>
      </c>
      <c r="E825">
        <f>D825/MAX($B$2:B825,100000)</f>
        <v>-1.9861224516098442E-2</v>
      </c>
      <c r="H825" s="2"/>
      <c r="I825" s="2"/>
      <c r="N825" s="2"/>
    </row>
    <row r="826" spans="1:14" x14ac:dyDescent="0.3">
      <c r="A826" s="2">
        <v>42300</v>
      </c>
      <c r="B826">
        <v>2083752.38</v>
      </c>
      <c r="C826">
        <v>702811.81</v>
      </c>
      <c r="D826">
        <v>0</v>
      </c>
      <c r="E826">
        <f>D826/MAX($B$2:B826,100000)</f>
        <v>0</v>
      </c>
      <c r="H826" s="2"/>
      <c r="I826" s="2"/>
      <c r="N826" s="2"/>
    </row>
    <row r="827" spans="1:14" x14ac:dyDescent="0.3">
      <c r="A827" s="2">
        <v>42307</v>
      </c>
      <c r="B827">
        <v>2077155.38</v>
      </c>
      <c r="C827">
        <v>3675.58</v>
      </c>
      <c r="D827">
        <v>-6597</v>
      </c>
      <c r="E827">
        <f>D827/MAX($B$2:B827,100000)</f>
        <v>-3.1659231986096163E-3</v>
      </c>
      <c r="H827" s="2"/>
      <c r="I827" s="2"/>
      <c r="N827" s="2"/>
    </row>
    <row r="828" spans="1:14" x14ac:dyDescent="0.3">
      <c r="A828" s="2">
        <v>42314</v>
      </c>
      <c r="B828">
        <v>2060630.25</v>
      </c>
      <c r="C828">
        <v>3675.58</v>
      </c>
      <c r="D828">
        <v>-23122.13</v>
      </c>
      <c r="E828">
        <f>D828/MAX($B$2:B828,100000)</f>
        <v>-1.1096390445394478E-2</v>
      </c>
      <c r="H828" s="2"/>
      <c r="I828" s="2"/>
      <c r="N828" s="2"/>
    </row>
    <row r="829" spans="1:14" x14ac:dyDescent="0.3">
      <c r="A829" s="2">
        <v>42321</v>
      </c>
      <c r="B829">
        <v>2052987.88</v>
      </c>
      <c r="C829">
        <v>315289.94</v>
      </c>
      <c r="D829">
        <v>-30764.5</v>
      </c>
      <c r="E829">
        <f>D829/MAX($B$2:B829,100000)</f>
        <v>-1.4763990335550332E-2</v>
      </c>
      <c r="H829" s="2"/>
      <c r="I829" s="2"/>
      <c r="N829" s="2"/>
    </row>
    <row r="830" spans="1:14" x14ac:dyDescent="0.3">
      <c r="A830" s="2">
        <v>42328</v>
      </c>
      <c r="B830">
        <v>2048061.25</v>
      </c>
      <c r="C830">
        <v>487982.28</v>
      </c>
      <c r="D830">
        <v>-35691.129999999997</v>
      </c>
      <c r="E830">
        <f>D830/MAX($B$2:B830,100000)</f>
        <v>-1.7128297173198668E-2</v>
      </c>
      <c r="H830" s="2"/>
      <c r="I830" s="2"/>
      <c r="N830" s="2"/>
    </row>
    <row r="831" spans="1:14" x14ac:dyDescent="0.3">
      <c r="A831" s="2">
        <v>42335</v>
      </c>
      <c r="B831">
        <v>2045406.25</v>
      </c>
      <c r="C831">
        <v>91606.63</v>
      </c>
      <c r="D831">
        <v>-38346.129999999997</v>
      </c>
      <c r="E831">
        <f>D831/MAX($B$2:B831,100000)</f>
        <v>-1.8402440888873755E-2</v>
      </c>
      <c r="H831" s="2"/>
      <c r="I831" s="2"/>
      <c r="N831" s="2"/>
    </row>
    <row r="832" spans="1:14" x14ac:dyDescent="0.3">
      <c r="A832" s="2">
        <v>42342</v>
      </c>
      <c r="B832">
        <v>2082048.75</v>
      </c>
      <c r="C832">
        <v>90848.21</v>
      </c>
      <c r="D832">
        <v>-1703.63</v>
      </c>
      <c r="E832">
        <f>D832/MAX($B$2:B832,100000)</f>
        <v>-8.1757795040886781E-4</v>
      </c>
      <c r="H832" s="2"/>
      <c r="I832" s="2"/>
      <c r="N832" s="2"/>
    </row>
    <row r="833" spans="1:14" x14ac:dyDescent="0.3">
      <c r="A833" s="2">
        <v>42349</v>
      </c>
      <c r="B833">
        <v>2096678.25</v>
      </c>
      <c r="C833">
        <v>90848.21</v>
      </c>
      <c r="D833">
        <v>0</v>
      </c>
      <c r="E833">
        <f>D833/MAX($B$2:B833,100000)</f>
        <v>0</v>
      </c>
      <c r="H833" s="2"/>
      <c r="I833" s="2"/>
      <c r="N833" s="2"/>
    </row>
    <row r="834" spans="1:14" x14ac:dyDescent="0.3">
      <c r="A834" s="2">
        <v>42356</v>
      </c>
      <c r="B834">
        <v>2126949.25</v>
      </c>
      <c r="C834">
        <v>468115.38</v>
      </c>
      <c r="D834">
        <v>0</v>
      </c>
      <c r="E834">
        <f>D834/MAX($B$2:B834,100000)</f>
        <v>0</v>
      </c>
      <c r="H834" s="2"/>
      <c r="I834" s="2"/>
      <c r="N834" s="2"/>
    </row>
    <row r="835" spans="1:14" x14ac:dyDescent="0.3">
      <c r="A835" s="2">
        <v>42362</v>
      </c>
      <c r="B835">
        <v>2129074</v>
      </c>
      <c r="C835">
        <v>549114.25</v>
      </c>
      <c r="D835">
        <v>0</v>
      </c>
      <c r="E835">
        <f>D835/MAX($B$2:B835,100000)</f>
        <v>0</v>
      </c>
      <c r="H835" s="2"/>
      <c r="I835" s="2"/>
      <c r="N835" s="2"/>
    </row>
    <row r="836" spans="1:14" x14ac:dyDescent="0.3">
      <c r="A836" s="2">
        <v>42369</v>
      </c>
      <c r="B836">
        <v>2150578.5</v>
      </c>
      <c r="C836">
        <v>134060.78</v>
      </c>
      <c r="D836">
        <v>0</v>
      </c>
      <c r="E836">
        <f>D836/MAX($B$2:B836,100000)</f>
        <v>0</v>
      </c>
      <c r="H836" s="2"/>
      <c r="I836" s="2"/>
      <c r="N836" s="2"/>
    </row>
    <row r="837" spans="1:14" x14ac:dyDescent="0.3">
      <c r="A837" s="2">
        <v>42377</v>
      </c>
      <c r="B837">
        <v>2131460.75</v>
      </c>
      <c r="C837">
        <v>31812.02</v>
      </c>
      <c r="D837">
        <v>-19117.75</v>
      </c>
      <c r="E837">
        <f>D837/MAX($B$2:B837,100000)</f>
        <v>-8.8895848256643501E-3</v>
      </c>
      <c r="H837" s="2"/>
      <c r="I837" s="2"/>
      <c r="N837" s="2"/>
    </row>
    <row r="838" spans="1:14" x14ac:dyDescent="0.3">
      <c r="A838" s="2">
        <v>42384</v>
      </c>
      <c r="B838">
        <v>2121048</v>
      </c>
      <c r="C838">
        <v>31812.02</v>
      </c>
      <c r="D838">
        <v>-29530.5</v>
      </c>
      <c r="E838">
        <f>D838/MAX($B$2:B838,100000)</f>
        <v>-1.3731421568661641E-2</v>
      </c>
      <c r="H838" s="2"/>
      <c r="I838" s="2"/>
      <c r="N838" s="2"/>
    </row>
    <row r="839" spans="1:14" x14ac:dyDescent="0.3">
      <c r="A839" s="2">
        <v>42391</v>
      </c>
      <c r="B839">
        <v>2110019</v>
      </c>
      <c r="C839">
        <v>129003.99</v>
      </c>
      <c r="D839">
        <v>-40559.5</v>
      </c>
      <c r="E839">
        <f>D839/MAX($B$2:B839,100000)</f>
        <v>-1.8859809116477264E-2</v>
      </c>
      <c r="H839" s="2"/>
      <c r="I839" s="2"/>
      <c r="N839" s="2"/>
    </row>
    <row r="840" spans="1:14" x14ac:dyDescent="0.3">
      <c r="A840" s="2">
        <v>42398</v>
      </c>
      <c r="B840">
        <v>2091519.25</v>
      </c>
      <c r="C840">
        <v>313068.03000000003</v>
      </c>
      <c r="D840">
        <v>-59059.25</v>
      </c>
      <c r="E840">
        <f>D840/MAX($B$2:B840,100000)</f>
        <v>-2.7462029402786272E-2</v>
      </c>
      <c r="H840" s="2"/>
      <c r="I840" s="2"/>
      <c r="N840" s="2"/>
    </row>
    <row r="841" spans="1:14" x14ac:dyDescent="0.3">
      <c r="A841" s="2">
        <v>42405</v>
      </c>
      <c r="B841">
        <v>2050391.25</v>
      </c>
      <c r="C841">
        <v>313068.03000000003</v>
      </c>
      <c r="D841">
        <v>-100187.25</v>
      </c>
      <c r="E841">
        <f>D841/MAX($B$2:B841,100000)</f>
        <v>-4.6586185996000611E-2</v>
      </c>
      <c r="H841" s="2"/>
      <c r="I841" s="2"/>
      <c r="N841" s="2"/>
    </row>
    <row r="842" spans="1:14" x14ac:dyDescent="0.3">
      <c r="A842" s="2">
        <v>42412</v>
      </c>
      <c r="B842">
        <v>1974887.13</v>
      </c>
      <c r="C842">
        <v>377988.16</v>
      </c>
      <c r="D842">
        <v>-175691.38</v>
      </c>
      <c r="E842">
        <f>D842/MAX($B$2:B842,100000)</f>
        <v>-8.169493929191611E-2</v>
      </c>
      <c r="H842" s="2"/>
      <c r="I842" s="2"/>
      <c r="N842" s="2"/>
    </row>
    <row r="843" spans="1:14" x14ac:dyDescent="0.3">
      <c r="A843" s="2">
        <v>42419</v>
      </c>
      <c r="B843">
        <v>2000675.88</v>
      </c>
      <c r="C843">
        <v>695038.19</v>
      </c>
      <c r="D843">
        <v>-149902.63</v>
      </c>
      <c r="E843">
        <f>D843/MAX($B$2:B843,100000)</f>
        <v>-6.9703398411171694E-2</v>
      </c>
      <c r="H843" s="2"/>
      <c r="I843" s="2"/>
      <c r="N843" s="2"/>
    </row>
    <row r="844" spans="1:14" x14ac:dyDescent="0.3">
      <c r="A844" s="2">
        <v>42426</v>
      </c>
      <c r="B844">
        <v>1997744.25</v>
      </c>
      <c r="C844">
        <v>1183599.8799999999</v>
      </c>
      <c r="D844">
        <v>-152834.25</v>
      </c>
      <c r="E844">
        <f>D844/MAX($B$2:B844,100000)</f>
        <v>-7.1066575807393215E-2</v>
      </c>
      <c r="H844" s="2"/>
      <c r="I844" s="2"/>
      <c r="N844" s="2"/>
    </row>
    <row r="845" spans="1:14" x14ac:dyDescent="0.3">
      <c r="A845" s="2">
        <v>42433</v>
      </c>
      <c r="B845">
        <v>1994925.25</v>
      </c>
      <c r="C845">
        <v>1183599.8799999999</v>
      </c>
      <c r="D845">
        <v>-155653.25</v>
      </c>
      <c r="E845">
        <f>D845/MAX($B$2:B845,100000)</f>
        <v>-7.2377385898724458E-2</v>
      </c>
      <c r="H845" s="2"/>
      <c r="I845" s="2"/>
      <c r="N845" s="2"/>
    </row>
    <row r="846" spans="1:14" x14ac:dyDescent="0.3">
      <c r="A846" s="2">
        <v>42440</v>
      </c>
      <c r="B846">
        <v>2003709.88</v>
      </c>
      <c r="C846">
        <v>41741.550000000003</v>
      </c>
      <c r="D846">
        <v>-146868.63</v>
      </c>
      <c r="E846">
        <f>D846/MAX($B$2:B846,100000)</f>
        <v>-6.8292615219579286E-2</v>
      </c>
      <c r="H846" s="2"/>
      <c r="I846" s="2"/>
      <c r="N846" s="2"/>
    </row>
    <row r="847" spans="1:14" x14ac:dyDescent="0.3">
      <c r="A847" s="2">
        <v>42447</v>
      </c>
      <c r="B847">
        <v>1993753</v>
      </c>
      <c r="C847">
        <v>41741.550000000003</v>
      </c>
      <c r="D847">
        <v>-156825.5</v>
      </c>
      <c r="E847">
        <f>D847/MAX($B$2:B847,100000)</f>
        <v>-7.292247179072979E-2</v>
      </c>
      <c r="H847" s="2"/>
      <c r="I847" s="2"/>
      <c r="N847" s="2"/>
    </row>
    <row r="848" spans="1:14" x14ac:dyDescent="0.3">
      <c r="A848" s="2">
        <v>42453</v>
      </c>
      <c r="B848">
        <v>1927278.38</v>
      </c>
      <c r="C848">
        <v>41741.550000000003</v>
      </c>
      <c r="D848">
        <v>-223300.13</v>
      </c>
      <c r="E848">
        <f>D848/MAX($B$2:B848,100000)</f>
        <v>-0.10383258737125849</v>
      </c>
      <c r="H848" s="2"/>
      <c r="I848" s="2"/>
      <c r="N848" s="2"/>
    </row>
    <row r="849" spans="1:14" x14ac:dyDescent="0.3">
      <c r="A849" s="2">
        <v>42461</v>
      </c>
      <c r="B849">
        <v>1961329.88</v>
      </c>
      <c r="C849">
        <v>41741.550000000003</v>
      </c>
      <c r="D849">
        <v>-189248.63</v>
      </c>
      <c r="E849">
        <f>D849/MAX($B$2:B849,100000)</f>
        <v>-8.7998940750128402E-2</v>
      </c>
      <c r="H849" s="2"/>
      <c r="I849" s="2"/>
      <c r="N849" s="2"/>
    </row>
    <row r="850" spans="1:14" x14ac:dyDescent="0.3">
      <c r="A850" s="2">
        <v>42468</v>
      </c>
      <c r="B850">
        <v>1957487.63</v>
      </c>
      <c r="C850">
        <v>218063.35999999999</v>
      </c>
      <c r="D850">
        <v>-193090.88</v>
      </c>
      <c r="E850">
        <f>D850/MAX($B$2:B850,100000)</f>
        <v>-8.9785553050028166E-2</v>
      </c>
      <c r="H850" s="2"/>
      <c r="I850" s="2"/>
      <c r="N850" s="2"/>
    </row>
    <row r="851" spans="1:14" x14ac:dyDescent="0.3">
      <c r="A851" s="2">
        <v>42475</v>
      </c>
      <c r="B851">
        <v>1985127.13</v>
      </c>
      <c r="C851">
        <v>295887.13</v>
      </c>
      <c r="D851">
        <v>-165451.38</v>
      </c>
      <c r="E851">
        <f>D851/MAX($B$2:B851,100000)</f>
        <v>-7.6933429772500755E-2</v>
      </c>
      <c r="H851" s="2"/>
      <c r="I851" s="2"/>
      <c r="N851" s="2"/>
    </row>
    <row r="852" spans="1:14" x14ac:dyDescent="0.3">
      <c r="A852" s="2">
        <v>42482</v>
      </c>
      <c r="B852">
        <v>2002371</v>
      </c>
      <c r="C852">
        <v>11267.85</v>
      </c>
      <c r="D852">
        <v>-148207.5</v>
      </c>
      <c r="E852">
        <f>D852/MAX($B$2:B852,100000)</f>
        <v>-6.8915177939331204E-2</v>
      </c>
      <c r="H852" s="2"/>
      <c r="I852" s="2"/>
      <c r="N852" s="2"/>
    </row>
    <row r="853" spans="1:14" x14ac:dyDescent="0.3">
      <c r="A853" s="2">
        <v>42489</v>
      </c>
      <c r="B853">
        <v>2023729.88</v>
      </c>
      <c r="C853">
        <v>11267.85</v>
      </c>
      <c r="D853">
        <v>-126848.63</v>
      </c>
      <c r="E853">
        <f>D853/MAX($B$2:B853,100000)</f>
        <v>-5.8983492116191062E-2</v>
      </c>
      <c r="H853" s="2"/>
      <c r="I853" s="2"/>
      <c r="N853" s="2"/>
    </row>
    <row r="854" spans="1:14" x14ac:dyDescent="0.3">
      <c r="A854" s="2">
        <v>42496</v>
      </c>
      <c r="B854">
        <v>2059784.75</v>
      </c>
      <c r="C854">
        <v>11267.85</v>
      </c>
      <c r="D854">
        <v>-90793.75</v>
      </c>
      <c r="E854">
        <f>D854/MAX($B$2:B854,100000)</f>
        <v>-4.2218291496915833E-2</v>
      </c>
      <c r="H854" s="2"/>
      <c r="I854" s="2"/>
      <c r="N854" s="2"/>
    </row>
    <row r="855" spans="1:14" x14ac:dyDescent="0.3">
      <c r="A855" s="2">
        <v>42503</v>
      </c>
      <c r="B855">
        <v>2102442.25</v>
      </c>
      <c r="C855">
        <v>11267.85</v>
      </c>
      <c r="D855">
        <v>-48136.25</v>
      </c>
      <c r="E855">
        <f>D855/MAX($B$2:B855,100000)</f>
        <v>-2.2382930918355224E-2</v>
      </c>
      <c r="H855" s="2"/>
      <c r="I855" s="2"/>
      <c r="N855" s="2"/>
    </row>
    <row r="856" spans="1:14" x14ac:dyDescent="0.3">
      <c r="A856" s="2">
        <v>42510</v>
      </c>
      <c r="B856">
        <v>2069387</v>
      </c>
      <c r="C856">
        <v>11267.85</v>
      </c>
      <c r="D856">
        <v>-81191.5</v>
      </c>
      <c r="E856">
        <f>D856/MAX($B$2:B856,100000)</f>
        <v>-3.7753330092344918E-2</v>
      </c>
      <c r="H856" s="2"/>
      <c r="I856" s="2"/>
      <c r="N856" s="2"/>
    </row>
    <row r="857" spans="1:14" x14ac:dyDescent="0.3">
      <c r="A857" s="2">
        <v>42517</v>
      </c>
      <c r="B857">
        <v>2065558.25</v>
      </c>
      <c r="C857">
        <v>18982.8</v>
      </c>
      <c r="D857">
        <v>-85020.25</v>
      </c>
      <c r="E857">
        <f>D857/MAX($B$2:B857,100000)</f>
        <v>-3.9533665011530619E-2</v>
      </c>
      <c r="H857" s="2"/>
      <c r="I857" s="2"/>
      <c r="N857" s="2"/>
    </row>
    <row r="858" spans="1:14" x14ac:dyDescent="0.3">
      <c r="A858" s="2">
        <v>42524</v>
      </c>
      <c r="B858">
        <v>2127388.75</v>
      </c>
      <c r="C858">
        <v>18982.8</v>
      </c>
      <c r="D858">
        <v>-23189.75</v>
      </c>
      <c r="E858">
        <f>D858/MAX($B$2:B858,100000)</f>
        <v>-1.0783028845494364E-2</v>
      </c>
      <c r="H858" s="2"/>
      <c r="I858" s="2"/>
      <c r="N858" s="2"/>
    </row>
    <row r="859" spans="1:14" x14ac:dyDescent="0.3">
      <c r="A859" s="2">
        <v>42531</v>
      </c>
      <c r="B859">
        <v>2156684</v>
      </c>
      <c r="C859">
        <v>18982.8</v>
      </c>
      <c r="D859">
        <v>0</v>
      </c>
      <c r="E859">
        <f>D859/MAX($B$2:B859,100000)</f>
        <v>0</v>
      </c>
      <c r="H859" s="2"/>
      <c r="I859" s="2"/>
      <c r="N859" s="2"/>
    </row>
    <row r="860" spans="1:14" x14ac:dyDescent="0.3">
      <c r="A860" s="2">
        <v>42538</v>
      </c>
      <c r="B860">
        <v>2135621</v>
      </c>
      <c r="C860">
        <v>18982.8</v>
      </c>
      <c r="D860">
        <v>-21063</v>
      </c>
      <c r="E860">
        <f>D860/MAX($B$2:B860,100000)</f>
        <v>-9.7663820939924446E-3</v>
      </c>
      <c r="H860" s="2"/>
      <c r="I860" s="2"/>
      <c r="N860" s="2"/>
    </row>
    <row r="861" spans="1:14" x14ac:dyDescent="0.3">
      <c r="A861" s="2">
        <v>42545</v>
      </c>
      <c r="B861">
        <v>2130463.75</v>
      </c>
      <c r="C861">
        <v>78733.850000000006</v>
      </c>
      <c r="D861">
        <v>-26220.25</v>
      </c>
      <c r="E861">
        <f>D861/MAX($B$2:B861,100000)</f>
        <v>-1.2157668902815619E-2</v>
      </c>
      <c r="H861" s="2"/>
      <c r="I861" s="2"/>
      <c r="N861" s="2"/>
    </row>
    <row r="862" spans="1:14" x14ac:dyDescent="0.3">
      <c r="A862" s="2">
        <v>42552</v>
      </c>
      <c r="B862">
        <v>2200346.5</v>
      </c>
      <c r="C862">
        <v>273062.56</v>
      </c>
      <c r="D862">
        <v>0</v>
      </c>
      <c r="E862">
        <f>D862/MAX($B$2:B862,100000)</f>
        <v>0</v>
      </c>
      <c r="H862" s="2"/>
      <c r="I862" s="2"/>
      <c r="N862" s="2"/>
    </row>
    <row r="863" spans="1:14" x14ac:dyDescent="0.3">
      <c r="A863" s="2">
        <v>42559</v>
      </c>
      <c r="B863">
        <v>2269282.5</v>
      </c>
      <c r="C863">
        <v>56301.59</v>
      </c>
      <c r="D863">
        <v>0</v>
      </c>
      <c r="E863">
        <f>D863/MAX($B$2:B863,100000)</f>
        <v>0</v>
      </c>
      <c r="H863" s="2"/>
      <c r="I863" s="2"/>
      <c r="N863" s="2"/>
    </row>
    <row r="864" spans="1:14" x14ac:dyDescent="0.3">
      <c r="A864" s="2">
        <v>42566</v>
      </c>
      <c r="B864">
        <v>2313822.25</v>
      </c>
      <c r="C864">
        <v>56301.59</v>
      </c>
      <c r="D864">
        <v>0</v>
      </c>
      <c r="E864">
        <f>D864/MAX($B$2:B864,100000)</f>
        <v>0</v>
      </c>
      <c r="H864" s="2"/>
      <c r="I864" s="2"/>
      <c r="N864" s="2"/>
    </row>
    <row r="865" spans="1:14" x14ac:dyDescent="0.3">
      <c r="A865" s="2">
        <v>42573</v>
      </c>
      <c r="B865">
        <v>2340520.5</v>
      </c>
      <c r="C865">
        <v>56301.59</v>
      </c>
      <c r="D865">
        <v>0</v>
      </c>
      <c r="E865">
        <f>D865/MAX($B$2:B865,100000)</f>
        <v>0</v>
      </c>
      <c r="H865" s="2"/>
      <c r="I865" s="2"/>
      <c r="N865" s="2"/>
    </row>
    <row r="866" spans="1:14" x14ac:dyDescent="0.3">
      <c r="A866" s="2">
        <v>42580</v>
      </c>
      <c r="B866">
        <v>2416539.5</v>
      </c>
      <c r="C866">
        <v>56301.59</v>
      </c>
      <c r="D866">
        <v>0</v>
      </c>
      <c r="E866">
        <f>D866/MAX($B$2:B866,100000)</f>
        <v>0</v>
      </c>
      <c r="H866" s="2"/>
      <c r="I866" s="2"/>
      <c r="N866" s="2"/>
    </row>
    <row r="867" spans="1:14" x14ac:dyDescent="0.3">
      <c r="A867" s="2">
        <v>42587</v>
      </c>
      <c r="B867">
        <v>2478371.5</v>
      </c>
      <c r="C867">
        <v>56301.59</v>
      </c>
      <c r="D867">
        <v>0</v>
      </c>
      <c r="E867">
        <f>D867/MAX($B$2:B867,100000)</f>
        <v>0</v>
      </c>
      <c r="H867" s="2"/>
      <c r="I867" s="2"/>
      <c r="N867" s="2"/>
    </row>
    <row r="868" spans="1:14" x14ac:dyDescent="0.3">
      <c r="A868" s="2">
        <v>42594</v>
      </c>
      <c r="B868">
        <v>2554960.25</v>
      </c>
      <c r="C868">
        <v>56301.59</v>
      </c>
      <c r="D868">
        <v>0</v>
      </c>
      <c r="E868">
        <f>D868/MAX($B$2:B868,100000)</f>
        <v>0</v>
      </c>
      <c r="H868" s="2"/>
      <c r="I868" s="2"/>
      <c r="N868" s="2"/>
    </row>
    <row r="869" spans="1:14" x14ac:dyDescent="0.3">
      <c r="A869" s="2">
        <v>42601</v>
      </c>
      <c r="B869">
        <v>2571039</v>
      </c>
      <c r="C869">
        <v>56301.59</v>
      </c>
      <c r="D869">
        <v>0</v>
      </c>
      <c r="E869">
        <f>D869/MAX($B$2:B869,100000)</f>
        <v>0</v>
      </c>
      <c r="H869" s="2"/>
      <c r="I869" s="2"/>
      <c r="N869" s="2"/>
    </row>
    <row r="870" spans="1:14" x14ac:dyDescent="0.3">
      <c r="A870" s="2">
        <v>42608</v>
      </c>
      <c r="B870">
        <v>2509645</v>
      </c>
      <c r="C870">
        <v>56301.59</v>
      </c>
      <c r="D870">
        <v>-61394</v>
      </c>
      <c r="E870">
        <f>D870/MAX($B$2:B870,100000)</f>
        <v>-2.3879062122355982E-2</v>
      </c>
      <c r="H870" s="2"/>
      <c r="I870" s="2"/>
      <c r="N870" s="2"/>
    </row>
    <row r="871" spans="1:14" x14ac:dyDescent="0.3">
      <c r="A871" s="2">
        <v>42615</v>
      </c>
      <c r="B871">
        <v>2511267</v>
      </c>
      <c r="C871">
        <v>40153.300000000003</v>
      </c>
      <c r="D871">
        <v>-59772</v>
      </c>
      <c r="E871">
        <f>D871/MAX($B$2:B871,100000)</f>
        <v>-2.3248188767264907E-2</v>
      </c>
      <c r="H871" s="2"/>
      <c r="I871" s="2"/>
      <c r="N871" s="2"/>
    </row>
    <row r="872" spans="1:14" x14ac:dyDescent="0.3">
      <c r="A872" s="2">
        <v>42622</v>
      </c>
      <c r="B872">
        <v>2579438.5</v>
      </c>
      <c r="C872">
        <v>40153.300000000003</v>
      </c>
      <c r="D872">
        <v>0</v>
      </c>
      <c r="E872">
        <f>D872/MAX($B$2:B872,100000)</f>
        <v>0</v>
      </c>
      <c r="H872" s="2"/>
      <c r="I872" s="2"/>
      <c r="N872" s="2"/>
    </row>
    <row r="873" spans="1:14" x14ac:dyDescent="0.3">
      <c r="A873" s="2">
        <v>42629</v>
      </c>
      <c r="B873">
        <v>2585027.25</v>
      </c>
      <c r="C873">
        <v>40153.300000000003</v>
      </c>
      <c r="D873">
        <v>0</v>
      </c>
      <c r="E873">
        <f>D873/MAX($B$2:B873,100000)</f>
        <v>0</v>
      </c>
      <c r="H873" s="2"/>
      <c r="I873" s="2"/>
      <c r="N873" s="2"/>
    </row>
    <row r="874" spans="1:14" x14ac:dyDescent="0.3">
      <c r="A874" s="2">
        <v>42636</v>
      </c>
      <c r="B874">
        <v>2569413.5</v>
      </c>
      <c r="C874">
        <v>100723.48</v>
      </c>
      <c r="D874">
        <v>-15613.75</v>
      </c>
      <c r="E874">
        <f>D874/MAX($B$2:B874,100000)</f>
        <v>-6.0400717245824003E-3</v>
      </c>
      <c r="H874" s="2"/>
      <c r="I874" s="2"/>
      <c r="N874" s="2"/>
    </row>
    <row r="875" spans="1:14" x14ac:dyDescent="0.3">
      <c r="A875" s="2">
        <v>42643</v>
      </c>
      <c r="B875">
        <v>2593627.25</v>
      </c>
      <c r="C875">
        <v>220963.75</v>
      </c>
      <c r="D875">
        <v>0</v>
      </c>
      <c r="E875">
        <f>D875/MAX($B$2:B875,100000)</f>
        <v>0</v>
      </c>
      <c r="H875" s="2"/>
      <c r="I875" s="2"/>
      <c r="N875" s="2"/>
    </row>
    <row r="876" spans="1:14" x14ac:dyDescent="0.3">
      <c r="A876" s="2">
        <v>42650</v>
      </c>
      <c r="B876">
        <v>2577015.75</v>
      </c>
      <c r="C876">
        <v>319095.53000000003</v>
      </c>
      <c r="D876">
        <v>-16611.5</v>
      </c>
      <c r="E876">
        <f>D876/MAX($B$2:B876,100000)</f>
        <v>-6.4047368410398986E-3</v>
      </c>
      <c r="H876" s="2"/>
      <c r="I876" s="2"/>
      <c r="N876" s="2"/>
    </row>
    <row r="877" spans="1:14" x14ac:dyDescent="0.3">
      <c r="A877" s="2">
        <v>42657</v>
      </c>
      <c r="B877">
        <v>2598919.75</v>
      </c>
      <c r="C877">
        <v>72557.149999999994</v>
      </c>
      <c r="D877">
        <v>0</v>
      </c>
      <c r="E877">
        <f>D877/MAX($B$2:B877,100000)</f>
        <v>0</v>
      </c>
      <c r="H877" s="2"/>
      <c r="I877" s="2"/>
      <c r="N877" s="2"/>
    </row>
    <row r="878" spans="1:14" x14ac:dyDescent="0.3">
      <c r="A878" s="2">
        <v>42664</v>
      </c>
      <c r="B878">
        <v>2631304.5</v>
      </c>
      <c r="C878">
        <v>72557.149999999994</v>
      </c>
      <c r="D878">
        <v>0</v>
      </c>
      <c r="E878">
        <f>D878/MAX($B$2:B878,100000)</f>
        <v>0</v>
      </c>
      <c r="H878" s="2"/>
      <c r="I878" s="2"/>
      <c r="N878" s="2"/>
    </row>
    <row r="879" spans="1:14" x14ac:dyDescent="0.3">
      <c r="A879" s="2">
        <v>42671</v>
      </c>
      <c r="B879">
        <v>2589665</v>
      </c>
      <c r="C879">
        <v>263836.94</v>
      </c>
      <c r="D879">
        <v>-41639.5</v>
      </c>
      <c r="E879">
        <f>D879/MAX($B$2:B879,100000)</f>
        <v>-1.5824660353828301E-2</v>
      </c>
      <c r="H879" s="2"/>
      <c r="I879" s="2"/>
      <c r="N879" s="2"/>
    </row>
    <row r="880" spans="1:14" x14ac:dyDescent="0.3">
      <c r="A880" s="2">
        <v>42678</v>
      </c>
      <c r="B880">
        <v>2474680.25</v>
      </c>
      <c r="C880">
        <v>263836.94</v>
      </c>
      <c r="D880">
        <v>-156624.25</v>
      </c>
      <c r="E880">
        <f>D880/MAX($B$2:B880,100000)</f>
        <v>-5.9523422697753146E-2</v>
      </c>
      <c r="H880" s="2"/>
      <c r="I880" s="2"/>
      <c r="N880" s="2"/>
    </row>
    <row r="881" spans="1:14" x14ac:dyDescent="0.3">
      <c r="A881" s="2">
        <v>42685</v>
      </c>
      <c r="B881">
        <v>2468765</v>
      </c>
      <c r="C881">
        <v>523724.13</v>
      </c>
      <c r="D881">
        <v>-162539.5</v>
      </c>
      <c r="E881">
        <f>D881/MAX($B$2:B881,100000)</f>
        <v>-6.1771452144744173E-2</v>
      </c>
      <c r="H881" s="2"/>
      <c r="I881" s="2"/>
      <c r="N881" s="2"/>
    </row>
    <row r="882" spans="1:14" x14ac:dyDescent="0.3">
      <c r="A882" s="2">
        <v>42692</v>
      </c>
      <c r="B882">
        <v>2442649.5</v>
      </c>
      <c r="C882">
        <v>1079517.75</v>
      </c>
      <c r="D882">
        <v>-188655</v>
      </c>
      <c r="E882">
        <f>D882/MAX($B$2:B882,100000)</f>
        <v>-7.1696377215179768E-2</v>
      </c>
      <c r="H882" s="2"/>
      <c r="I882" s="2"/>
      <c r="N882" s="2"/>
    </row>
    <row r="883" spans="1:14" x14ac:dyDescent="0.3">
      <c r="A883" s="2">
        <v>42699</v>
      </c>
      <c r="B883">
        <v>2467846.5</v>
      </c>
      <c r="C883">
        <v>1079517.75</v>
      </c>
      <c r="D883">
        <v>-163458</v>
      </c>
      <c r="E883">
        <f>D883/MAX($B$2:B883,100000)</f>
        <v>-6.2120518548879462E-2</v>
      </c>
      <c r="H883" s="2"/>
      <c r="I883" s="2"/>
      <c r="N883" s="2"/>
    </row>
    <row r="884" spans="1:14" x14ac:dyDescent="0.3">
      <c r="A884" s="2">
        <v>42706</v>
      </c>
      <c r="B884">
        <v>2436292.25</v>
      </c>
      <c r="C884">
        <v>955638.25</v>
      </c>
      <c r="D884">
        <v>-195012.25</v>
      </c>
      <c r="E884">
        <f>D884/MAX($B$2:B884,100000)</f>
        <v>-7.4112384180546192E-2</v>
      </c>
      <c r="H884" s="2"/>
      <c r="I884" s="2"/>
      <c r="N884" s="2"/>
    </row>
    <row r="885" spans="1:14" x14ac:dyDescent="0.3">
      <c r="A885" s="2">
        <v>42713</v>
      </c>
      <c r="B885">
        <v>2442750.25</v>
      </c>
      <c r="C885">
        <v>955638.25</v>
      </c>
      <c r="D885">
        <v>-188554.25</v>
      </c>
      <c r="E885">
        <f>D885/MAX($B$2:B885,100000)</f>
        <v>-7.1658088222020674E-2</v>
      </c>
      <c r="H885" s="2"/>
      <c r="I885" s="2"/>
      <c r="N885" s="2"/>
    </row>
    <row r="886" spans="1:14" x14ac:dyDescent="0.3">
      <c r="A886" s="2">
        <v>42720</v>
      </c>
      <c r="B886">
        <v>2462006</v>
      </c>
      <c r="C886">
        <v>867487.56</v>
      </c>
      <c r="D886">
        <v>-169298.5</v>
      </c>
      <c r="E886">
        <f>D886/MAX($B$2:B886,100000)</f>
        <v>-6.4340140033204068E-2</v>
      </c>
      <c r="H886" s="2"/>
      <c r="I886" s="2"/>
      <c r="N886" s="2"/>
    </row>
    <row r="887" spans="1:14" x14ac:dyDescent="0.3">
      <c r="A887" s="2">
        <v>42727</v>
      </c>
      <c r="B887">
        <v>2449017.75</v>
      </c>
      <c r="C887">
        <v>515742.91</v>
      </c>
      <c r="D887">
        <v>-182286.75</v>
      </c>
      <c r="E887">
        <f>D887/MAX($B$2:B887,100000)</f>
        <v>-6.9276189813835681E-2</v>
      </c>
      <c r="H887" s="2"/>
      <c r="I887" s="2"/>
      <c r="N887" s="2"/>
    </row>
    <row r="888" spans="1:14" x14ac:dyDescent="0.3">
      <c r="A888" s="2">
        <v>42734</v>
      </c>
      <c r="B888">
        <v>2483571</v>
      </c>
      <c r="C888">
        <v>515742.91</v>
      </c>
      <c r="D888">
        <v>-147733.5</v>
      </c>
      <c r="E888">
        <f>D888/MAX($B$2:B888,100000)</f>
        <v>-5.6144585318802898E-2</v>
      </c>
      <c r="H888" s="2"/>
      <c r="I888" s="2"/>
      <c r="N888" s="2"/>
    </row>
    <row r="889" spans="1:14" x14ac:dyDescent="0.3">
      <c r="A889" s="2">
        <v>42741</v>
      </c>
      <c r="B889">
        <v>2515462</v>
      </c>
      <c r="C889">
        <v>515742.91</v>
      </c>
      <c r="D889">
        <v>-115842.5</v>
      </c>
      <c r="E889">
        <f>D889/MAX($B$2:B889,100000)</f>
        <v>-4.4024741340274377E-2</v>
      </c>
      <c r="H889" s="2"/>
      <c r="I889" s="2"/>
      <c r="N889" s="2"/>
    </row>
    <row r="890" spans="1:14" x14ac:dyDescent="0.3">
      <c r="A890" s="2">
        <v>42748</v>
      </c>
      <c r="B890">
        <v>2496718</v>
      </c>
      <c r="C890">
        <v>35746.050000000003</v>
      </c>
      <c r="D890">
        <v>-134586.5</v>
      </c>
      <c r="E890">
        <f>D890/MAX($B$2:B890,100000)</f>
        <v>-5.1148204246220838E-2</v>
      </c>
      <c r="H890" s="2"/>
      <c r="I890" s="2"/>
      <c r="N890" s="2"/>
    </row>
    <row r="891" spans="1:14" x14ac:dyDescent="0.3">
      <c r="A891" s="2">
        <v>42755</v>
      </c>
      <c r="B891">
        <v>2490239</v>
      </c>
      <c r="C891">
        <v>35746.050000000003</v>
      </c>
      <c r="D891">
        <v>-141065.5</v>
      </c>
      <c r="E891">
        <f>D891/MAX($B$2:B891,100000)</f>
        <v>-5.3610481037067358E-2</v>
      </c>
      <c r="H891" s="2"/>
      <c r="I891" s="2"/>
      <c r="N891" s="2"/>
    </row>
    <row r="892" spans="1:14" x14ac:dyDescent="0.3">
      <c r="A892" s="2">
        <v>42762</v>
      </c>
      <c r="B892">
        <v>2443005.5</v>
      </c>
      <c r="C892">
        <v>35746.050000000003</v>
      </c>
      <c r="D892">
        <v>-188299</v>
      </c>
      <c r="E892">
        <f>D892/MAX($B$2:B892,100000)</f>
        <v>-7.1561083105357054E-2</v>
      </c>
      <c r="H892" s="2"/>
      <c r="I892" s="2"/>
      <c r="N892" s="2"/>
    </row>
    <row r="893" spans="1:14" x14ac:dyDescent="0.3">
      <c r="A893" s="2">
        <v>42769</v>
      </c>
      <c r="B893">
        <v>2390432.75</v>
      </c>
      <c r="C893">
        <v>28327.93</v>
      </c>
      <c r="D893">
        <v>-240871.75</v>
      </c>
      <c r="E893">
        <f>D893/MAX($B$2:B893,100000)</f>
        <v>-9.1540811791261709E-2</v>
      </c>
      <c r="H893" s="2"/>
      <c r="I893" s="2"/>
      <c r="N893" s="2"/>
    </row>
    <row r="894" spans="1:14" x14ac:dyDescent="0.3">
      <c r="A894" s="2">
        <v>42776</v>
      </c>
      <c r="B894">
        <v>2436438</v>
      </c>
      <c r="C894">
        <v>28327.93</v>
      </c>
      <c r="D894">
        <v>-194866.5</v>
      </c>
      <c r="E894">
        <f>D894/MAX($B$2:B894,100000)</f>
        <v>-7.4056993403842086E-2</v>
      </c>
      <c r="H894" s="2"/>
      <c r="I894" s="2"/>
      <c r="N894" s="2"/>
    </row>
    <row r="895" spans="1:14" x14ac:dyDescent="0.3">
      <c r="A895" s="2">
        <v>42783</v>
      </c>
      <c r="B895">
        <v>2538787.25</v>
      </c>
      <c r="C895">
        <v>28327.93</v>
      </c>
      <c r="D895">
        <v>-92517.25</v>
      </c>
      <c r="E895">
        <f>D895/MAX($B$2:B895,100000)</f>
        <v>-3.5160221859537731E-2</v>
      </c>
      <c r="H895" s="2"/>
      <c r="I895" s="2"/>
      <c r="N895" s="2"/>
    </row>
    <row r="896" spans="1:14" x14ac:dyDescent="0.3">
      <c r="A896" s="2">
        <v>42790</v>
      </c>
      <c r="B896">
        <v>2503523</v>
      </c>
      <c r="C896">
        <v>28327.93</v>
      </c>
      <c r="D896">
        <v>-127781.5</v>
      </c>
      <c r="E896">
        <f>D896/MAX($B$2:B896,100000)</f>
        <v>-4.8562034534581612E-2</v>
      </c>
      <c r="H896" s="2"/>
      <c r="I896" s="2"/>
      <c r="N896" s="2"/>
    </row>
    <row r="897" spans="1:14" x14ac:dyDescent="0.3">
      <c r="A897" s="2">
        <v>42797</v>
      </c>
      <c r="B897">
        <v>2480942</v>
      </c>
      <c r="C897">
        <v>70281.59</v>
      </c>
      <c r="D897">
        <v>-150362.5</v>
      </c>
      <c r="E897">
        <f>D897/MAX($B$2:B897,100000)</f>
        <v>-5.7143709517465578E-2</v>
      </c>
      <c r="H897" s="2"/>
      <c r="I897" s="2"/>
      <c r="N897" s="2"/>
    </row>
    <row r="898" spans="1:14" x14ac:dyDescent="0.3">
      <c r="A898" s="2">
        <v>42804</v>
      </c>
      <c r="B898">
        <v>2434384.25</v>
      </c>
      <c r="C898">
        <v>70281.59</v>
      </c>
      <c r="D898">
        <v>-196920.25</v>
      </c>
      <c r="E898">
        <f>D898/MAX($B$2:B898,100000)</f>
        <v>-7.4837499802854437E-2</v>
      </c>
      <c r="H898" s="2"/>
      <c r="I898" s="2"/>
      <c r="N898" s="2"/>
    </row>
    <row r="899" spans="1:14" x14ac:dyDescent="0.3">
      <c r="A899" s="2">
        <v>42811</v>
      </c>
      <c r="B899">
        <v>2453336.75</v>
      </c>
      <c r="C899">
        <v>70281.59</v>
      </c>
      <c r="D899">
        <v>-177967.75</v>
      </c>
      <c r="E899">
        <f>D899/MAX($B$2:B899,100000)</f>
        <v>-6.7634798633149446E-2</v>
      </c>
      <c r="H899" s="2"/>
      <c r="I899" s="2"/>
      <c r="N899" s="2"/>
    </row>
    <row r="900" spans="1:14" x14ac:dyDescent="0.3">
      <c r="A900" s="2">
        <v>42818</v>
      </c>
      <c r="B900">
        <v>2420521.25</v>
      </c>
      <c r="C900">
        <v>58761.97</v>
      </c>
      <c r="D900">
        <v>-210783.25</v>
      </c>
      <c r="E900">
        <f>D900/MAX($B$2:B900,100000)</f>
        <v>-8.0105989253619253E-2</v>
      </c>
      <c r="H900" s="2"/>
      <c r="I900" s="2"/>
      <c r="N900" s="2"/>
    </row>
    <row r="901" spans="1:14" x14ac:dyDescent="0.3">
      <c r="A901" s="2">
        <v>42825</v>
      </c>
      <c r="B901">
        <v>2444645.5</v>
      </c>
      <c r="C901">
        <v>53468.56</v>
      </c>
      <c r="D901">
        <v>-186659</v>
      </c>
      <c r="E901">
        <f>D901/MAX($B$2:B901,100000)</f>
        <v>-7.0937818105050177E-2</v>
      </c>
      <c r="H901" s="2"/>
      <c r="I901" s="2"/>
      <c r="N901" s="2"/>
    </row>
    <row r="902" spans="1:14" x14ac:dyDescent="0.3">
      <c r="A902" s="2">
        <v>42832</v>
      </c>
      <c r="B902">
        <v>2461484</v>
      </c>
      <c r="C902">
        <v>64336.81</v>
      </c>
      <c r="D902">
        <v>-169820.5</v>
      </c>
      <c r="E902">
        <f>D902/MAX($B$2:B902,100000)</f>
        <v>-6.4538520722326131E-2</v>
      </c>
      <c r="H902" s="2"/>
      <c r="I902" s="2"/>
      <c r="N902" s="2"/>
    </row>
    <row r="903" spans="1:14" x14ac:dyDescent="0.3">
      <c r="A903" s="2">
        <v>42838</v>
      </c>
      <c r="B903">
        <v>2465610.25</v>
      </c>
      <c r="C903">
        <v>64336.81</v>
      </c>
      <c r="D903">
        <v>-165694.25</v>
      </c>
      <c r="E903">
        <f>D903/MAX($B$2:B903,100000)</f>
        <v>-6.2970382181157677E-2</v>
      </c>
      <c r="H903" s="2"/>
      <c r="I903" s="2"/>
      <c r="N903" s="2"/>
    </row>
    <row r="904" spans="1:14" x14ac:dyDescent="0.3">
      <c r="A904" s="2">
        <v>42846</v>
      </c>
      <c r="B904">
        <v>2437992.25</v>
      </c>
      <c r="C904">
        <v>64336.81</v>
      </c>
      <c r="D904">
        <v>-193312.25</v>
      </c>
      <c r="E904">
        <f>D904/MAX($B$2:B904,100000)</f>
        <v>-7.3466316802179299E-2</v>
      </c>
      <c r="H904" s="2"/>
      <c r="I904" s="2"/>
      <c r="N904" s="2"/>
    </row>
    <row r="905" spans="1:14" x14ac:dyDescent="0.3">
      <c r="A905" s="2">
        <v>42853</v>
      </c>
      <c r="B905">
        <v>2459832.5</v>
      </c>
      <c r="C905">
        <v>64336.81</v>
      </c>
      <c r="D905">
        <v>-171472</v>
      </c>
      <c r="E905">
        <f>D905/MAX($B$2:B905,100000)</f>
        <v>-6.5166156178427845E-2</v>
      </c>
      <c r="H905" s="2"/>
      <c r="I905" s="2"/>
      <c r="N905" s="2"/>
    </row>
    <row r="906" spans="1:14" x14ac:dyDescent="0.3">
      <c r="A906" s="2">
        <v>42860</v>
      </c>
      <c r="B906">
        <v>2434205.5</v>
      </c>
      <c r="C906">
        <v>115615.27</v>
      </c>
      <c r="D906">
        <v>-197099</v>
      </c>
      <c r="E906">
        <f>D906/MAX($B$2:B906,100000)</f>
        <v>-7.4905431887491547E-2</v>
      </c>
      <c r="H906" s="2"/>
      <c r="I906" s="2"/>
      <c r="N906" s="2"/>
    </row>
    <row r="907" spans="1:14" x14ac:dyDescent="0.3">
      <c r="A907" s="2">
        <v>42867</v>
      </c>
      <c r="B907">
        <v>2463925.5</v>
      </c>
      <c r="C907">
        <v>113002.8</v>
      </c>
      <c r="D907">
        <v>-167379</v>
      </c>
      <c r="E907">
        <f>D907/MAX($B$2:B907,100000)</f>
        <v>-6.3610653955100974E-2</v>
      </c>
      <c r="H907" s="2"/>
      <c r="I907" s="2"/>
      <c r="N907" s="2"/>
    </row>
    <row r="908" spans="1:14" x14ac:dyDescent="0.3">
      <c r="A908" s="2">
        <v>42874</v>
      </c>
      <c r="B908">
        <v>2434314</v>
      </c>
      <c r="C908">
        <v>111175.16</v>
      </c>
      <c r="D908">
        <v>-196990.5</v>
      </c>
      <c r="E908">
        <f>D908/MAX($B$2:B908,100000)</f>
        <v>-7.4864197587166365E-2</v>
      </c>
      <c r="H908" s="2"/>
      <c r="I908" s="2"/>
      <c r="N908" s="2"/>
    </row>
    <row r="909" spans="1:14" x14ac:dyDescent="0.3">
      <c r="A909" s="2">
        <v>42881</v>
      </c>
      <c r="B909">
        <v>2441080</v>
      </c>
      <c r="C909">
        <v>111175.16</v>
      </c>
      <c r="D909">
        <v>-190224.5</v>
      </c>
      <c r="E909">
        <f>D909/MAX($B$2:B909,100000)</f>
        <v>-7.2292849421266139E-2</v>
      </c>
      <c r="H909" s="2"/>
      <c r="I909" s="2"/>
      <c r="N909" s="2"/>
    </row>
    <row r="910" spans="1:14" x14ac:dyDescent="0.3">
      <c r="A910" s="2">
        <v>42888</v>
      </c>
      <c r="B910">
        <v>2412124.75</v>
      </c>
      <c r="C910">
        <v>249512.81</v>
      </c>
      <c r="D910">
        <v>-219179.75</v>
      </c>
      <c r="E910">
        <f>D910/MAX($B$2:B910,100000)</f>
        <v>-8.3296992043300197E-2</v>
      </c>
      <c r="H910" s="2"/>
      <c r="I910" s="2"/>
      <c r="N910" s="2"/>
    </row>
    <row r="911" spans="1:14" x14ac:dyDescent="0.3">
      <c r="A911" s="2">
        <v>42895</v>
      </c>
      <c r="B911">
        <v>2395601.75</v>
      </c>
      <c r="C911">
        <v>459052.03</v>
      </c>
      <c r="D911">
        <v>-235702.75</v>
      </c>
      <c r="E911">
        <f>D911/MAX($B$2:B911,100000)</f>
        <v>-8.9576386921392026E-2</v>
      </c>
      <c r="H911" s="2"/>
      <c r="I911" s="2"/>
      <c r="N911" s="2"/>
    </row>
    <row r="912" spans="1:14" x14ac:dyDescent="0.3">
      <c r="A912" s="2">
        <v>42902</v>
      </c>
      <c r="B912">
        <v>2423218.5</v>
      </c>
      <c r="C912">
        <v>574765.81000000006</v>
      </c>
      <c r="D912">
        <v>-208086</v>
      </c>
      <c r="E912">
        <f>D912/MAX($B$2:B912,100000)</f>
        <v>-7.9080927349913316E-2</v>
      </c>
      <c r="H912" s="2"/>
      <c r="I912" s="2"/>
      <c r="N912" s="2"/>
    </row>
    <row r="913" spans="1:14" x14ac:dyDescent="0.3">
      <c r="A913" s="2">
        <v>42909</v>
      </c>
      <c r="B913">
        <v>2408342</v>
      </c>
      <c r="C913">
        <v>700463.25</v>
      </c>
      <c r="D913">
        <v>-222962.5</v>
      </c>
      <c r="E913">
        <f>D913/MAX($B$2:B913,100000)</f>
        <v>-8.4734586970075104E-2</v>
      </c>
      <c r="H913" s="2"/>
      <c r="I913" s="2"/>
      <c r="N913" s="2"/>
    </row>
    <row r="914" spans="1:14" x14ac:dyDescent="0.3">
      <c r="A914" s="2">
        <v>42916</v>
      </c>
      <c r="B914">
        <v>2433183.5</v>
      </c>
      <c r="C914">
        <v>700463.25</v>
      </c>
      <c r="D914">
        <v>-198121</v>
      </c>
      <c r="E914">
        <f>D914/MAX($B$2:B914,100000)</f>
        <v>-7.5293832393780347E-2</v>
      </c>
      <c r="H914" s="2"/>
      <c r="I914" s="2"/>
      <c r="N914" s="2"/>
    </row>
    <row r="915" spans="1:14" x14ac:dyDescent="0.3">
      <c r="A915" s="2">
        <v>42923</v>
      </c>
      <c r="B915">
        <v>2437702.25</v>
      </c>
      <c r="C915">
        <v>816755.38</v>
      </c>
      <c r="D915">
        <v>-193602.25</v>
      </c>
      <c r="E915">
        <f>D915/MAX($B$2:B915,100000)</f>
        <v>-7.3576528296136007E-2</v>
      </c>
      <c r="H915" s="2"/>
      <c r="I915" s="2"/>
      <c r="N915" s="2"/>
    </row>
    <row r="916" spans="1:14" x14ac:dyDescent="0.3">
      <c r="A916" s="2">
        <v>42930</v>
      </c>
      <c r="B916">
        <v>2445411.25</v>
      </c>
      <c r="C916">
        <v>816755.38</v>
      </c>
      <c r="D916">
        <v>-185893.25</v>
      </c>
      <c r="E916">
        <f>D916/MAX($B$2:B916,100000)</f>
        <v>-7.0646802755059329E-2</v>
      </c>
      <c r="H916" s="2"/>
      <c r="I916" s="2"/>
      <c r="N916" s="2"/>
    </row>
    <row r="917" spans="1:14" x14ac:dyDescent="0.3">
      <c r="A917" s="2">
        <v>42937</v>
      </c>
      <c r="B917">
        <v>2449268</v>
      </c>
      <c r="C917">
        <v>816755.38</v>
      </c>
      <c r="D917">
        <v>-182036.5</v>
      </c>
      <c r="E917">
        <f>D917/MAX($B$2:B917,100000)</f>
        <v>-6.9181084895343734E-2</v>
      </c>
      <c r="H917" s="2"/>
      <c r="I917" s="2"/>
      <c r="N917" s="2"/>
    </row>
    <row r="918" spans="1:14" x14ac:dyDescent="0.3">
      <c r="A918" s="2">
        <v>42944</v>
      </c>
      <c r="B918">
        <v>2427898.5</v>
      </c>
      <c r="C918">
        <v>930788.5</v>
      </c>
      <c r="D918">
        <v>-203406</v>
      </c>
      <c r="E918">
        <f>D918/MAX($B$2:B918,100000)</f>
        <v>-7.7302341861232707E-2</v>
      </c>
      <c r="H918" s="2"/>
      <c r="I918" s="2"/>
      <c r="N918" s="2"/>
    </row>
    <row r="919" spans="1:14" x14ac:dyDescent="0.3">
      <c r="A919" s="2">
        <v>42951</v>
      </c>
      <c r="B919">
        <v>2440598.25</v>
      </c>
      <c r="C919">
        <v>930788.5</v>
      </c>
      <c r="D919">
        <v>-190706.25</v>
      </c>
      <c r="E919">
        <f>D919/MAX($B$2:B919,100000)</f>
        <v>-7.2475933515106297E-2</v>
      </c>
      <c r="H919" s="2"/>
      <c r="I919" s="2"/>
      <c r="N919" s="2"/>
    </row>
    <row r="920" spans="1:14" x14ac:dyDescent="0.3">
      <c r="A920" s="2">
        <v>42958</v>
      </c>
      <c r="B920">
        <v>2438354.5</v>
      </c>
      <c r="C920">
        <v>1044462.31</v>
      </c>
      <c r="D920">
        <v>-192950</v>
      </c>
      <c r="E920">
        <f>D920/MAX($B$2:B920,100000)</f>
        <v>-7.3328647444642001E-2</v>
      </c>
      <c r="H920" s="2"/>
      <c r="I920" s="2"/>
      <c r="N920" s="2"/>
    </row>
    <row r="921" spans="1:14" x14ac:dyDescent="0.3">
      <c r="A921" s="2">
        <v>42965</v>
      </c>
      <c r="B921">
        <v>2457694.5</v>
      </c>
      <c r="C921">
        <v>1044462.31</v>
      </c>
      <c r="D921">
        <v>-173610</v>
      </c>
      <c r="E921">
        <f>D921/MAX($B$2:B921,100000)</f>
        <v>-6.5978680916632795E-2</v>
      </c>
      <c r="H921" s="2"/>
      <c r="I921" s="2"/>
      <c r="N921" s="2"/>
    </row>
    <row r="922" spans="1:14" x14ac:dyDescent="0.3">
      <c r="A922" s="2">
        <v>42972</v>
      </c>
      <c r="B922">
        <v>2457523.5</v>
      </c>
      <c r="C922">
        <v>108666.88</v>
      </c>
      <c r="D922">
        <v>-173781</v>
      </c>
      <c r="E922">
        <f>D922/MAX($B$2:B922,100000)</f>
        <v>-6.6043667694103816E-2</v>
      </c>
      <c r="H922" s="2"/>
      <c r="I922" s="2"/>
      <c r="N922" s="2"/>
    </row>
    <row r="923" spans="1:14" x14ac:dyDescent="0.3">
      <c r="A923" s="2">
        <v>42979</v>
      </c>
      <c r="B923">
        <v>2460861.75</v>
      </c>
      <c r="C923">
        <v>108666.88</v>
      </c>
      <c r="D923">
        <v>-170442.75</v>
      </c>
      <c r="E923">
        <f>D923/MAX($B$2:B923,100000)</f>
        <v>-6.477500038479013E-2</v>
      </c>
      <c r="H923" s="2"/>
      <c r="I923" s="2"/>
      <c r="N923" s="2"/>
    </row>
    <row r="924" spans="1:14" x14ac:dyDescent="0.3">
      <c r="A924" s="2">
        <v>42986</v>
      </c>
      <c r="B924">
        <v>2530163</v>
      </c>
      <c r="C924">
        <v>1437.5</v>
      </c>
      <c r="D924">
        <v>-101141.5</v>
      </c>
      <c r="E924">
        <f>D924/MAX($B$2:B924,100000)</f>
        <v>-3.8437778675938117E-2</v>
      </c>
      <c r="H924" s="2"/>
      <c r="I924" s="2"/>
      <c r="N924" s="2"/>
    </row>
    <row r="925" spans="1:14" x14ac:dyDescent="0.3">
      <c r="A925" s="2">
        <v>42993</v>
      </c>
      <c r="B925">
        <v>2538265.75</v>
      </c>
      <c r="C925">
        <v>1437.5</v>
      </c>
      <c r="D925">
        <v>-93038.75</v>
      </c>
      <c r="E925">
        <f>D925/MAX($B$2:B925,100000)</f>
        <v>-3.5358412528842635E-2</v>
      </c>
      <c r="H925" s="2"/>
      <c r="I925" s="2"/>
      <c r="N925" s="2"/>
    </row>
    <row r="926" spans="1:14" x14ac:dyDescent="0.3">
      <c r="A926" s="2">
        <v>43000</v>
      </c>
      <c r="B926">
        <v>2510948.75</v>
      </c>
      <c r="C926">
        <v>1437.5</v>
      </c>
      <c r="D926">
        <v>-120355.75</v>
      </c>
      <c r="E926">
        <f>D926/MAX($B$2:B926,100000)</f>
        <v>-4.5739955219929886E-2</v>
      </c>
      <c r="H926" s="2"/>
      <c r="I926" s="2"/>
      <c r="N926" s="2"/>
    </row>
    <row r="927" spans="1:14" x14ac:dyDescent="0.3">
      <c r="A927" s="2">
        <v>43007</v>
      </c>
      <c r="B927">
        <v>2526165.5</v>
      </c>
      <c r="C927">
        <v>117290.29</v>
      </c>
      <c r="D927">
        <v>-105139</v>
      </c>
      <c r="E927">
        <f>D927/MAX($B$2:B927,100000)</f>
        <v>-3.9956987114186139E-2</v>
      </c>
      <c r="H927" s="2"/>
      <c r="I927" s="2"/>
      <c r="N927" s="2"/>
    </row>
    <row r="928" spans="1:14" x14ac:dyDescent="0.3">
      <c r="A928" s="2">
        <v>43014</v>
      </c>
      <c r="B928">
        <v>2582365</v>
      </c>
      <c r="C928">
        <v>624947.43999999994</v>
      </c>
      <c r="D928">
        <v>-48939.5</v>
      </c>
      <c r="E928">
        <f>D928/MAX($B$2:B928,100000)</f>
        <v>-1.8598949684462594E-2</v>
      </c>
      <c r="H928" s="2"/>
      <c r="I928" s="2"/>
      <c r="N928" s="2"/>
    </row>
    <row r="929" spans="1:14" x14ac:dyDescent="0.3">
      <c r="A929" s="2">
        <v>43021</v>
      </c>
      <c r="B929">
        <v>2648567.25</v>
      </c>
      <c r="C929">
        <v>96125.45</v>
      </c>
      <c r="D929">
        <v>0</v>
      </c>
      <c r="E929">
        <f>D929/MAX($B$2:B929,100000)</f>
        <v>0</v>
      </c>
      <c r="H929" s="2"/>
      <c r="I929" s="2"/>
      <c r="N929" s="2"/>
    </row>
    <row r="930" spans="1:14" x14ac:dyDescent="0.3">
      <c r="A930" s="2">
        <v>43028</v>
      </c>
      <c r="B930">
        <v>2601097.75</v>
      </c>
      <c r="C930">
        <v>96125.45</v>
      </c>
      <c r="D930">
        <v>-47469.5</v>
      </c>
      <c r="E930">
        <f>D930/MAX($B$2:B930,100000)</f>
        <v>-1.7922708966517653E-2</v>
      </c>
      <c r="H930" s="2"/>
      <c r="I930" s="2"/>
      <c r="N930" s="2"/>
    </row>
    <row r="931" spans="1:14" x14ac:dyDescent="0.3">
      <c r="A931" s="2">
        <v>43035</v>
      </c>
      <c r="B931">
        <v>2611269</v>
      </c>
      <c r="C931">
        <v>96125.45</v>
      </c>
      <c r="D931">
        <v>-37298.25</v>
      </c>
      <c r="E931">
        <f>D931/MAX($B$2:B931,100000)</f>
        <v>-1.4082425130039647E-2</v>
      </c>
      <c r="H931" s="2"/>
      <c r="I931" s="2"/>
      <c r="N931" s="2"/>
    </row>
    <row r="932" spans="1:14" x14ac:dyDescent="0.3">
      <c r="A932" s="2">
        <v>43042</v>
      </c>
      <c r="B932">
        <v>2688500.5</v>
      </c>
      <c r="C932">
        <v>96125.45</v>
      </c>
      <c r="D932">
        <v>0</v>
      </c>
      <c r="E932">
        <f>D932/MAX($B$2:B932,100000)</f>
        <v>0</v>
      </c>
      <c r="H932" s="2"/>
      <c r="I932" s="2"/>
      <c r="N932" s="2"/>
    </row>
    <row r="933" spans="1:14" x14ac:dyDescent="0.3">
      <c r="A933" s="2">
        <v>43049</v>
      </c>
      <c r="B933">
        <v>2798941.25</v>
      </c>
      <c r="C933">
        <v>96125.45</v>
      </c>
      <c r="D933">
        <v>0</v>
      </c>
      <c r="E933">
        <f>D933/MAX($B$2:B933,100000)</f>
        <v>0</v>
      </c>
      <c r="H933" s="2"/>
      <c r="I933" s="2"/>
      <c r="N933" s="2"/>
    </row>
    <row r="934" spans="1:14" x14ac:dyDescent="0.3">
      <c r="A934" s="2">
        <v>43056</v>
      </c>
      <c r="B934">
        <v>2670518.75</v>
      </c>
      <c r="C934">
        <v>96125.45</v>
      </c>
      <c r="D934">
        <v>-128422.5</v>
      </c>
      <c r="E934">
        <f>D934/MAX($B$2:B934,100000)</f>
        <v>-4.5882527902291623E-2</v>
      </c>
      <c r="H934" s="2"/>
      <c r="I934" s="2"/>
      <c r="N934" s="2"/>
    </row>
    <row r="935" spans="1:14" x14ac:dyDescent="0.3">
      <c r="A935" s="2">
        <v>43063</v>
      </c>
      <c r="B935">
        <v>2644472</v>
      </c>
      <c r="C935">
        <v>96125.45</v>
      </c>
      <c r="D935">
        <v>-154469.25</v>
      </c>
      <c r="E935">
        <f>D935/MAX($B$2:B935,100000)</f>
        <v>-5.5188457421176666E-2</v>
      </c>
      <c r="H935" s="2"/>
      <c r="I935" s="2"/>
      <c r="N935" s="2"/>
    </row>
    <row r="936" spans="1:14" x14ac:dyDescent="0.3">
      <c r="A936" s="2">
        <v>43070</v>
      </c>
      <c r="B936">
        <v>2789194.25</v>
      </c>
      <c r="C936">
        <v>96125.45</v>
      </c>
      <c r="D936">
        <v>-9747</v>
      </c>
      <c r="E936">
        <f>D936/MAX($B$2:B936,100000)</f>
        <v>-3.4823882066120537E-3</v>
      </c>
      <c r="H936" s="2"/>
      <c r="I936" s="2"/>
      <c r="N936" s="2"/>
    </row>
    <row r="937" spans="1:14" x14ac:dyDescent="0.3">
      <c r="A937" s="2">
        <v>43077</v>
      </c>
      <c r="B937">
        <v>2731479</v>
      </c>
      <c r="C937">
        <v>96125.45</v>
      </c>
      <c r="D937">
        <v>-67462.25</v>
      </c>
      <c r="E937">
        <f>D937/MAX($B$2:B937,100000)</f>
        <v>-2.4102774575922234E-2</v>
      </c>
      <c r="H937" s="2"/>
      <c r="I937" s="2"/>
      <c r="N937" s="2"/>
    </row>
    <row r="938" spans="1:14" x14ac:dyDescent="0.3">
      <c r="A938" s="2">
        <v>43084</v>
      </c>
      <c r="B938">
        <v>2812416.75</v>
      </c>
      <c r="C938">
        <v>96125.45</v>
      </c>
      <c r="D938">
        <v>0</v>
      </c>
      <c r="E938">
        <f>D938/MAX($B$2:B938,100000)</f>
        <v>0</v>
      </c>
      <c r="H938" s="2"/>
      <c r="I938" s="2"/>
      <c r="N938" s="2"/>
    </row>
    <row r="939" spans="1:14" x14ac:dyDescent="0.3">
      <c r="A939" s="2">
        <v>43091</v>
      </c>
      <c r="B939">
        <v>2866824.25</v>
      </c>
      <c r="C939">
        <v>103732.76</v>
      </c>
      <c r="D939">
        <v>0</v>
      </c>
      <c r="E939">
        <f>D939/MAX($B$2:B939,100000)</f>
        <v>0</v>
      </c>
      <c r="H939" s="2"/>
      <c r="I939" s="2"/>
      <c r="N939" s="2"/>
    </row>
    <row r="940" spans="1:14" x14ac:dyDescent="0.3">
      <c r="A940" s="2">
        <v>43098</v>
      </c>
      <c r="B940">
        <v>2920624.25</v>
      </c>
      <c r="C940">
        <v>203255.63</v>
      </c>
      <c r="D940">
        <v>0</v>
      </c>
      <c r="E940">
        <f>D940/MAX($B$2:B940,100000)</f>
        <v>0</v>
      </c>
      <c r="H940" s="2"/>
      <c r="I940" s="2"/>
      <c r="N940" s="2"/>
    </row>
    <row r="941" spans="1:14" x14ac:dyDescent="0.3">
      <c r="A941" s="2">
        <v>43105</v>
      </c>
      <c r="B941">
        <v>2981148.5</v>
      </c>
      <c r="C941">
        <v>63766.93</v>
      </c>
      <c r="D941">
        <v>0</v>
      </c>
      <c r="E941">
        <f>D941/MAX($B$2:B941,100000)</f>
        <v>0</v>
      </c>
      <c r="H941" s="2"/>
      <c r="I941" s="2"/>
      <c r="N941" s="2"/>
    </row>
    <row r="942" spans="1:14" x14ac:dyDescent="0.3">
      <c r="A942" s="2">
        <v>43112</v>
      </c>
      <c r="B942">
        <v>2984563.5</v>
      </c>
      <c r="C942">
        <v>63766.93</v>
      </c>
      <c r="D942">
        <v>0</v>
      </c>
      <c r="E942">
        <f>D942/MAX($B$2:B942,100000)</f>
        <v>0</v>
      </c>
      <c r="H942" s="2"/>
      <c r="I942" s="2"/>
      <c r="N942" s="2"/>
    </row>
    <row r="943" spans="1:14" x14ac:dyDescent="0.3">
      <c r="A943" s="2">
        <v>43119</v>
      </c>
      <c r="B943">
        <v>2921240.5</v>
      </c>
      <c r="C943">
        <v>63766.93</v>
      </c>
      <c r="D943">
        <v>-63323</v>
      </c>
      <c r="E943">
        <f>D943/MAX($B$2:B943,100000)</f>
        <v>-2.1216837906112569E-2</v>
      </c>
      <c r="H943" s="2"/>
      <c r="I943" s="2"/>
      <c r="N943" s="2"/>
    </row>
    <row r="944" spans="1:14" x14ac:dyDescent="0.3">
      <c r="A944" s="2">
        <v>43125</v>
      </c>
      <c r="B944">
        <v>2947564.5</v>
      </c>
      <c r="C944">
        <v>63766.93</v>
      </c>
      <c r="D944">
        <v>-36999</v>
      </c>
      <c r="E944">
        <f>D944/MAX($B$2:B944,100000)</f>
        <v>-1.239678767096093E-2</v>
      </c>
      <c r="H944" s="2"/>
      <c r="I944" s="2"/>
      <c r="N944" s="2"/>
    </row>
    <row r="945" spans="1:14" x14ac:dyDescent="0.3">
      <c r="A945" s="2">
        <v>43133</v>
      </c>
      <c r="B945">
        <v>2917724.75</v>
      </c>
      <c r="C945">
        <v>63766.93</v>
      </c>
      <c r="D945">
        <v>-66838.75</v>
      </c>
      <c r="E945">
        <f>D945/MAX($B$2:B945,100000)</f>
        <v>-2.2394815858332383E-2</v>
      </c>
      <c r="H945" s="2"/>
      <c r="I945" s="2"/>
      <c r="N945" s="2"/>
    </row>
    <row r="946" spans="1:14" x14ac:dyDescent="0.3">
      <c r="A946" s="2">
        <v>43140</v>
      </c>
      <c r="B946">
        <v>2856829</v>
      </c>
      <c r="C946">
        <v>59330.26</v>
      </c>
      <c r="D946">
        <v>-127734.5</v>
      </c>
      <c r="E946">
        <f>D946/MAX($B$2:B946,100000)</f>
        <v>-4.2798385760597822E-2</v>
      </c>
      <c r="H946" s="2"/>
      <c r="I946" s="2"/>
      <c r="N946" s="2"/>
    </row>
    <row r="947" spans="1:14" x14ac:dyDescent="0.3">
      <c r="A947" s="2">
        <v>43147</v>
      </c>
      <c r="B947">
        <v>2877299.5</v>
      </c>
      <c r="C947">
        <v>59330.26</v>
      </c>
      <c r="D947">
        <v>-107264</v>
      </c>
      <c r="E947">
        <f>D947/MAX($B$2:B947,100000)</f>
        <v>-3.5939593846805402E-2</v>
      </c>
      <c r="H947" s="2"/>
      <c r="I947" s="2"/>
      <c r="N947" s="2"/>
    </row>
    <row r="948" spans="1:14" x14ac:dyDescent="0.3">
      <c r="A948" s="2">
        <v>43154</v>
      </c>
      <c r="B948">
        <v>2874334.75</v>
      </c>
      <c r="C948">
        <v>965645.38</v>
      </c>
      <c r="D948">
        <v>-110228.75</v>
      </c>
      <c r="E948">
        <f>D948/MAX($B$2:B948,100000)</f>
        <v>-3.6932955187584382E-2</v>
      </c>
      <c r="H948" s="2"/>
      <c r="I948" s="2"/>
      <c r="N948" s="2"/>
    </row>
    <row r="949" spans="1:14" x14ac:dyDescent="0.3">
      <c r="A949" s="2">
        <v>43161</v>
      </c>
      <c r="B949">
        <v>2834366</v>
      </c>
      <c r="C949">
        <v>1267775</v>
      </c>
      <c r="D949">
        <v>-150197.5</v>
      </c>
      <c r="E949">
        <f>D949/MAX($B$2:B949,100000)</f>
        <v>-5.0324779486179472E-2</v>
      </c>
      <c r="H949" s="2"/>
      <c r="I949" s="2"/>
      <c r="N949" s="2"/>
    </row>
    <row r="950" spans="1:14" x14ac:dyDescent="0.3">
      <c r="A950" s="2">
        <v>43168</v>
      </c>
      <c r="B950">
        <v>2833472.25</v>
      </c>
      <c r="C950">
        <v>1369198.63</v>
      </c>
      <c r="D950">
        <v>-151091.25</v>
      </c>
      <c r="E950">
        <f>D950/MAX($B$2:B950,100000)</f>
        <v>-5.0624237011542894E-2</v>
      </c>
      <c r="H950" s="2"/>
      <c r="I950" s="2"/>
      <c r="N950" s="2"/>
    </row>
    <row r="951" spans="1:14" x14ac:dyDescent="0.3">
      <c r="A951" s="2">
        <v>43175</v>
      </c>
      <c r="B951">
        <v>2837356</v>
      </c>
      <c r="C951">
        <v>1737754.5</v>
      </c>
      <c r="D951">
        <v>-147207.5</v>
      </c>
      <c r="E951">
        <f>D951/MAX($B$2:B951,100000)</f>
        <v>-4.9322957946781834E-2</v>
      </c>
      <c r="H951" s="2"/>
      <c r="I951" s="2"/>
      <c r="N951" s="2"/>
    </row>
    <row r="952" spans="1:14" x14ac:dyDescent="0.3">
      <c r="A952" s="2">
        <v>43182</v>
      </c>
      <c r="B952">
        <v>2840782.25</v>
      </c>
      <c r="C952">
        <v>1737754.5</v>
      </c>
      <c r="D952">
        <v>-143781.25</v>
      </c>
      <c r="E952">
        <f>D952/MAX($B$2:B952,100000)</f>
        <v>-4.817496762926974E-2</v>
      </c>
      <c r="H952" s="2"/>
      <c r="I952" s="2"/>
      <c r="N952" s="2"/>
    </row>
    <row r="953" spans="1:14" x14ac:dyDescent="0.3">
      <c r="A953" s="2">
        <v>43188</v>
      </c>
      <c r="B953">
        <v>2854933.75</v>
      </c>
      <c r="C953">
        <v>1737754.5</v>
      </c>
      <c r="D953">
        <v>-129629.75</v>
      </c>
      <c r="E953">
        <f>D953/MAX($B$2:B953,100000)</f>
        <v>-4.3433403243053802E-2</v>
      </c>
      <c r="H953" s="2"/>
      <c r="I953" s="2"/>
      <c r="N953" s="2"/>
    </row>
    <row r="954" spans="1:14" x14ac:dyDescent="0.3">
      <c r="A954" s="2">
        <v>43196</v>
      </c>
      <c r="B954">
        <v>2842115.5</v>
      </c>
      <c r="C954">
        <v>1737754.5</v>
      </c>
      <c r="D954">
        <v>-142448</v>
      </c>
      <c r="E954">
        <f>D954/MAX($B$2:B954,100000)</f>
        <v>-4.7728252389335993E-2</v>
      </c>
      <c r="H954" s="2"/>
      <c r="I954" s="2"/>
      <c r="N954" s="2"/>
    </row>
    <row r="955" spans="1:14" x14ac:dyDescent="0.3">
      <c r="A955" s="2">
        <v>43203</v>
      </c>
      <c r="B955">
        <v>2853100.5</v>
      </c>
      <c r="C955">
        <v>1737754.5</v>
      </c>
      <c r="D955">
        <v>-131463</v>
      </c>
      <c r="E955">
        <f>D955/MAX($B$2:B955,100000)</f>
        <v>-4.4047647168505545E-2</v>
      </c>
      <c r="H955" s="2"/>
      <c r="I955" s="2"/>
      <c r="N955" s="2"/>
    </row>
    <row r="956" spans="1:14" x14ac:dyDescent="0.3">
      <c r="A956" s="2">
        <v>43210</v>
      </c>
      <c r="B956">
        <v>2857346.5</v>
      </c>
      <c r="C956">
        <v>1737754.5</v>
      </c>
      <c r="D956">
        <v>-127217</v>
      </c>
      <c r="E956">
        <f>D956/MAX($B$2:B956,100000)</f>
        <v>-4.2624993571086692E-2</v>
      </c>
      <c r="H956" s="2"/>
      <c r="I956" s="2"/>
      <c r="N956" s="2"/>
    </row>
    <row r="957" spans="1:14" x14ac:dyDescent="0.3">
      <c r="A957" s="2">
        <v>43217</v>
      </c>
      <c r="B957">
        <v>2851325.25</v>
      </c>
      <c r="C957">
        <v>1737754.5</v>
      </c>
      <c r="D957">
        <v>-133238.25</v>
      </c>
      <c r="E957">
        <f>D957/MAX($B$2:B957,100000)</f>
        <v>-4.4642457766437202E-2</v>
      </c>
      <c r="H957" s="2"/>
      <c r="I957" s="2"/>
      <c r="N957" s="2"/>
    </row>
    <row r="958" spans="1:14" x14ac:dyDescent="0.3">
      <c r="A958" s="2">
        <v>43224</v>
      </c>
      <c r="B958">
        <v>2906446.75</v>
      </c>
      <c r="C958">
        <v>1195450.25</v>
      </c>
      <c r="D958">
        <v>-78116.75</v>
      </c>
      <c r="E958">
        <f>D958/MAX($B$2:B958,100000)</f>
        <v>-2.6173592888876381E-2</v>
      </c>
      <c r="H958" s="2"/>
      <c r="I958" s="2"/>
      <c r="N958" s="2"/>
    </row>
    <row r="959" spans="1:14" x14ac:dyDescent="0.3">
      <c r="A959" s="2">
        <v>43231</v>
      </c>
      <c r="B959">
        <v>2952505.25</v>
      </c>
      <c r="C959">
        <v>350511.38</v>
      </c>
      <c r="D959">
        <v>-32058.25</v>
      </c>
      <c r="E959">
        <f>D959/MAX($B$2:B959,100000)</f>
        <v>-1.0741352965014817E-2</v>
      </c>
      <c r="H959" s="2"/>
      <c r="I959" s="2"/>
      <c r="N959" s="2"/>
    </row>
    <row r="960" spans="1:14" x14ac:dyDescent="0.3">
      <c r="A960" s="2">
        <v>43238</v>
      </c>
      <c r="B960">
        <v>2940664</v>
      </c>
      <c r="C960">
        <v>67675.11</v>
      </c>
      <c r="D960">
        <v>-43899.5</v>
      </c>
      <c r="E960">
        <f>D960/MAX($B$2:B960,100000)</f>
        <v>-1.4708851059794841E-2</v>
      </c>
      <c r="H960" s="2"/>
      <c r="I960" s="2"/>
      <c r="N960" s="2"/>
    </row>
    <row r="961" spans="1:14" x14ac:dyDescent="0.3">
      <c r="A961" s="2">
        <v>43245</v>
      </c>
      <c r="B961">
        <v>2971815.75</v>
      </c>
      <c r="C961">
        <v>67675.11</v>
      </c>
      <c r="D961">
        <v>-12747.75</v>
      </c>
      <c r="E961">
        <f>D961/MAX($B$2:B961,100000)</f>
        <v>-4.2712276016241574E-3</v>
      </c>
      <c r="H961" s="2"/>
      <c r="I961" s="2"/>
      <c r="N961" s="2"/>
    </row>
    <row r="962" spans="1:14" x14ac:dyDescent="0.3">
      <c r="A962" s="2">
        <v>43252</v>
      </c>
      <c r="B962">
        <v>2985290</v>
      </c>
      <c r="C962">
        <v>67675.11</v>
      </c>
      <c r="D962">
        <v>0</v>
      </c>
      <c r="E962">
        <f>D962/MAX($B$2:B962,100000)</f>
        <v>0</v>
      </c>
      <c r="H962" s="2"/>
      <c r="I962" s="2"/>
      <c r="N962" s="2"/>
    </row>
    <row r="963" spans="1:14" x14ac:dyDescent="0.3">
      <c r="A963" s="2">
        <v>43259</v>
      </c>
      <c r="B963">
        <v>2985738.75</v>
      </c>
      <c r="C963">
        <v>69454.77</v>
      </c>
      <c r="D963">
        <v>0</v>
      </c>
      <c r="E963">
        <f>D963/MAX($B$2:B963,100000)</f>
        <v>0</v>
      </c>
      <c r="H963" s="2"/>
      <c r="I963" s="2"/>
      <c r="N963" s="2"/>
    </row>
    <row r="964" spans="1:14" x14ac:dyDescent="0.3">
      <c r="A964" s="2">
        <v>43266</v>
      </c>
      <c r="B964">
        <v>2992328.5</v>
      </c>
      <c r="C964">
        <v>69454.77</v>
      </c>
      <c r="D964">
        <v>0</v>
      </c>
      <c r="E964">
        <f>D964/MAX($B$2:B964,100000)</f>
        <v>0</v>
      </c>
      <c r="H964" s="2"/>
      <c r="I964" s="2"/>
      <c r="N964" s="2"/>
    </row>
    <row r="965" spans="1:14" x14ac:dyDescent="0.3">
      <c r="A965" s="2">
        <v>43273</v>
      </c>
      <c r="B965">
        <v>2960835</v>
      </c>
      <c r="C965">
        <v>69454.77</v>
      </c>
      <c r="D965">
        <v>-31493.5</v>
      </c>
      <c r="E965">
        <f>D965/MAX($B$2:B965,100000)</f>
        <v>-1.0524746865192107E-2</v>
      </c>
      <c r="H965" s="2"/>
      <c r="I965" s="2"/>
      <c r="N965" s="2"/>
    </row>
    <row r="966" spans="1:14" x14ac:dyDescent="0.3">
      <c r="A966" s="2">
        <v>43280</v>
      </c>
      <c r="B966">
        <v>2934945.75</v>
      </c>
      <c r="C966">
        <v>37094.449999999997</v>
      </c>
      <c r="D966">
        <v>-57382.75</v>
      </c>
      <c r="E966">
        <f>D966/MAX($B$2:B966,100000)</f>
        <v>-1.9176621149716685E-2</v>
      </c>
      <c r="H966" s="2"/>
      <c r="I966" s="2"/>
      <c r="N966" s="2"/>
    </row>
    <row r="967" spans="1:14" x14ac:dyDescent="0.3">
      <c r="A967" s="2">
        <v>43287</v>
      </c>
      <c r="B967">
        <v>2927977.75</v>
      </c>
      <c r="C967">
        <v>37094.449999999997</v>
      </c>
      <c r="D967">
        <v>-64350.75</v>
      </c>
      <c r="E967">
        <f>D967/MAX($B$2:B967,100000)</f>
        <v>-2.1505242489252098E-2</v>
      </c>
      <c r="H967" s="2"/>
      <c r="I967" s="2"/>
      <c r="N967" s="2"/>
    </row>
    <row r="968" spans="1:14" x14ac:dyDescent="0.3">
      <c r="A968" s="2">
        <v>43294</v>
      </c>
      <c r="B968">
        <v>2939278.5</v>
      </c>
      <c r="C968">
        <v>128935.9</v>
      </c>
      <c r="D968">
        <v>-53050</v>
      </c>
      <c r="E968">
        <f>D968/MAX($B$2:B968,100000)</f>
        <v>-1.7728668493449166E-2</v>
      </c>
      <c r="H968" s="2"/>
      <c r="I968" s="2"/>
      <c r="N968" s="2"/>
    </row>
    <row r="969" spans="1:14" x14ac:dyDescent="0.3">
      <c r="A969" s="2">
        <v>43301</v>
      </c>
      <c r="B969">
        <v>2963512.5</v>
      </c>
      <c r="C969">
        <v>110037.75</v>
      </c>
      <c r="D969">
        <v>-28816</v>
      </c>
      <c r="E969">
        <f>D969/MAX($B$2:B969,100000)</f>
        <v>-9.6299587428318786E-3</v>
      </c>
      <c r="H969" s="2"/>
      <c r="I969" s="2"/>
      <c r="N969" s="2"/>
    </row>
    <row r="970" spans="1:14" x14ac:dyDescent="0.3">
      <c r="A970" s="2">
        <v>43308</v>
      </c>
      <c r="B970">
        <v>2903103</v>
      </c>
      <c r="C970">
        <v>87908.27</v>
      </c>
      <c r="D970">
        <v>-89225.5</v>
      </c>
      <c r="E970">
        <f>D970/MAX($B$2:B970,100000)</f>
        <v>-2.9818083141606947E-2</v>
      </c>
      <c r="H970" s="2"/>
      <c r="I970" s="2"/>
      <c r="N970" s="2"/>
    </row>
    <row r="971" spans="1:14" x14ac:dyDescent="0.3">
      <c r="A971" s="2">
        <v>43315</v>
      </c>
      <c r="B971">
        <v>2870346.5</v>
      </c>
      <c r="C971">
        <v>87908.27</v>
      </c>
      <c r="D971">
        <v>-121982</v>
      </c>
      <c r="E971">
        <f>D971/MAX($B$2:B971,100000)</f>
        <v>-4.0764909333985223E-2</v>
      </c>
      <c r="H971" s="2"/>
      <c r="I971" s="2"/>
      <c r="N971" s="2"/>
    </row>
    <row r="972" spans="1:14" x14ac:dyDescent="0.3">
      <c r="A972" s="2">
        <v>43322</v>
      </c>
      <c r="B972">
        <v>2942104</v>
      </c>
      <c r="C972">
        <v>103234.05</v>
      </c>
      <c r="D972">
        <v>-50224.5</v>
      </c>
      <c r="E972">
        <f>D972/MAX($B$2:B972,100000)</f>
        <v>-1.6784420560777336E-2</v>
      </c>
      <c r="H972" s="2"/>
      <c r="I972" s="2"/>
      <c r="N972" s="2"/>
    </row>
    <row r="973" spans="1:14" x14ac:dyDescent="0.3">
      <c r="A973" s="2">
        <v>43329</v>
      </c>
      <c r="B973">
        <v>2973105</v>
      </c>
      <c r="C973">
        <v>103234.05</v>
      </c>
      <c r="D973">
        <v>-19223.5</v>
      </c>
      <c r="E973">
        <f>D973/MAX($B$2:B973,100000)</f>
        <v>-6.4242612400343081E-3</v>
      </c>
      <c r="H973" s="2"/>
      <c r="I973" s="2"/>
      <c r="N973" s="2"/>
    </row>
    <row r="974" spans="1:14" x14ac:dyDescent="0.3">
      <c r="A974" s="2">
        <v>43336</v>
      </c>
      <c r="B974">
        <v>3014510.25</v>
      </c>
      <c r="C974">
        <v>351008.94</v>
      </c>
      <c r="D974">
        <v>0</v>
      </c>
      <c r="E974">
        <f>D974/MAX($B$2:B974,100000)</f>
        <v>0</v>
      </c>
      <c r="H974" s="2"/>
      <c r="I974" s="2"/>
      <c r="N974" s="2"/>
    </row>
    <row r="975" spans="1:14" x14ac:dyDescent="0.3">
      <c r="A975" s="2">
        <v>43343</v>
      </c>
      <c r="B975">
        <v>3085857.25</v>
      </c>
      <c r="C975">
        <v>63911.42</v>
      </c>
      <c r="D975">
        <v>0</v>
      </c>
      <c r="E975">
        <f>D975/MAX($B$2:B975,100000)</f>
        <v>0</v>
      </c>
      <c r="H975" s="2"/>
      <c r="I975" s="2"/>
      <c r="N975" s="2"/>
    </row>
    <row r="976" spans="1:14" x14ac:dyDescent="0.3">
      <c r="A976" s="2">
        <v>43350</v>
      </c>
      <c r="B976">
        <v>3007555.25</v>
      </c>
      <c r="C976">
        <v>63911.42</v>
      </c>
      <c r="D976">
        <v>-78302</v>
      </c>
      <c r="E976">
        <f>D976/MAX($B$2:B976,100000)</f>
        <v>-2.5374472522991787E-2</v>
      </c>
      <c r="H976" s="2"/>
      <c r="I976" s="2"/>
      <c r="N976" s="2"/>
    </row>
    <row r="977" spans="1:14" x14ac:dyDescent="0.3">
      <c r="A977" s="2">
        <v>43357</v>
      </c>
      <c r="B977">
        <v>3040495.5</v>
      </c>
      <c r="C977">
        <v>63911.42</v>
      </c>
      <c r="D977">
        <v>-45361.75</v>
      </c>
      <c r="E977">
        <f>D977/MAX($B$2:B977,100000)</f>
        <v>-1.469988606893595E-2</v>
      </c>
      <c r="H977" s="2"/>
      <c r="I977" s="2"/>
      <c r="N977" s="2"/>
    </row>
    <row r="978" spans="1:14" x14ac:dyDescent="0.3">
      <c r="A978" s="2">
        <v>43364</v>
      </c>
      <c r="B978">
        <v>3072906</v>
      </c>
      <c r="C978">
        <v>455991.72</v>
      </c>
      <c r="D978">
        <v>-12951.25</v>
      </c>
      <c r="E978">
        <f>D978/MAX($B$2:B978,100000)</f>
        <v>-4.1969699019616027E-3</v>
      </c>
      <c r="H978" s="2"/>
      <c r="I978" s="2"/>
      <c r="N978" s="2"/>
    </row>
    <row r="979" spans="1:14" x14ac:dyDescent="0.3">
      <c r="A979" s="2">
        <v>43371</v>
      </c>
      <c r="B979">
        <v>3120615.5</v>
      </c>
      <c r="C979">
        <v>578560.88</v>
      </c>
      <c r="D979">
        <v>0</v>
      </c>
      <c r="E979">
        <f>D979/MAX($B$2:B979,100000)</f>
        <v>0</v>
      </c>
      <c r="H979" s="2"/>
      <c r="I979" s="2"/>
      <c r="N979" s="2"/>
    </row>
    <row r="980" spans="1:14" x14ac:dyDescent="0.3">
      <c r="A980" s="2">
        <v>43378</v>
      </c>
      <c r="B980">
        <v>3156980.75</v>
      </c>
      <c r="C980">
        <v>706350.38</v>
      </c>
      <c r="D980">
        <v>0</v>
      </c>
      <c r="E980">
        <f>D980/MAX($B$2:B980,100000)</f>
        <v>0</v>
      </c>
      <c r="H980" s="2"/>
      <c r="I980" s="2"/>
      <c r="N980" s="2"/>
    </row>
    <row r="981" spans="1:14" x14ac:dyDescent="0.3">
      <c r="A981" s="2">
        <v>43385</v>
      </c>
      <c r="B981">
        <v>3037061</v>
      </c>
      <c r="C981">
        <v>706350.38</v>
      </c>
      <c r="D981">
        <v>-119919.75</v>
      </c>
      <c r="E981">
        <f>D981/MAX($B$2:B981,100000)</f>
        <v>-3.7985581635238033E-2</v>
      </c>
      <c r="H981" s="2"/>
      <c r="I981" s="2"/>
      <c r="N981" s="2"/>
    </row>
    <row r="982" spans="1:14" x14ac:dyDescent="0.3">
      <c r="A982" s="2">
        <v>43392</v>
      </c>
      <c r="B982">
        <v>3064805.25</v>
      </c>
      <c r="C982">
        <v>706350.38</v>
      </c>
      <c r="D982">
        <v>-92175.5</v>
      </c>
      <c r="E982">
        <f>D982/MAX($B$2:B982,100000)</f>
        <v>-2.9197358900588798E-2</v>
      </c>
      <c r="H982" s="2"/>
      <c r="I982" s="2"/>
      <c r="N982" s="2"/>
    </row>
    <row r="983" spans="1:14" x14ac:dyDescent="0.3">
      <c r="A983" s="2">
        <v>43399</v>
      </c>
      <c r="B983">
        <v>2980896</v>
      </c>
      <c r="C983">
        <v>1435866.25</v>
      </c>
      <c r="D983">
        <v>-176084.75</v>
      </c>
      <c r="E983">
        <f>D983/MAX($B$2:B983,100000)</f>
        <v>-5.5776314125450401E-2</v>
      </c>
      <c r="H983" s="2"/>
      <c r="I983" s="2"/>
      <c r="N983" s="2"/>
    </row>
    <row r="984" spans="1:14" x14ac:dyDescent="0.3">
      <c r="A984" s="2">
        <v>43406</v>
      </c>
      <c r="B984">
        <v>2979495.75</v>
      </c>
      <c r="C984">
        <v>1626798.38</v>
      </c>
      <c r="D984">
        <v>-177485</v>
      </c>
      <c r="E984">
        <f>D984/MAX($B$2:B984,100000)</f>
        <v>-5.6219854999115845E-2</v>
      </c>
      <c r="H984" s="2"/>
      <c r="I984" s="2"/>
      <c r="N984" s="2"/>
    </row>
    <row r="985" spans="1:14" x14ac:dyDescent="0.3">
      <c r="A985" s="2">
        <v>43413</v>
      </c>
      <c r="B985">
        <v>2998095.25</v>
      </c>
      <c r="C985">
        <v>2006329.25</v>
      </c>
      <c r="D985">
        <v>-158885.5</v>
      </c>
      <c r="E985">
        <f>D985/MAX($B$2:B985,100000)</f>
        <v>-5.0328308146953382E-2</v>
      </c>
      <c r="H985" s="2"/>
      <c r="I985" s="2"/>
      <c r="N985" s="2"/>
    </row>
    <row r="986" spans="1:14" x14ac:dyDescent="0.3">
      <c r="A986" s="2">
        <v>43420</v>
      </c>
      <c r="B986">
        <v>2970210.5</v>
      </c>
      <c r="C986">
        <v>2006329.25</v>
      </c>
      <c r="D986">
        <v>-186770.25</v>
      </c>
      <c r="E986">
        <f>D986/MAX($B$2:B986,100000)</f>
        <v>-5.9161035429183405E-2</v>
      </c>
      <c r="H986" s="2"/>
      <c r="I986" s="2"/>
      <c r="N986" s="2"/>
    </row>
    <row r="987" spans="1:14" x14ac:dyDescent="0.3">
      <c r="A987" s="2">
        <v>43427</v>
      </c>
      <c r="B987">
        <v>2950839.5</v>
      </c>
      <c r="C987">
        <v>2006329.25</v>
      </c>
      <c r="D987">
        <v>-206141.25</v>
      </c>
      <c r="E987">
        <f>D987/MAX($B$2:B987,100000)</f>
        <v>-6.5296961345107984E-2</v>
      </c>
      <c r="H987" s="2"/>
      <c r="I987" s="2"/>
      <c r="N987" s="2"/>
    </row>
    <row r="988" spans="1:14" x14ac:dyDescent="0.3">
      <c r="A988" s="2">
        <v>43434</v>
      </c>
      <c r="B988">
        <v>2953083.75</v>
      </c>
      <c r="C988">
        <v>2149318.75</v>
      </c>
      <c r="D988">
        <v>-203897</v>
      </c>
      <c r="E988">
        <f>D988/MAX($B$2:B988,100000)</f>
        <v>-6.4586076427612049E-2</v>
      </c>
      <c r="H988" s="2"/>
      <c r="I988" s="2"/>
      <c r="N988" s="2"/>
    </row>
    <row r="989" spans="1:14" x14ac:dyDescent="0.3">
      <c r="A989" s="2">
        <v>43441</v>
      </c>
      <c r="B989">
        <v>2946629.5</v>
      </c>
      <c r="C989">
        <v>2304460.25</v>
      </c>
      <c r="D989">
        <v>-210351.25</v>
      </c>
      <c r="E989">
        <f>D989/MAX($B$2:B989,100000)</f>
        <v>-6.6630513980802705E-2</v>
      </c>
      <c r="H989" s="2"/>
      <c r="I989" s="2"/>
      <c r="N989" s="2"/>
    </row>
    <row r="990" spans="1:14" x14ac:dyDescent="0.3">
      <c r="A990" s="2">
        <v>43448</v>
      </c>
      <c r="B990">
        <v>2941924.25</v>
      </c>
      <c r="C990">
        <v>2304460.25</v>
      </c>
      <c r="D990">
        <v>-215056.5</v>
      </c>
      <c r="E990">
        <f>D990/MAX($B$2:B990,100000)</f>
        <v>-6.8120941187240366E-2</v>
      </c>
      <c r="H990" s="2"/>
      <c r="I990" s="2"/>
      <c r="N990" s="2"/>
    </row>
    <row r="991" spans="1:14" x14ac:dyDescent="0.3">
      <c r="A991" s="2">
        <v>43455</v>
      </c>
      <c r="B991">
        <v>2924793</v>
      </c>
      <c r="C991">
        <v>2304460.25</v>
      </c>
      <c r="D991">
        <v>-232187.75</v>
      </c>
      <c r="E991">
        <f>D991/MAX($B$2:B991,100000)</f>
        <v>-7.3547407598224979E-2</v>
      </c>
      <c r="H991" s="2"/>
      <c r="I991" s="2"/>
      <c r="N991" s="2"/>
    </row>
    <row r="992" spans="1:14" x14ac:dyDescent="0.3">
      <c r="A992" s="2">
        <v>43462</v>
      </c>
      <c r="B992">
        <v>2934001.25</v>
      </c>
      <c r="C992">
        <v>2304460.25</v>
      </c>
      <c r="D992">
        <v>-222979.5</v>
      </c>
      <c r="E992">
        <f>D992/MAX($B$2:B992,100000)</f>
        <v>-7.0630617560781775E-2</v>
      </c>
      <c r="H992" s="2"/>
      <c r="I992" s="2"/>
      <c r="N992" s="2"/>
    </row>
    <row r="993" spans="1:14" x14ac:dyDescent="0.3">
      <c r="A993" s="2">
        <v>43469</v>
      </c>
      <c r="B993">
        <v>2927385</v>
      </c>
      <c r="C993">
        <v>2401718.25</v>
      </c>
      <c r="D993">
        <v>-229595.75</v>
      </c>
      <c r="E993">
        <f>D993/MAX($B$2:B993,100000)</f>
        <v>-7.2726369965987275E-2</v>
      </c>
      <c r="H993" s="2"/>
      <c r="I993" s="2"/>
      <c r="N993" s="2"/>
    </row>
    <row r="994" spans="1:14" x14ac:dyDescent="0.3">
      <c r="A994" s="2">
        <v>43476</v>
      </c>
      <c r="B994">
        <v>2928124</v>
      </c>
      <c r="C994">
        <v>2401718.25</v>
      </c>
      <c r="D994">
        <v>-228856.75</v>
      </c>
      <c r="E994">
        <f>D994/MAX($B$2:B994,100000)</f>
        <v>-7.2492285548462723E-2</v>
      </c>
      <c r="H994" s="2"/>
      <c r="I994" s="2"/>
      <c r="N994" s="2"/>
    </row>
    <row r="995" spans="1:14" x14ac:dyDescent="0.3">
      <c r="A995" s="2">
        <v>43483</v>
      </c>
      <c r="B995">
        <v>2928307.75</v>
      </c>
      <c r="C995">
        <v>2401718.25</v>
      </c>
      <c r="D995">
        <v>-228673</v>
      </c>
      <c r="E995">
        <f>D995/MAX($B$2:B995,100000)</f>
        <v>-7.243408120242735E-2</v>
      </c>
      <c r="H995" s="2"/>
      <c r="I995" s="2"/>
      <c r="N995" s="2"/>
    </row>
    <row r="996" spans="1:14" x14ac:dyDescent="0.3">
      <c r="A996" s="2">
        <v>43490</v>
      </c>
      <c r="B996">
        <v>2922471.25</v>
      </c>
      <c r="C996">
        <v>1704598.13</v>
      </c>
      <c r="D996">
        <v>-234509.5</v>
      </c>
      <c r="E996">
        <f>D996/MAX($B$2:B996,100000)</f>
        <v>-7.428284128751815E-2</v>
      </c>
      <c r="H996" s="2"/>
      <c r="I996" s="2"/>
      <c r="N996" s="2"/>
    </row>
    <row r="997" spans="1:14" x14ac:dyDescent="0.3">
      <c r="A997" s="2">
        <v>43497</v>
      </c>
      <c r="B997">
        <v>2942906.25</v>
      </c>
      <c r="C997">
        <v>1425687.63</v>
      </c>
      <c r="D997">
        <v>-214074.5</v>
      </c>
      <c r="E997">
        <f>D997/MAX($B$2:B997,100000)</f>
        <v>-6.7809884491693534E-2</v>
      </c>
      <c r="H997" s="2"/>
      <c r="I997" s="2"/>
      <c r="N997" s="2"/>
    </row>
    <row r="998" spans="1:14" x14ac:dyDescent="0.3">
      <c r="A998" s="2">
        <v>43504</v>
      </c>
      <c r="B998">
        <v>2988226.5</v>
      </c>
      <c r="C998">
        <v>582612.43999999994</v>
      </c>
      <c r="D998">
        <v>-168754.25</v>
      </c>
      <c r="E998">
        <f>D998/MAX($B$2:B998,100000)</f>
        <v>-5.3454317071778154E-2</v>
      </c>
      <c r="H998" s="2"/>
      <c r="I998" s="2"/>
      <c r="N998" s="2"/>
    </row>
    <row r="999" spans="1:14" x14ac:dyDescent="0.3">
      <c r="A999" s="2">
        <v>43511</v>
      </c>
      <c r="B999">
        <v>3063655.75</v>
      </c>
      <c r="C999">
        <v>398655.13</v>
      </c>
      <c r="D999">
        <v>-93325</v>
      </c>
      <c r="E999">
        <f>D999/MAX($B$2:B999,100000)</f>
        <v>-2.9561472619052238E-2</v>
      </c>
      <c r="H999" s="2"/>
      <c r="I999" s="2"/>
      <c r="N999" s="2"/>
    </row>
    <row r="1000" spans="1:14" x14ac:dyDescent="0.3">
      <c r="A1000" s="2">
        <v>43518</v>
      </c>
      <c r="B1000">
        <v>3130245.5</v>
      </c>
      <c r="C1000">
        <v>105111.94</v>
      </c>
      <c r="D1000">
        <v>-26735.25</v>
      </c>
      <c r="E1000">
        <f>D1000/MAX($B$2:B1000,100000)</f>
        <v>-8.4686135637665836E-3</v>
      </c>
      <c r="H1000" s="2"/>
      <c r="I1000" s="2"/>
      <c r="N1000" s="2"/>
    </row>
    <row r="1001" spans="1:14" x14ac:dyDescent="0.3">
      <c r="A1001" s="2">
        <v>43525</v>
      </c>
      <c r="B1001">
        <v>3197044.5</v>
      </c>
      <c r="C1001">
        <v>105111.94</v>
      </c>
      <c r="D1001">
        <v>0</v>
      </c>
      <c r="E1001">
        <f>D1001/MAX($B$2:B1001,100000)</f>
        <v>0</v>
      </c>
      <c r="H1001" s="2"/>
      <c r="I1001" s="2"/>
      <c r="N1001" s="2"/>
    </row>
    <row r="1002" spans="1:14" x14ac:dyDescent="0.3">
      <c r="A1002" s="2">
        <v>43532</v>
      </c>
      <c r="B1002">
        <v>3270030.25</v>
      </c>
      <c r="C1002">
        <v>105111.94</v>
      </c>
      <c r="D1002">
        <v>0</v>
      </c>
      <c r="E1002">
        <f>D1002/MAX($B$2:B1002,100000)</f>
        <v>0</v>
      </c>
      <c r="H1002" s="2"/>
      <c r="I1002" s="2"/>
      <c r="N1002" s="2"/>
    </row>
    <row r="1003" spans="1:14" x14ac:dyDescent="0.3">
      <c r="A1003" s="2">
        <v>43539</v>
      </c>
      <c r="B1003">
        <v>3341635.75</v>
      </c>
      <c r="C1003">
        <v>105111.94</v>
      </c>
      <c r="D1003">
        <v>0</v>
      </c>
      <c r="E1003">
        <f>D1003/MAX($B$2:B1003,100000)</f>
        <v>0</v>
      </c>
      <c r="H1003" s="2"/>
      <c r="I1003" s="2"/>
      <c r="N1003" s="2"/>
    </row>
    <row r="1004" spans="1:14" x14ac:dyDescent="0.3">
      <c r="A1004" s="2">
        <v>43546</v>
      </c>
      <c r="B1004">
        <v>3486148.25</v>
      </c>
      <c r="C1004">
        <v>105111.94</v>
      </c>
      <c r="D1004">
        <v>0</v>
      </c>
      <c r="E1004">
        <f>D1004/MAX($B$2:B1004,100000)</f>
        <v>0</v>
      </c>
      <c r="H1004" s="2"/>
      <c r="I1004" s="2"/>
      <c r="N1004" s="2"/>
    </row>
    <row r="1005" spans="1:14" x14ac:dyDescent="0.3">
      <c r="A1005" s="2">
        <v>43553</v>
      </c>
      <c r="B1005">
        <v>3422531.5</v>
      </c>
      <c r="C1005">
        <v>107297.84</v>
      </c>
      <c r="D1005">
        <v>-63616.75</v>
      </c>
      <c r="E1005">
        <f>D1005/MAX($B$2:B1005,100000)</f>
        <v>-1.824843507444068E-2</v>
      </c>
      <c r="H1005" s="2"/>
      <c r="I1005" s="2"/>
      <c r="N1005" s="2"/>
    </row>
    <row r="1006" spans="1:14" x14ac:dyDescent="0.3">
      <c r="A1006" s="2">
        <v>43560</v>
      </c>
      <c r="B1006">
        <v>3546292</v>
      </c>
      <c r="C1006">
        <v>107297.84</v>
      </c>
      <c r="D1006">
        <v>0</v>
      </c>
      <c r="E1006">
        <f>D1006/MAX($B$2:B1006,100000)</f>
        <v>0</v>
      </c>
      <c r="H1006" s="2"/>
      <c r="I1006" s="2"/>
      <c r="N1006" s="2"/>
    </row>
    <row r="1007" spans="1:14" x14ac:dyDescent="0.3">
      <c r="A1007" s="2">
        <v>43567</v>
      </c>
      <c r="B1007">
        <v>3757714</v>
      </c>
      <c r="C1007">
        <v>107297.84</v>
      </c>
      <c r="D1007">
        <v>0</v>
      </c>
      <c r="E1007">
        <f>D1007/MAX($B$2:B1007,100000)</f>
        <v>0</v>
      </c>
      <c r="H1007" s="2"/>
      <c r="I1007" s="2"/>
      <c r="N1007" s="2"/>
    </row>
    <row r="1008" spans="1:14" x14ac:dyDescent="0.3">
      <c r="A1008" s="2">
        <v>43573</v>
      </c>
      <c r="B1008">
        <v>3707067.25</v>
      </c>
      <c r="C1008">
        <v>107297.84</v>
      </c>
      <c r="D1008">
        <v>-50646.75</v>
      </c>
      <c r="E1008">
        <f>D1008/MAX($B$2:B1008,100000)</f>
        <v>-1.3478074701800083E-2</v>
      </c>
      <c r="H1008" s="2"/>
      <c r="I1008" s="2"/>
      <c r="N1008" s="2"/>
    </row>
    <row r="1009" spans="1:14" x14ac:dyDescent="0.3">
      <c r="A1009" s="2">
        <v>43581</v>
      </c>
      <c r="B1009">
        <v>3818742.75</v>
      </c>
      <c r="C1009">
        <v>41163.72</v>
      </c>
      <c r="D1009">
        <v>0</v>
      </c>
      <c r="E1009">
        <f>D1009/MAX($B$2:B1009,100000)</f>
        <v>0</v>
      </c>
      <c r="H1009" s="2"/>
      <c r="I1009" s="2"/>
      <c r="N1009" s="2"/>
    </row>
    <row r="1010" spans="1:14" x14ac:dyDescent="0.3">
      <c r="A1010" s="2">
        <v>43588</v>
      </c>
      <c r="B1010">
        <v>3932101</v>
      </c>
      <c r="C1010">
        <v>41163.72</v>
      </c>
      <c r="D1010">
        <v>0</v>
      </c>
      <c r="E1010">
        <f>D1010/MAX($B$2:B1010,100000)</f>
        <v>0</v>
      </c>
      <c r="H1010" s="2"/>
      <c r="I1010" s="2"/>
      <c r="N1010" s="2"/>
    </row>
    <row r="1011" spans="1:14" x14ac:dyDescent="0.3">
      <c r="A1011" s="2">
        <v>43595</v>
      </c>
      <c r="B1011">
        <v>3919506</v>
      </c>
      <c r="C1011">
        <v>97673.41</v>
      </c>
      <c r="D1011">
        <v>-12595</v>
      </c>
      <c r="E1011">
        <f>D1011/MAX($B$2:B1011,100000)</f>
        <v>-3.2031221985396609E-3</v>
      </c>
      <c r="H1011" s="2"/>
      <c r="I1011" s="2"/>
      <c r="N1011" s="2"/>
    </row>
    <row r="1012" spans="1:14" x14ac:dyDescent="0.3">
      <c r="A1012" s="2">
        <v>43602</v>
      </c>
      <c r="B1012">
        <v>4084352.75</v>
      </c>
      <c r="C1012">
        <v>97673.41</v>
      </c>
      <c r="D1012">
        <v>0</v>
      </c>
      <c r="E1012">
        <f>D1012/MAX($B$2:B1012,100000)</f>
        <v>0</v>
      </c>
      <c r="H1012" s="2"/>
      <c r="I1012" s="2"/>
      <c r="N1012" s="2"/>
    </row>
    <row r="1013" spans="1:14" x14ac:dyDescent="0.3">
      <c r="A1013" s="2">
        <v>43609</v>
      </c>
      <c r="B1013">
        <v>4127952.25</v>
      </c>
      <c r="C1013">
        <v>97673.41</v>
      </c>
      <c r="D1013">
        <v>0</v>
      </c>
      <c r="E1013">
        <f>D1013/MAX($B$2:B1013,100000)</f>
        <v>0</v>
      </c>
      <c r="H1013" s="2"/>
      <c r="I1013" s="2"/>
      <c r="N1013" s="2"/>
    </row>
    <row r="1014" spans="1:14" x14ac:dyDescent="0.3">
      <c r="A1014" s="2">
        <v>43616</v>
      </c>
      <c r="B1014">
        <v>4195512.5</v>
      </c>
      <c r="C1014">
        <v>97673.41</v>
      </c>
      <c r="D1014">
        <v>0</v>
      </c>
      <c r="E1014">
        <f>D1014/MAX($B$2:B1014,100000)</f>
        <v>0</v>
      </c>
      <c r="H1014" s="2"/>
      <c r="I1014" s="2"/>
      <c r="N1014" s="2"/>
    </row>
    <row r="1015" spans="1:14" x14ac:dyDescent="0.3">
      <c r="A1015" s="2">
        <v>43623</v>
      </c>
      <c r="B1015">
        <v>4075846</v>
      </c>
      <c r="C1015">
        <v>77271.44</v>
      </c>
      <c r="D1015">
        <v>-119666.5</v>
      </c>
      <c r="E1015">
        <f>D1015/MAX($B$2:B1015,100000)</f>
        <v>-2.8522498741214573E-2</v>
      </c>
      <c r="H1015" s="2"/>
      <c r="I1015" s="2"/>
      <c r="N1015" s="2"/>
    </row>
    <row r="1016" spans="1:14" x14ac:dyDescent="0.3">
      <c r="A1016" s="2">
        <v>43630</v>
      </c>
      <c r="B1016">
        <v>4166405.5</v>
      </c>
      <c r="C1016">
        <v>77271.44</v>
      </c>
      <c r="D1016">
        <v>-29107</v>
      </c>
      <c r="E1016">
        <f>D1016/MAX($B$2:B1016,100000)</f>
        <v>-6.9376506445875206E-3</v>
      </c>
      <c r="H1016" s="2"/>
      <c r="I1016" s="2"/>
      <c r="N1016" s="2"/>
    </row>
    <row r="1017" spans="1:14" x14ac:dyDescent="0.3">
      <c r="A1017" s="2">
        <v>43637</v>
      </c>
      <c r="B1017">
        <v>4316211.5</v>
      </c>
      <c r="C1017">
        <v>159484.25</v>
      </c>
      <c r="D1017">
        <v>0</v>
      </c>
      <c r="E1017">
        <f>D1017/MAX($B$2:B1017,100000)</f>
        <v>0</v>
      </c>
      <c r="H1017" s="2"/>
      <c r="I1017" s="2"/>
      <c r="N1017" s="2"/>
    </row>
    <row r="1018" spans="1:14" x14ac:dyDescent="0.3">
      <c r="A1018" s="2">
        <v>43644</v>
      </c>
      <c r="B1018">
        <v>4273453</v>
      </c>
      <c r="C1018">
        <v>159484.25</v>
      </c>
      <c r="D1018">
        <v>-42758.5</v>
      </c>
      <c r="E1018">
        <f>D1018/MAX($B$2:B1018,100000)</f>
        <v>-9.9064885953804634E-3</v>
      </c>
      <c r="H1018" s="2"/>
      <c r="I1018" s="2"/>
      <c r="N1018" s="2"/>
    </row>
    <row r="1019" spans="1:14" x14ac:dyDescent="0.3">
      <c r="A1019" s="2">
        <v>43651</v>
      </c>
      <c r="B1019">
        <v>4348788.5</v>
      </c>
      <c r="C1019">
        <v>159484.25</v>
      </c>
      <c r="D1019">
        <v>0</v>
      </c>
      <c r="E1019">
        <f>D1019/MAX($B$2:B1019,100000)</f>
        <v>0</v>
      </c>
      <c r="H1019" s="2"/>
      <c r="I1019" s="2"/>
      <c r="N1019" s="2"/>
    </row>
    <row r="1020" spans="1:14" x14ac:dyDescent="0.3">
      <c r="A1020" s="2">
        <v>43658</v>
      </c>
      <c r="B1020">
        <v>4378987</v>
      </c>
      <c r="C1020">
        <v>151855.51999999999</v>
      </c>
      <c r="D1020">
        <v>0</v>
      </c>
      <c r="E1020">
        <f>D1020/MAX($B$2:B1020,100000)</f>
        <v>0</v>
      </c>
      <c r="H1020" s="2"/>
      <c r="I1020" s="2"/>
      <c r="N1020" s="2"/>
    </row>
    <row r="1021" spans="1:14" x14ac:dyDescent="0.3">
      <c r="A1021" s="2">
        <v>43665</v>
      </c>
      <c r="B1021">
        <v>4403376</v>
      </c>
      <c r="C1021">
        <v>151855.51999999999</v>
      </c>
      <c r="D1021">
        <v>0</v>
      </c>
      <c r="E1021">
        <f>D1021/MAX($B$2:B1021,100000)</f>
        <v>0</v>
      </c>
      <c r="H1021" s="2"/>
      <c r="I1021" s="2"/>
      <c r="N1021" s="2"/>
    </row>
    <row r="1022" spans="1:14" x14ac:dyDescent="0.3">
      <c r="A1022" s="2">
        <v>43672</v>
      </c>
      <c r="B1022">
        <v>4479274</v>
      </c>
      <c r="C1022">
        <v>151855.51999999999</v>
      </c>
      <c r="D1022">
        <v>0</v>
      </c>
      <c r="E1022">
        <f>D1022/MAX($B$2:B1022,100000)</f>
        <v>0</v>
      </c>
      <c r="H1022" s="2"/>
      <c r="I1022" s="2"/>
      <c r="N1022" s="2"/>
    </row>
    <row r="1023" spans="1:14" x14ac:dyDescent="0.3">
      <c r="A1023" s="2">
        <v>43679</v>
      </c>
      <c r="B1023">
        <v>4511656</v>
      </c>
      <c r="C1023">
        <v>151855.51999999999</v>
      </c>
      <c r="D1023">
        <v>0</v>
      </c>
      <c r="E1023">
        <f>D1023/MAX($B$2:B1023,100000)</f>
        <v>0</v>
      </c>
      <c r="H1023" s="2"/>
      <c r="I1023" s="2"/>
      <c r="N1023" s="2"/>
    </row>
    <row r="1024" spans="1:14" x14ac:dyDescent="0.3">
      <c r="A1024" s="2">
        <v>43686</v>
      </c>
      <c r="B1024">
        <v>4427799.5</v>
      </c>
      <c r="C1024">
        <v>151855.51999999999</v>
      </c>
      <c r="D1024">
        <v>-83856.5</v>
      </c>
      <c r="E1024">
        <f>D1024/MAX($B$2:B1024,100000)</f>
        <v>-1.8586634264669114E-2</v>
      </c>
      <c r="H1024" s="2"/>
      <c r="I1024" s="2"/>
      <c r="N1024" s="2"/>
    </row>
    <row r="1025" spans="1:14" x14ac:dyDescent="0.3">
      <c r="A1025" s="2">
        <v>43693</v>
      </c>
      <c r="B1025">
        <v>4340382</v>
      </c>
      <c r="C1025">
        <v>151855.51999999999</v>
      </c>
      <c r="D1025">
        <v>-171274</v>
      </c>
      <c r="E1025">
        <f>D1025/MAX($B$2:B1025,100000)</f>
        <v>-3.7962557429023845E-2</v>
      </c>
      <c r="H1025" s="2"/>
      <c r="I1025" s="2"/>
      <c r="N1025" s="2"/>
    </row>
    <row r="1026" spans="1:14" x14ac:dyDescent="0.3">
      <c r="A1026" s="2">
        <v>43700</v>
      </c>
      <c r="B1026">
        <v>4388123</v>
      </c>
      <c r="C1026">
        <v>374913.03</v>
      </c>
      <c r="D1026">
        <v>-123533</v>
      </c>
      <c r="E1026">
        <f>D1026/MAX($B$2:B1026,100000)</f>
        <v>-2.7380855277973321E-2</v>
      </c>
      <c r="H1026" s="2"/>
      <c r="I1026" s="2"/>
      <c r="N1026" s="2"/>
    </row>
    <row r="1027" spans="1:14" x14ac:dyDescent="0.3">
      <c r="A1027" s="2">
        <v>43707</v>
      </c>
      <c r="B1027">
        <v>4417583</v>
      </c>
      <c r="C1027">
        <v>2181540.75</v>
      </c>
      <c r="D1027">
        <v>-94073</v>
      </c>
      <c r="E1027">
        <f>D1027/MAX($B$2:B1027,100000)</f>
        <v>-2.0851102123034204E-2</v>
      </c>
      <c r="H1027" s="2"/>
      <c r="I1027" s="2"/>
      <c r="N1027" s="2"/>
    </row>
    <row r="1028" spans="1:14" x14ac:dyDescent="0.3">
      <c r="A1028" s="2">
        <v>43714</v>
      </c>
      <c r="B1028">
        <v>4591360</v>
      </c>
      <c r="C1028">
        <v>113262.69</v>
      </c>
      <c r="D1028">
        <v>0</v>
      </c>
      <c r="E1028">
        <f>D1028/MAX($B$2:B1028,100000)</f>
        <v>0</v>
      </c>
      <c r="H1028" s="2"/>
      <c r="I1028" s="2"/>
      <c r="N1028" s="2"/>
    </row>
    <row r="1029" spans="1:14" x14ac:dyDescent="0.3">
      <c r="A1029" s="2">
        <v>43721</v>
      </c>
      <c r="B1029">
        <v>4466859</v>
      </c>
      <c r="C1029">
        <v>113262.69</v>
      </c>
      <c r="D1029">
        <v>-124501</v>
      </c>
      <c r="E1029">
        <f>D1029/MAX($B$2:B1029,100000)</f>
        <v>-2.7116366392528575E-2</v>
      </c>
      <c r="H1029" s="2"/>
      <c r="I1029" s="2"/>
      <c r="N1029" s="2"/>
    </row>
    <row r="1030" spans="1:14" x14ac:dyDescent="0.3">
      <c r="A1030" s="2">
        <v>43728</v>
      </c>
      <c r="B1030">
        <v>4534290.5</v>
      </c>
      <c r="C1030">
        <v>113262.69</v>
      </c>
      <c r="D1030">
        <v>-57069.5</v>
      </c>
      <c r="E1030">
        <f>D1030/MAX($B$2:B1030,100000)</f>
        <v>-1.2429759374128798E-2</v>
      </c>
      <c r="H1030" s="2"/>
      <c r="I1030" s="2"/>
      <c r="N1030" s="2"/>
    </row>
    <row r="1031" spans="1:14" x14ac:dyDescent="0.3">
      <c r="A1031" s="2">
        <v>43735</v>
      </c>
      <c r="B1031">
        <v>4550362.5</v>
      </c>
      <c r="C1031">
        <v>50165.93</v>
      </c>
      <c r="D1031">
        <v>-40997.5</v>
      </c>
      <c r="E1031">
        <f>D1031/MAX($B$2:B1031,100000)</f>
        <v>-8.92927150125453E-3</v>
      </c>
      <c r="H1031" s="2"/>
      <c r="I1031" s="2"/>
      <c r="N1031" s="2"/>
    </row>
    <row r="1032" spans="1:14" x14ac:dyDescent="0.3">
      <c r="A1032" s="2">
        <v>43742</v>
      </c>
      <c r="B1032">
        <v>4588321</v>
      </c>
      <c r="C1032">
        <v>50165.93</v>
      </c>
      <c r="D1032">
        <v>-3039</v>
      </c>
      <c r="E1032">
        <f>D1032/MAX($B$2:B1032,100000)</f>
        <v>-6.6189538611653189E-4</v>
      </c>
      <c r="H1032" s="2"/>
      <c r="I1032" s="2"/>
      <c r="N1032" s="2"/>
    </row>
    <row r="1033" spans="1:14" x14ac:dyDescent="0.3">
      <c r="A1033" s="2">
        <v>43749</v>
      </c>
      <c r="B1033">
        <v>4611722</v>
      </c>
      <c r="C1033">
        <v>233058.06</v>
      </c>
      <c r="D1033">
        <v>0</v>
      </c>
      <c r="E1033">
        <f>D1033/MAX($B$2:B1033,100000)</f>
        <v>0</v>
      </c>
      <c r="H1033" s="2"/>
      <c r="I1033" s="2"/>
      <c r="N1033" s="2"/>
    </row>
    <row r="1034" spans="1:14" x14ac:dyDescent="0.3">
      <c r="A1034" s="2">
        <v>43756</v>
      </c>
      <c r="B1034">
        <v>4704532</v>
      </c>
      <c r="C1034">
        <v>439613.16</v>
      </c>
      <c r="D1034">
        <v>0</v>
      </c>
      <c r="E1034">
        <f>D1034/MAX($B$2:B1034,100000)</f>
        <v>0</v>
      </c>
      <c r="H1034" s="2"/>
      <c r="I1034" s="2"/>
      <c r="N1034" s="2"/>
    </row>
    <row r="1035" spans="1:14" x14ac:dyDescent="0.3">
      <c r="A1035" s="2">
        <v>43763</v>
      </c>
      <c r="B1035">
        <v>4696940</v>
      </c>
      <c r="C1035">
        <v>175059.95</v>
      </c>
      <c r="D1035">
        <v>-7592</v>
      </c>
      <c r="E1035">
        <f>D1035/MAX($B$2:B1035,100000)</f>
        <v>-1.6137630693127392E-3</v>
      </c>
      <c r="H1035" s="2"/>
      <c r="I1035" s="2"/>
      <c r="N1035" s="2"/>
    </row>
    <row r="1036" spans="1:14" x14ac:dyDescent="0.3">
      <c r="A1036" s="2">
        <v>43770</v>
      </c>
      <c r="B1036">
        <v>4630625</v>
      </c>
      <c r="C1036">
        <v>175059.95</v>
      </c>
      <c r="D1036">
        <v>-73907</v>
      </c>
      <c r="E1036">
        <f>D1036/MAX($B$2:B1036,100000)</f>
        <v>-1.5709745411445816E-2</v>
      </c>
      <c r="H1036" s="2"/>
      <c r="I1036" s="2"/>
      <c r="N1036" s="2"/>
    </row>
    <row r="1037" spans="1:14" x14ac:dyDescent="0.3">
      <c r="A1037" s="2">
        <v>43777</v>
      </c>
      <c r="B1037">
        <v>4588767</v>
      </c>
      <c r="C1037">
        <v>175059.95</v>
      </c>
      <c r="D1037">
        <v>-115765</v>
      </c>
      <c r="E1037">
        <f>D1037/MAX($B$2:B1037,100000)</f>
        <v>-2.4607123514092367E-2</v>
      </c>
      <c r="H1037" s="2"/>
      <c r="I1037" s="2"/>
      <c r="N1037" s="2"/>
    </row>
    <row r="1038" spans="1:14" x14ac:dyDescent="0.3">
      <c r="A1038" s="2">
        <v>43784</v>
      </c>
      <c r="B1038">
        <v>4607546</v>
      </c>
      <c r="C1038">
        <v>175059.95</v>
      </c>
      <c r="D1038">
        <v>-96986</v>
      </c>
      <c r="E1038">
        <f>D1038/MAX($B$2:B1038,100000)</f>
        <v>-2.0615440600680365E-2</v>
      </c>
      <c r="H1038" s="2"/>
      <c r="I1038" s="2"/>
      <c r="N1038" s="2"/>
    </row>
    <row r="1039" spans="1:14" x14ac:dyDescent="0.3">
      <c r="A1039" s="2">
        <v>43791</v>
      </c>
      <c r="B1039">
        <v>4617551</v>
      </c>
      <c r="C1039">
        <v>163804.34</v>
      </c>
      <c r="D1039">
        <v>-86981</v>
      </c>
      <c r="E1039">
        <f>D1039/MAX($B$2:B1039,100000)</f>
        <v>-1.8488767851935112E-2</v>
      </c>
      <c r="H1039" s="2"/>
      <c r="I1039" s="2"/>
      <c r="N1039" s="2"/>
    </row>
    <row r="1040" spans="1:14" x14ac:dyDescent="0.3">
      <c r="A1040" s="2">
        <v>43798</v>
      </c>
      <c r="B1040">
        <v>4687575.5</v>
      </c>
      <c r="C1040">
        <v>163804.34</v>
      </c>
      <c r="D1040">
        <v>-16956.5</v>
      </c>
      <c r="E1040">
        <f>D1040/MAX($B$2:B1040,100000)</f>
        <v>-3.6042905011593076E-3</v>
      </c>
      <c r="H1040" s="2"/>
      <c r="I1040" s="2"/>
      <c r="N1040" s="2"/>
    </row>
    <row r="1041" spans="1:14" x14ac:dyDescent="0.3">
      <c r="A1041" s="2">
        <v>43805</v>
      </c>
      <c r="B1041">
        <v>4617595</v>
      </c>
      <c r="C1041">
        <v>163804.34</v>
      </c>
      <c r="D1041">
        <v>-86937</v>
      </c>
      <c r="E1041">
        <f>D1041/MAX($B$2:B1041,100000)</f>
        <v>-1.8479415168182509E-2</v>
      </c>
      <c r="H1041" s="2"/>
      <c r="I1041" s="2"/>
      <c r="N1041" s="2"/>
    </row>
    <row r="1042" spans="1:14" x14ac:dyDescent="0.3">
      <c r="A1042" s="2">
        <v>43812</v>
      </c>
      <c r="B1042">
        <v>4620711</v>
      </c>
      <c r="C1042">
        <v>82430.55</v>
      </c>
      <c r="D1042">
        <v>-83821</v>
      </c>
      <c r="E1042">
        <f>D1042/MAX($B$2:B1042,100000)</f>
        <v>-1.7817075109702728E-2</v>
      </c>
      <c r="H1042" s="2"/>
      <c r="I1042" s="2"/>
      <c r="N1042" s="2"/>
    </row>
    <row r="1043" spans="1:14" x14ac:dyDescent="0.3">
      <c r="A1043" s="2">
        <v>43819</v>
      </c>
      <c r="B1043">
        <v>4737737.5</v>
      </c>
      <c r="C1043">
        <v>82430.55</v>
      </c>
      <c r="D1043">
        <v>0</v>
      </c>
      <c r="E1043">
        <f>D1043/MAX($B$2:B1043,100000)</f>
        <v>0</v>
      </c>
      <c r="H1043" s="2"/>
      <c r="I1043" s="2"/>
      <c r="N1043" s="2"/>
    </row>
    <row r="1044" spans="1:14" x14ac:dyDescent="0.3">
      <c r="A1044" s="2">
        <v>43826</v>
      </c>
      <c r="B1044">
        <v>4788069</v>
      </c>
      <c r="C1044">
        <v>31434.34</v>
      </c>
      <c r="D1044">
        <v>0</v>
      </c>
      <c r="E1044">
        <f>D1044/MAX($B$2:B1044,100000)</f>
        <v>0</v>
      </c>
      <c r="H1044" s="2"/>
      <c r="I1044" s="2"/>
      <c r="N1044" s="2"/>
    </row>
    <row r="1045" spans="1:14" x14ac:dyDescent="0.3">
      <c r="A1045" s="2">
        <v>43833</v>
      </c>
      <c r="B1045">
        <v>4788832.5</v>
      </c>
      <c r="C1045">
        <v>2468.27</v>
      </c>
      <c r="D1045">
        <v>0</v>
      </c>
      <c r="E1045">
        <f>D1045/MAX($B$2:B1045,100000)</f>
        <v>0</v>
      </c>
      <c r="H1045" s="2"/>
      <c r="I1045" s="2"/>
      <c r="N1045" s="2"/>
    </row>
    <row r="1046" spans="1:14" x14ac:dyDescent="0.3">
      <c r="A1046" s="2">
        <v>43840</v>
      </c>
      <c r="B1046">
        <v>4759968</v>
      </c>
      <c r="C1046">
        <v>2468.27</v>
      </c>
      <c r="D1046">
        <v>-28864.5</v>
      </c>
      <c r="E1046">
        <f>D1046/MAX($B$2:B1046,100000)</f>
        <v>-6.0274607641841726E-3</v>
      </c>
      <c r="H1046" s="2"/>
      <c r="I1046" s="2"/>
      <c r="N1046" s="2"/>
    </row>
    <row r="1047" spans="1:14" x14ac:dyDescent="0.3">
      <c r="A1047" s="2">
        <v>43847</v>
      </c>
      <c r="B1047">
        <v>4895062.5</v>
      </c>
      <c r="C1047">
        <v>2468.27</v>
      </c>
      <c r="D1047">
        <v>0</v>
      </c>
      <c r="E1047">
        <f>D1047/MAX($B$2:B1047,100000)</f>
        <v>0</v>
      </c>
      <c r="H1047" s="2"/>
      <c r="I1047" s="2"/>
      <c r="N1047" s="2"/>
    </row>
    <row r="1048" spans="1:14" x14ac:dyDescent="0.3">
      <c r="A1048" s="2">
        <v>43854</v>
      </c>
      <c r="B1048">
        <v>4956954</v>
      </c>
      <c r="C1048">
        <v>190603.36</v>
      </c>
      <c r="D1048">
        <v>0</v>
      </c>
      <c r="E1048">
        <f>D1048/MAX($B$2:B1048,100000)</f>
        <v>0</v>
      </c>
      <c r="H1048" s="2"/>
      <c r="I1048" s="2"/>
      <c r="N1048" s="2"/>
    </row>
    <row r="1049" spans="1:14" x14ac:dyDescent="0.3">
      <c r="A1049" s="2">
        <v>43861</v>
      </c>
      <c r="B1049">
        <v>4887406.5</v>
      </c>
      <c r="C1049">
        <v>190603.36</v>
      </c>
      <c r="D1049">
        <v>-69547.5</v>
      </c>
      <c r="E1049">
        <f>D1049/MAX($B$2:B1049,100000)</f>
        <v>-1.4030289568957065E-2</v>
      </c>
      <c r="H1049" s="2"/>
      <c r="I1049" s="2"/>
      <c r="N1049" s="2"/>
    </row>
    <row r="1050" spans="1:14" x14ac:dyDescent="0.3">
      <c r="A1050" s="2">
        <v>43868</v>
      </c>
      <c r="B1050">
        <v>4987979</v>
      </c>
      <c r="C1050">
        <v>180810.69</v>
      </c>
      <c r="D1050">
        <v>0</v>
      </c>
      <c r="E1050">
        <f>D1050/MAX($B$2:B1050,100000)</f>
        <v>0</v>
      </c>
      <c r="H1050" s="2"/>
      <c r="I1050" s="2"/>
      <c r="N1050" s="2"/>
    </row>
    <row r="1051" spans="1:14" x14ac:dyDescent="0.3">
      <c r="A1051" s="2">
        <v>43875</v>
      </c>
      <c r="B1051">
        <v>5030139</v>
      </c>
      <c r="C1051">
        <v>139585.57999999999</v>
      </c>
      <c r="D1051">
        <v>0</v>
      </c>
      <c r="E1051">
        <f>D1051/MAX($B$2:B1051,100000)</f>
        <v>0</v>
      </c>
      <c r="H1051" s="2"/>
      <c r="I1051" s="2"/>
      <c r="N1051" s="2"/>
    </row>
    <row r="1052" spans="1:14" x14ac:dyDescent="0.3">
      <c r="A1052" s="2">
        <v>43882</v>
      </c>
      <c r="B1052">
        <v>5082161.5</v>
      </c>
      <c r="C1052">
        <v>139585.57999999999</v>
      </c>
      <c r="D1052">
        <v>0</v>
      </c>
      <c r="E1052">
        <f>D1052/MAX($B$2:B1052,100000)</f>
        <v>0</v>
      </c>
      <c r="H1052" s="2"/>
      <c r="I1052" s="2"/>
      <c r="N1052" s="2"/>
    </row>
    <row r="1053" spans="1:14" x14ac:dyDescent="0.3">
      <c r="A1053" s="2">
        <v>43889</v>
      </c>
      <c r="B1053">
        <v>4482068</v>
      </c>
      <c r="C1053">
        <v>139585.57999999999</v>
      </c>
      <c r="D1053">
        <v>-600093.5</v>
      </c>
      <c r="E1053">
        <f>D1053/MAX($B$2:B1053,100000)</f>
        <v>-0.11807840030270585</v>
      </c>
      <c r="H1053" s="2"/>
      <c r="I1053" s="2"/>
      <c r="N1053" s="2"/>
    </row>
    <row r="1054" spans="1:14" x14ac:dyDescent="0.3">
      <c r="A1054" s="2">
        <v>43896</v>
      </c>
      <c r="B1054">
        <v>4317786.5</v>
      </c>
      <c r="C1054">
        <v>139585.57999999999</v>
      </c>
      <c r="D1054">
        <v>-764375</v>
      </c>
      <c r="E1054">
        <f>D1054/MAX($B$2:B1054,100000)</f>
        <v>-0.15040352416978484</v>
      </c>
      <c r="H1054" s="2"/>
      <c r="I1054" s="2"/>
      <c r="N1054" s="2"/>
    </row>
    <row r="1055" spans="1:14" x14ac:dyDescent="0.3">
      <c r="A1055" s="2">
        <v>43903</v>
      </c>
      <c r="B1055">
        <v>4183038</v>
      </c>
      <c r="C1055">
        <v>3110154.25</v>
      </c>
      <c r="D1055">
        <v>-899123.5</v>
      </c>
      <c r="E1055">
        <f>D1055/MAX($B$2:B1055,100000)</f>
        <v>-0.17691753794128739</v>
      </c>
      <c r="H1055" s="2"/>
      <c r="I1055" s="2"/>
      <c r="N1055" s="2"/>
    </row>
    <row r="1056" spans="1:14" x14ac:dyDescent="0.3">
      <c r="A1056" s="2">
        <v>43910</v>
      </c>
      <c r="B1056">
        <v>4172115.25</v>
      </c>
      <c r="C1056">
        <v>3625527.5</v>
      </c>
      <c r="D1056">
        <v>-910046.25</v>
      </c>
      <c r="E1056">
        <f>D1056/MAX($B$2:B1056,100000)</f>
        <v>-0.17906677109729788</v>
      </c>
      <c r="H1056" s="2"/>
      <c r="I1056" s="2"/>
      <c r="N1056" s="2"/>
    </row>
    <row r="1057" spans="1:14" x14ac:dyDescent="0.3">
      <c r="A1057" s="2">
        <v>43917</v>
      </c>
      <c r="B1057">
        <v>4172115.25</v>
      </c>
      <c r="C1057">
        <v>4172115.25</v>
      </c>
      <c r="D1057">
        <v>-910046.25</v>
      </c>
      <c r="E1057">
        <f>D1057/MAX($B$2:B1057,100000)</f>
        <v>-0.17906677109729788</v>
      </c>
      <c r="H1057" s="2"/>
      <c r="I1057" s="2"/>
      <c r="N1057" s="2"/>
    </row>
    <row r="1058" spans="1:14" x14ac:dyDescent="0.3">
      <c r="A1058" s="2">
        <v>43924</v>
      </c>
      <c r="B1058">
        <v>4172115.25</v>
      </c>
      <c r="C1058">
        <v>4172115.25</v>
      </c>
      <c r="D1058">
        <v>-910046.25</v>
      </c>
      <c r="E1058">
        <f>D1058/MAX($B$2:B1058,100000)</f>
        <v>-0.17906677109729788</v>
      </c>
      <c r="H1058" s="2"/>
      <c r="I1058" s="2"/>
      <c r="N1058" s="2"/>
    </row>
    <row r="1059" spans="1:14" x14ac:dyDescent="0.3">
      <c r="A1059" s="2">
        <v>43930</v>
      </c>
      <c r="B1059">
        <v>4172115.25</v>
      </c>
      <c r="C1059">
        <v>4172115.25</v>
      </c>
      <c r="D1059">
        <v>-910046.25</v>
      </c>
      <c r="E1059">
        <f>D1059/MAX($B$2:B1059,100000)</f>
        <v>-0.17906677109729788</v>
      </c>
      <c r="H1059" s="2"/>
      <c r="I1059" s="2"/>
      <c r="N1059" s="2"/>
    </row>
    <row r="1060" spans="1:14" x14ac:dyDescent="0.3">
      <c r="A1060" s="2">
        <v>43938</v>
      </c>
      <c r="B1060">
        <v>4172115.25</v>
      </c>
      <c r="C1060">
        <v>4172115.25</v>
      </c>
      <c r="D1060">
        <v>-910046.25</v>
      </c>
      <c r="E1060">
        <f>D1060/MAX($B$2:B1060,100000)</f>
        <v>-0.17906677109729788</v>
      </c>
      <c r="H1060" s="2"/>
      <c r="I1060" s="2"/>
      <c r="N1060" s="2"/>
    </row>
    <row r="1061" spans="1:14" x14ac:dyDescent="0.3">
      <c r="A1061" s="2">
        <v>43945</v>
      </c>
      <c r="B1061">
        <v>4172115.25</v>
      </c>
      <c r="C1061">
        <v>4172115.25</v>
      </c>
      <c r="D1061">
        <v>-910046.25</v>
      </c>
      <c r="E1061">
        <f>D1061/MAX($B$2:B1061,100000)</f>
        <v>-0.17906677109729788</v>
      </c>
      <c r="H1061" s="2"/>
      <c r="I1061" s="2"/>
      <c r="N1061" s="2"/>
    </row>
    <row r="1062" spans="1:14" x14ac:dyDescent="0.3">
      <c r="A1062" s="2">
        <v>43952</v>
      </c>
      <c r="B1062">
        <v>4172115.25</v>
      </c>
      <c r="C1062">
        <v>4172115.25</v>
      </c>
      <c r="D1062">
        <v>-910046.25</v>
      </c>
      <c r="E1062">
        <f>D1062/MAX($B$2:B1062,100000)</f>
        <v>-0.17906677109729788</v>
      </c>
      <c r="H1062" s="2"/>
      <c r="I1062" s="2"/>
      <c r="N1062" s="2"/>
    </row>
    <row r="1063" spans="1:14" x14ac:dyDescent="0.3">
      <c r="A1063" s="2">
        <v>43959</v>
      </c>
      <c r="B1063">
        <v>4172115.25</v>
      </c>
      <c r="C1063">
        <v>4172115.25</v>
      </c>
      <c r="D1063">
        <v>-910046.25</v>
      </c>
      <c r="E1063">
        <f>D1063/MAX($B$2:B1063,100000)</f>
        <v>-0.17906677109729788</v>
      </c>
      <c r="H1063" s="2"/>
      <c r="I1063" s="2"/>
      <c r="N1063" s="2"/>
    </row>
    <row r="1064" spans="1:14" x14ac:dyDescent="0.3">
      <c r="A1064" s="2">
        <v>43966</v>
      </c>
      <c r="B1064">
        <v>4172115.25</v>
      </c>
      <c r="C1064">
        <v>4172115.25</v>
      </c>
      <c r="D1064">
        <v>-910046.25</v>
      </c>
      <c r="E1064">
        <f>D1064/MAX($B$2:B1064,100000)</f>
        <v>-0.17906677109729788</v>
      </c>
      <c r="H1064" s="2"/>
      <c r="I1064" s="2"/>
      <c r="N1064" s="2"/>
    </row>
    <row r="1065" spans="1:14" x14ac:dyDescent="0.3">
      <c r="A1065" s="2">
        <v>43973</v>
      </c>
      <c r="B1065">
        <v>4172115.25</v>
      </c>
      <c r="C1065">
        <v>4172115.25</v>
      </c>
      <c r="D1065">
        <v>-910046.25</v>
      </c>
      <c r="E1065">
        <f>D1065/MAX($B$2:B1065,100000)</f>
        <v>-0.17906677109729788</v>
      </c>
      <c r="H1065" s="2"/>
      <c r="I1065" s="2"/>
      <c r="N1065" s="2"/>
    </row>
    <row r="1066" spans="1:14" x14ac:dyDescent="0.3">
      <c r="A1066" s="2">
        <v>43980</v>
      </c>
      <c r="B1066">
        <v>4172115.25</v>
      </c>
      <c r="C1066">
        <v>4172115.25</v>
      </c>
      <c r="D1066">
        <v>-910046.25</v>
      </c>
      <c r="E1066">
        <f>D1066/MAX($B$2:B1066,100000)</f>
        <v>-0.17906677109729788</v>
      </c>
      <c r="H1066" s="2"/>
      <c r="I1066" s="2"/>
      <c r="N1066" s="2"/>
    </row>
    <row r="1067" spans="1:14" x14ac:dyDescent="0.3">
      <c r="A1067" s="2">
        <v>43987</v>
      </c>
      <c r="B1067">
        <v>4174924</v>
      </c>
      <c r="C1067">
        <v>2382974.25</v>
      </c>
      <c r="D1067">
        <v>-907237.5</v>
      </c>
      <c r="E1067">
        <f>D1067/MAX($B$2:B1067,100000)</f>
        <v>-0.17851410271003784</v>
      </c>
      <c r="H1067" s="2"/>
      <c r="I1067" s="2"/>
      <c r="N1067" s="2"/>
    </row>
    <row r="1068" spans="1:14" x14ac:dyDescent="0.3">
      <c r="A1068" s="2">
        <v>43994</v>
      </c>
      <c r="B1068">
        <v>4136792.75</v>
      </c>
      <c r="C1068">
        <v>1580091.13</v>
      </c>
      <c r="D1068">
        <v>-945368.75</v>
      </c>
      <c r="E1068">
        <f>D1068/MAX($B$2:B1068,100000)</f>
        <v>-0.18601706183481181</v>
      </c>
      <c r="H1068" s="2"/>
      <c r="I1068" s="2"/>
      <c r="N1068" s="2"/>
    </row>
    <row r="1069" spans="1:14" x14ac:dyDescent="0.3">
      <c r="A1069" s="2">
        <v>44001</v>
      </c>
      <c r="B1069">
        <v>4289610</v>
      </c>
      <c r="C1069">
        <v>1580091.13</v>
      </c>
      <c r="D1069">
        <v>-792551.5</v>
      </c>
      <c r="E1069">
        <f>D1069/MAX($B$2:B1069,100000)</f>
        <v>-0.15594772027610693</v>
      </c>
      <c r="H1069" s="2"/>
      <c r="I1069" s="2"/>
      <c r="N1069" s="2"/>
    </row>
    <row r="1070" spans="1:14" x14ac:dyDescent="0.3">
      <c r="A1070" s="2">
        <v>44008</v>
      </c>
      <c r="B1070">
        <v>4296043</v>
      </c>
      <c r="C1070">
        <v>142932</v>
      </c>
      <c r="D1070">
        <v>-786118.5</v>
      </c>
      <c r="E1070">
        <f>D1070/MAX($B$2:B1070,100000)</f>
        <v>-0.1546819202813606</v>
      </c>
      <c r="H1070" s="2"/>
      <c r="I1070" s="2"/>
      <c r="N1070" s="2"/>
    </row>
    <row r="1071" spans="1:14" x14ac:dyDescent="0.3">
      <c r="A1071" s="2">
        <v>44015</v>
      </c>
      <c r="B1071">
        <v>4379416.5</v>
      </c>
      <c r="C1071">
        <v>130352.05</v>
      </c>
      <c r="D1071">
        <v>-702745</v>
      </c>
      <c r="E1071">
        <f>D1071/MAX($B$2:B1071,100000)</f>
        <v>-0.13827679423410688</v>
      </c>
      <c r="H1071" s="2"/>
      <c r="I1071" s="2"/>
      <c r="N1071" s="2"/>
    </row>
    <row r="1072" spans="1:14" x14ac:dyDescent="0.3">
      <c r="A1072" s="2">
        <v>44022</v>
      </c>
      <c r="B1072">
        <v>4371130</v>
      </c>
      <c r="C1072">
        <v>130352.05</v>
      </c>
      <c r="D1072">
        <v>-711031.5</v>
      </c>
      <c r="E1072">
        <f>D1072/MAX($B$2:B1072,100000)</f>
        <v>-0.13990730125361031</v>
      </c>
      <c r="H1072" s="2"/>
      <c r="I1072" s="2"/>
      <c r="N1072" s="2"/>
    </row>
    <row r="1073" spans="1:14" x14ac:dyDescent="0.3">
      <c r="A1073" s="2">
        <v>44029</v>
      </c>
      <c r="B1073">
        <v>4285674.5</v>
      </c>
      <c r="C1073">
        <v>130352.05</v>
      </c>
      <c r="D1073">
        <v>-796487</v>
      </c>
      <c r="E1073">
        <f>D1073/MAX($B$2:B1073,100000)</f>
        <v>-0.15672209550995181</v>
      </c>
      <c r="H1073" s="2"/>
      <c r="I1073" s="2"/>
      <c r="N1073" s="2"/>
    </row>
    <row r="1074" spans="1:14" x14ac:dyDescent="0.3">
      <c r="A1074" s="2">
        <v>44036</v>
      </c>
      <c r="B1074">
        <v>4450643.5</v>
      </c>
      <c r="C1074">
        <v>130352.05</v>
      </c>
      <c r="D1074">
        <v>-631518</v>
      </c>
      <c r="E1074">
        <f>D1074/MAX($B$2:B1074,100000)</f>
        <v>-0.12426169455653858</v>
      </c>
      <c r="H1074" s="2"/>
      <c r="I1074" s="2"/>
      <c r="N1074" s="2"/>
    </row>
    <row r="1075" spans="1:14" x14ac:dyDescent="0.3">
      <c r="A1075" s="2">
        <v>44043</v>
      </c>
      <c r="B1075">
        <v>4450447</v>
      </c>
      <c r="C1075">
        <v>130352.05</v>
      </c>
      <c r="D1075">
        <v>-631714.5</v>
      </c>
      <c r="E1075">
        <f>D1075/MAX($B$2:B1075,100000)</f>
        <v>-0.12430035920739631</v>
      </c>
      <c r="H1075" s="2"/>
      <c r="I1075" s="2"/>
      <c r="N1075" s="2"/>
    </row>
    <row r="1076" spans="1:14" x14ac:dyDescent="0.3">
      <c r="A1076" s="2">
        <v>44050</v>
      </c>
      <c r="B1076">
        <v>4733824.5</v>
      </c>
      <c r="C1076">
        <v>130352.05</v>
      </c>
      <c r="D1076">
        <v>-348337</v>
      </c>
      <c r="E1076">
        <f>D1076/MAX($B$2:B1076,100000)</f>
        <v>-6.8541111887137005E-2</v>
      </c>
      <c r="H1076" s="2"/>
      <c r="I1076" s="2"/>
      <c r="N1076" s="2"/>
    </row>
    <row r="1077" spans="1:14" x14ac:dyDescent="0.3">
      <c r="A1077" s="2">
        <v>44057</v>
      </c>
      <c r="B1077">
        <v>4675157</v>
      </c>
      <c r="C1077">
        <v>41506.03</v>
      </c>
      <c r="D1077">
        <v>-407004.5</v>
      </c>
      <c r="E1077">
        <f>D1077/MAX($B$2:B1077,100000)</f>
        <v>-8.0084920559883824E-2</v>
      </c>
      <c r="H1077" s="2"/>
      <c r="I1077" s="2"/>
      <c r="N1077" s="2"/>
    </row>
    <row r="1078" spans="1:14" x14ac:dyDescent="0.3">
      <c r="A1078" s="2">
        <v>44064</v>
      </c>
      <c r="B1078">
        <v>4833983</v>
      </c>
      <c r="C1078">
        <v>41506.03</v>
      </c>
      <c r="D1078">
        <v>-248178.5</v>
      </c>
      <c r="E1078">
        <f>D1078/MAX($B$2:B1078,100000)</f>
        <v>-4.8833257266617754E-2</v>
      </c>
      <c r="H1078" s="2"/>
      <c r="I1078" s="2"/>
      <c r="N1078" s="2"/>
    </row>
    <row r="1079" spans="1:14" x14ac:dyDescent="0.3">
      <c r="A1079" s="2">
        <v>44071</v>
      </c>
      <c r="B1079">
        <v>4947641</v>
      </c>
      <c r="C1079">
        <v>41506.03</v>
      </c>
      <c r="D1079">
        <v>-134520.5</v>
      </c>
      <c r="E1079">
        <f>D1079/MAX($B$2:B1079,100000)</f>
        <v>-2.6469150970507331E-2</v>
      </c>
      <c r="H1079" s="2"/>
      <c r="I1079" s="2"/>
      <c r="N1079" s="2"/>
    </row>
    <row r="1080" spans="1:14" x14ac:dyDescent="0.3">
      <c r="A1080" s="2">
        <v>44078</v>
      </c>
      <c r="B1080">
        <v>4918818.5</v>
      </c>
      <c r="C1080">
        <v>41506.03</v>
      </c>
      <c r="D1080">
        <v>-163343</v>
      </c>
      <c r="E1080">
        <f>D1080/MAX($B$2:B1080,100000)</f>
        <v>-3.2140458346315834E-2</v>
      </c>
      <c r="H1080" s="2"/>
      <c r="I1080" s="2"/>
      <c r="N1080" s="2"/>
    </row>
    <row r="1081" spans="1:14" x14ac:dyDescent="0.3">
      <c r="A1081" s="2">
        <v>44085</v>
      </c>
      <c r="B1081">
        <v>4939158</v>
      </c>
      <c r="C1081">
        <v>41506.03</v>
      </c>
      <c r="D1081">
        <v>-143003.5</v>
      </c>
      <c r="E1081">
        <f>D1081/MAX($B$2:B1081,100000)</f>
        <v>-2.8138322640868456E-2</v>
      </c>
      <c r="H1081" s="2"/>
      <c r="I1081" s="2"/>
      <c r="N1081" s="2"/>
    </row>
    <row r="1082" spans="1:14" x14ac:dyDescent="0.3">
      <c r="A1082" s="2">
        <v>44092</v>
      </c>
      <c r="B1082">
        <v>5090379</v>
      </c>
      <c r="C1082">
        <v>41506.03</v>
      </c>
      <c r="D1082">
        <v>0</v>
      </c>
      <c r="E1082">
        <f>D1082/MAX($B$2:B1082,100000)</f>
        <v>0</v>
      </c>
      <c r="H1082" s="2"/>
      <c r="I1082" s="2"/>
      <c r="N1082" s="2"/>
    </row>
    <row r="1083" spans="1:14" x14ac:dyDescent="0.3">
      <c r="A1083" s="2">
        <v>44099</v>
      </c>
      <c r="B1083">
        <v>5001552</v>
      </c>
      <c r="C1083">
        <v>1871157</v>
      </c>
      <c r="D1083">
        <v>-88827</v>
      </c>
      <c r="E1083">
        <f>D1083/MAX($B$2:B1083,100000)</f>
        <v>-1.744997769321302E-2</v>
      </c>
      <c r="H1083" s="2"/>
      <c r="I1083" s="2"/>
      <c r="N1083" s="2"/>
    </row>
    <row r="1084" spans="1:14" x14ac:dyDescent="0.3">
      <c r="A1084" s="2">
        <v>44106</v>
      </c>
      <c r="B1084">
        <v>4984612.5</v>
      </c>
      <c r="C1084">
        <v>206728.83</v>
      </c>
      <c r="D1084">
        <v>-105766.5</v>
      </c>
      <c r="E1084">
        <f>D1084/MAX($B$2:B1084,100000)</f>
        <v>-2.0777725980717743E-2</v>
      </c>
      <c r="H1084" s="2"/>
      <c r="I1084" s="2"/>
      <c r="N1084" s="2"/>
    </row>
    <row r="1085" spans="1:14" x14ac:dyDescent="0.3">
      <c r="A1085" s="2">
        <v>44113</v>
      </c>
      <c r="B1085">
        <v>5113997.5</v>
      </c>
      <c r="C1085">
        <v>206728.83</v>
      </c>
      <c r="D1085">
        <v>0</v>
      </c>
      <c r="E1085">
        <f>D1085/MAX($B$2:B1085,100000)</f>
        <v>0</v>
      </c>
      <c r="H1085" s="2"/>
      <c r="I1085" s="2"/>
      <c r="N1085" s="2"/>
    </row>
    <row r="1086" spans="1:14" x14ac:dyDescent="0.3">
      <c r="A1086" s="2">
        <v>44120</v>
      </c>
      <c r="B1086">
        <v>5118221</v>
      </c>
      <c r="C1086">
        <v>212723.61</v>
      </c>
      <c r="D1086">
        <v>0</v>
      </c>
      <c r="E1086">
        <f>D1086/MAX($B$2:B1086,100000)</f>
        <v>0</v>
      </c>
      <c r="H1086" s="2"/>
      <c r="I1086" s="2"/>
      <c r="N1086" s="2"/>
    </row>
    <row r="1087" spans="1:14" x14ac:dyDescent="0.3">
      <c r="A1087" s="2">
        <v>44127</v>
      </c>
      <c r="B1087">
        <v>5127902.5</v>
      </c>
      <c r="C1087">
        <v>212723.61</v>
      </c>
      <c r="D1087">
        <v>0</v>
      </c>
      <c r="E1087">
        <f>D1087/MAX($B$2:B1087,100000)</f>
        <v>0</v>
      </c>
      <c r="H1087" s="2"/>
      <c r="I1087" s="2"/>
      <c r="N1087" s="2"/>
    </row>
    <row r="1088" spans="1:14" x14ac:dyDescent="0.3">
      <c r="A1088" s="2">
        <v>44134</v>
      </c>
      <c r="B1088">
        <v>4885492</v>
      </c>
      <c r="C1088">
        <v>196686.47</v>
      </c>
      <c r="D1088">
        <v>-242410.5</v>
      </c>
      <c r="E1088">
        <f>D1088/MAX($B$2:B1088,100000)</f>
        <v>-4.7272837188304571E-2</v>
      </c>
      <c r="H1088" s="2"/>
      <c r="I1088" s="2"/>
      <c r="N1088" s="2"/>
    </row>
    <row r="1089" spans="1:14" x14ac:dyDescent="0.3">
      <c r="A1089" s="2">
        <v>44141</v>
      </c>
      <c r="B1089">
        <v>4932372</v>
      </c>
      <c r="C1089">
        <v>196686.47</v>
      </c>
      <c r="D1089">
        <v>-195530.5</v>
      </c>
      <c r="E1089">
        <f>D1089/MAX($B$2:B1089,100000)</f>
        <v>-3.8130697687797303E-2</v>
      </c>
      <c r="H1089" s="2"/>
      <c r="I1089" s="2"/>
      <c r="N1089" s="2"/>
    </row>
    <row r="1090" spans="1:14" x14ac:dyDescent="0.3">
      <c r="A1090" s="2">
        <v>44148</v>
      </c>
      <c r="B1090">
        <v>4995162</v>
      </c>
      <c r="C1090">
        <v>505847</v>
      </c>
      <c r="D1090">
        <v>-132740.5</v>
      </c>
      <c r="E1090">
        <f>D1090/MAX($B$2:B1090,100000)</f>
        <v>-2.5885925093154561E-2</v>
      </c>
      <c r="H1090" s="2"/>
      <c r="I1090" s="2"/>
      <c r="N1090" s="2"/>
    </row>
    <row r="1091" spans="1:14" x14ac:dyDescent="0.3">
      <c r="A1091" s="2">
        <v>44155</v>
      </c>
      <c r="B1091">
        <v>5112804.5</v>
      </c>
      <c r="C1091">
        <v>27862.44</v>
      </c>
      <c r="D1091">
        <v>-15098</v>
      </c>
      <c r="E1091">
        <f>D1091/MAX($B$2:B1091,100000)</f>
        <v>-2.9442837495447698E-3</v>
      </c>
      <c r="H1091" s="2"/>
      <c r="I1091" s="2"/>
      <c r="N1091" s="2"/>
    </row>
    <row r="1092" spans="1:14" x14ac:dyDescent="0.3">
      <c r="A1092" s="2">
        <v>44162</v>
      </c>
      <c r="B1092">
        <v>5242846.5</v>
      </c>
      <c r="C1092">
        <v>27862.44</v>
      </c>
      <c r="D1092">
        <v>0</v>
      </c>
      <c r="E1092">
        <f>D1092/MAX($B$2:B1092,100000)</f>
        <v>0</v>
      </c>
      <c r="H1092" s="2"/>
      <c r="I1092" s="2"/>
      <c r="N1092" s="2"/>
    </row>
    <row r="1093" spans="1:14" x14ac:dyDescent="0.3">
      <c r="A1093" s="2">
        <v>44169</v>
      </c>
      <c r="B1093">
        <v>5382705.5</v>
      </c>
      <c r="C1093">
        <v>27862.44</v>
      </c>
      <c r="D1093">
        <v>0</v>
      </c>
      <c r="E1093">
        <f>D1093/MAX($B$2:B1093,100000)</f>
        <v>0</v>
      </c>
      <c r="H1093" s="2"/>
      <c r="I1093" s="2"/>
      <c r="N1093" s="2"/>
    </row>
    <row r="1094" spans="1:14" x14ac:dyDescent="0.3">
      <c r="A1094" s="2">
        <v>44176</v>
      </c>
      <c r="B1094">
        <v>5364702.5</v>
      </c>
      <c r="C1094">
        <v>27862.44</v>
      </c>
      <c r="D1094">
        <v>-18003</v>
      </c>
      <c r="E1094">
        <f>D1094/MAX($B$2:B1094,100000)</f>
        <v>-3.3446005916541411E-3</v>
      </c>
      <c r="H1094" s="2"/>
      <c r="I1094" s="2"/>
      <c r="N1094" s="2"/>
    </row>
    <row r="1095" spans="1:14" x14ac:dyDescent="0.3">
      <c r="A1095" s="2">
        <v>44183</v>
      </c>
      <c r="B1095">
        <v>5424753</v>
      </c>
      <c r="C1095">
        <v>27862.44</v>
      </c>
      <c r="D1095">
        <v>0</v>
      </c>
      <c r="E1095">
        <f>D1095/MAX($B$2:B1095,100000)</f>
        <v>0</v>
      </c>
      <c r="H1095" s="2"/>
      <c r="I1095" s="2"/>
      <c r="N1095" s="2"/>
    </row>
    <row r="1096" spans="1:14" x14ac:dyDescent="0.3">
      <c r="A1096" s="2">
        <v>44189</v>
      </c>
      <c r="B1096">
        <v>5360531.5</v>
      </c>
      <c r="C1096">
        <v>26950.02</v>
      </c>
      <c r="D1096">
        <v>-64221.5</v>
      </c>
      <c r="E1096">
        <f>D1096/MAX($B$2:B1096,100000)</f>
        <v>-1.1838603527202068E-2</v>
      </c>
      <c r="H1096" s="2"/>
      <c r="I1096" s="2"/>
      <c r="N1096" s="2"/>
    </row>
    <row r="1097" spans="1:14" x14ac:dyDescent="0.3">
      <c r="A1097" s="2">
        <v>44196</v>
      </c>
      <c r="B1097">
        <v>5366081.5</v>
      </c>
      <c r="C1097">
        <v>26950.02</v>
      </c>
      <c r="D1097">
        <v>-58671.5</v>
      </c>
      <c r="E1097">
        <f>D1097/MAX($B$2:B1097,100000)</f>
        <v>-1.0815515471395656E-2</v>
      </c>
      <c r="H1097" s="2"/>
      <c r="I1097" s="2"/>
      <c r="N1097" s="2"/>
    </row>
    <row r="1098" spans="1:14" x14ac:dyDescent="0.3">
      <c r="A1098" s="2">
        <v>44204</v>
      </c>
      <c r="B1098">
        <v>5431452</v>
      </c>
      <c r="C1098">
        <v>26950.02</v>
      </c>
      <c r="D1098">
        <v>0</v>
      </c>
      <c r="E1098">
        <f>D1098/MAX($B$2:B1098,100000)</f>
        <v>0</v>
      </c>
      <c r="H1098" s="2"/>
      <c r="I1098" s="2"/>
      <c r="N1098" s="2"/>
    </row>
    <row r="1099" spans="1:14" x14ac:dyDescent="0.3">
      <c r="A1099" s="2">
        <v>44211</v>
      </c>
      <c r="B1099">
        <v>5527485.5</v>
      </c>
      <c r="C1099">
        <v>26950.02</v>
      </c>
      <c r="D1099">
        <v>0</v>
      </c>
      <c r="E1099">
        <f>D1099/MAX($B$2:B1099,100000)</f>
        <v>0</v>
      </c>
      <c r="H1099" s="2"/>
      <c r="I1099" s="2"/>
      <c r="N1099" s="2"/>
    </row>
    <row r="1100" spans="1:14" x14ac:dyDescent="0.3">
      <c r="A1100" s="2">
        <v>44218</v>
      </c>
      <c r="B1100">
        <v>5568942.5</v>
      </c>
      <c r="C1100">
        <v>26950.02</v>
      </c>
      <c r="D1100">
        <v>0</v>
      </c>
      <c r="E1100">
        <f>D1100/MAX($B$2:B1100,100000)</f>
        <v>0</v>
      </c>
      <c r="H1100" s="2"/>
      <c r="I1100" s="2"/>
      <c r="N1100" s="2"/>
    </row>
    <row r="1101" spans="1:14" x14ac:dyDescent="0.3">
      <c r="A1101" s="2">
        <v>44225</v>
      </c>
      <c r="B1101">
        <v>5450299.5</v>
      </c>
      <c r="C1101">
        <v>199168.84</v>
      </c>
      <c r="D1101">
        <v>-118643</v>
      </c>
      <c r="E1101">
        <f>D1101/MAX($B$2:B1101,100000)</f>
        <v>-2.1304403843279043E-2</v>
      </c>
      <c r="H1101" s="2"/>
      <c r="I1101" s="2"/>
      <c r="N1101" s="2"/>
    </row>
    <row r="1102" spans="1:14" x14ac:dyDescent="0.3">
      <c r="A1102" s="2">
        <v>44232</v>
      </c>
      <c r="B1102">
        <v>5596171.5</v>
      </c>
      <c r="C1102">
        <v>199168.84</v>
      </c>
      <c r="D1102">
        <v>0</v>
      </c>
      <c r="E1102">
        <f>D1102/MAX($B$2:B1102,100000)</f>
        <v>0</v>
      </c>
      <c r="H1102" s="2"/>
      <c r="I1102" s="2"/>
      <c r="N1102" s="2"/>
    </row>
    <row r="1103" spans="1:14" x14ac:dyDescent="0.3">
      <c r="A1103" s="2">
        <v>44239</v>
      </c>
      <c r="B1103">
        <v>5621988.5</v>
      </c>
      <c r="C1103">
        <v>239933.72</v>
      </c>
      <c r="D1103">
        <v>0</v>
      </c>
      <c r="E1103">
        <f>D1103/MAX($B$2:B1103,100000)</f>
        <v>0</v>
      </c>
      <c r="H1103" s="2"/>
      <c r="I1103" s="2"/>
      <c r="N1103" s="2"/>
    </row>
    <row r="1104" spans="1:14" x14ac:dyDescent="0.3">
      <c r="A1104" s="2">
        <v>44246</v>
      </c>
      <c r="B1104">
        <v>5654461</v>
      </c>
      <c r="C1104">
        <v>239933.72</v>
      </c>
      <c r="D1104">
        <v>0</v>
      </c>
      <c r="E1104">
        <f>D1104/MAX($B$2:B1104,100000)</f>
        <v>0</v>
      </c>
      <c r="H1104" s="2"/>
      <c r="I1104" s="2"/>
      <c r="N1104" s="2"/>
    </row>
    <row r="1105" spans="1:14" x14ac:dyDescent="0.3">
      <c r="A1105" s="2">
        <v>44253</v>
      </c>
      <c r="B1105">
        <v>5542540</v>
      </c>
      <c r="C1105">
        <v>204847.34</v>
      </c>
      <c r="D1105">
        <v>-111921</v>
      </c>
      <c r="E1105">
        <f>D1105/MAX($B$2:B1105,100000)</f>
        <v>-1.9793398521981139E-2</v>
      </c>
      <c r="H1105" s="2"/>
      <c r="I1105" s="2"/>
      <c r="N1105" s="2"/>
    </row>
    <row r="1106" spans="1:14" x14ac:dyDescent="0.3">
      <c r="A1106" s="2">
        <v>44260</v>
      </c>
      <c r="B1106">
        <v>5445690.5</v>
      </c>
      <c r="C1106">
        <v>204847.34</v>
      </c>
      <c r="D1106">
        <v>-208770.5</v>
      </c>
      <c r="E1106">
        <f>D1106/MAX($B$2:B1106,100000)</f>
        <v>-3.6921379420602599E-2</v>
      </c>
      <c r="H1106" s="2"/>
      <c r="I1106" s="2"/>
      <c r="N1106" s="2"/>
    </row>
    <row r="1107" spans="1:14" x14ac:dyDescent="0.3">
      <c r="A1107" s="2">
        <v>44267</v>
      </c>
      <c r="B1107">
        <v>5448286</v>
      </c>
      <c r="C1107">
        <v>1559515.63</v>
      </c>
      <c r="D1107">
        <v>-206175</v>
      </c>
      <c r="E1107">
        <f>D1107/MAX($B$2:B1107,100000)</f>
        <v>-3.6462361310830513E-2</v>
      </c>
      <c r="H1107" s="2"/>
      <c r="I1107" s="2"/>
      <c r="N1107" s="2"/>
    </row>
    <row r="1108" spans="1:14" x14ac:dyDescent="0.3">
      <c r="A1108" s="2">
        <v>44274</v>
      </c>
      <c r="B1108">
        <v>5384369</v>
      </c>
      <c r="C1108">
        <v>2202045.75</v>
      </c>
      <c r="D1108">
        <v>-270092</v>
      </c>
      <c r="E1108">
        <f>D1108/MAX($B$2:B1108,100000)</f>
        <v>-4.7766179658856961E-2</v>
      </c>
      <c r="H1108" s="2"/>
      <c r="I1108" s="2"/>
      <c r="N1108" s="2"/>
    </row>
    <row r="1109" spans="1:14" x14ac:dyDescent="0.3">
      <c r="A1109" s="2">
        <v>44281</v>
      </c>
      <c r="B1109">
        <v>5390434.5</v>
      </c>
      <c r="C1109">
        <v>2202045.75</v>
      </c>
      <c r="D1109">
        <v>-264026.5</v>
      </c>
      <c r="E1109">
        <f>D1109/MAX($B$2:B1109,100000)</f>
        <v>-4.6693486788572776E-2</v>
      </c>
      <c r="H1109" s="2"/>
      <c r="I1109" s="2"/>
      <c r="N1109" s="2"/>
    </row>
    <row r="1110" spans="1:14" x14ac:dyDescent="0.3">
      <c r="A1110" s="2">
        <v>44287</v>
      </c>
      <c r="B1110">
        <v>5408616.5</v>
      </c>
      <c r="C1110">
        <v>1466859</v>
      </c>
      <c r="D1110">
        <v>-245844.5</v>
      </c>
      <c r="E1110">
        <f>D1110/MAX($B$2:B1110,100000)</f>
        <v>-4.3477972524702174E-2</v>
      </c>
      <c r="H1110" s="2"/>
      <c r="I1110" s="2"/>
      <c r="N1110" s="2"/>
    </row>
    <row r="1111" spans="1:14" x14ac:dyDescent="0.3">
      <c r="A1111" s="2">
        <v>44295</v>
      </c>
      <c r="B1111">
        <v>5560213</v>
      </c>
      <c r="C1111">
        <v>167384.13</v>
      </c>
      <c r="D1111">
        <v>-94248</v>
      </c>
      <c r="E1111">
        <f>D1111/MAX($B$2:B1111,100000)</f>
        <v>-1.6667901679753384E-2</v>
      </c>
      <c r="H1111" s="2"/>
      <c r="I1111" s="2"/>
      <c r="N1111" s="2"/>
    </row>
    <row r="1112" spans="1:14" x14ac:dyDescent="0.3">
      <c r="A1112" s="2">
        <v>44302</v>
      </c>
      <c r="B1112">
        <v>5676258</v>
      </c>
      <c r="C1112">
        <v>167384.13</v>
      </c>
      <c r="D1112">
        <v>0</v>
      </c>
      <c r="E1112">
        <f>D1112/MAX($B$2:B1112,100000)</f>
        <v>0</v>
      </c>
      <c r="H1112" s="2"/>
      <c r="I1112" s="2"/>
      <c r="N1112" s="2"/>
    </row>
    <row r="1113" spans="1:14" x14ac:dyDescent="0.3">
      <c r="A1113" s="2">
        <v>44309</v>
      </c>
      <c r="B1113">
        <v>5730707.5</v>
      </c>
      <c r="C1113">
        <v>167384.13</v>
      </c>
      <c r="D1113">
        <v>0</v>
      </c>
      <c r="E1113">
        <f>D1113/MAX($B$2:B1113,100000)</f>
        <v>0</v>
      </c>
      <c r="H1113" s="2"/>
      <c r="I1113" s="2"/>
      <c r="N1113" s="2"/>
    </row>
    <row r="1114" spans="1:14" x14ac:dyDescent="0.3">
      <c r="A1114" s="2">
        <v>44316</v>
      </c>
      <c r="B1114">
        <v>5725342.5</v>
      </c>
      <c r="C1114">
        <v>167384.13</v>
      </c>
      <c r="D1114">
        <v>-5365</v>
      </c>
      <c r="E1114">
        <f>D1114/MAX($B$2:B1114,100000)</f>
        <v>-9.3618458104867506E-4</v>
      </c>
      <c r="H1114" s="2"/>
      <c r="I1114" s="2"/>
      <c r="N1114" s="2"/>
    </row>
    <row r="1115" spans="1:14" x14ac:dyDescent="0.3">
      <c r="A1115" s="2">
        <v>44323</v>
      </c>
      <c r="B1115">
        <v>5819439.5</v>
      </c>
      <c r="C1115">
        <v>127815.83</v>
      </c>
      <c r="D1115">
        <v>0</v>
      </c>
      <c r="E1115">
        <f>D1115/MAX($B$2:B1115,100000)</f>
        <v>0</v>
      </c>
      <c r="H1115" s="2"/>
      <c r="I1115" s="2"/>
      <c r="N1115" s="2"/>
    </row>
    <row r="1116" spans="1:14" x14ac:dyDescent="0.3">
      <c r="A1116" s="2">
        <v>44330</v>
      </c>
      <c r="B1116">
        <v>5593009.5</v>
      </c>
      <c r="C1116">
        <v>127815.83</v>
      </c>
      <c r="D1116">
        <v>-226430</v>
      </c>
      <c r="E1116">
        <f>D1116/MAX($B$2:B1116,100000)</f>
        <v>-3.8909245469430517E-2</v>
      </c>
      <c r="H1116" s="2"/>
      <c r="I1116" s="2"/>
      <c r="N1116" s="2"/>
    </row>
    <row r="1117" spans="1:14" x14ac:dyDescent="0.3">
      <c r="A1117" s="2">
        <v>44337</v>
      </c>
      <c r="B1117">
        <v>5742176</v>
      </c>
      <c r="C1117">
        <v>3395.37</v>
      </c>
      <c r="D1117">
        <v>-77263.5</v>
      </c>
      <c r="E1117">
        <f>D1117/MAX($B$2:B1117,100000)</f>
        <v>-1.327679409675107E-2</v>
      </c>
      <c r="H1117" s="2"/>
      <c r="I1117" s="2"/>
      <c r="N1117" s="2"/>
    </row>
    <row r="1118" spans="1:14" x14ac:dyDescent="0.3">
      <c r="A1118" s="2">
        <v>44344</v>
      </c>
      <c r="B1118">
        <v>5896645.5</v>
      </c>
      <c r="C1118">
        <v>3395.37</v>
      </c>
      <c r="D1118">
        <v>0</v>
      </c>
      <c r="E1118">
        <f>D1118/MAX($B$2:B1118,100000)</f>
        <v>0</v>
      </c>
      <c r="H1118" s="2"/>
      <c r="I1118" s="2"/>
      <c r="N1118" s="2"/>
    </row>
    <row r="1119" spans="1:14" x14ac:dyDescent="0.3">
      <c r="A1119" s="2">
        <v>44351</v>
      </c>
      <c r="B1119">
        <v>5825138.5</v>
      </c>
      <c r="C1119">
        <v>3395.37</v>
      </c>
      <c r="D1119">
        <v>-71507</v>
      </c>
      <c r="E1119">
        <f>D1119/MAX($B$2:B1119,100000)</f>
        <v>-1.2126725271173247E-2</v>
      </c>
      <c r="H1119" s="2"/>
      <c r="I1119" s="2"/>
      <c r="N1119" s="2"/>
    </row>
    <row r="1120" spans="1:14" x14ac:dyDescent="0.3">
      <c r="A1120" s="2">
        <v>44358</v>
      </c>
      <c r="B1120">
        <v>5932513</v>
      </c>
      <c r="C1120">
        <v>3395.37</v>
      </c>
      <c r="D1120">
        <v>0</v>
      </c>
      <c r="E1120">
        <f>D1120/MAX($B$2:B1120,100000)</f>
        <v>0</v>
      </c>
      <c r="H1120" s="2"/>
      <c r="I1120" s="2"/>
      <c r="N1120" s="2"/>
    </row>
    <row r="1121" spans="1:14" x14ac:dyDescent="0.3">
      <c r="A1121" s="2">
        <v>44365</v>
      </c>
      <c r="B1121">
        <v>5888398</v>
      </c>
      <c r="C1121">
        <v>3395.37</v>
      </c>
      <c r="D1121">
        <v>-44115</v>
      </c>
      <c r="E1121">
        <f>D1121/MAX($B$2:B1121,100000)</f>
        <v>-7.4361404686344558E-3</v>
      </c>
      <c r="H1121" s="2"/>
      <c r="I1121" s="2"/>
      <c r="N1121" s="2"/>
    </row>
    <row r="1122" spans="1:14" x14ac:dyDescent="0.3">
      <c r="A1122" s="2">
        <v>44372</v>
      </c>
      <c r="B1122">
        <v>5829844</v>
      </c>
      <c r="C1122">
        <v>3395.37</v>
      </c>
      <c r="D1122">
        <v>-102669</v>
      </c>
      <c r="E1122">
        <f>D1122/MAX($B$2:B1122,100000)</f>
        <v>-1.7306156766955252E-2</v>
      </c>
      <c r="H1122" s="2"/>
      <c r="I1122" s="2"/>
      <c r="N1122" s="2"/>
    </row>
    <row r="1123" spans="1:14" x14ac:dyDescent="0.3">
      <c r="A1123" s="2">
        <v>44379</v>
      </c>
      <c r="B1123">
        <v>5966598</v>
      </c>
      <c r="C1123">
        <v>3395.37</v>
      </c>
      <c r="D1123">
        <v>0</v>
      </c>
      <c r="E1123">
        <f>D1123/MAX($B$2:B1123,100000)</f>
        <v>0</v>
      </c>
      <c r="H1123" s="2"/>
      <c r="I1123" s="2"/>
      <c r="N1123" s="2"/>
    </row>
    <row r="1124" spans="1:14" x14ac:dyDescent="0.3">
      <c r="A1124" s="2">
        <v>44386</v>
      </c>
      <c r="B1124">
        <v>5854997</v>
      </c>
      <c r="C1124">
        <v>236991.61</v>
      </c>
      <c r="D1124">
        <v>-111601</v>
      </c>
      <c r="E1124">
        <f>D1124/MAX($B$2:B1124,100000)</f>
        <v>-1.870429346840528E-2</v>
      </c>
      <c r="H1124" s="2"/>
      <c r="I1124" s="2"/>
      <c r="N1124" s="2"/>
    </row>
    <row r="1125" spans="1:14" x14ac:dyDescent="0.3">
      <c r="A1125" s="2">
        <v>44393</v>
      </c>
      <c r="B1125">
        <v>5846393.5</v>
      </c>
      <c r="C1125">
        <v>236991.61</v>
      </c>
      <c r="D1125">
        <v>-120204.5</v>
      </c>
      <c r="E1125">
        <f>D1125/MAX($B$2:B1125,100000)</f>
        <v>-2.0146237437145924E-2</v>
      </c>
      <c r="H1125" s="2"/>
      <c r="I1125" s="2"/>
      <c r="N1125" s="2"/>
    </row>
    <row r="1126" spans="1:14" x14ac:dyDescent="0.3">
      <c r="A1126" s="2">
        <v>44400</v>
      </c>
      <c r="B1126">
        <v>5840101.5</v>
      </c>
      <c r="C1126">
        <v>172210.53</v>
      </c>
      <c r="D1126">
        <v>-126496.5</v>
      </c>
      <c r="E1126">
        <f>D1126/MAX($B$2:B1126,100000)</f>
        <v>-2.1200774712826304E-2</v>
      </c>
      <c r="H1126" s="2"/>
      <c r="I1126" s="2"/>
      <c r="N1126" s="2"/>
    </row>
    <row r="1127" spans="1:14" x14ac:dyDescent="0.3">
      <c r="A1127" s="2">
        <v>44407</v>
      </c>
      <c r="B1127">
        <v>5862552.5</v>
      </c>
      <c r="C1127">
        <v>156506.79999999999</v>
      </c>
      <c r="D1127">
        <v>-104045.5</v>
      </c>
      <c r="E1127">
        <f>D1127/MAX($B$2:B1127,100000)</f>
        <v>-1.7437993979148587E-2</v>
      </c>
      <c r="H1127" s="2"/>
      <c r="I1127" s="2"/>
      <c r="N1127" s="2"/>
    </row>
    <row r="1128" spans="1:14" x14ac:dyDescent="0.3">
      <c r="A1128" s="2">
        <v>44414</v>
      </c>
      <c r="B1128">
        <v>6034464</v>
      </c>
      <c r="C1128">
        <v>156506.79999999999</v>
      </c>
      <c r="D1128">
        <v>0</v>
      </c>
      <c r="E1128">
        <f>D1128/MAX($B$2:B1128,100000)</f>
        <v>0</v>
      </c>
      <c r="H1128" s="2"/>
      <c r="I1128" s="2"/>
      <c r="N1128" s="2"/>
    </row>
    <row r="1129" spans="1:14" x14ac:dyDescent="0.3">
      <c r="A1129" s="2">
        <v>44421</v>
      </c>
      <c r="B1129">
        <v>6149063.5</v>
      </c>
      <c r="C1129">
        <v>156506.79999999999</v>
      </c>
      <c r="D1129">
        <v>0</v>
      </c>
      <c r="E1129">
        <f>D1129/MAX($B$2:B1129,100000)</f>
        <v>0</v>
      </c>
      <c r="H1129" s="2"/>
      <c r="I1129" s="2"/>
      <c r="N1129" s="2"/>
    </row>
    <row r="1130" spans="1:14" x14ac:dyDescent="0.3">
      <c r="A1130" s="2">
        <v>44428</v>
      </c>
      <c r="B1130">
        <v>6032756.5</v>
      </c>
      <c r="C1130">
        <v>156506.79999999999</v>
      </c>
      <c r="D1130">
        <v>-116307</v>
      </c>
      <c r="E1130">
        <f>D1130/MAX($B$2:B1130,100000)</f>
        <v>-1.8914587562805295E-2</v>
      </c>
      <c r="H1130" s="2"/>
      <c r="I1130" s="2"/>
      <c r="N1130" s="2"/>
    </row>
    <row r="1131" spans="1:14" x14ac:dyDescent="0.3">
      <c r="A1131" s="2">
        <v>44435</v>
      </c>
      <c r="B1131">
        <v>6096782.5</v>
      </c>
      <c r="C1131">
        <v>156506.79999999999</v>
      </c>
      <c r="D1131">
        <v>-52281</v>
      </c>
      <c r="E1131">
        <f>D1131/MAX($B$2:B1131,100000)</f>
        <v>-8.5022703050635275E-3</v>
      </c>
      <c r="H1131" s="2"/>
      <c r="I1131" s="2"/>
      <c r="N1131" s="2"/>
    </row>
    <row r="1132" spans="1:14" x14ac:dyDescent="0.3">
      <c r="A1132" s="2">
        <v>44442</v>
      </c>
      <c r="B1132">
        <v>6353692.5</v>
      </c>
      <c r="C1132">
        <v>156506.79999999999</v>
      </c>
      <c r="D1132">
        <v>0</v>
      </c>
      <c r="E1132">
        <f>D1132/MAX($B$2:B1132,100000)</f>
        <v>0</v>
      </c>
      <c r="H1132" s="2"/>
      <c r="I1132" s="2"/>
      <c r="N1132" s="2"/>
    </row>
    <row r="1133" spans="1:14" x14ac:dyDescent="0.3">
      <c r="A1133" s="2">
        <v>44449</v>
      </c>
      <c r="B1133">
        <v>6326419</v>
      </c>
      <c r="C1133">
        <v>154805.54999999999</v>
      </c>
      <c r="D1133">
        <v>-27273.5</v>
      </c>
      <c r="E1133">
        <f>D1133/MAX($B$2:B1133,100000)</f>
        <v>-4.2925432730652295E-3</v>
      </c>
      <c r="H1133" s="2"/>
      <c r="I1133" s="2"/>
      <c r="N1133" s="2"/>
    </row>
    <row r="1134" spans="1:14" x14ac:dyDescent="0.3">
      <c r="A1134" s="2">
        <v>44456</v>
      </c>
      <c r="B1134">
        <v>6344406.5</v>
      </c>
      <c r="C1134">
        <v>100801.8</v>
      </c>
      <c r="D1134">
        <v>-9286</v>
      </c>
      <c r="E1134">
        <f>D1134/MAX($B$2:B1134,100000)</f>
        <v>-1.4615123410520732E-3</v>
      </c>
      <c r="H1134" s="2"/>
      <c r="I1134" s="2"/>
      <c r="N1134" s="2"/>
    </row>
    <row r="1135" spans="1:14" x14ac:dyDescent="0.3">
      <c r="A1135" s="2">
        <v>44463</v>
      </c>
      <c r="B1135">
        <v>6281219.5</v>
      </c>
      <c r="C1135">
        <v>100801.8</v>
      </c>
      <c r="D1135">
        <v>-72473</v>
      </c>
      <c r="E1135">
        <f>D1135/MAX($B$2:B1135,100000)</f>
        <v>-1.1406438067312827E-2</v>
      </c>
      <c r="H1135" s="2"/>
      <c r="I1135" s="2"/>
      <c r="N1135" s="2"/>
    </row>
    <row r="1136" spans="1:14" x14ac:dyDescent="0.3">
      <c r="A1136" s="2">
        <v>44470</v>
      </c>
      <c r="B1136">
        <v>6196098.5</v>
      </c>
      <c r="C1136">
        <v>100801.8</v>
      </c>
      <c r="D1136">
        <v>-157594</v>
      </c>
      <c r="E1136">
        <f>D1136/MAX($B$2:B1136,100000)</f>
        <v>-2.4803529601094165E-2</v>
      </c>
      <c r="H1136" s="2"/>
      <c r="I1136" s="2"/>
      <c r="N1136" s="2"/>
    </row>
    <row r="1137" spans="1:14" x14ac:dyDescent="0.3">
      <c r="A1137" s="2">
        <v>44477</v>
      </c>
      <c r="B1137">
        <v>6170207.5</v>
      </c>
      <c r="C1137">
        <v>979229.69</v>
      </c>
      <c r="D1137">
        <v>-183485</v>
      </c>
      <c r="E1137">
        <f>D1137/MAX($B$2:B1137,100000)</f>
        <v>-2.8878482866459148E-2</v>
      </c>
      <c r="H1137" s="2"/>
      <c r="I1137" s="2"/>
      <c r="N1137" s="2"/>
    </row>
    <row r="1138" spans="1:14" x14ac:dyDescent="0.3">
      <c r="A1138" s="2">
        <v>44484</v>
      </c>
      <c r="B1138">
        <v>6145871.5</v>
      </c>
      <c r="C1138">
        <v>1500667.38</v>
      </c>
      <c r="D1138">
        <v>-207821</v>
      </c>
      <c r="E1138">
        <f>D1138/MAX($B$2:B1138,100000)</f>
        <v>-3.2708696557159481E-2</v>
      </c>
      <c r="H1138" s="2"/>
      <c r="I1138" s="2"/>
      <c r="N1138" s="2"/>
    </row>
    <row r="1139" spans="1:14" x14ac:dyDescent="0.3">
      <c r="A1139" s="2">
        <v>44491</v>
      </c>
      <c r="B1139">
        <v>6190070</v>
      </c>
      <c r="C1139">
        <v>2109950</v>
      </c>
      <c r="D1139">
        <v>-163622.5</v>
      </c>
      <c r="E1139">
        <f>D1139/MAX($B$2:B1139,100000)</f>
        <v>-2.5752347945702438E-2</v>
      </c>
      <c r="H1139" s="2"/>
      <c r="I1139" s="2"/>
      <c r="N1139" s="2"/>
    </row>
    <row r="1140" spans="1:14" x14ac:dyDescent="0.3">
      <c r="A1140" s="2">
        <v>44498</v>
      </c>
      <c r="B1140">
        <v>6218917</v>
      </c>
      <c r="C1140">
        <v>654908.18999999994</v>
      </c>
      <c r="D1140">
        <v>-134775.5</v>
      </c>
      <c r="E1140">
        <f>D1140/MAX($B$2:B1140,100000)</f>
        <v>-2.121215340528362E-2</v>
      </c>
      <c r="H1140" s="2"/>
      <c r="I1140" s="2"/>
      <c r="N1140" s="2"/>
    </row>
    <row r="1141" spans="1:14" x14ac:dyDescent="0.3">
      <c r="A1141" s="2">
        <v>44505</v>
      </c>
      <c r="B1141">
        <v>6309703.5</v>
      </c>
      <c r="C1141">
        <v>654908.18999999994</v>
      </c>
      <c r="D1141">
        <v>-43989</v>
      </c>
      <c r="E1141">
        <f>D1141/MAX($B$2:B1141,100000)</f>
        <v>-6.9233756591147591E-3</v>
      </c>
      <c r="H1141" s="2"/>
      <c r="I1141" s="2"/>
      <c r="N1141" s="2"/>
    </row>
    <row r="1142" spans="1:14" x14ac:dyDescent="0.3">
      <c r="A1142" s="2">
        <v>44512</v>
      </c>
      <c r="B1142">
        <v>6209123.5</v>
      </c>
      <c r="C1142">
        <v>33385.120000000003</v>
      </c>
      <c r="D1142">
        <v>-144569</v>
      </c>
      <c r="E1142">
        <f>D1142/MAX($B$2:B1142,100000)</f>
        <v>-2.2753540559288948E-2</v>
      </c>
      <c r="H1142" s="2"/>
      <c r="I1142" s="2"/>
      <c r="N1142" s="2"/>
    </row>
    <row r="1143" spans="1:14" x14ac:dyDescent="0.3">
      <c r="A1143" s="2">
        <v>44519</v>
      </c>
      <c r="B1143">
        <v>6247305.5</v>
      </c>
      <c r="C1143">
        <v>33385.120000000003</v>
      </c>
      <c r="D1143">
        <v>-106387</v>
      </c>
      <c r="E1143">
        <f>D1143/MAX($B$2:B1143,100000)</f>
        <v>-1.6744121626912224E-2</v>
      </c>
      <c r="H1143" s="2"/>
      <c r="I1143" s="2"/>
      <c r="N1143" s="2"/>
    </row>
    <row r="1144" spans="1:14" x14ac:dyDescent="0.3">
      <c r="A1144" s="2">
        <v>44526</v>
      </c>
      <c r="B1144">
        <v>6178338.5</v>
      </c>
      <c r="C1144">
        <v>226143.35999999999</v>
      </c>
      <c r="D1144">
        <v>-175354</v>
      </c>
      <c r="E1144">
        <f>D1144/MAX($B$2:B1144,100000)</f>
        <v>-2.7598754582473104E-2</v>
      </c>
      <c r="H1144" s="2"/>
      <c r="I1144" s="2"/>
      <c r="N1144" s="2"/>
    </row>
    <row r="1145" spans="1:14" x14ac:dyDescent="0.3">
      <c r="A1145" s="2">
        <v>44533</v>
      </c>
      <c r="B1145">
        <v>6032102.5</v>
      </c>
      <c r="C1145">
        <v>226143.35999999999</v>
      </c>
      <c r="D1145">
        <v>-321590</v>
      </c>
      <c r="E1145">
        <f>D1145/MAX($B$2:B1145,100000)</f>
        <v>-5.0614662261354325E-2</v>
      </c>
      <c r="H1145" s="2"/>
      <c r="I1145" s="2"/>
      <c r="N1145" s="2"/>
    </row>
    <row r="1146" spans="1:14" x14ac:dyDescent="0.3">
      <c r="A1146" s="2">
        <v>44540</v>
      </c>
      <c r="B1146">
        <v>5994387</v>
      </c>
      <c r="C1146">
        <v>1509190.5</v>
      </c>
      <c r="D1146">
        <v>-359305.5</v>
      </c>
      <c r="E1146">
        <f>D1146/MAX($B$2:B1146,100000)</f>
        <v>-5.6550659321331652E-2</v>
      </c>
      <c r="H1146" s="2"/>
      <c r="I1146" s="2"/>
      <c r="N1146" s="2"/>
    </row>
    <row r="1147" spans="1:14" x14ac:dyDescent="0.3">
      <c r="A1147" s="2">
        <v>44547</v>
      </c>
      <c r="B1147">
        <v>5912465</v>
      </c>
      <c r="C1147">
        <v>2360955.5</v>
      </c>
      <c r="D1147">
        <v>-441227.5</v>
      </c>
      <c r="E1147">
        <f>D1147/MAX($B$2:B1147,100000)</f>
        <v>-6.9444264103117992E-2</v>
      </c>
      <c r="H1147" s="2"/>
      <c r="I1147" s="2"/>
      <c r="N1147" s="2"/>
    </row>
    <row r="1148" spans="1:14" x14ac:dyDescent="0.3">
      <c r="A1148" s="2">
        <v>44554</v>
      </c>
      <c r="B1148">
        <v>5936472</v>
      </c>
      <c r="C1148">
        <v>2654751</v>
      </c>
      <c r="D1148">
        <v>-417220.5</v>
      </c>
      <c r="E1148">
        <f>D1148/MAX($B$2:B1148,100000)</f>
        <v>-6.5665831325642535E-2</v>
      </c>
      <c r="H1148" s="2"/>
      <c r="I1148" s="2"/>
      <c r="N1148" s="2"/>
    </row>
    <row r="1149" spans="1:14" x14ac:dyDescent="0.3">
      <c r="A1149" s="2">
        <v>44561</v>
      </c>
      <c r="B1149">
        <v>6044707.5</v>
      </c>
      <c r="C1149">
        <v>1557205.88</v>
      </c>
      <c r="D1149">
        <v>-308985</v>
      </c>
      <c r="E1149">
        <f>D1149/MAX($B$2:B1149,100000)</f>
        <v>-4.8630776513027663E-2</v>
      </c>
      <c r="H1149" s="2"/>
      <c r="I1149" s="2"/>
      <c r="N1149" s="2"/>
    </row>
    <row r="1150" spans="1:14" x14ac:dyDescent="0.3">
      <c r="A1150" s="2">
        <v>44568</v>
      </c>
      <c r="B1150">
        <v>5944632</v>
      </c>
      <c r="C1150">
        <v>399799.19</v>
      </c>
      <c r="D1150">
        <v>-409060.5</v>
      </c>
      <c r="E1150">
        <f>D1150/MAX($B$2:B1150,100000)</f>
        <v>-6.4381538766630581E-2</v>
      </c>
      <c r="H1150" s="2"/>
      <c r="I1150" s="2"/>
      <c r="N1150" s="2"/>
    </row>
    <row r="1151" spans="1:14" x14ac:dyDescent="0.3">
      <c r="A1151" s="2">
        <v>44575</v>
      </c>
      <c r="B1151">
        <v>5974270.5</v>
      </c>
      <c r="C1151">
        <v>116345.02</v>
      </c>
      <c r="D1151">
        <v>-379422</v>
      </c>
      <c r="E1151">
        <f>D1151/MAX($B$2:B1151,100000)</f>
        <v>-5.9716770995763488E-2</v>
      </c>
      <c r="H1151" s="2"/>
      <c r="I1151" s="2"/>
      <c r="N1151" s="2"/>
    </row>
    <row r="1152" spans="1:14" x14ac:dyDescent="0.3">
      <c r="A1152" s="2">
        <v>44582</v>
      </c>
      <c r="B1152">
        <v>5770507</v>
      </c>
      <c r="C1152">
        <v>102620.36</v>
      </c>
      <c r="D1152">
        <v>-583185.5</v>
      </c>
      <c r="E1152">
        <f>D1152/MAX($B$2:B1152,100000)</f>
        <v>-9.1786862521281917E-2</v>
      </c>
      <c r="H1152" s="2"/>
      <c r="I1152" s="2"/>
      <c r="N1152" s="2"/>
    </row>
    <row r="1153" spans="1:14" x14ac:dyDescent="0.3">
      <c r="A1153" s="2">
        <v>44589</v>
      </c>
      <c r="B1153">
        <v>5447723.5</v>
      </c>
      <c r="C1153">
        <v>102620.36</v>
      </c>
      <c r="D1153">
        <v>-905969</v>
      </c>
      <c r="E1153">
        <f>D1153/MAX($B$2:B1153,100000)</f>
        <v>-0.14258936830827112</v>
      </c>
      <c r="H1153" s="2"/>
      <c r="I1153" s="2"/>
      <c r="N1153" s="2"/>
    </row>
    <row r="1154" spans="1:14" x14ac:dyDescent="0.3">
      <c r="A1154" s="2">
        <v>44596</v>
      </c>
      <c r="B1154">
        <v>5508726</v>
      </c>
      <c r="C1154">
        <v>1771821</v>
      </c>
      <c r="D1154">
        <v>-844966.5</v>
      </c>
      <c r="E1154">
        <f>D1154/MAX($B$2:B1154,100000)</f>
        <v>-0.13298825840249587</v>
      </c>
      <c r="H1154" s="2"/>
      <c r="I1154" s="2"/>
      <c r="N1154" s="2"/>
    </row>
    <row r="1155" spans="1:14" x14ac:dyDescent="0.3">
      <c r="A1155" s="2">
        <v>44603</v>
      </c>
      <c r="B1155">
        <v>5523837</v>
      </c>
      <c r="C1155">
        <v>3012949.75</v>
      </c>
      <c r="D1155">
        <v>-829855.5</v>
      </c>
      <c r="E1155">
        <f>D1155/MAX($B$2:B1155,100000)</f>
        <v>-0.13060995633641381</v>
      </c>
      <c r="H1155" s="2"/>
      <c r="I1155" s="2"/>
      <c r="N1155" s="2"/>
    </row>
    <row r="1156" spans="1:14" x14ac:dyDescent="0.3">
      <c r="A1156" s="2">
        <v>44610</v>
      </c>
      <c r="B1156">
        <v>5495094</v>
      </c>
      <c r="C1156">
        <v>3012949.75</v>
      </c>
      <c r="D1156">
        <v>-858598.5</v>
      </c>
      <c r="E1156">
        <f>D1156/MAX($B$2:B1156,100000)</f>
        <v>-0.13513378244225699</v>
      </c>
      <c r="H1156" s="2"/>
      <c r="I1156" s="2"/>
      <c r="N1156" s="2"/>
    </row>
    <row r="1157" spans="1:14" x14ac:dyDescent="0.3">
      <c r="A1157" s="2">
        <v>44617</v>
      </c>
      <c r="B1157">
        <v>5401585.5</v>
      </c>
      <c r="C1157">
        <v>3455917.5</v>
      </c>
      <c r="D1157">
        <v>-952107</v>
      </c>
      <c r="E1157">
        <f>D1157/MAX($B$2:B1157,100000)</f>
        <v>-0.14985097248568452</v>
      </c>
      <c r="H1157" s="2"/>
      <c r="I1157" s="2"/>
      <c r="N1157" s="2"/>
    </row>
    <row r="1158" spans="1:14" x14ac:dyDescent="0.3">
      <c r="A1158" s="2">
        <v>44624</v>
      </c>
      <c r="B1158">
        <v>5422349.5</v>
      </c>
      <c r="C1158">
        <v>3764738.5</v>
      </c>
      <c r="D1158">
        <v>-931343</v>
      </c>
      <c r="E1158">
        <f>D1158/MAX($B$2:B1158,100000)</f>
        <v>-0.14658295156713991</v>
      </c>
      <c r="H1158" s="2"/>
      <c r="I1158" s="2"/>
      <c r="N1158" s="2"/>
    </row>
    <row r="1159" spans="1:14" x14ac:dyDescent="0.3">
      <c r="A1159" s="2">
        <v>44631</v>
      </c>
      <c r="B1159">
        <v>5399558.5</v>
      </c>
      <c r="C1159">
        <v>3986272.75</v>
      </c>
      <c r="D1159">
        <v>-954134</v>
      </c>
      <c r="E1159">
        <f>D1159/MAX($B$2:B1159,100000)</f>
        <v>-0.15016999957111554</v>
      </c>
      <c r="H1159" s="2"/>
      <c r="I1159" s="2"/>
      <c r="N1159" s="2"/>
    </row>
    <row r="1160" spans="1:14" x14ac:dyDescent="0.3">
      <c r="A1160" s="2">
        <v>44638</v>
      </c>
      <c r="B1160">
        <v>5419015</v>
      </c>
      <c r="C1160">
        <v>3986272.75</v>
      </c>
      <c r="D1160">
        <v>-934677.5</v>
      </c>
      <c r="E1160">
        <f>D1160/MAX($B$2:B1160,100000)</f>
        <v>-0.14710776450072144</v>
      </c>
      <c r="H1160" s="2"/>
      <c r="I1160" s="2"/>
      <c r="N1160" s="2"/>
    </row>
    <row r="1161" spans="1:14" x14ac:dyDescent="0.3">
      <c r="A1161" s="2">
        <v>44645</v>
      </c>
      <c r="B1161">
        <v>5456809</v>
      </c>
      <c r="C1161">
        <v>2766106.25</v>
      </c>
      <c r="D1161">
        <v>-896883.5</v>
      </c>
      <c r="E1161">
        <f>D1161/MAX($B$2:B1161,100000)</f>
        <v>-0.14115941242041538</v>
      </c>
      <c r="H1161" s="2"/>
      <c r="I1161" s="2"/>
      <c r="N1161" s="2"/>
    </row>
    <row r="1162" spans="1:14" x14ac:dyDescent="0.3">
      <c r="A1162" s="2">
        <v>44652</v>
      </c>
      <c r="B1162">
        <v>5540731.5</v>
      </c>
      <c r="C1162">
        <v>162088.03</v>
      </c>
      <c r="D1162">
        <v>-812961</v>
      </c>
      <c r="E1162">
        <f>D1162/MAX($B$2:B1162,100000)</f>
        <v>-0.12795095135623891</v>
      </c>
      <c r="H1162" s="2"/>
      <c r="I1162" s="2"/>
      <c r="N1162" s="2"/>
    </row>
    <row r="1163" spans="1:14" x14ac:dyDescent="0.3">
      <c r="A1163" s="2">
        <v>44659</v>
      </c>
      <c r="B1163">
        <v>5525224</v>
      </c>
      <c r="C1163">
        <v>162088.03</v>
      </c>
      <c r="D1163">
        <v>-828468.5</v>
      </c>
      <c r="E1163">
        <f>D1163/MAX($B$2:B1163,100000)</f>
        <v>-0.1303916580791406</v>
      </c>
      <c r="H1163" s="2"/>
      <c r="I1163" s="2"/>
      <c r="N1163" s="2"/>
    </row>
    <row r="1164" spans="1:14" x14ac:dyDescent="0.3">
      <c r="A1164" s="2">
        <v>44665</v>
      </c>
      <c r="B1164">
        <v>5776692</v>
      </c>
      <c r="C1164">
        <v>162088.03</v>
      </c>
      <c r="D1164">
        <v>-577000.5</v>
      </c>
      <c r="E1164">
        <f>D1164/MAX($B$2:B1164,100000)</f>
        <v>-9.0813412830413179E-2</v>
      </c>
      <c r="H1164" s="2"/>
      <c r="I1164" s="2"/>
      <c r="N1164" s="2"/>
    </row>
    <row r="1165" spans="1:14" x14ac:dyDescent="0.3">
      <c r="A1165" s="2">
        <v>44673</v>
      </c>
      <c r="B1165">
        <v>5711098</v>
      </c>
      <c r="C1165">
        <v>162088.03</v>
      </c>
      <c r="D1165">
        <v>-642594.5</v>
      </c>
      <c r="E1165">
        <f>D1165/MAX($B$2:B1165,100000)</f>
        <v>-0.10113717338382366</v>
      </c>
      <c r="H1165" s="2"/>
      <c r="I1165" s="2"/>
      <c r="N1165" s="2"/>
    </row>
    <row r="1166" spans="1:14" x14ac:dyDescent="0.3">
      <c r="A1166" s="2">
        <v>44680</v>
      </c>
      <c r="B1166">
        <v>5752711</v>
      </c>
      <c r="C1166">
        <v>162088.03</v>
      </c>
      <c r="D1166">
        <v>-600981.5</v>
      </c>
      <c r="E1166">
        <f>D1166/MAX($B$2:B1166,100000)</f>
        <v>-9.4587753499244726E-2</v>
      </c>
      <c r="H1166" s="2"/>
      <c r="I1166" s="2"/>
      <c r="N1166" s="2"/>
    </row>
    <row r="1167" spans="1:14" x14ac:dyDescent="0.3">
      <c r="A1167" s="2">
        <v>44687</v>
      </c>
      <c r="B1167">
        <v>5600630.5</v>
      </c>
      <c r="C1167">
        <v>162088.03</v>
      </c>
      <c r="D1167">
        <v>-753062</v>
      </c>
      <c r="E1167">
        <f>D1167/MAX($B$2:B1167,100000)</f>
        <v>-0.11852351998463885</v>
      </c>
      <c r="H1167" s="2"/>
      <c r="I1167" s="2"/>
      <c r="N1167" s="2"/>
    </row>
    <row r="1168" spans="1:14" x14ac:dyDescent="0.3">
      <c r="A1168" s="2">
        <v>44694</v>
      </c>
      <c r="B1168">
        <v>5367735.5</v>
      </c>
      <c r="C1168">
        <v>162088.03</v>
      </c>
      <c r="D1168">
        <v>-985957</v>
      </c>
      <c r="E1168">
        <f>D1168/MAX($B$2:B1168,100000)</f>
        <v>-0.15517858316246813</v>
      </c>
      <c r="H1168" s="2"/>
      <c r="I1168" s="2"/>
      <c r="N1168" s="2"/>
    </row>
    <row r="1169" spans="1:14" x14ac:dyDescent="0.3">
      <c r="A1169" s="2">
        <v>44701</v>
      </c>
      <c r="B1169">
        <v>5441879</v>
      </c>
      <c r="C1169">
        <v>895017.13</v>
      </c>
      <c r="D1169">
        <v>-911813.5</v>
      </c>
      <c r="E1169">
        <f>D1169/MAX($B$2:B1169,100000)</f>
        <v>-0.14350922711478403</v>
      </c>
      <c r="H1169" s="2"/>
      <c r="I1169" s="2"/>
      <c r="N1169" s="2"/>
    </row>
    <row r="1170" spans="1:14" x14ac:dyDescent="0.3">
      <c r="A1170" s="2">
        <v>44708</v>
      </c>
      <c r="B1170">
        <v>5398005</v>
      </c>
      <c r="C1170">
        <v>2660593.75</v>
      </c>
      <c r="D1170">
        <v>-955687.5</v>
      </c>
      <c r="E1170">
        <f>D1170/MAX($B$2:B1170,100000)</f>
        <v>-0.15041450306258919</v>
      </c>
      <c r="H1170" s="2"/>
      <c r="I1170" s="2"/>
      <c r="N1170" s="2"/>
    </row>
    <row r="1171" spans="1:14" x14ac:dyDescent="0.3">
      <c r="A1171" s="2">
        <v>44715</v>
      </c>
      <c r="B1171">
        <v>5373413.5</v>
      </c>
      <c r="C1171">
        <v>2660593.75</v>
      </c>
      <c r="D1171">
        <v>-980279</v>
      </c>
      <c r="E1171">
        <f>D1171/MAX($B$2:B1171,100000)</f>
        <v>-0.15428492959015563</v>
      </c>
      <c r="H1171" s="2"/>
      <c r="I1171" s="2"/>
      <c r="N1171" s="2"/>
    </row>
    <row r="1172" spans="1:14" x14ac:dyDescent="0.3">
      <c r="A1172" s="2">
        <v>44722</v>
      </c>
      <c r="B1172">
        <v>5277584</v>
      </c>
      <c r="C1172">
        <v>2900241</v>
      </c>
      <c r="D1172">
        <v>-1076108.5</v>
      </c>
      <c r="E1172">
        <f>D1172/MAX($B$2:B1172,100000)</f>
        <v>-0.16936741902444916</v>
      </c>
      <c r="H1172" s="2"/>
      <c r="I1172" s="2"/>
      <c r="N1172" s="2"/>
    </row>
    <row r="1173" spans="1:14" x14ac:dyDescent="0.3">
      <c r="A1173" s="2">
        <v>44729</v>
      </c>
      <c r="B1173">
        <v>5193518.5</v>
      </c>
      <c r="C1173">
        <v>3196391.5</v>
      </c>
      <c r="D1173">
        <v>-1160174</v>
      </c>
      <c r="E1173">
        <f>D1173/MAX($B$2:B1173,100000)</f>
        <v>-0.18259838668616712</v>
      </c>
      <c r="H1173" s="2"/>
      <c r="I1173" s="2"/>
      <c r="N1173" s="2"/>
    </row>
    <row r="1174" spans="1:14" x14ac:dyDescent="0.3">
      <c r="A1174" s="2">
        <v>44736</v>
      </c>
      <c r="B1174">
        <v>5157824</v>
      </c>
      <c r="C1174">
        <v>3411851</v>
      </c>
      <c r="D1174">
        <v>-1195868.5</v>
      </c>
      <c r="E1174">
        <f>D1174/MAX($B$2:B1174,100000)</f>
        <v>-0.18821630099347741</v>
      </c>
      <c r="H1174" s="2"/>
      <c r="I1174" s="2"/>
      <c r="N1174" s="2"/>
    </row>
    <row r="1175" spans="1:14" x14ac:dyDescent="0.3">
      <c r="A1175" s="2">
        <v>44743</v>
      </c>
      <c r="B1175">
        <v>5130770.5</v>
      </c>
      <c r="C1175">
        <v>4105515</v>
      </c>
      <c r="D1175">
        <v>-1222922</v>
      </c>
      <c r="E1175">
        <f>D1175/MAX($B$2:B1175,100000)</f>
        <v>-0.19247421873186341</v>
      </c>
      <c r="H1175" s="2"/>
      <c r="I1175" s="2"/>
      <c r="N1175" s="2"/>
    </row>
    <row r="1176" spans="1:14" x14ac:dyDescent="0.3">
      <c r="A1176" s="2">
        <v>44750</v>
      </c>
      <c r="B1176">
        <v>5153117</v>
      </c>
      <c r="C1176">
        <v>4105515</v>
      </c>
      <c r="D1176">
        <v>-1200575.5</v>
      </c>
      <c r="E1176">
        <f>D1176/MAX($B$2:B1176,100000)</f>
        <v>-0.18895713004681924</v>
      </c>
      <c r="H1176" s="2"/>
      <c r="I1176" s="2"/>
      <c r="N1176" s="2"/>
    </row>
    <row r="1177" spans="1:14" x14ac:dyDescent="0.3">
      <c r="A1177" s="2">
        <v>44757</v>
      </c>
      <c r="B1177">
        <v>5154483.5</v>
      </c>
      <c r="C1177">
        <v>4361934</v>
      </c>
      <c r="D1177">
        <v>-1199209</v>
      </c>
      <c r="E1177">
        <f>D1177/MAX($B$2:B1177,100000)</f>
        <v>-0.18874205825982293</v>
      </c>
      <c r="H1177" s="2"/>
      <c r="I1177" s="2"/>
      <c r="N1177" s="2"/>
    </row>
    <row r="1178" spans="1:14" x14ac:dyDescent="0.3">
      <c r="A1178" s="2">
        <v>44764</v>
      </c>
      <c r="B1178">
        <v>5159928.5</v>
      </c>
      <c r="C1178">
        <v>4361934</v>
      </c>
      <c r="D1178">
        <v>-1193764</v>
      </c>
      <c r="E1178">
        <f>D1178/MAX($B$2:B1178,100000)</f>
        <v>-0.18788507627651166</v>
      </c>
      <c r="H1178" s="2"/>
      <c r="I1178" s="2"/>
      <c r="N1178" s="2"/>
    </row>
    <row r="1179" spans="1:14" x14ac:dyDescent="0.3">
      <c r="A1179" s="2">
        <v>44771</v>
      </c>
      <c r="B1179">
        <v>5222586.5</v>
      </c>
      <c r="C1179">
        <v>4361934</v>
      </c>
      <c r="D1179">
        <v>-1131106</v>
      </c>
      <c r="E1179">
        <f>D1179/MAX($B$2:B1179,100000)</f>
        <v>-0.17802340922227508</v>
      </c>
      <c r="H1179" s="2"/>
      <c r="I1179" s="2"/>
      <c r="N1179" s="2"/>
    </row>
    <row r="1180" spans="1:14" x14ac:dyDescent="0.3">
      <c r="A1180" s="2">
        <v>44778</v>
      </c>
      <c r="B1180">
        <v>5225981.5</v>
      </c>
      <c r="C1180">
        <v>4595393</v>
      </c>
      <c r="D1180">
        <v>-1127711</v>
      </c>
      <c r="E1180">
        <f>D1180/MAX($B$2:B1180,100000)</f>
        <v>-0.17748907426665675</v>
      </c>
      <c r="H1180" s="2"/>
      <c r="I1180" s="2"/>
      <c r="N1180" s="2"/>
    </row>
    <row r="1181" spans="1:14" x14ac:dyDescent="0.3">
      <c r="A1181" s="2">
        <v>44785</v>
      </c>
      <c r="B1181">
        <v>5232762</v>
      </c>
      <c r="C1181">
        <v>2350081.75</v>
      </c>
      <c r="D1181">
        <v>-1120930.5</v>
      </c>
      <c r="E1181">
        <f>D1181/MAX($B$2:B1181,100000)</f>
        <v>-0.17642189954896306</v>
      </c>
      <c r="H1181" s="2"/>
      <c r="I1181" s="2"/>
      <c r="N1181" s="2"/>
    </row>
    <row r="1182" spans="1:14" x14ac:dyDescent="0.3">
      <c r="A1182" s="2">
        <v>44792</v>
      </c>
      <c r="B1182">
        <v>5133615.5</v>
      </c>
      <c r="C1182">
        <v>1852578.38</v>
      </c>
      <c r="D1182">
        <v>-1220077</v>
      </c>
      <c r="E1182">
        <f>D1182/MAX($B$2:B1182,100000)</f>
        <v>-0.19202644761294319</v>
      </c>
      <c r="H1182" s="2"/>
      <c r="I1182" s="2"/>
      <c r="N1182" s="2"/>
    </row>
    <row r="1183" spans="1:14" x14ac:dyDescent="0.3">
      <c r="A1183" s="2">
        <v>44799</v>
      </c>
      <c r="B1183">
        <v>5055580.5</v>
      </c>
      <c r="C1183">
        <v>1120567.75</v>
      </c>
      <c r="D1183">
        <v>-1298112</v>
      </c>
      <c r="E1183">
        <f>D1183/MAX($B$2:B1183,100000)</f>
        <v>-0.20430828215246488</v>
      </c>
      <c r="H1183" s="2"/>
      <c r="I1183" s="2"/>
      <c r="N1183" s="2"/>
    </row>
    <row r="1184" spans="1:14" x14ac:dyDescent="0.3">
      <c r="A1184" s="2">
        <v>44806</v>
      </c>
      <c r="B1184">
        <v>5033661</v>
      </c>
      <c r="C1184">
        <v>406051.97</v>
      </c>
      <c r="D1184">
        <v>-1320031.5</v>
      </c>
      <c r="E1184">
        <f>D1184/MAX($B$2:B1184,100000)</f>
        <v>-0.20775816582247253</v>
      </c>
      <c r="H1184" s="2"/>
      <c r="I1184" s="2"/>
      <c r="N1184" s="2"/>
    </row>
    <row r="1185" spans="1:14" x14ac:dyDescent="0.3">
      <c r="A1185" s="2">
        <v>44813</v>
      </c>
      <c r="B1185">
        <v>5103725.5</v>
      </c>
      <c r="C1185">
        <v>406051.97</v>
      </c>
      <c r="D1185">
        <v>-1249967</v>
      </c>
      <c r="E1185">
        <f>D1185/MAX($B$2:B1185,100000)</f>
        <v>-0.19673079866550042</v>
      </c>
      <c r="H1185" s="2"/>
      <c r="I1185" s="2"/>
      <c r="N1185" s="2"/>
    </row>
    <row r="1186" spans="1:14" x14ac:dyDescent="0.3">
      <c r="A1186" s="2">
        <v>44820</v>
      </c>
      <c r="B1186">
        <v>4990073</v>
      </c>
      <c r="C1186">
        <v>3872.56</v>
      </c>
      <c r="D1186">
        <v>-1363619.5</v>
      </c>
      <c r="E1186">
        <f>D1186/MAX($B$2:B1186,100000)</f>
        <v>-0.21461842857519467</v>
      </c>
      <c r="H1186" s="2"/>
      <c r="I1186" s="2"/>
      <c r="N1186" s="2"/>
    </row>
    <row r="1187" spans="1:14" x14ac:dyDescent="0.3">
      <c r="A1187" s="2">
        <v>44827</v>
      </c>
      <c r="B1187">
        <v>4861185</v>
      </c>
      <c r="C1187">
        <v>3872.56</v>
      </c>
      <c r="D1187">
        <v>-1492507.5</v>
      </c>
      <c r="E1187">
        <f>D1187/MAX($B$2:B1187,100000)</f>
        <v>-0.23490395545582352</v>
      </c>
      <c r="H1187" s="2"/>
      <c r="I1187" s="2"/>
      <c r="N1187" s="2"/>
    </row>
    <row r="1188" spans="1:14" x14ac:dyDescent="0.3">
      <c r="A1188" s="2">
        <v>44834</v>
      </c>
      <c r="B1188">
        <v>4742485.5</v>
      </c>
      <c r="C1188">
        <v>457828.31</v>
      </c>
      <c r="D1188">
        <v>-1611207</v>
      </c>
      <c r="E1188">
        <f>D1188/MAX($B$2:B1188,100000)</f>
        <v>-0.2535859266088184</v>
      </c>
      <c r="H1188" s="2"/>
      <c r="I1188" s="2"/>
      <c r="N1188" s="2"/>
    </row>
    <row r="1189" spans="1:14" x14ac:dyDescent="0.3">
      <c r="A1189" s="2">
        <v>44841</v>
      </c>
      <c r="B1189">
        <v>4866832.5</v>
      </c>
      <c r="C1189">
        <v>1541634</v>
      </c>
      <c r="D1189">
        <v>-1486860</v>
      </c>
      <c r="E1189">
        <f>D1189/MAX($B$2:B1189,100000)</f>
        <v>-0.23401510224172795</v>
      </c>
      <c r="H1189" s="2"/>
      <c r="I1189" s="2"/>
      <c r="N1189" s="2"/>
    </row>
    <row r="1190" spans="1:14" x14ac:dyDescent="0.3">
      <c r="A1190" s="2">
        <v>44848</v>
      </c>
      <c r="B1190">
        <v>4809323.5</v>
      </c>
      <c r="C1190">
        <v>2046992.75</v>
      </c>
      <c r="D1190">
        <v>-1544369</v>
      </c>
      <c r="E1190">
        <f>D1190/MAX($B$2:B1190,100000)</f>
        <v>-0.24306637439567622</v>
      </c>
      <c r="H1190" s="2"/>
      <c r="I1190" s="2"/>
      <c r="N1190" s="2"/>
    </row>
    <row r="1191" spans="1:14" x14ac:dyDescent="0.3">
      <c r="A1191" s="2">
        <v>44855</v>
      </c>
      <c r="B1191">
        <v>4804098.5</v>
      </c>
      <c r="C1191">
        <v>2258523</v>
      </c>
      <c r="D1191">
        <v>-1549594</v>
      </c>
      <c r="E1191">
        <f>D1191/MAX($B$2:B1191,100000)</f>
        <v>-0.24388873084430826</v>
      </c>
      <c r="H1191" s="2"/>
      <c r="I1191" s="2"/>
      <c r="N1191" s="2"/>
    </row>
    <row r="1192" spans="1:14" x14ac:dyDescent="0.3">
      <c r="A1192" s="2">
        <v>44862</v>
      </c>
      <c r="B1192">
        <v>4831852.5</v>
      </c>
      <c r="C1192">
        <v>2799927.5</v>
      </c>
      <c r="D1192">
        <v>-1521840</v>
      </c>
      <c r="E1192">
        <f>D1192/MAX($B$2:B1192,100000)</f>
        <v>-0.23952056225572768</v>
      </c>
      <c r="H1192" s="2"/>
      <c r="I1192" s="2"/>
      <c r="N1192" s="2"/>
    </row>
    <row r="1193" spans="1:14" x14ac:dyDescent="0.3">
      <c r="A1193" s="2">
        <v>44869</v>
      </c>
      <c r="B1193">
        <v>4862021</v>
      </c>
      <c r="C1193">
        <v>2799927.5</v>
      </c>
      <c r="D1193">
        <v>-1491671.5</v>
      </c>
      <c r="E1193">
        <f>D1193/MAX($B$2:B1193,100000)</f>
        <v>-0.23477237842404239</v>
      </c>
      <c r="H1193" s="2"/>
      <c r="I1193" s="2"/>
      <c r="N1193" s="2"/>
    </row>
    <row r="1194" spans="1:14" x14ac:dyDescent="0.3">
      <c r="A1194" s="2">
        <v>44876</v>
      </c>
      <c r="B1194">
        <v>4766992</v>
      </c>
      <c r="C1194">
        <v>246856.59</v>
      </c>
      <c r="D1194">
        <v>-1586700.5</v>
      </c>
      <c r="E1194">
        <f>D1194/MAX($B$2:B1194,100000)</f>
        <v>-0.24972887812874167</v>
      </c>
      <c r="H1194" s="2"/>
      <c r="I1194" s="2"/>
      <c r="N1194" s="2"/>
    </row>
    <row r="1195" spans="1:14" x14ac:dyDescent="0.3">
      <c r="A1195" s="2">
        <v>44883</v>
      </c>
      <c r="B1195">
        <v>4725076.5</v>
      </c>
      <c r="C1195">
        <v>29145.62</v>
      </c>
      <c r="D1195">
        <v>-1628616</v>
      </c>
      <c r="E1195">
        <f>D1195/MAX($B$2:B1195,100000)</f>
        <v>-0.25632590812350459</v>
      </c>
      <c r="H1195" s="2"/>
      <c r="I1195" s="2"/>
      <c r="N1195" s="2"/>
    </row>
    <row r="1196" spans="1:14" x14ac:dyDescent="0.3">
      <c r="A1196" s="2">
        <v>44890</v>
      </c>
      <c r="B1196">
        <v>4656284</v>
      </c>
      <c r="C1196">
        <v>29145.62</v>
      </c>
      <c r="D1196">
        <v>-1697408.5</v>
      </c>
      <c r="E1196">
        <f>D1196/MAX($B$2:B1196,100000)</f>
        <v>-0.26715307673451305</v>
      </c>
      <c r="H1196" s="2"/>
      <c r="I1196" s="2"/>
      <c r="N1196" s="2"/>
    </row>
    <row r="1197" spans="1:14" x14ac:dyDescent="0.3">
      <c r="A1197" s="2">
        <v>44897</v>
      </c>
      <c r="B1197">
        <v>4695233</v>
      </c>
      <c r="C1197">
        <v>29145.62</v>
      </c>
      <c r="D1197">
        <v>-1658459.5</v>
      </c>
      <c r="E1197">
        <f>D1197/MAX($B$2:B1197,100000)</f>
        <v>-0.26102294059714093</v>
      </c>
      <c r="H1197" s="2"/>
      <c r="I1197" s="2"/>
      <c r="N1197" s="2"/>
    </row>
    <row r="1198" spans="1:14" x14ac:dyDescent="0.3">
      <c r="A1198" s="2">
        <v>44904</v>
      </c>
      <c r="B1198">
        <v>4505051</v>
      </c>
      <c r="C1198">
        <v>29145.62</v>
      </c>
      <c r="D1198">
        <v>-1848641.5</v>
      </c>
      <c r="E1198">
        <f>D1198/MAX($B$2:B1198,100000)</f>
        <v>-0.29095545621699509</v>
      </c>
      <c r="H1198" s="2"/>
      <c r="I1198" s="2"/>
      <c r="N1198" s="2"/>
    </row>
    <row r="1199" spans="1:14" x14ac:dyDescent="0.3">
      <c r="A1199" s="2">
        <v>44911</v>
      </c>
      <c r="B1199">
        <v>4482926</v>
      </c>
      <c r="C1199">
        <v>36315.78</v>
      </c>
      <c r="D1199">
        <v>-1870766.5</v>
      </c>
      <c r="E1199">
        <f>D1199/MAX($B$2:B1199,100000)</f>
        <v>-0.29443768328416903</v>
      </c>
      <c r="H1199" s="2"/>
      <c r="I1199" s="2"/>
      <c r="N1199" s="2"/>
    </row>
    <row r="1200" spans="1:14" x14ac:dyDescent="0.3">
      <c r="A1200" s="2">
        <v>44918</v>
      </c>
      <c r="B1200">
        <v>4527836</v>
      </c>
      <c r="C1200">
        <v>36315.78</v>
      </c>
      <c r="D1200">
        <v>-1825856.5</v>
      </c>
      <c r="E1200">
        <f>D1200/MAX($B$2:B1200,100000)</f>
        <v>-0.28736935254578344</v>
      </c>
      <c r="H1200" s="2"/>
      <c r="I1200" s="2"/>
      <c r="N1200" s="2"/>
    </row>
    <row r="1201" spans="1:14" x14ac:dyDescent="0.3">
      <c r="A1201" s="2">
        <v>44925</v>
      </c>
      <c r="B1201">
        <v>4497806.5</v>
      </c>
      <c r="C1201">
        <v>36315.78</v>
      </c>
      <c r="D1201">
        <v>-1855886</v>
      </c>
      <c r="E1201">
        <f>D1201/MAX($B$2:B1201,100000)</f>
        <v>-0.29209565933510317</v>
      </c>
      <c r="H1201" s="2"/>
      <c r="I1201" s="2"/>
      <c r="N1201" s="2"/>
    </row>
    <row r="1202" spans="1:14" x14ac:dyDescent="0.3">
      <c r="A1202" s="2">
        <v>44932</v>
      </c>
      <c r="B1202">
        <v>4560256</v>
      </c>
      <c r="C1202">
        <v>194303.2</v>
      </c>
      <c r="D1202">
        <v>-1793436.5</v>
      </c>
      <c r="E1202">
        <f>D1202/MAX($B$2:B1202,100000)</f>
        <v>-0.28226680784441488</v>
      </c>
      <c r="H1202" s="2"/>
      <c r="I1202" s="2"/>
      <c r="N1202" s="2"/>
    </row>
    <row r="1203" spans="1:14" x14ac:dyDescent="0.3">
      <c r="A1203" s="2">
        <v>44939</v>
      </c>
      <c r="B1203">
        <v>4669218</v>
      </c>
      <c r="C1203">
        <v>194303.2</v>
      </c>
      <c r="D1203">
        <v>-1684474.5</v>
      </c>
      <c r="E1203">
        <f>D1203/MAX($B$2:B1203,100000)</f>
        <v>-0.26511741007296152</v>
      </c>
      <c r="H1203" s="2"/>
      <c r="I1203" s="2"/>
      <c r="N1203" s="2"/>
    </row>
    <row r="1204" spans="1:14" x14ac:dyDescent="0.3">
      <c r="A1204" s="2">
        <v>44946</v>
      </c>
      <c r="B1204">
        <v>4713843.5</v>
      </c>
      <c r="C1204">
        <v>194303.2</v>
      </c>
      <c r="D1204">
        <v>-1639849</v>
      </c>
      <c r="E1204">
        <f>D1204/MAX($B$2:B1204,100000)</f>
        <v>-0.25809385644646793</v>
      </c>
      <c r="H1204" s="2"/>
      <c r="I1204" s="2"/>
      <c r="N1204" s="2"/>
    </row>
    <row r="1205" spans="1:14" x14ac:dyDescent="0.3">
      <c r="A1205" s="2">
        <v>44953</v>
      </c>
      <c r="B1205">
        <v>4755938.5</v>
      </c>
      <c r="C1205">
        <v>194303.2</v>
      </c>
      <c r="D1205">
        <v>-1597754</v>
      </c>
      <c r="E1205">
        <f>D1205/MAX($B$2:B1205,100000)</f>
        <v>-0.25146857516318266</v>
      </c>
      <c r="H1205" s="2"/>
      <c r="I1205" s="2"/>
      <c r="N1205" s="2"/>
    </row>
    <row r="1206" spans="1:14" x14ac:dyDescent="0.3">
      <c r="A1206" s="2">
        <v>44960</v>
      </c>
      <c r="B1206">
        <v>4717157.5</v>
      </c>
      <c r="C1206">
        <v>194303.2</v>
      </c>
      <c r="D1206">
        <v>-1636535</v>
      </c>
      <c r="E1206">
        <f>D1206/MAX($B$2:B1206,100000)</f>
        <v>-0.25757226998316335</v>
      </c>
      <c r="H1206" s="2"/>
      <c r="I1206" s="2"/>
      <c r="N1206" s="2"/>
    </row>
    <row r="1207" spans="1:14" x14ac:dyDescent="0.3">
      <c r="A1207" s="2">
        <v>44967</v>
      </c>
      <c r="B1207">
        <v>4672785.5</v>
      </c>
      <c r="C1207">
        <v>194303.2</v>
      </c>
      <c r="D1207">
        <v>-1680907</v>
      </c>
      <c r="E1207">
        <f>D1207/MAX($B$2:B1207,100000)</f>
        <v>-0.26455592555037877</v>
      </c>
      <c r="H1207" s="2"/>
      <c r="I1207" s="2"/>
      <c r="N1207" s="2"/>
    </row>
    <row r="1208" spans="1:14" x14ac:dyDescent="0.3">
      <c r="A1208" s="2">
        <v>44974</v>
      </c>
      <c r="B1208">
        <v>4639140.5</v>
      </c>
      <c r="C1208">
        <v>131727.94</v>
      </c>
      <c r="D1208">
        <v>-1714552</v>
      </c>
      <c r="E1208">
        <f>D1208/MAX($B$2:B1208,100000)</f>
        <v>-0.26985127152439309</v>
      </c>
      <c r="H1208" s="2"/>
      <c r="I1208" s="2"/>
      <c r="N1208" s="2"/>
    </row>
    <row r="1209" spans="1:14" x14ac:dyDescent="0.3">
      <c r="A1209" s="2">
        <v>44981</v>
      </c>
      <c r="B1209">
        <v>4590524.5</v>
      </c>
      <c r="C1209">
        <v>131727.94</v>
      </c>
      <c r="D1209">
        <v>-1763168</v>
      </c>
      <c r="E1209">
        <f>D1209/MAX($B$2:B1209,100000)</f>
        <v>-0.27750288513332994</v>
      </c>
      <c r="H1209" s="2"/>
      <c r="I1209" s="2"/>
      <c r="N1209" s="2"/>
    </row>
    <row r="1210" spans="1:14" x14ac:dyDescent="0.3">
      <c r="A1210" s="2">
        <v>44988</v>
      </c>
      <c r="B1210">
        <v>4594299</v>
      </c>
      <c r="C1210">
        <v>136521.25</v>
      </c>
      <c r="D1210">
        <v>-1759393.5</v>
      </c>
      <c r="E1210">
        <f>D1210/MAX($B$2:B1210,100000)</f>
        <v>-0.27690882113038995</v>
      </c>
      <c r="H1210" s="2"/>
      <c r="I1210" s="2"/>
      <c r="N1210" s="2"/>
    </row>
    <row r="1211" spans="1:14" x14ac:dyDescent="0.3">
      <c r="A1211" s="2">
        <v>44995</v>
      </c>
      <c r="B1211">
        <v>4526491.5</v>
      </c>
      <c r="C1211">
        <v>136521.25</v>
      </c>
      <c r="D1211">
        <v>-1827201</v>
      </c>
      <c r="E1211">
        <f>D1211/MAX($B$2:B1211,100000)</f>
        <v>-0.28758096177931181</v>
      </c>
      <c r="H1211" s="2"/>
      <c r="I1211" s="2"/>
      <c r="N1211" s="2"/>
    </row>
    <row r="1212" spans="1:14" x14ac:dyDescent="0.3">
      <c r="A1212" s="2">
        <v>45002</v>
      </c>
      <c r="B1212">
        <v>4558839</v>
      </c>
      <c r="C1212">
        <v>519473.59</v>
      </c>
      <c r="D1212">
        <v>-1794853.5</v>
      </c>
      <c r="E1212">
        <f>D1212/MAX($B$2:B1212,100000)</f>
        <v>-0.28248982776550802</v>
      </c>
      <c r="H1212" s="2"/>
      <c r="I1212" s="2"/>
      <c r="N1212" s="2"/>
    </row>
    <row r="1213" spans="1:14" x14ac:dyDescent="0.3">
      <c r="A1213" s="2">
        <v>45009</v>
      </c>
      <c r="B1213">
        <v>4526835.5</v>
      </c>
      <c r="C1213">
        <v>1355860.25</v>
      </c>
      <c r="D1213">
        <v>-1826857</v>
      </c>
      <c r="E1213">
        <f>D1213/MAX($B$2:B1213,100000)</f>
        <v>-0.28752682003417696</v>
      </c>
      <c r="H1213" s="2"/>
      <c r="I1213" s="2"/>
      <c r="N1213" s="2"/>
    </row>
    <row r="1214" spans="1:14" x14ac:dyDescent="0.3">
      <c r="A1214" s="2">
        <v>45016</v>
      </c>
      <c r="B1214">
        <v>4532006</v>
      </c>
      <c r="C1214">
        <v>1954254.13</v>
      </c>
      <c r="D1214">
        <v>-1821686.5</v>
      </c>
      <c r="E1214">
        <f>D1214/MAX($B$2:B1214,100000)</f>
        <v>-0.28671304127481773</v>
      </c>
      <c r="H1214" s="2"/>
      <c r="I1214" s="2"/>
      <c r="N1214" s="2"/>
    </row>
    <row r="1215" spans="1:14" x14ac:dyDescent="0.3">
      <c r="A1215" s="2">
        <v>45022</v>
      </c>
      <c r="B1215">
        <v>4540135</v>
      </c>
      <c r="C1215">
        <v>2161417.75</v>
      </c>
      <c r="D1215">
        <v>-1813557.5</v>
      </c>
      <c r="E1215">
        <f>D1215/MAX($B$2:B1215,100000)</f>
        <v>-0.28543362776841968</v>
      </c>
      <c r="H1215" s="2"/>
      <c r="I1215" s="2"/>
      <c r="N1215" s="2"/>
    </row>
    <row r="1216" spans="1:14" x14ac:dyDescent="0.3">
      <c r="A1216" s="2">
        <v>45030</v>
      </c>
      <c r="B1216">
        <v>4544023</v>
      </c>
      <c r="C1216">
        <v>2404083.5</v>
      </c>
      <c r="D1216">
        <v>-1809669.5</v>
      </c>
      <c r="E1216">
        <f>D1216/MAX($B$2:B1216,100000)</f>
        <v>-0.28482170013736108</v>
      </c>
      <c r="H1216" s="2"/>
      <c r="I1216" s="2"/>
      <c r="N1216" s="2"/>
    </row>
    <row r="1217" spans="1:14" x14ac:dyDescent="0.3">
      <c r="A1217" s="2">
        <v>45037</v>
      </c>
      <c r="B1217">
        <v>4566189</v>
      </c>
      <c r="C1217">
        <v>23057.68</v>
      </c>
      <c r="D1217">
        <v>-1787503.5</v>
      </c>
      <c r="E1217">
        <f>D1217/MAX($B$2:B1217,100000)</f>
        <v>-0.28133302012963329</v>
      </c>
      <c r="H1217" s="2"/>
      <c r="I1217" s="2"/>
      <c r="N1217" s="2"/>
    </row>
    <row r="1218" spans="1:14" x14ac:dyDescent="0.3">
      <c r="A1218" s="2">
        <v>45044</v>
      </c>
      <c r="B1218">
        <v>4593223.5</v>
      </c>
      <c r="C1218">
        <v>23011.09</v>
      </c>
      <c r="D1218">
        <v>-1760469</v>
      </c>
      <c r="E1218">
        <f>D1218/MAX($B$2:B1218,100000)</f>
        <v>-0.27707809277833323</v>
      </c>
      <c r="H1218" s="2"/>
      <c r="I1218" s="2"/>
      <c r="N1218" s="2"/>
    </row>
    <row r="1219" spans="1:14" x14ac:dyDescent="0.3">
      <c r="A1219" s="2">
        <v>45051</v>
      </c>
      <c r="B1219">
        <v>4580584.5</v>
      </c>
      <c r="C1219">
        <v>23011.09</v>
      </c>
      <c r="D1219">
        <v>-1773108</v>
      </c>
      <c r="E1219">
        <f>D1219/MAX($B$2:B1219,100000)</f>
        <v>-0.27906732974565579</v>
      </c>
      <c r="H1219" s="2"/>
      <c r="I1219" s="2"/>
      <c r="N1219" s="2"/>
    </row>
    <row r="1220" spans="1:14" x14ac:dyDescent="0.3">
      <c r="A1220" s="2">
        <v>45058</v>
      </c>
      <c r="B1220">
        <v>4629625</v>
      </c>
      <c r="C1220">
        <v>23011.09</v>
      </c>
      <c r="D1220">
        <v>-1724067.5</v>
      </c>
      <c r="E1220">
        <f>D1220/MAX($B$2:B1220,100000)</f>
        <v>-0.27134890459366739</v>
      </c>
      <c r="H1220" s="2"/>
      <c r="I1220" s="2"/>
      <c r="N1220" s="2"/>
    </row>
    <row r="1221" spans="1:14" x14ac:dyDescent="0.3">
      <c r="A1221" s="2">
        <v>45065</v>
      </c>
      <c r="B1221">
        <v>4574971</v>
      </c>
      <c r="C1221">
        <v>23011.09</v>
      </c>
      <c r="D1221">
        <v>-1778721.5</v>
      </c>
      <c r="E1221">
        <f>D1221/MAX($B$2:B1221,100000)</f>
        <v>-0.27995083174075547</v>
      </c>
      <c r="H1221" s="2"/>
      <c r="I1221" s="2"/>
      <c r="N1221" s="2"/>
    </row>
    <row r="1222" spans="1:14" x14ac:dyDescent="0.3">
      <c r="A1222" s="2">
        <v>45072</v>
      </c>
      <c r="B1222">
        <v>4399767</v>
      </c>
      <c r="C1222">
        <v>214855.67</v>
      </c>
      <c r="D1222">
        <v>-1953925.5</v>
      </c>
      <c r="E1222">
        <f>D1222/MAX($B$2:B1222,100000)</f>
        <v>-0.30752597800412912</v>
      </c>
      <c r="H1222" s="2"/>
      <c r="I1222" s="2"/>
      <c r="N1222" s="2"/>
    </row>
    <row r="1223" spans="1:14" x14ac:dyDescent="0.3">
      <c r="A1223" s="2">
        <v>45079</v>
      </c>
      <c r="B1223">
        <v>4400822.5</v>
      </c>
      <c r="C1223">
        <v>214855.67</v>
      </c>
      <c r="D1223">
        <v>-1952870</v>
      </c>
      <c r="E1223">
        <f>D1223/MAX($B$2:B1223,100000)</f>
        <v>-0.30735985413206574</v>
      </c>
      <c r="H1223" s="2"/>
      <c r="I1223" s="2"/>
      <c r="N1223" s="2"/>
    </row>
    <row r="1224" spans="1:14" x14ac:dyDescent="0.3">
      <c r="A1224" s="2">
        <v>45086</v>
      </c>
      <c r="B1224">
        <v>4407227</v>
      </c>
      <c r="C1224">
        <v>858913.81</v>
      </c>
      <c r="D1224">
        <v>-1946465.5</v>
      </c>
      <c r="E1224">
        <f>D1224/MAX($B$2:B1224,100000)</f>
        <v>-0.30635185760091477</v>
      </c>
      <c r="H1224" s="2"/>
      <c r="I1224" s="2"/>
      <c r="N1224" s="2"/>
    </row>
    <row r="1225" spans="1:14" x14ac:dyDescent="0.3">
      <c r="A1225" s="2">
        <v>45093</v>
      </c>
      <c r="B1225">
        <v>4421579</v>
      </c>
      <c r="C1225">
        <v>1425164.5</v>
      </c>
      <c r="D1225">
        <v>-1932113.5</v>
      </c>
      <c r="E1225">
        <f>D1225/MAX($B$2:B1225,100000)</f>
        <v>-0.30409301362947611</v>
      </c>
      <c r="H1225" s="2"/>
      <c r="I1225" s="2"/>
      <c r="N1225" s="2"/>
    </row>
    <row r="1226" spans="1:14" x14ac:dyDescent="0.3">
      <c r="A1226" s="2">
        <v>45100</v>
      </c>
      <c r="B1226">
        <v>4347209</v>
      </c>
      <c r="C1226">
        <v>222575.16</v>
      </c>
      <c r="D1226">
        <v>-2006483.5</v>
      </c>
      <c r="E1226">
        <f>D1226/MAX($B$2:B1226,100000)</f>
        <v>-0.31579801823900039</v>
      </c>
      <c r="H1226" s="2"/>
      <c r="I1226" s="2"/>
      <c r="N1226" s="2"/>
    </row>
    <row r="1227" spans="1:14" x14ac:dyDescent="0.3">
      <c r="A1227" s="2">
        <v>45107</v>
      </c>
      <c r="B1227">
        <v>4480182.5</v>
      </c>
      <c r="C1227">
        <v>222575.16</v>
      </c>
      <c r="D1227">
        <v>-1873510</v>
      </c>
      <c r="E1227">
        <f>D1227/MAX($B$2:B1227,100000)</f>
        <v>-0.29486947944049857</v>
      </c>
      <c r="H1227" s="2"/>
      <c r="I1227" s="2"/>
      <c r="N1227" s="2"/>
    </row>
    <row r="1228" spans="1:14" x14ac:dyDescent="0.3">
      <c r="A1228" s="2">
        <v>45114</v>
      </c>
      <c r="B1228">
        <v>4460103.5</v>
      </c>
      <c r="C1228">
        <v>189556</v>
      </c>
      <c r="D1228">
        <v>-1893589</v>
      </c>
      <c r="E1228">
        <f>D1228/MAX($B$2:B1228,100000)</f>
        <v>-0.29802968903515553</v>
      </c>
      <c r="H1228" s="2"/>
      <c r="I1228" s="2"/>
      <c r="N1228" s="2"/>
    </row>
    <row r="1229" spans="1:14" x14ac:dyDescent="0.3">
      <c r="A1229" s="2">
        <v>45121</v>
      </c>
      <c r="B1229">
        <v>4584082.5</v>
      </c>
      <c r="C1229">
        <v>189556</v>
      </c>
      <c r="D1229">
        <v>-1769610</v>
      </c>
      <c r="E1229">
        <f>D1229/MAX($B$2:B1229,100000)</f>
        <v>-0.27851678374425581</v>
      </c>
      <c r="H1229" s="2"/>
      <c r="I1229" s="2"/>
      <c r="N1229" s="2"/>
    </row>
    <row r="1230" spans="1:14" x14ac:dyDescent="0.3">
      <c r="A1230" s="2">
        <v>45128</v>
      </c>
      <c r="B1230">
        <v>4601752</v>
      </c>
      <c r="C1230">
        <v>202610.28</v>
      </c>
      <c r="D1230">
        <v>-1751940.5</v>
      </c>
      <c r="E1230">
        <f>D1230/MAX($B$2:B1230,100000)</f>
        <v>-0.27573580244873352</v>
      </c>
      <c r="H1230" s="2"/>
      <c r="I1230" s="2"/>
      <c r="N1230" s="2"/>
    </row>
    <row r="1231" spans="1:14" x14ac:dyDescent="0.3">
      <c r="A1231" s="2">
        <v>45135</v>
      </c>
      <c r="B1231">
        <v>4531602.5</v>
      </c>
      <c r="C1231">
        <v>202610.28</v>
      </c>
      <c r="D1231">
        <v>-1822090</v>
      </c>
      <c r="E1231">
        <f>D1231/MAX($B$2:B1231,100000)</f>
        <v>-0.28677654765319538</v>
      </c>
      <c r="H1231" s="2"/>
      <c r="I1231" s="2"/>
      <c r="N1231" s="2"/>
    </row>
    <row r="1232" spans="1:14" x14ac:dyDescent="0.3">
      <c r="A1232" s="2">
        <v>45142</v>
      </c>
      <c r="B1232">
        <v>4479953</v>
      </c>
      <c r="C1232">
        <v>4821</v>
      </c>
      <c r="D1232">
        <v>-1873739.5</v>
      </c>
      <c r="E1232">
        <f>D1232/MAX($B$2:B1232,100000)</f>
        <v>-0.29490560016872081</v>
      </c>
      <c r="H1232" s="2"/>
      <c r="I1232" s="2"/>
      <c r="N1232" s="2"/>
    </row>
    <row r="1233" spans="1:14" x14ac:dyDescent="0.3">
      <c r="A1233" s="2">
        <v>45149</v>
      </c>
      <c r="B1233">
        <v>4578886.5</v>
      </c>
      <c r="C1233">
        <v>4821</v>
      </c>
      <c r="D1233">
        <v>-1774806</v>
      </c>
      <c r="E1233">
        <f>D1233/MAX($B$2:B1233,100000)</f>
        <v>-0.27933457591786193</v>
      </c>
      <c r="H1233" s="2"/>
      <c r="I1233" s="2"/>
      <c r="N1233" s="2"/>
    </row>
    <row r="1234" spans="1:14" x14ac:dyDescent="0.3">
      <c r="A1234" s="2">
        <v>45156</v>
      </c>
      <c r="B1234">
        <v>4533946.5</v>
      </c>
      <c r="C1234">
        <v>4821</v>
      </c>
      <c r="D1234">
        <v>-1819746</v>
      </c>
      <c r="E1234">
        <f>D1234/MAX($B$2:B1234,100000)</f>
        <v>-0.28640762832006744</v>
      </c>
      <c r="H1234" s="2"/>
      <c r="I1234" s="2"/>
      <c r="N1234" s="2"/>
    </row>
    <row r="1235" spans="1:14" x14ac:dyDescent="0.3">
      <c r="A1235" s="2">
        <v>45163</v>
      </c>
      <c r="B1235">
        <v>4499675.5</v>
      </c>
      <c r="C1235">
        <v>4821</v>
      </c>
      <c r="D1235">
        <v>-1854017</v>
      </c>
      <c r="E1235">
        <f>D1235/MAX($B$2:B1235,100000)</f>
        <v>-0.29180149967912361</v>
      </c>
      <c r="H1235" s="2"/>
      <c r="I1235" s="2"/>
      <c r="N1235" s="2"/>
    </row>
    <row r="1236" spans="1:14" x14ac:dyDescent="0.3">
      <c r="A1236" s="2">
        <v>45170</v>
      </c>
      <c r="B1236">
        <v>4651102</v>
      </c>
      <c r="C1236">
        <v>372704.78</v>
      </c>
      <c r="D1236">
        <v>-1702590.5</v>
      </c>
      <c r="E1236">
        <f>D1236/MAX($B$2:B1236,100000)</f>
        <v>-0.2679686654650032</v>
      </c>
      <c r="H1236" s="2"/>
      <c r="I1236" s="2"/>
      <c r="N1236" s="2"/>
    </row>
    <row r="1237" spans="1:14" x14ac:dyDescent="0.3">
      <c r="A1237" s="2">
        <v>45177</v>
      </c>
      <c r="B1237">
        <v>4484313</v>
      </c>
      <c r="C1237">
        <v>161758.59</v>
      </c>
      <c r="D1237">
        <v>-1869379.5</v>
      </c>
      <c r="E1237">
        <f>D1237/MAX($B$2:B1237,100000)</f>
        <v>-0.29421938502689576</v>
      </c>
      <c r="H1237" s="2"/>
      <c r="I1237" s="2"/>
      <c r="N1237" s="2"/>
    </row>
    <row r="1238" spans="1:14" x14ac:dyDescent="0.3">
      <c r="A1238" s="2">
        <v>45184</v>
      </c>
      <c r="B1238">
        <v>4502061.5</v>
      </c>
      <c r="C1238">
        <v>161758.59</v>
      </c>
      <c r="D1238">
        <v>-1851631</v>
      </c>
      <c r="E1238">
        <f>D1238/MAX($B$2:B1238,100000)</f>
        <v>-0.29142597001664777</v>
      </c>
      <c r="H1238" s="2"/>
      <c r="I1238" s="2"/>
      <c r="N1238" s="2"/>
    </row>
    <row r="1239" spans="1:14" x14ac:dyDescent="0.3">
      <c r="A1239" s="2">
        <v>45191</v>
      </c>
      <c r="B1239">
        <v>4372738.5</v>
      </c>
      <c r="C1239">
        <v>215680.33</v>
      </c>
      <c r="D1239">
        <v>-1980954</v>
      </c>
      <c r="E1239">
        <f>D1239/MAX($B$2:B1239,100000)</f>
        <v>-0.31177996102266514</v>
      </c>
      <c r="H1239" s="2"/>
      <c r="I1239" s="2"/>
      <c r="N1239" s="2"/>
    </row>
    <row r="1240" spans="1:14" x14ac:dyDescent="0.3">
      <c r="A1240" s="2">
        <v>45198</v>
      </c>
      <c r="B1240">
        <v>4347160.5</v>
      </c>
      <c r="C1240">
        <v>215680.33</v>
      </c>
      <c r="D1240">
        <v>-2006532</v>
      </c>
      <c r="E1240">
        <f>D1240/MAX($B$2:B1240,100000)</f>
        <v>-0.31580565159550922</v>
      </c>
      <c r="H1240" s="2"/>
      <c r="I1240" s="2"/>
      <c r="N1240" s="2"/>
    </row>
    <row r="1241" spans="1:14" x14ac:dyDescent="0.3">
      <c r="A1241" s="2">
        <v>45205</v>
      </c>
      <c r="B1241">
        <v>4238017.5</v>
      </c>
      <c r="C1241">
        <v>1064898</v>
      </c>
      <c r="D1241">
        <v>-2115675</v>
      </c>
      <c r="E1241">
        <f>D1241/MAX($B$2:B1241,100000)</f>
        <v>-0.33298353673867598</v>
      </c>
      <c r="H1241" s="2"/>
      <c r="I1241" s="2"/>
      <c r="N1241" s="2"/>
    </row>
    <row r="1242" spans="1:14" x14ac:dyDescent="0.3">
      <c r="A1242" s="2">
        <v>45212</v>
      </c>
      <c r="B1242">
        <v>4253099</v>
      </c>
      <c r="C1242">
        <v>1248677.25</v>
      </c>
      <c r="D1242">
        <v>-2100593.5</v>
      </c>
      <c r="E1242">
        <f>D1242/MAX($B$2:B1242,100000)</f>
        <v>-0.33060987764201683</v>
      </c>
      <c r="H1242" s="2"/>
      <c r="I1242" s="2"/>
      <c r="N1242" s="2"/>
    </row>
    <row r="1243" spans="1:14" x14ac:dyDescent="0.3">
      <c r="A1243" s="2">
        <v>45219</v>
      </c>
      <c r="B1243">
        <v>4226851.5</v>
      </c>
      <c r="C1243">
        <v>1455696.38</v>
      </c>
      <c r="D1243">
        <v>-2126841</v>
      </c>
      <c r="E1243">
        <f>D1243/MAX($B$2:B1243,100000)</f>
        <v>-0.33474094001244159</v>
      </c>
      <c r="H1243" s="2"/>
      <c r="I1243" s="2"/>
      <c r="N1243" s="2"/>
    </row>
    <row r="1244" spans="1:14" x14ac:dyDescent="0.3">
      <c r="A1244" s="2">
        <v>45226</v>
      </c>
      <c r="B1244">
        <v>4227280.5</v>
      </c>
      <c r="C1244">
        <v>1455696.38</v>
      </c>
      <c r="D1244">
        <v>-2126412</v>
      </c>
      <c r="E1244">
        <f>D1244/MAX($B$2:B1244,100000)</f>
        <v>-0.33467342021981705</v>
      </c>
      <c r="H1244" s="2"/>
      <c r="I1244" s="2"/>
      <c r="N1244" s="2"/>
    </row>
    <row r="1245" spans="1:14" x14ac:dyDescent="0.3">
      <c r="A1245" s="2">
        <v>45233</v>
      </c>
      <c r="B1245">
        <v>4319859.5</v>
      </c>
      <c r="C1245">
        <v>1646636.88</v>
      </c>
      <c r="D1245">
        <v>-2033833</v>
      </c>
      <c r="E1245">
        <f>D1245/MAX($B$2:B1245,100000)</f>
        <v>-0.32010252306040937</v>
      </c>
      <c r="H1245" s="2"/>
      <c r="I1245" s="2"/>
      <c r="N1245" s="2"/>
    </row>
    <row r="1246" spans="1:14" x14ac:dyDescent="0.3">
      <c r="A1246" s="2">
        <v>45240</v>
      </c>
      <c r="B1246">
        <v>4296256</v>
      </c>
      <c r="C1246">
        <v>1646636.88</v>
      </c>
      <c r="D1246">
        <v>-2057436.5</v>
      </c>
      <c r="E1246">
        <f>D1246/MAX($B$2:B1246,100000)</f>
        <v>-0.32381744945950719</v>
      </c>
      <c r="H1246" s="2"/>
      <c r="I1246" s="2"/>
      <c r="N1246" s="2"/>
    </row>
    <row r="1247" spans="1:14" x14ac:dyDescent="0.3">
      <c r="A1247" s="2">
        <v>45247</v>
      </c>
      <c r="B1247">
        <v>4324005</v>
      </c>
      <c r="C1247">
        <v>1646636.88</v>
      </c>
      <c r="D1247">
        <v>-2029687.5</v>
      </c>
      <c r="E1247">
        <f>D1247/MAX($B$2:B1247,100000)</f>
        <v>-0.3194500678148966</v>
      </c>
      <c r="H1247" s="2"/>
      <c r="I1247" s="2"/>
      <c r="N1247" s="2"/>
    </row>
    <row r="1248" spans="1:14" x14ac:dyDescent="0.3">
      <c r="A1248" s="2">
        <v>45254</v>
      </c>
      <c r="B1248">
        <v>4297459.5</v>
      </c>
      <c r="C1248">
        <v>2134933.75</v>
      </c>
      <c r="D1248">
        <v>-2056233</v>
      </c>
      <c r="E1248">
        <f>D1248/MAX($B$2:B1248,100000)</f>
        <v>-0.32362803204593232</v>
      </c>
      <c r="H1248" s="2"/>
      <c r="I1248" s="2"/>
      <c r="N1248" s="2"/>
    </row>
    <row r="1249" spans="1:14" x14ac:dyDescent="0.3">
      <c r="A1249" s="2">
        <v>45261</v>
      </c>
      <c r="B1249">
        <v>4363701</v>
      </c>
      <c r="C1249">
        <v>2439654.5</v>
      </c>
      <c r="D1249">
        <v>-1989991.5</v>
      </c>
      <c r="E1249">
        <f>D1249/MAX($B$2:B1249,100000)</f>
        <v>-0.31320236224840908</v>
      </c>
      <c r="H1249" s="2"/>
      <c r="I1249" s="2"/>
      <c r="N1249" s="2"/>
    </row>
    <row r="1250" spans="1:14" x14ac:dyDescent="0.3">
      <c r="A1250" s="2">
        <v>45268</v>
      </c>
      <c r="B1250">
        <v>4350559.5</v>
      </c>
      <c r="C1250">
        <v>366958.72</v>
      </c>
      <c r="D1250">
        <v>-2003133</v>
      </c>
      <c r="E1250">
        <f>D1250/MAX($B$2:B1250,100000)</f>
        <v>-0.3152706870847149</v>
      </c>
      <c r="H1250" s="2"/>
      <c r="I1250" s="2"/>
      <c r="N1250" s="2"/>
    </row>
    <row r="1251" spans="1:14" x14ac:dyDescent="0.3">
      <c r="A1251" s="2">
        <v>45275</v>
      </c>
      <c r="B1251">
        <v>4464677.5</v>
      </c>
      <c r="C1251">
        <v>159622.48000000001</v>
      </c>
      <c r="D1251">
        <v>-1889015</v>
      </c>
      <c r="E1251">
        <f>D1251/MAX($B$2:B1251,100000)</f>
        <v>-0.29730979269141528</v>
      </c>
      <c r="H1251" s="2"/>
      <c r="I1251" s="2"/>
      <c r="N1251" s="2"/>
    </row>
    <row r="1252" spans="1:14" x14ac:dyDescent="0.3">
      <c r="A1252" s="2">
        <v>45282</v>
      </c>
      <c r="B1252">
        <v>4527383</v>
      </c>
      <c r="C1252">
        <v>159622.48000000001</v>
      </c>
      <c r="D1252">
        <v>-1826309.5</v>
      </c>
      <c r="E1252">
        <f>D1252/MAX($B$2:B1252,100000)</f>
        <v>-0.28744064966946387</v>
      </c>
      <c r="H1252" s="2"/>
      <c r="I1252" s="2"/>
      <c r="N1252" s="2"/>
    </row>
    <row r="1253" spans="1:14" x14ac:dyDescent="0.3">
      <c r="A1253" s="2">
        <v>45289</v>
      </c>
      <c r="B1253">
        <v>4575663.5</v>
      </c>
      <c r="C1253">
        <v>152490.03</v>
      </c>
      <c r="D1253">
        <v>-1778029</v>
      </c>
      <c r="E1253">
        <f>D1253/MAX($B$2:B1253,100000)</f>
        <v>-0.27984184000091283</v>
      </c>
      <c r="H1253" s="2"/>
      <c r="I1253" s="2"/>
      <c r="N1253" s="2"/>
    </row>
    <row r="1254" spans="1:14" x14ac:dyDescent="0.3">
      <c r="A1254" s="2">
        <v>45296</v>
      </c>
      <c r="B1254">
        <v>4481801</v>
      </c>
      <c r="C1254">
        <v>152490.03</v>
      </c>
      <c r="D1254">
        <v>-1871891.5</v>
      </c>
      <c r="E1254">
        <f>D1254/MAX($B$2:B1254,100000)</f>
        <v>-0.29461474567741514</v>
      </c>
      <c r="H1254" s="2"/>
      <c r="I1254" s="2"/>
      <c r="N1254" s="2"/>
    </row>
    <row r="1255" spans="1:14" x14ac:dyDescent="0.3">
      <c r="A1255" s="2">
        <v>45303</v>
      </c>
      <c r="B1255">
        <v>4410898.5</v>
      </c>
      <c r="C1255">
        <v>152490.03</v>
      </c>
      <c r="D1255">
        <v>-1942794</v>
      </c>
      <c r="E1255">
        <f>D1255/MAX($B$2:B1255,100000)</f>
        <v>-0.30577400464375637</v>
      </c>
      <c r="H1255" s="2"/>
      <c r="I1255" s="2"/>
      <c r="N1255" s="2"/>
    </row>
    <row r="1256" spans="1:14" x14ac:dyDescent="0.3">
      <c r="A1256" s="2">
        <v>45310</v>
      </c>
      <c r="B1256">
        <v>4365589</v>
      </c>
      <c r="C1256">
        <v>152490.03</v>
      </c>
      <c r="D1256">
        <v>-1988103.5</v>
      </c>
      <c r="E1256">
        <f>D1256/MAX($B$2:B1256,100000)</f>
        <v>-0.31290521220534356</v>
      </c>
      <c r="H1256" s="2"/>
      <c r="I1256" s="2"/>
      <c r="N1256" s="2"/>
    </row>
    <row r="1257" spans="1:14" x14ac:dyDescent="0.3">
      <c r="A1257" s="2">
        <v>45316</v>
      </c>
      <c r="B1257">
        <v>4382530</v>
      </c>
      <c r="C1257">
        <v>152490.03</v>
      </c>
      <c r="D1257">
        <v>-1971162.5</v>
      </c>
      <c r="E1257">
        <f>D1257/MAX($B$2:B1257,100000)</f>
        <v>-0.31023888864624782</v>
      </c>
      <c r="H1257" s="2"/>
      <c r="I1257" s="2"/>
      <c r="N1257" s="2"/>
    </row>
    <row r="1258" spans="1:14" x14ac:dyDescent="0.3">
      <c r="A1258" s="2">
        <v>45324</v>
      </c>
      <c r="B1258">
        <v>4427188.5</v>
      </c>
      <c r="C1258">
        <v>152490.03</v>
      </c>
      <c r="D1258">
        <v>-1926504</v>
      </c>
      <c r="E1258">
        <f>D1258/MAX($B$2:B1258,100000)</f>
        <v>-0.30321014118955236</v>
      </c>
      <c r="H1258" s="2"/>
      <c r="I1258" s="2"/>
      <c r="N1258" s="2"/>
    </row>
    <row r="1259" spans="1:14" x14ac:dyDescent="0.3">
      <c r="A1259" s="2">
        <v>45331</v>
      </c>
      <c r="B1259">
        <v>4470562</v>
      </c>
      <c r="C1259">
        <v>152490.03</v>
      </c>
      <c r="D1259">
        <v>-1883130.5</v>
      </c>
      <c r="E1259">
        <f>D1259/MAX($B$2:B1259,100000)</f>
        <v>-0.29638363833314252</v>
      </c>
      <c r="H1259" s="2"/>
      <c r="I1259" s="2"/>
      <c r="N1259" s="2"/>
    </row>
    <row r="1260" spans="1:14" x14ac:dyDescent="0.3">
      <c r="A1260" s="2">
        <v>45338</v>
      </c>
      <c r="B1260">
        <v>4469127.5</v>
      </c>
      <c r="C1260">
        <v>152490.03</v>
      </c>
      <c r="D1260">
        <v>-1884565</v>
      </c>
      <c r="E1260">
        <f>D1260/MAX($B$2:B1260,100000)</f>
        <v>-0.29660941255813056</v>
      </c>
      <c r="H1260" s="2"/>
      <c r="I1260" s="2"/>
      <c r="N1260" s="2"/>
    </row>
    <row r="1261" spans="1:14" x14ac:dyDescent="0.3">
      <c r="A1261" s="2">
        <v>45345</v>
      </c>
      <c r="B1261">
        <v>4520441</v>
      </c>
      <c r="C1261">
        <v>152490.03</v>
      </c>
      <c r="D1261">
        <v>-1833251.5</v>
      </c>
      <c r="E1261">
        <f>D1261/MAX($B$2:B1261,100000)</f>
        <v>-0.288533242677388</v>
      </c>
      <c r="H1261" s="2"/>
      <c r="I1261" s="2"/>
      <c r="N1261" s="2"/>
    </row>
    <row r="1262" spans="1:14" x14ac:dyDescent="0.3">
      <c r="A1262" s="2">
        <v>45352</v>
      </c>
      <c r="B1262">
        <v>4639569.5</v>
      </c>
      <c r="C1262">
        <v>180231.98</v>
      </c>
      <c r="D1262">
        <v>-1714123</v>
      </c>
      <c r="E1262">
        <f>D1262/MAX($B$2:B1262,100000)</f>
        <v>-0.26978375173176855</v>
      </c>
      <c r="H1262" s="2"/>
      <c r="I1262" s="2"/>
      <c r="N1262" s="2"/>
    </row>
    <row r="1263" spans="1:14" x14ac:dyDescent="0.3">
      <c r="A1263" s="2">
        <v>45359</v>
      </c>
      <c r="B1263">
        <v>4775038.5</v>
      </c>
      <c r="C1263">
        <v>180231.98</v>
      </c>
      <c r="D1263">
        <v>-1578654</v>
      </c>
      <c r="E1263">
        <f>D1263/MAX($B$2:B1263,100000)</f>
        <v>-0.24846244919784835</v>
      </c>
      <c r="H1263" s="2"/>
      <c r="I1263" s="2"/>
      <c r="N1263" s="2"/>
    </row>
    <row r="1264" spans="1:14" x14ac:dyDescent="0.3">
      <c r="A1264" s="2">
        <v>45366</v>
      </c>
      <c r="B1264">
        <v>4778309.5</v>
      </c>
      <c r="C1264">
        <v>180231.98</v>
      </c>
      <c r="D1264">
        <v>-1575383</v>
      </c>
      <c r="E1264">
        <f>D1264/MAX($B$2:B1264,100000)</f>
        <v>-0.24794763045268559</v>
      </c>
      <c r="H1264" s="2"/>
      <c r="I1264" s="2"/>
      <c r="N1264" s="2"/>
    </row>
    <row r="1265" spans="1:14" x14ac:dyDescent="0.3">
      <c r="A1265" s="2">
        <v>45373</v>
      </c>
      <c r="B1265">
        <v>4845426.5</v>
      </c>
      <c r="C1265">
        <v>159458.39000000001</v>
      </c>
      <c r="D1265">
        <v>-1508266</v>
      </c>
      <c r="E1265">
        <f>D1265/MAX($B$2:B1265,100000)</f>
        <v>-0.23738416676601834</v>
      </c>
      <c r="H1265" s="2"/>
      <c r="I1265" s="2"/>
      <c r="N1265" s="2"/>
    </row>
    <row r="1266" spans="1:14" x14ac:dyDescent="0.3">
      <c r="A1266" s="2">
        <v>45379</v>
      </c>
      <c r="B1266">
        <v>4984654</v>
      </c>
      <c r="C1266">
        <v>159458.39000000001</v>
      </c>
      <c r="D1266">
        <v>-1369038.5</v>
      </c>
      <c r="E1266">
        <f>D1266/MAX($B$2:B1266,100000)</f>
        <v>-0.21547131844986203</v>
      </c>
      <c r="H1266" s="2"/>
      <c r="I1266" s="2"/>
      <c r="N1266" s="2"/>
    </row>
    <row r="1267" spans="1:14" x14ac:dyDescent="0.3">
      <c r="A1267" s="2">
        <v>45387</v>
      </c>
      <c r="B1267">
        <v>4849907</v>
      </c>
      <c r="C1267">
        <v>159458.39000000001</v>
      </c>
      <c r="D1267">
        <v>-1503785.5</v>
      </c>
      <c r="E1267">
        <f>D1267/MAX($B$2:B1267,100000)</f>
        <v>-0.23667898627451675</v>
      </c>
      <c r="H1267" s="2"/>
      <c r="I1267" s="2"/>
      <c r="N1267" s="2"/>
    </row>
    <row r="1268" spans="1:14" x14ac:dyDescent="0.3">
      <c r="A1268" s="2">
        <v>45394</v>
      </c>
      <c r="B1268">
        <v>4844061</v>
      </c>
      <c r="C1268">
        <v>159458.39000000001</v>
      </c>
      <c r="D1268">
        <v>-1509631.5</v>
      </c>
      <c r="E1268">
        <f>D1268/MAX($B$2:B1268,100000)</f>
        <v>-0.23759908116422065</v>
      </c>
      <c r="H1268" s="2"/>
      <c r="I1268" s="2"/>
      <c r="N1268" s="2"/>
    </row>
    <row r="1269" spans="1:14" x14ac:dyDescent="0.3">
      <c r="A1269" s="2">
        <v>45401</v>
      </c>
      <c r="B1269">
        <v>4734986.5</v>
      </c>
      <c r="C1269">
        <v>159458.39000000001</v>
      </c>
      <c r="D1269">
        <v>-1618706</v>
      </c>
      <c r="E1269">
        <f>D1269/MAX($B$2:B1269,100000)</f>
        <v>-0.25476618517499861</v>
      </c>
      <c r="H1269" s="2"/>
      <c r="I1269" s="2"/>
      <c r="N1269" s="2"/>
    </row>
    <row r="1270" spans="1:14" x14ac:dyDescent="0.3">
      <c r="A1270" s="2">
        <v>45408</v>
      </c>
      <c r="B1270">
        <v>4810616</v>
      </c>
      <c r="C1270">
        <v>159458.39000000001</v>
      </c>
      <c r="D1270">
        <v>-1543076.5</v>
      </c>
      <c r="E1270">
        <f>D1270/MAX($B$2:B1270,100000)</f>
        <v>-0.24286294937943567</v>
      </c>
      <c r="H1270" s="2"/>
      <c r="I1270" s="2"/>
      <c r="N1270" s="2"/>
    </row>
    <row r="1271" spans="1:14" x14ac:dyDescent="0.3">
      <c r="A1271" s="2">
        <v>45415</v>
      </c>
      <c r="B1271">
        <v>4827820.5</v>
      </c>
      <c r="C1271">
        <v>1070230.8799999999</v>
      </c>
      <c r="D1271">
        <v>-1525872</v>
      </c>
      <c r="E1271">
        <f>D1271/MAX($B$2:B1271,100000)</f>
        <v>-0.24015515387312181</v>
      </c>
      <c r="H1271" s="2"/>
      <c r="I1271" s="2"/>
      <c r="N1271" s="2"/>
    </row>
    <row r="1272" spans="1:14" x14ac:dyDescent="0.3">
      <c r="A1272" s="2">
        <v>45422</v>
      </c>
      <c r="B1272">
        <v>4870876.5</v>
      </c>
      <c r="C1272">
        <v>1282434.3799999999</v>
      </c>
      <c r="D1272">
        <v>-1482816</v>
      </c>
      <c r="E1272">
        <f>D1272/MAX($B$2:B1272,100000)</f>
        <v>-0.23337862195880585</v>
      </c>
      <c r="H1272" s="2"/>
      <c r="I1272" s="2"/>
      <c r="N1272" s="2"/>
    </row>
    <row r="1273" spans="1:14" x14ac:dyDescent="0.3">
      <c r="A1273" s="2">
        <v>45429</v>
      </c>
      <c r="B1273">
        <v>4927375.5</v>
      </c>
      <c r="C1273">
        <v>119914.04</v>
      </c>
      <c r="D1273">
        <v>-1426317</v>
      </c>
      <c r="E1273">
        <f>D1273/MAX($B$2:B1273,100000)</f>
        <v>-0.2244863124867941</v>
      </c>
      <c r="H1273" s="2"/>
      <c r="I1273" s="2"/>
      <c r="N1273" s="2"/>
    </row>
    <row r="1274" spans="1:14" x14ac:dyDescent="0.3">
      <c r="A1274" s="2">
        <v>45436</v>
      </c>
      <c r="B1274">
        <v>5078879</v>
      </c>
      <c r="C1274">
        <v>119914.04</v>
      </c>
      <c r="D1274">
        <v>-1274813.5</v>
      </c>
      <c r="E1274">
        <f>D1274/MAX($B$2:B1274,100000)</f>
        <v>-0.20064135933553598</v>
      </c>
      <c r="H1274" s="2"/>
      <c r="I1274" s="2"/>
      <c r="N1274" s="2"/>
    </row>
    <row r="1275" spans="1:14" x14ac:dyDescent="0.3">
      <c r="A1275" s="2">
        <v>45443</v>
      </c>
      <c r="B1275">
        <v>5140313</v>
      </c>
      <c r="C1275">
        <v>100250.54</v>
      </c>
      <c r="D1275">
        <v>-1213379.5</v>
      </c>
      <c r="E1275">
        <f>D1275/MAX($B$2:B1275,100000)</f>
        <v>-0.19097233616515122</v>
      </c>
      <c r="H1275" s="2"/>
      <c r="I1275" s="2"/>
      <c r="N1275" s="2"/>
    </row>
    <row r="1276" spans="1:14" x14ac:dyDescent="0.3">
      <c r="A1276" s="2">
        <v>45450</v>
      </c>
      <c r="B1276">
        <v>5110424.5</v>
      </c>
      <c r="C1276">
        <v>100250.54</v>
      </c>
      <c r="D1276">
        <v>-1243268</v>
      </c>
      <c r="E1276">
        <f>D1276/MAX($B$2:B1276,100000)</f>
        <v>-0.19567645113451745</v>
      </c>
      <c r="H1276" s="2"/>
      <c r="I1276" s="2"/>
      <c r="N1276" s="2"/>
    </row>
    <row r="1277" spans="1:14" x14ac:dyDescent="0.3">
      <c r="A1277" s="2">
        <v>45457</v>
      </c>
      <c r="B1277">
        <v>5163348</v>
      </c>
      <c r="C1277">
        <v>33794.199999999997</v>
      </c>
      <c r="D1277">
        <v>-1190344.5</v>
      </c>
      <c r="E1277">
        <f>D1277/MAX($B$2:B1277,100000)</f>
        <v>-0.18734688529544041</v>
      </c>
      <c r="H1277" s="2"/>
      <c r="I1277" s="2"/>
      <c r="N1277" s="2"/>
    </row>
    <row r="1278" spans="1:14" x14ac:dyDescent="0.3">
      <c r="A1278" s="2">
        <v>45464</v>
      </c>
      <c r="B1278">
        <v>5144569.5</v>
      </c>
      <c r="C1278">
        <v>33794.199999999997</v>
      </c>
      <c r="D1278">
        <v>-1209123</v>
      </c>
      <c r="E1278">
        <f>D1278/MAX($B$2:B1278,100000)</f>
        <v>-0.19030241076350485</v>
      </c>
      <c r="H1278" s="2"/>
      <c r="I1278" s="2"/>
      <c r="N1278" s="2"/>
    </row>
    <row r="1279" spans="1:14" x14ac:dyDescent="0.3">
      <c r="A1279" s="2">
        <v>45471</v>
      </c>
      <c r="B1279">
        <v>5228676</v>
      </c>
      <c r="C1279">
        <v>504137.88</v>
      </c>
      <c r="D1279">
        <v>-1125016.5</v>
      </c>
      <c r="E1279">
        <f>D1279/MAX($B$2:B1279,100000)</f>
        <v>-0.177064990161233</v>
      </c>
      <c r="H1279" s="2"/>
      <c r="I1279" s="2"/>
      <c r="N1279" s="2"/>
    </row>
    <row r="1280" spans="1:14" x14ac:dyDescent="0.3">
      <c r="A1280" s="2">
        <v>45478</v>
      </c>
      <c r="B1280">
        <v>5360267</v>
      </c>
      <c r="C1280">
        <v>169126.09</v>
      </c>
      <c r="D1280">
        <v>-993425.5</v>
      </c>
      <c r="E1280">
        <f>D1280/MAX($B$2:B1280,100000)</f>
        <v>-0.15635404137043143</v>
      </c>
      <c r="H1280" s="2"/>
      <c r="I1280" s="2"/>
      <c r="N1280" s="2"/>
    </row>
    <row r="1281" spans="1:14" x14ac:dyDescent="0.3">
      <c r="A1281" s="2">
        <v>45485</v>
      </c>
      <c r="B1281">
        <v>5528503</v>
      </c>
      <c r="C1281">
        <v>169126.09</v>
      </c>
      <c r="D1281">
        <v>-825189.5</v>
      </c>
      <c r="E1281">
        <f>D1281/MAX($B$2:B1281,100000)</f>
        <v>-0.12987558022362586</v>
      </c>
      <c r="H1281" s="2"/>
      <c r="I1281" s="2"/>
      <c r="N1281" s="2"/>
    </row>
    <row r="1282" spans="1:14" x14ac:dyDescent="0.3">
      <c r="A1282" s="2">
        <v>45492</v>
      </c>
      <c r="B1282">
        <v>5400834.5</v>
      </c>
      <c r="C1282">
        <v>169126.09</v>
      </c>
      <c r="D1282">
        <v>-952858</v>
      </c>
      <c r="E1282">
        <f>D1282/MAX($B$2:B1282,100000)</f>
        <v>-0.14996917146997593</v>
      </c>
      <c r="H1282" s="2"/>
      <c r="I1282" s="2"/>
      <c r="N1282" s="2"/>
    </row>
    <row r="1283" spans="1:14" x14ac:dyDescent="0.3">
      <c r="A1283" s="2">
        <v>45499</v>
      </c>
      <c r="B1283">
        <v>5245298</v>
      </c>
      <c r="C1283">
        <v>169126.09</v>
      </c>
      <c r="D1283">
        <v>-1108394.5</v>
      </c>
      <c r="E1283">
        <f>D1283/MAX($B$2:B1283,100000)</f>
        <v>-0.17444887362742217</v>
      </c>
      <c r="H1283" s="2"/>
      <c r="I1283" s="2"/>
      <c r="N1283" s="2"/>
    </row>
    <row r="1284" spans="1:14" x14ac:dyDescent="0.3">
      <c r="A1284" s="2">
        <v>45506</v>
      </c>
      <c r="B1284">
        <v>5190196.5</v>
      </c>
      <c r="C1284">
        <v>169126.09</v>
      </c>
      <c r="D1284">
        <v>-1163496</v>
      </c>
      <c r="E1284">
        <f>D1284/MAX($B$2:B1284,100000)</f>
        <v>-0.18312123225982371</v>
      </c>
      <c r="H1284" s="2"/>
      <c r="I1284" s="2"/>
      <c r="N1284" s="2"/>
    </row>
    <row r="1285" spans="1:14" x14ac:dyDescent="0.3">
      <c r="A1285" s="2">
        <v>45513</v>
      </c>
      <c r="B1285">
        <v>5043514.5</v>
      </c>
      <c r="C1285">
        <v>169126.09</v>
      </c>
      <c r="D1285">
        <v>-1310178</v>
      </c>
      <c r="E1285">
        <f>D1285/MAX($B$2:B1285,100000)</f>
        <v>-0.20620733534082741</v>
      </c>
      <c r="H1285" s="2"/>
      <c r="I1285" s="2"/>
      <c r="N1285" s="2"/>
    </row>
    <row r="1286" spans="1:14" x14ac:dyDescent="0.3">
      <c r="A1286" s="2">
        <v>45520</v>
      </c>
      <c r="B1286">
        <v>5155721.5</v>
      </c>
      <c r="C1286">
        <v>169126.09</v>
      </c>
      <c r="D1286">
        <v>-1197971</v>
      </c>
      <c r="E1286">
        <f>D1286/MAX($B$2:B1286,100000)</f>
        <v>-0.18854721093285517</v>
      </c>
      <c r="H1286" s="2"/>
      <c r="I1286" s="2"/>
      <c r="N1286" s="2"/>
    </row>
    <row r="1287" spans="1:14" x14ac:dyDescent="0.3">
      <c r="A1287" s="2">
        <v>45527</v>
      </c>
      <c r="B1287">
        <v>5374173</v>
      </c>
      <c r="C1287">
        <v>1673673.38</v>
      </c>
      <c r="D1287">
        <v>-979519.5</v>
      </c>
      <c r="E1287">
        <f>D1287/MAX($B$2:B1287,100000)</f>
        <v>-0.15416539280111527</v>
      </c>
      <c r="H1287" s="2"/>
      <c r="I1287" s="2"/>
      <c r="N1287" s="2"/>
    </row>
    <row r="1288" spans="1:14" x14ac:dyDescent="0.3">
      <c r="A1288" s="2">
        <v>45534</v>
      </c>
      <c r="B1288">
        <v>5539383</v>
      </c>
      <c r="C1288">
        <v>122828</v>
      </c>
      <c r="D1288">
        <v>-814309.5</v>
      </c>
      <c r="E1288">
        <f>D1288/MAX($B$2:B1288,100000)</f>
        <v>-0.12816319014494326</v>
      </c>
      <c r="H1288" s="2"/>
      <c r="I1288" s="2"/>
      <c r="N1288" s="2"/>
    </row>
    <row r="1289" spans="1:14" x14ac:dyDescent="0.3">
      <c r="A1289" s="2">
        <v>45541</v>
      </c>
      <c r="B1289">
        <v>5447521.5</v>
      </c>
      <c r="C1289">
        <v>122828</v>
      </c>
      <c r="D1289">
        <v>-906171</v>
      </c>
      <c r="E1289">
        <f>D1289/MAX($B$2:B1289,100000)</f>
        <v>-0.14262116084465845</v>
      </c>
      <c r="H1289" s="2"/>
      <c r="I1289" s="2"/>
      <c r="N1289" s="2"/>
    </row>
    <row r="1290" spans="1:14" x14ac:dyDescent="0.3">
      <c r="A1290" s="2">
        <v>45548</v>
      </c>
      <c r="B1290">
        <v>5821457</v>
      </c>
      <c r="C1290">
        <v>122828</v>
      </c>
      <c r="D1290">
        <v>-532235.5</v>
      </c>
      <c r="E1290">
        <f>D1290/MAX($B$2:B1290,100000)</f>
        <v>-8.3767903467157095E-2</v>
      </c>
      <c r="H1290" s="2"/>
      <c r="I1290" s="2"/>
      <c r="N1290" s="2"/>
    </row>
    <row r="1291" spans="1:14" x14ac:dyDescent="0.3">
      <c r="A1291" s="2">
        <v>45555</v>
      </c>
      <c r="B1291">
        <v>6018077</v>
      </c>
      <c r="C1291">
        <v>210884.03</v>
      </c>
      <c r="D1291">
        <v>-335615.5</v>
      </c>
      <c r="E1291">
        <f>D1291/MAX($B$2:B1291,100000)</f>
        <v>-5.2822118791553102E-2</v>
      </c>
      <c r="H1291" s="2"/>
      <c r="I1291" s="2"/>
      <c r="N1291" s="2"/>
    </row>
    <row r="1292" spans="1:14" x14ac:dyDescent="0.3">
      <c r="A1292" s="2">
        <v>45562</v>
      </c>
      <c r="B1292">
        <v>6247445</v>
      </c>
      <c r="C1292">
        <v>210884.03</v>
      </c>
      <c r="D1292">
        <v>-106247.5</v>
      </c>
      <c r="E1292">
        <f>D1292/MAX($B$2:B1292,100000)</f>
        <v>-1.6722165890149705E-2</v>
      </c>
      <c r="H1292" s="2"/>
      <c r="I1292" s="2"/>
      <c r="N1292" s="2"/>
    </row>
    <row r="1293" spans="1:14" x14ac:dyDescent="0.3">
      <c r="A1293" s="2">
        <v>45569</v>
      </c>
      <c r="B1293">
        <v>6185434.5</v>
      </c>
      <c r="C1293">
        <v>210884.03</v>
      </c>
      <c r="D1293">
        <v>-168258</v>
      </c>
      <c r="E1293">
        <f>D1293/MAX($B$2:B1293,100000)</f>
        <v>-2.6481923700273503E-2</v>
      </c>
      <c r="H1293" s="2"/>
      <c r="I1293" s="2"/>
      <c r="N1293" s="2"/>
    </row>
    <row r="1294" spans="1:14" x14ac:dyDescent="0.3">
      <c r="A1294" s="2">
        <v>45576</v>
      </c>
      <c r="B1294">
        <v>6459699</v>
      </c>
      <c r="C1294">
        <v>233622.94</v>
      </c>
      <c r="D1294">
        <v>0</v>
      </c>
      <c r="E1294">
        <f>D1294/MAX($B$2:B1294,100000)</f>
        <v>0</v>
      </c>
      <c r="H1294" s="2"/>
      <c r="I1294" s="2"/>
      <c r="N1294" s="2"/>
    </row>
    <row r="1295" spans="1:14" x14ac:dyDescent="0.3">
      <c r="A1295" s="2">
        <v>45583</v>
      </c>
      <c r="B1295">
        <v>6485608.5</v>
      </c>
      <c r="C1295">
        <v>233622.94</v>
      </c>
      <c r="D1295">
        <v>0</v>
      </c>
      <c r="E1295">
        <f>D1295/MAX($B$2:B1295,100000)</f>
        <v>0</v>
      </c>
      <c r="H1295" s="2"/>
      <c r="I1295" s="2"/>
      <c r="N1295" s="2"/>
    </row>
    <row r="1296" spans="1:14" x14ac:dyDescent="0.3">
      <c r="A1296" s="2">
        <v>45590</v>
      </c>
      <c r="B1296">
        <v>6441876</v>
      </c>
      <c r="C1296">
        <v>171934.09</v>
      </c>
      <c r="D1296">
        <v>-43732.5</v>
      </c>
      <c r="E1296">
        <f>D1296/MAX($B$2:B1296,100000)</f>
        <v>-6.7430064580678902E-3</v>
      </c>
      <c r="H1296" s="2"/>
      <c r="I1296" s="2"/>
      <c r="N1296" s="2"/>
    </row>
    <row r="1297" spans="1:14" x14ac:dyDescent="0.3">
      <c r="A1297" s="2">
        <v>45597</v>
      </c>
      <c r="B1297">
        <v>6428272.5</v>
      </c>
      <c r="C1297">
        <v>171934.09</v>
      </c>
      <c r="D1297">
        <v>-57336</v>
      </c>
      <c r="E1297">
        <f>D1297/MAX($B$2:B1297,100000)</f>
        <v>-8.8404966164701438E-3</v>
      </c>
      <c r="H1297" s="2"/>
      <c r="I1297" s="2"/>
      <c r="N1297" s="2"/>
    </row>
    <row r="1298" spans="1:14" x14ac:dyDescent="0.3">
      <c r="A1298" s="2">
        <v>45604</v>
      </c>
      <c r="B1298">
        <v>6454746</v>
      </c>
      <c r="C1298">
        <v>81289.42</v>
      </c>
      <c r="D1298">
        <v>-30862.5</v>
      </c>
      <c r="E1298">
        <f>D1298/MAX($B$2:B1298,100000)</f>
        <v>-4.7586128579916592E-3</v>
      </c>
      <c r="H1298" s="2"/>
      <c r="I1298" s="2"/>
      <c r="N1298" s="2"/>
    </row>
    <row r="1299" spans="1:14" x14ac:dyDescent="0.3">
      <c r="A1299" s="2">
        <v>45611</v>
      </c>
      <c r="B1299">
        <v>6190891.5</v>
      </c>
      <c r="C1299">
        <v>81289.42</v>
      </c>
      <c r="D1299">
        <v>-294717</v>
      </c>
      <c r="E1299">
        <f>D1299/MAX($B$2:B1299,100000)</f>
        <v>-4.5441688316524197E-2</v>
      </c>
      <c r="H1299" s="2"/>
      <c r="I1299" s="2"/>
      <c r="N1299" s="2"/>
    </row>
    <row r="1300" spans="1:14" x14ac:dyDescent="0.3">
      <c r="A1300" s="2">
        <v>45618</v>
      </c>
      <c r="B1300">
        <v>6103234.5</v>
      </c>
      <c r="C1300">
        <v>81289.42</v>
      </c>
      <c r="D1300">
        <v>-382374</v>
      </c>
      <c r="E1300">
        <f>D1300/MAX($B$2:B1300,100000)</f>
        <v>-5.8957305239747355E-2</v>
      </c>
      <c r="H1300" s="2"/>
      <c r="I1300" s="2"/>
      <c r="N1300" s="2"/>
    </row>
    <row r="1301" spans="1:14" x14ac:dyDescent="0.3">
      <c r="A1301" s="2">
        <v>45625</v>
      </c>
      <c r="B1301">
        <v>6251059</v>
      </c>
      <c r="C1301">
        <v>290162.94</v>
      </c>
      <c r="D1301">
        <v>-234549.5</v>
      </c>
      <c r="E1301">
        <f>D1301/MAX($B$2:B1301,100000)</f>
        <v>-3.6164609689283589E-2</v>
      </c>
      <c r="H1301" s="2"/>
      <c r="I1301" s="2"/>
      <c r="N1301" s="2"/>
    </row>
    <row r="1302" spans="1:14" x14ac:dyDescent="0.3">
      <c r="A1302" s="2">
        <v>45632</v>
      </c>
      <c r="B1302">
        <v>6243909.5</v>
      </c>
      <c r="C1302">
        <v>234419.28</v>
      </c>
      <c r="D1302">
        <v>-241699</v>
      </c>
      <c r="E1302">
        <f>D1302/MAX($B$2:B1302,100000)</f>
        <v>-3.7266973484446374E-2</v>
      </c>
      <c r="H1302" s="2"/>
      <c r="I1302" s="2"/>
      <c r="N1302" s="2"/>
    </row>
    <row r="1303" spans="1:14" x14ac:dyDescent="0.3">
      <c r="A1303" s="2">
        <v>45639</v>
      </c>
      <c r="B1303">
        <v>6220007.5</v>
      </c>
      <c r="C1303">
        <v>234419.28</v>
      </c>
      <c r="D1303">
        <v>-265601</v>
      </c>
      <c r="E1303">
        <f>D1303/MAX($B$2:B1303,100000)</f>
        <v>-4.0952363991751894E-2</v>
      </c>
      <c r="H1303" s="2"/>
      <c r="I1303" s="2"/>
      <c r="N1303" s="2"/>
    </row>
    <row r="1304" spans="1:14" x14ac:dyDescent="0.3">
      <c r="A1304" s="2">
        <v>45646</v>
      </c>
      <c r="B1304">
        <v>5979568</v>
      </c>
      <c r="C1304">
        <v>234419.28</v>
      </c>
      <c r="D1304">
        <v>-506040.5</v>
      </c>
      <c r="E1304">
        <f>D1304/MAX($B$2:B1304,100000)</f>
        <v>-7.8025138273455766E-2</v>
      </c>
      <c r="H1304" s="2"/>
      <c r="I1304" s="2"/>
      <c r="N1304" s="2"/>
    </row>
    <row r="1305" spans="1:14" x14ac:dyDescent="0.3">
      <c r="A1305" s="2">
        <v>45653</v>
      </c>
      <c r="B1305">
        <v>6020141</v>
      </c>
      <c r="C1305">
        <v>234419.28</v>
      </c>
      <c r="D1305">
        <v>-465467.5</v>
      </c>
      <c r="E1305">
        <f>D1305/MAX($B$2:B1305,100000)</f>
        <v>-7.1769287338265944E-2</v>
      </c>
      <c r="H1305" s="2"/>
      <c r="I1305" s="2"/>
      <c r="N1305" s="2"/>
    </row>
    <row r="1306" spans="1:14" x14ac:dyDescent="0.3">
      <c r="A1306" s="2">
        <v>45660</v>
      </c>
      <c r="B1306">
        <v>5968766.5</v>
      </c>
      <c r="C1306">
        <v>3072174.25</v>
      </c>
      <c r="D1306">
        <v>-516842</v>
      </c>
      <c r="E1306">
        <f>D1306/MAX($B$2:B1306,100000)</f>
        <v>-7.9690594953426494E-2</v>
      </c>
      <c r="H1306" s="2"/>
      <c r="I1306" s="2"/>
      <c r="N1306" s="2"/>
    </row>
    <row r="1307" spans="1:14" x14ac:dyDescent="0.3">
      <c r="A1307" s="2">
        <v>45667</v>
      </c>
      <c r="B1307">
        <v>5884975.5</v>
      </c>
      <c r="C1307">
        <v>3072174.25</v>
      </c>
      <c r="D1307">
        <v>-600633</v>
      </c>
      <c r="E1307">
        <f>D1307/MAX($B$2:B1307,100000)</f>
        <v>-9.2610122858942226E-2</v>
      </c>
      <c r="H1307" s="2"/>
      <c r="I1307" s="2"/>
      <c r="N1307" s="2"/>
    </row>
    <row r="1308" spans="1:14" x14ac:dyDescent="0.3">
      <c r="A1308" s="2">
        <v>45674</v>
      </c>
      <c r="B1308">
        <v>5776799.5</v>
      </c>
      <c r="C1308">
        <v>2767141</v>
      </c>
      <c r="D1308">
        <v>-708809</v>
      </c>
      <c r="E1308">
        <f>D1308/MAX($B$2:B1308,100000)</f>
        <v>-0.10928951385209268</v>
      </c>
      <c r="H1308" s="2"/>
      <c r="I1308" s="2"/>
      <c r="N1308" s="2"/>
    </row>
    <row r="1309" spans="1:14" x14ac:dyDescent="0.3">
      <c r="A1309" s="2">
        <v>45681</v>
      </c>
      <c r="B1309">
        <v>5801455</v>
      </c>
      <c r="C1309">
        <v>2767141</v>
      </c>
      <c r="D1309">
        <v>-684153.5</v>
      </c>
      <c r="E1309">
        <f>D1309/MAX($B$2:B1309,100000)</f>
        <v>-0.10548794303572286</v>
      </c>
      <c r="H1309" s="2"/>
      <c r="I1309" s="2"/>
      <c r="N1309" s="2"/>
    </row>
    <row r="1310" spans="1:14" x14ac:dyDescent="0.3">
      <c r="A1310" s="2">
        <v>45688</v>
      </c>
      <c r="B1310">
        <v>5868030.5</v>
      </c>
      <c r="C1310">
        <v>2378397</v>
      </c>
      <c r="D1310">
        <v>-617578</v>
      </c>
      <c r="E1310">
        <f>D1310/MAX($B$2:B1310,100000)</f>
        <v>-9.5222830671940803E-2</v>
      </c>
      <c r="H1310" s="2"/>
      <c r="I1310" s="2"/>
      <c r="N1310" s="2"/>
    </row>
    <row r="1311" spans="1:14" x14ac:dyDescent="0.3">
      <c r="A1311" s="2">
        <v>45695</v>
      </c>
      <c r="B1311">
        <v>5909602.5</v>
      </c>
      <c r="C1311">
        <v>1541482.63</v>
      </c>
      <c r="D1311">
        <v>-576006</v>
      </c>
      <c r="E1311">
        <f>D1311/MAX($B$2:B1311,100000)</f>
        <v>-8.8812946387374442E-2</v>
      </c>
      <c r="H1311" s="2"/>
      <c r="I1311" s="2"/>
      <c r="N1311" s="2"/>
    </row>
    <row r="1312" spans="1:14" x14ac:dyDescent="0.3">
      <c r="A1312" s="2">
        <v>45702</v>
      </c>
      <c r="B1312">
        <v>5905641.5</v>
      </c>
      <c r="C1312">
        <v>417171.44</v>
      </c>
      <c r="D1312">
        <v>-579967</v>
      </c>
      <c r="E1312">
        <f>D1312/MAX($B$2:B1312,100000)</f>
        <v>-8.9423683221088665E-2</v>
      </c>
      <c r="H1312" s="2"/>
      <c r="I1312" s="2"/>
      <c r="N1312" s="2"/>
    </row>
    <row r="1313" spans="1:14" x14ac:dyDescent="0.3">
      <c r="A1313" s="2">
        <v>45709</v>
      </c>
      <c r="B1313">
        <v>5890504.5</v>
      </c>
      <c r="C1313">
        <v>136277.13</v>
      </c>
      <c r="D1313">
        <v>-595104</v>
      </c>
      <c r="E1313">
        <f>D1313/MAX($B$2:B1313,100000)</f>
        <v>-9.1757619967347701E-2</v>
      </c>
      <c r="H1313" s="2"/>
      <c r="I1313" s="2"/>
      <c r="N1313" s="2"/>
    </row>
    <row r="1314" spans="1:14" x14ac:dyDescent="0.3">
      <c r="A1314" s="2">
        <v>45716</v>
      </c>
      <c r="B1314">
        <v>5655447</v>
      </c>
      <c r="C1314">
        <v>136277.13</v>
      </c>
      <c r="D1314">
        <v>-830161.5</v>
      </c>
      <c r="E1314">
        <f>D1314/MAX($B$2:B1314,100000)</f>
        <v>-0.12800055692538334</v>
      </c>
      <c r="H1314" s="2"/>
      <c r="I1314" s="2"/>
      <c r="N1314" s="2"/>
    </row>
    <row r="1315" spans="1:14" x14ac:dyDescent="0.3">
      <c r="A1315" s="2">
        <v>45723</v>
      </c>
      <c r="B1315">
        <v>5632664.5</v>
      </c>
      <c r="C1315">
        <v>569649.75</v>
      </c>
      <c r="D1315">
        <v>-852944</v>
      </c>
      <c r="E1315">
        <f>D1315/MAX($B$2:B1315,100000)</f>
        <v>-0.13151333448511424</v>
      </c>
      <c r="H1315" s="2"/>
      <c r="I1315" s="2"/>
      <c r="N1315" s="2"/>
    </row>
    <row r="1316" spans="1:14" x14ac:dyDescent="0.3">
      <c r="A1316" s="2">
        <v>45730</v>
      </c>
      <c r="B1316">
        <v>5580340.5</v>
      </c>
      <c r="C1316">
        <v>1318379.1299999999</v>
      </c>
      <c r="D1316">
        <v>-905268</v>
      </c>
      <c r="E1316">
        <f>D1316/MAX($B$2:B1316,100000)</f>
        <v>-0.1395810431665741</v>
      </c>
      <c r="H1316" s="2"/>
      <c r="I1316" s="2"/>
      <c r="N1316" s="2"/>
    </row>
    <row r="1317" spans="1:14" x14ac:dyDescent="0.3">
      <c r="A1317" s="2">
        <v>45737</v>
      </c>
      <c r="B1317">
        <v>5689725.5</v>
      </c>
      <c r="C1317">
        <v>1939408.63</v>
      </c>
      <c r="D1317">
        <v>-795883</v>
      </c>
      <c r="E1317">
        <f>D1317/MAX($B$2:B1317,100000)</f>
        <v>-0.1227152394412953</v>
      </c>
      <c r="H1317" s="2"/>
      <c r="I1317" s="2"/>
      <c r="N1317" s="2"/>
    </row>
    <row r="1318" spans="1:14" x14ac:dyDescent="0.3">
      <c r="A1318" s="2">
        <v>45744</v>
      </c>
      <c r="B1318">
        <v>5648974.5</v>
      </c>
      <c r="C1318">
        <v>2767249</v>
      </c>
      <c r="D1318">
        <v>-836634</v>
      </c>
      <c r="E1318">
        <f>D1318/MAX($B$2:B1318,100000)</f>
        <v>-0.1289985357580557</v>
      </c>
      <c r="H1318" s="2"/>
      <c r="I1318" s="2"/>
      <c r="N1318" s="2"/>
    </row>
    <row r="1319" spans="1:14" x14ac:dyDescent="0.3">
      <c r="A1319" s="2">
        <v>45751</v>
      </c>
      <c r="B1319">
        <v>5516082</v>
      </c>
      <c r="C1319">
        <v>2767249</v>
      </c>
      <c r="D1319">
        <v>-969526.5</v>
      </c>
      <c r="E1319">
        <f>D1319/MAX($B$2:B1319,100000)</f>
        <v>-0.14948890300732767</v>
      </c>
      <c r="H1319" s="2"/>
      <c r="I1319" s="2"/>
      <c r="N1319" s="2"/>
    </row>
    <row r="1320" spans="1:14" x14ac:dyDescent="0.3">
      <c r="A1320" s="2">
        <v>45758</v>
      </c>
      <c r="B1320">
        <v>5419503</v>
      </c>
      <c r="C1320">
        <v>3273431.5</v>
      </c>
      <c r="D1320">
        <v>-1066105.5</v>
      </c>
      <c r="E1320">
        <f>D1320/MAX($B$2:B1320,100000)</f>
        <v>-0.16438018113489275</v>
      </c>
      <c r="H1320" s="2"/>
      <c r="I1320" s="2"/>
      <c r="N1320" s="2"/>
    </row>
    <row r="1321" spans="1:14" x14ac:dyDescent="0.3">
      <c r="A1321" s="2">
        <v>45764</v>
      </c>
      <c r="B1321">
        <v>5435830.5</v>
      </c>
      <c r="C1321">
        <v>3787731</v>
      </c>
      <c r="D1321">
        <v>-1049778</v>
      </c>
      <c r="E1321">
        <f>D1321/MAX($B$2:B1321,100000)</f>
        <v>-0.16186268412593821</v>
      </c>
      <c r="H1321" s="2"/>
      <c r="I1321" s="2"/>
      <c r="N1321" s="2"/>
    </row>
    <row r="1322" spans="1:14" x14ac:dyDescent="0.3">
      <c r="A1322" s="2">
        <v>45771</v>
      </c>
      <c r="B1322">
        <v>5422977.5</v>
      </c>
      <c r="C1322">
        <v>4278087</v>
      </c>
      <c r="D1322">
        <v>-1062631</v>
      </c>
      <c r="E1322">
        <f>D1322/MAX($B$2:B1322,100000)</f>
        <v>-0.16384445653788693</v>
      </c>
      <c r="H1322" s="2"/>
      <c r="I1322" s="2"/>
      <c r="N1322" s="2"/>
    </row>
    <row r="1323" spans="1:14" x14ac:dyDescent="0.3">
      <c r="A1323" s="2">
        <v>45779</v>
      </c>
      <c r="B1323">
        <v>5467005</v>
      </c>
      <c r="C1323">
        <v>4278087</v>
      </c>
      <c r="D1323">
        <v>-1018603.5</v>
      </c>
      <c r="E1323">
        <f>D1323/MAX($B$2:B1323,100000)</f>
        <v>-0.15705596475642955</v>
      </c>
      <c r="H1323" s="2"/>
      <c r="I1323" s="2"/>
      <c r="N1323" s="2"/>
    </row>
    <row r="1324" spans="1:14" x14ac:dyDescent="0.3">
      <c r="A1324" s="2">
        <v>45786</v>
      </c>
      <c r="B1324">
        <v>5492251.5</v>
      </c>
      <c r="C1324">
        <v>94259.74</v>
      </c>
      <c r="D1324">
        <v>-993357</v>
      </c>
      <c r="E1324">
        <f>D1324/MAX($B$2:B1324,100000)</f>
        <v>-0.1531632691057439</v>
      </c>
      <c r="H1324" s="2"/>
      <c r="I1324" s="2"/>
      <c r="N1324" s="2"/>
    </row>
    <row r="1325" spans="1:14" x14ac:dyDescent="0.3">
      <c r="A1325" s="2">
        <v>45793</v>
      </c>
      <c r="B1325">
        <v>5435883.5</v>
      </c>
      <c r="C1325">
        <v>94259.74</v>
      </c>
      <c r="D1325">
        <v>-1049725</v>
      </c>
      <c r="E1325">
        <f>D1325/MAX($B$2:B1325,100000)</f>
        <v>-0.16185451218648181</v>
      </c>
      <c r="H1325" s="2"/>
      <c r="I1325" s="2"/>
      <c r="N1325" s="2"/>
    </row>
    <row r="1326" spans="1:14" x14ac:dyDescent="0.3">
      <c r="A1326" s="2">
        <v>45800</v>
      </c>
      <c r="B1326">
        <v>5466181.5</v>
      </c>
      <c r="C1326">
        <v>116901.92</v>
      </c>
      <c r="D1326">
        <v>-1019427</v>
      </c>
      <c r="E1326">
        <f>D1326/MAX($B$2:B1326,100000)</f>
        <v>-0.1571829381930778</v>
      </c>
      <c r="H1326" s="2"/>
      <c r="I1326" s="2"/>
      <c r="N1326" s="2"/>
    </row>
    <row r="1327" spans="1:14" x14ac:dyDescent="0.3">
      <c r="A1327" s="2">
        <v>45807</v>
      </c>
      <c r="B1327">
        <v>5581982.5</v>
      </c>
      <c r="C1327">
        <v>116901.92</v>
      </c>
      <c r="D1327">
        <v>-903626</v>
      </c>
      <c r="E1327">
        <f>D1327/MAX($B$2:B1327,100000)</f>
        <v>-0.13932786723096222</v>
      </c>
      <c r="H1327" s="2"/>
      <c r="I1327" s="2"/>
    </row>
    <row r="1328" spans="1:14" x14ac:dyDescent="0.3">
      <c r="A1328" s="2">
        <v>45814</v>
      </c>
      <c r="B1328">
        <v>5662008</v>
      </c>
      <c r="C1328">
        <v>116901.92</v>
      </c>
      <c r="D1328">
        <v>-823600.5</v>
      </c>
      <c r="E1328">
        <f>D1328/MAX($B$2:B1328,100000)</f>
        <v>-0.12698893249569412</v>
      </c>
      <c r="H1328" s="2"/>
      <c r="I1328" s="2"/>
    </row>
    <row r="1329" spans="1:9" x14ac:dyDescent="0.3">
      <c r="A1329" s="2">
        <v>45821</v>
      </c>
      <c r="B1329">
        <v>5768455</v>
      </c>
      <c r="C1329">
        <v>116901.92</v>
      </c>
      <c r="D1329">
        <v>-717153.5</v>
      </c>
      <c r="E1329">
        <f>D1329/MAX($B$2:B1329,100000)</f>
        <v>-0.11057613175386705</v>
      </c>
      <c r="H1329" s="2"/>
      <c r="I1329" s="2"/>
    </row>
    <row r="1330" spans="1:9" x14ac:dyDescent="0.3">
      <c r="A1330" s="2">
        <v>45828</v>
      </c>
      <c r="B1330">
        <v>5792720.5</v>
      </c>
      <c r="C1330">
        <v>116901.92</v>
      </c>
      <c r="D1330">
        <v>-692888</v>
      </c>
      <c r="E1330">
        <f>D1330/MAX($B$2:B1330,100000)</f>
        <v>-0.10683469407689349</v>
      </c>
      <c r="H1330" s="2"/>
      <c r="I1330" s="2"/>
    </row>
    <row r="1331" spans="1:9" x14ac:dyDescent="0.3">
      <c r="A1331" s="2">
        <v>45835</v>
      </c>
      <c r="B1331">
        <v>5947405</v>
      </c>
      <c r="C1331">
        <v>116901.92</v>
      </c>
      <c r="D1331">
        <v>-538203.5</v>
      </c>
      <c r="E1331">
        <f>D1331/MAX($B$2:B1331,100000)</f>
        <v>-8.2984272023203368E-2</v>
      </c>
      <c r="H1331" s="2"/>
      <c r="I1331" s="2"/>
    </row>
    <row r="1332" spans="1:9" x14ac:dyDescent="0.3">
      <c r="A1332" s="2">
        <v>45842</v>
      </c>
      <c r="B1332">
        <v>5955964</v>
      </c>
      <c r="C1332">
        <v>116901.92</v>
      </c>
      <c r="D1332">
        <v>-529644.5</v>
      </c>
      <c r="E1332">
        <f>D1332/MAX($B$2:B1332,100000)</f>
        <v>-8.1664580894761071E-2</v>
      </c>
      <c r="H1332" s="2"/>
      <c r="I1332" s="2"/>
    </row>
    <row r="1333" spans="1:9" x14ac:dyDescent="0.3">
      <c r="A1333" s="2">
        <v>45849</v>
      </c>
      <c r="B1333">
        <v>5958915.5</v>
      </c>
      <c r="C1333">
        <v>116901.92</v>
      </c>
      <c r="D1333">
        <v>-526693</v>
      </c>
      <c r="E1333">
        <f>D1333/MAX($B$2:B1333,100000)</f>
        <v>-8.1209496379560986E-2</v>
      </c>
      <c r="H1333" s="2"/>
    </row>
    <row r="1334" spans="1:9" x14ac:dyDescent="0.3">
      <c r="A1334" s="2">
        <v>45856</v>
      </c>
      <c r="B1334">
        <v>6000721</v>
      </c>
      <c r="C1334">
        <v>116901.92</v>
      </c>
      <c r="D1334">
        <v>-484887.5</v>
      </c>
      <c r="E1334">
        <f>D1334/MAX($B$2:B1334,100000)</f>
        <v>-7.4763609305125336E-2</v>
      </c>
      <c r="H1334" s="2"/>
    </row>
    <row r="1335" spans="1:9" x14ac:dyDescent="0.3">
      <c r="A1335" s="2">
        <v>45863</v>
      </c>
      <c r="B1335">
        <v>6037633.2899999982</v>
      </c>
      <c r="C1335">
        <v>116901.92</v>
      </c>
      <c r="D1335">
        <f t="shared" ref="D1335" si="0">B1335-MAX(100000,B2:B1335)</f>
        <v>-447975.21000000183</v>
      </c>
      <c r="E1335">
        <f>D1335/MAX($B$2:B1335,100000)</f>
        <v>-6.9072194228190276E-2</v>
      </c>
    </row>
    <row r="1336" spans="1:9" x14ac:dyDescent="0.3">
      <c r="A1336" s="2">
        <v>45870</v>
      </c>
      <c r="B1336">
        <v>6174884.4449999994</v>
      </c>
      <c r="C1336">
        <v>116901.92</v>
      </c>
      <c r="D1336">
        <f t="shared" ref="D1336" si="1">B1336-MAX(100000,B3:B1336)</f>
        <v>-310724.05500000063</v>
      </c>
      <c r="E1336">
        <f>D1336/MAX($B$2:B1336,100000)</f>
        <v>-4.7909776700212577E-2</v>
      </c>
    </row>
    <row r="1337" spans="1:9" x14ac:dyDescent="0.3">
      <c r="A1337" s="2">
        <v>45873</v>
      </c>
      <c r="B1337">
        <v>6465731.5</v>
      </c>
      <c r="C1337">
        <v>-23330.092484999986</v>
      </c>
      <c r="D1337">
        <f t="shared" ref="D1337" si="2">B1337-MAX(100000,B4:B1337)</f>
        <v>-19877</v>
      </c>
      <c r="E1337">
        <f>D1337/MAX($B$2:B1337,100000)</f>
        <v>-3.0647856712288446E-3</v>
      </c>
    </row>
    <row r="1338" spans="1:9" x14ac:dyDescent="0.3">
      <c r="A1338" s="7">
        <v>45877</v>
      </c>
      <c r="B1338">
        <v>6598992.5</v>
      </c>
      <c r="C1338">
        <v>-23330.092484999986</v>
      </c>
      <c r="D1338">
        <f t="shared" ref="D1338" si="3">B1338-MAX(100000,B5:B1338)</f>
        <v>0</v>
      </c>
      <c r="E1338">
        <f>D1338/MAX($B$2:B1338,100000)</f>
        <v>0</v>
      </c>
    </row>
    <row r="1339" spans="1:9" x14ac:dyDescent="0.3">
      <c r="A1339" s="2">
        <v>45880</v>
      </c>
      <c r="B1339">
        <v>6610621.5</v>
      </c>
      <c r="C1339">
        <v>-23330.092484999986</v>
      </c>
      <c r="D1339">
        <f t="shared" ref="D1339:D1340" si="4">B1339-MAX(100000,B6:B1339)</f>
        <v>0</v>
      </c>
      <c r="E1339">
        <f>D1339/MAX($B$2:B1339,100000)</f>
        <v>0</v>
      </c>
    </row>
    <row r="1340" spans="1:9" x14ac:dyDescent="0.3">
      <c r="A1340" s="2">
        <v>45884</v>
      </c>
      <c r="B1340">
        <v>6730579.5</v>
      </c>
      <c r="C1340">
        <v>-23330.092484999986</v>
      </c>
      <c r="D1340">
        <f t="shared" si="4"/>
        <v>0</v>
      </c>
      <c r="E1340">
        <f>D1340/MAX($B$2:B1340,100000)</f>
        <v>0</v>
      </c>
    </row>
    <row r="1341" spans="1:9" x14ac:dyDescent="0.3">
      <c r="A1341" s="2">
        <v>45887</v>
      </c>
      <c r="B1341">
        <v>6757133</v>
      </c>
      <c r="C1341">
        <v>-46462.38166499995</v>
      </c>
      <c r="D1341">
        <f t="shared" ref="D1341" si="5">B1341-MAX(100000,B8:B1341)</f>
        <v>0</v>
      </c>
      <c r="E1341">
        <f>D1341/MAX($B$2:B1341,100000)</f>
        <v>0</v>
      </c>
    </row>
    <row r="1342" spans="1:9" x14ac:dyDescent="0.3">
      <c r="A1342" s="2">
        <v>45891</v>
      </c>
      <c r="B1342">
        <v>6673177.5</v>
      </c>
      <c r="C1342">
        <v>-46462.38166499995</v>
      </c>
      <c r="D1342">
        <f t="shared" ref="D1342" si="6">B1342-MAX(100000,B9:B1342)</f>
        <v>-83955.5</v>
      </c>
      <c r="E1342">
        <f>D1342/MAX($B$2:B1342,100000)</f>
        <v>-1.2424722141772258E-2</v>
      </c>
    </row>
    <row r="1343" spans="1:9" x14ac:dyDescent="0.3">
      <c r="A1343" s="2">
        <v>45894</v>
      </c>
      <c r="B1343">
        <v>6719180.5</v>
      </c>
      <c r="C1343">
        <v>-46462.38166499995</v>
      </c>
      <c r="D1343">
        <f t="shared" ref="D1343" si="7">B1343-MAX(100000,B10:B1343)</f>
        <v>-37952.5</v>
      </c>
      <c r="E1343">
        <f>D1343/MAX($B$2:B1343,100000)</f>
        <v>-5.6166572420581328E-3</v>
      </c>
    </row>
    <row r="1344" spans="1:9" x14ac:dyDescent="0.3">
      <c r="A1344" s="2">
        <v>45898</v>
      </c>
      <c r="B1344">
        <v>6738989.5</v>
      </c>
      <c r="C1344">
        <v>-46462.38166499995</v>
      </c>
      <c r="D1344">
        <f t="shared" ref="D1344" si="8">B1344-MAX(100000,B11:B1344)</f>
        <v>-18143.5</v>
      </c>
      <c r="E1344">
        <f>D1344/MAX($B$2:B1344,100000)</f>
        <v>-2.685088483532883E-3</v>
      </c>
    </row>
    <row r="1345" spans="1:5" x14ac:dyDescent="0.3">
      <c r="A1345" s="2">
        <v>45900</v>
      </c>
      <c r="B1345">
        <v>6738989.5</v>
      </c>
      <c r="C1345">
        <v>-46462.38166499995</v>
      </c>
      <c r="D1345">
        <f t="shared" ref="D1345" si="9">B1345-MAX(100000,B12:B1345)</f>
        <v>-18143.5</v>
      </c>
      <c r="E1345">
        <f>D1345/MAX($B$2:B1345,100000)</f>
        <v>-2.685088483532883E-3</v>
      </c>
    </row>
    <row r="1346" spans="1:5" x14ac:dyDescent="0.3">
      <c r="A1346" s="2">
        <v>45901</v>
      </c>
      <c r="B1346">
        <v>6738366</v>
      </c>
      <c r="C1346">
        <v>-146076.03580499993</v>
      </c>
      <c r="D1346">
        <f t="shared" ref="D1346:D1351" si="10">B1346-MAX(100000,B13:B1346)</f>
        <v>-18767</v>
      </c>
      <c r="E1346">
        <f>D1346/MAX($B$2:B1346,100000)</f>
        <v>-2.7773613454108422E-3</v>
      </c>
    </row>
    <row r="1347" spans="1:5" x14ac:dyDescent="0.3">
      <c r="A1347" s="2">
        <v>45907</v>
      </c>
      <c r="B1347">
        <v>6822663.5</v>
      </c>
      <c r="C1347">
        <v>-146076.03580499993</v>
      </c>
      <c r="D1347">
        <f t="shared" si="10"/>
        <v>0</v>
      </c>
      <c r="E1347">
        <f>D1347/MAX($B$2:B1347,100000)</f>
        <v>0</v>
      </c>
    </row>
    <row r="1348" spans="1:5" x14ac:dyDescent="0.3">
      <c r="A1348" s="2">
        <v>45908</v>
      </c>
      <c r="B1348">
        <v>6932997</v>
      </c>
      <c r="C1348">
        <v>-146076.03580499993</v>
      </c>
      <c r="D1348">
        <f t="shared" si="10"/>
        <v>0</v>
      </c>
      <c r="E1348">
        <f>D1348/MAX($B$2:B1348,100000)</f>
        <v>0</v>
      </c>
    </row>
    <row r="1349" spans="1:5" x14ac:dyDescent="0.3">
      <c r="A1349" s="2">
        <v>45914</v>
      </c>
      <c r="B1349">
        <v>6871201.5</v>
      </c>
      <c r="C1349">
        <v>-146076.03580499993</v>
      </c>
      <c r="D1349">
        <f t="shared" si="10"/>
        <v>-61795.5</v>
      </c>
      <c r="E1349">
        <f>D1349/MAX($B$2:B1349,100000)</f>
        <v>-8.913244878080864E-3</v>
      </c>
    </row>
    <row r="1350" spans="1:5" x14ac:dyDescent="0.3">
      <c r="A1350" s="2">
        <v>45915</v>
      </c>
      <c r="B1350">
        <v>6850522</v>
      </c>
      <c r="C1350">
        <v>-146076.03580499993</v>
      </c>
      <c r="D1350">
        <f t="shared" si="10"/>
        <v>-82475</v>
      </c>
      <c r="E1350">
        <f>D1350/MAX($B$2:B1350,100000)</f>
        <v>-1.1896009763165915E-2</v>
      </c>
    </row>
    <row r="1351" spans="1:5" x14ac:dyDescent="0.3">
      <c r="A1351" s="2">
        <v>45921</v>
      </c>
      <c r="B1351">
        <v>6930241</v>
      </c>
      <c r="C1351">
        <v>-146076.03580499993</v>
      </c>
      <c r="D1351">
        <f t="shared" si="10"/>
        <v>-2756</v>
      </c>
      <c r="E1351">
        <f>D1351/MAX($B$2:B1351,100000)</f>
        <v>-3.9751928350755092E-4</v>
      </c>
    </row>
    <row r="1352" spans="1:5" x14ac:dyDescent="0.3">
      <c r="A1352" s="2">
        <v>45922</v>
      </c>
      <c r="B1352">
        <v>6940247.5</v>
      </c>
      <c r="C1352">
        <v>75821.927334999957</v>
      </c>
      <c r="D1352">
        <f t="shared" ref="D1352" si="11">B1352-MAX(100000,B19:B1352)</f>
        <v>0</v>
      </c>
      <c r="E1352">
        <f>D1352/MAX($B$2:B1352,100000)</f>
        <v>0</v>
      </c>
    </row>
    <row r="1353" spans="1:5" x14ac:dyDescent="0.3">
      <c r="A1353" s="2">
        <v>45928</v>
      </c>
      <c r="B1353">
        <v>7047703.5</v>
      </c>
      <c r="C1353">
        <v>75821.927334999957</v>
      </c>
      <c r="D1353">
        <f t="shared" ref="D1353" si="12">B1353-MAX(100000,B20:B1353)</f>
        <v>0</v>
      </c>
      <c r="E1353">
        <f>D1353/MAX($B$2:B1353,100000)</f>
        <v>0</v>
      </c>
    </row>
    <row r="1354" spans="1:5" x14ac:dyDescent="0.3">
      <c r="A1354" s="2">
        <v>45929</v>
      </c>
      <c r="B1354">
        <v>7201700</v>
      </c>
      <c r="C1354">
        <v>-70254.108469999977</v>
      </c>
      <c r="D1354">
        <f t="shared" ref="D1354" si="13">B1354-MAX(100000,B21:B1354)</f>
        <v>0</v>
      </c>
      <c r="E1354">
        <f>D1354/MAX($B$2:B1354,100000)</f>
        <v>0</v>
      </c>
    </row>
    <row r="1355" spans="1:5" x14ac:dyDescent="0.3">
      <c r="A1355" s="2">
        <v>45930</v>
      </c>
      <c r="B1355">
        <v>7081233</v>
      </c>
      <c r="C1355">
        <v>-70254.108469999977</v>
      </c>
      <c r="D1355">
        <f t="shared" ref="D1355" si="14">B1355-MAX(100000,B22:B1355)</f>
        <v>-120467</v>
      </c>
      <c r="E1355">
        <f>D1355/MAX($B$2:B1355,100000)</f>
        <v>-1.6727578210700252E-2</v>
      </c>
    </row>
    <row r="1356" spans="1:5" x14ac:dyDescent="0.3">
      <c r="A1356" s="2">
        <v>45935</v>
      </c>
      <c r="B1356">
        <v>7135504</v>
      </c>
      <c r="C1356">
        <v>-70254.108469999977</v>
      </c>
      <c r="D1356">
        <f t="shared" ref="D1356" si="15">B1356-MAX(100000,B23:B1356)</f>
        <v>-66196</v>
      </c>
      <c r="E1356">
        <f>D1356/MAX($B$2:B1356,100000)</f>
        <v>-9.1917186219920288E-3</v>
      </c>
    </row>
    <row r="1357" spans="1:5" x14ac:dyDescent="0.3">
      <c r="A1357" s="2">
        <v>45936</v>
      </c>
      <c r="B1357">
        <v>7151465.5</v>
      </c>
      <c r="C1357">
        <v>-70254.108469999977</v>
      </c>
      <c r="D1357">
        <f t="shared" ref="D1357" si="16">B1357-MAX(100000,B24:B1357)</f>
        <v>-50234.5</v>
      </c>
      <c r="E1357">
        <f>D1357/MAX($B$2:B1357,100000)</f>
        <v>-6.9753669272532874E-3</v>
      </c>
    </row>
    <row r="1358" spans="1:5" x14ac:dyDescent="0.3">
      <c r="A1358" s="2">
        <v>45942</v>
      </c>
      <c r="B1358">
        <v>7230632</v>
      </c>
      <c r="C1358">
        <v>-70254.108469999977</v>
      </c>
      <c r="D1358">
        <f t="shared" ref="D1358" si="17">B1358-MAX(100000,B25:B1358)</f>
        <v>0</v>
      </c>
      <c r="E1358">
        <f>D1358/MAX($B$2:B1358,100000)</f>
        <v>0</v>
      </c>
    </row>
    <row r="1359" spans="1:5" x14ac:dyDescent="0.3">
      <c r="A1359" s="2">
        <v>45943</v>
      </c>
      <c r="B1359">
        <v>7174845.5</v>
      </c>
      <c r="C1359">
        <v>-262361.37298499991</v>
      </c>
      <c r="D1359">
        <f t="shared" ref="D1359" si="18">B1359-MAX(100000,B26:B1359)</f>
        <v>-55786.5</v>
      </c>
      <c r="E1359">
        <f>D1359/MAX($B$2:B1359,100000)</f>
        <v>-7.7153006818767708E-3</v>
      </c>
    </row>
    <row r="1360" spans="1:5" x14ac:dyDescent="0.3">
      <c r="A1360" s="2">
        <v>45949</v>
      </c>
      <c r="B1360">
        <v>6922123.5</v>
      </c>
      <c r="C1360">
        <v>-262361.37298499991</v>
      </c>
      <c r="D1360">
        <f t="shared" ref="D1360" si="19">B1360-MAX(100000,B27:B1360)</f>
        <v>-308508.5</v>
      </c>
      <c r="E1360">
        <f>D1360/MAX($B$2:B1360,100000)</f>
        <v>-4.2666878911829562E-2</v>
      </c>
    </row>
    <row r="1361" spans="1:5" x14ac:dyDescent="0.3">
      <c r="A1361" s="2">
        <v>45950</v>
      </c>
      <c r="B1361">
        <v>6916331.5</v>
      </c>
      <c r="C1361">
        <v>-331649.65591499984</v>
      </c>
      <c r="D1361">
        <f t="shared" ref="D1361" si="20">B1361-MAX(100000,B28:B1361)</f>
        <v>-314300.5</v>
      </c>
      <c r="E1361">
        <f>D1361/MAX($B$2:B1361,100000)</f>
        <v>-4.3467915391075085E-2</v>
      </c>
    </row>
    <row r="1362" spans="1:5" x14ac:dyDescent="0.3">
      <c r="A1362" s="2">
        <v>45956</v>
      </c>
      <c r="B1362">
        <v>7046473.5</v>
      </c>
      <c r="C1362">
        <v>-331649.65591499984</v>
      </c>
      <c r="D1362">
        <f t="shared" ref="D1362" si="21">B1362-MAX(100000,B29:B1362)</f>
        <v>-184158.5</v>
      </c>
      <c r="E1362">
        <f>D1362/MAX($B$2:B1362,100000)</f>
        <v>-2.5469212096535961E-2</v>
      </c>
    </row>
    <row r="1363" spans="1:5" x14ac:dyDescent="0.3">
      <c r="A1363" s="2">
        <v>45957</v>
      </c>
      <c r="B1363">
        <v>7012776</v>
      </c>
      <c r="C1363">
        <v>-331649.65591499984</v>
      </c>
      <c r="D1363">
        <f t="shared" ref="D1363" si="22">B1363-MAX(100000,B30:B1363)</f>
        <v>-217856</v>
      </c>
      <c r="E1363">
        <f>D1363/MAX($B$2:B1363,100000)</f>
        <v>-3.012959309780943E-2</v>
      </c>
    </row>
    <row r="1364" spans="1:5" x14ac:dyDescent="0.3">
      <c r="A1364" s="2">
        <v>45961</v>
      </c>
      <c r="B1364">
        <v>7104917.5</v>
      </c>
      <c r="C1364">
        <v>-331649.65591499984</v>
      </c>
      <c r="D1364">
        <f t="shared" ref="D1364" si="23">B1364-MAX(100000,B31:B1364)</f>
        <v>-125714.5</v>
      </c>
      <c r="E1364">
        <f>D1364/MAX($B$2:B1364,100000)</f>
        <v>-1.738637784359652E-2</v>
      </c>
    </row>
    <row r="1365" spans="1:5" x14ac:dyDescent="0.3">
      <c r="A1365" s="2">
        <v>45964</v>
      </c>
      <c r="B1365">
        <v>7048563</v>
      </c>
      <c r="C1365">
        <v>-331649.65591499984</v>
      </c>
      <c r="D1365">
        <f t="shared" ref="D1365" si="24">B1365-MAX(100000,B32:B1365)</f>
        <v>-182069</v>
      </c>
      <c r="E1365">
        <f>D1365/MAX($B$2:B1365,100000)</f>
        <v>-2.5180233207830242E-2</v>
      </c>
    </row>
    <row r="1366" spans="1:5" x14ac:dyDescent="0.3">
      <c r="A1366" s="2">
        <v>45968</v>
      </c>
      <c r="B1366">
        <v>6639454.5</v>
      </c>
      <c r="C1366">
        <v>-331649.65591499984</v>
      </c>
      <c r="D1366">
        <f t="shared" ref="D1366" si="25">B1366-MAX(100000,B33:B1366)</f>
        <v>-591177.5</v>
      </c>
      <c r="E1366">
        <f>D1366/MAX($B$2:B1366,100000)</f>
        <v>-8.1760142128654872E-2</v>
      </c>
    </row>
    <row r="1367" spans="1:5" x14ac:dyDescent="0.3">
      <c r="A1367" s="2">
        <v>45971</v>
      </c>
      <c r="B1367">
        <v>6700554.5</v>
      </c>
      <c r="C1367">
        <v>2551891.2517500003</v>
      </c>
      <c r="D1367">
        <f t="shared" ref="D1367" si="26">B1367-MAX(100000,B34:B1367)</f>
        <v>-530077.5</v>
      </c>
      <c r="E1367">
        <f>D1367/MAX($B$2:B1367,100000)</f>
        <v>-7.3309981755398421E-2</v>
      </c>
    </row>
    <row r="1368" spans="1:5" x14ac:dyDescent="0.3">
      <c r="A1368" s="2">
        <v>45975</v>
      </c>
      <c r="B1368">
        <v>6734089.5</v>
      </c>
      <c r="C1368">
        <v>2551891.2517500003</v>
      </c>
      <c r="D1368">
        <f t="shared" ref="D1368" si="27">B1368-MAX(100000,B35:B1368)</f>
        <v>-496542.5</v>
      </c>
      <c r="E1368">
        <f>D1368/MAX($B$2:B1368,100000)</f>
        <v>-6.8672074584904888E-2</v>
      </c>
    </row>
    <row r="1369" spans="1:5" x14ac:dyDescent="0.3">
      <c r="A1369" s="2">
        <v>45978</v>
      </c>
      <c r="B1369">
        <v>6672052.5</v>
      </c>
      <c r="C1369">
        <v>2551891.2517500003</v>
      </c>
      <c r="D1369">
        <f t="shared" ref="D1369" si="28">B1369-MAX(100000,B36:B1369)</f>
        <v>-558579.5</v>
      </c>
      <c r="E1369">
        <f>D1369/MAX($B$2:B1369,100000)</f>
        <v>-7.725182252395088E-2</v>
      </c>
    </row>
    <row r="1370" spans="1:5" x14ac:dyDescent="0.3">
      <c r="A1370" s="2">
        <f>A1368+7</f>
        <v>45982</v>
      </c>
      <c r="B1370">
        <v>6508610</v>
      </c>
      <c r="C1370">
        <v>2551891.2517500003</v>
      </c>
      <c r="D1370">
        <f t="shared" ref="D1370" si="29">B1370-MAX(100000,B37:B1370)</f>
        <v>-722022</v>
      </c>
      <c r="E1370">
        <f>D1370/MAX($B$2:B1370,100000)</f>
        <v>-9.9856001522411877E-2</v>
      </c>
    </row>
    <row r="1371" spans="1:5" x14ac:dyDescent="0.3">
      <c r="A1371" s="2">
        <v>45985</v>
      </c>
      <c r="B1371">
        <v>6535162</v>
      </c>
      <c r="C1371">
        <v>3444751.9572899998</v>
      </c>
      <c r="D1371">
        <f t="shared" ref="D1371" si="30">B1371-MAX(100000,B38:B1371)</f>
        <v>-695470</v>
      </c>
      <c r="E1371">
        <f>D1371/MAX($B$2:B1371,100000)</f>
        <v>-9.6183846723218655E-2</v>
      </c>
    </row>
    <row r="1372" spans="1:5" x14ac:dyDescent="0.3">
      <c r="A1372" s="2">
        <v>45989</v>
      </c>
      <c r="B1372">
        <v>6624694</v>
      </c>
      <c r="C1372">
        <v>3444751.9572899998</v>
      </c>
      <c r="D1372">
        <f t="shared" ref="D1372" si="31">B1372-MAX(100000,B39:B1372)</f>
        <v>-605938</v>
      </c>
      <c r="E1372">
        <f>D1372/MAX($B$2:B1372,100000)</f>
        <v>-8.3801526616207267E-2</v>
      </c>
    </row>
    <row r="1373" spans="1:5" x14ac:dyDescent="0.3">
      <c r="A1373" s="2">
        <v>45991</v>
      </c>
      <c r="B1373">
        <v>6624694</v>
      </c>
      <c r="C1373">
        <v>3444751.9572899998</v>
      </c>
      <c r="D1373">
        <f t="shared" ref="D1373" si="32">B1373-MAX(100000,B40:B1373)</f>
        <v>-605938</v>
      </c>
      <c r="E1373">
        <f>D1373/MAX($B$2:B1373,100000)</f>
        <v>-8.3801526616207267E-2</v>
      </c>
    </row>
    <row r="1374" spans="1:5" x14ac:dyDescent="0.3">
      <c r="A1374" s="2">
        <v>45992</v>
      </c>
      <c r="B1374">
        <v>6586946</v>
      </c>
      <c r="C1374">
        <v>3444751.9572899998</v>
      </c>
      <c r="D1374">
        <f t="shared" ref="D1374" si="33">B1374-MAX(100000,B41:B1374)</f>
        <v>-643686</v>
      </c>
      <c r="E1374">
        <f>D1374/MAX($B$2:B1374,100000)</f>
        <v>-8.9022093781013889E-2</v>
      </c>
    </row>
    <row r="1375" spans="1:5" x14ac:dyDescent="0.3">
      <c r="A1375" s="2">
        <v>45998</v>
      </c>
      <c r="B1375">
        <v>6503611.5</v>
      </c>
      <c r="C1375">
        <v>3444751.9572899998</v>
      </c>
      <c r="D1375">
        <f t="shared" ref="D1375" si="34">B1375-MAX(100000,B42:B1375)</f>
        <v>-727020.5</v>
      </c>
      <c r="E1375">
        <f>D1375/MAX($B$2:B1375,100000)</f>
        <v>-0.10054729655720275</v>
      </c>
    </row>
    <row r="1376" spans="1:5" x14ac:dyDescent="0.3">
      <c r="A1376" s="2">
        <v>45999</v>
      </c>
      <c r="B1376">
        <v>6490063.5</v>
      </c>
      <c r="C1376">
        <v>4141275.2867399999</v>
      </c>
      <c r="D1376">
        <f t="shared" ref="D1376" si="35">B1376-MAX(100000,B43:B1376)</f>
        <v>-740568.5</v>
      </c>
      <c r="E1376">
        <f>D1376/MAX($B$2:B1376,100000)</f>
        <v>-0.10242099169201253</v>
      </c>
    </row>
    <row r="1377" spans="1:5" x14ac:dyDescent="0.3">
      <c r="A1377" s="2">
        <v>46005</v>
      </c>
      <c r="B1377">
        <v>6441544</v>
      </c>
      <c r="C1377">
        <v>4141275.2867399999</v>
      </c>
      <c r="D1377">
        <f t="shared" ref="D1377" si="36">B1377-MAX(100000,B44:B1377)</f>
        <v>-789088</v>
      </c>
      <c r="E1377">
        <f>D1377/MAX($B$2:B1377,100000)</f>
        <v>-0.10913126266141052</v>
      </c>
    </row>
    <row r="1378" spans="1:5" x14ac:dyDescent="0.3">
      <c r="A1378" s="2">
        <v>46006</v>
      </c>
      <c r="B1378">
        <v>6390109</v>
      </c>
      <c r="C1378" s="4">
        <v>5080527.7640699996</v>
      </c>
      <c r="D1378">
        <f t="shared" ref="D1378" si="37">B1378-MAX(100000,B45:B1378)</f>
        <v>-840523</v>
      </c>
      <c r="E1378">
        <f>D1378/MAX($B$2:B1378,100000)</f>
        <v>-0.11624474873012483</v>
      </c>
    </row>
    <row r="1379" spans="1:5" x14ac:dyDescent="0.3">
      <c r="A1379" s="2">
        <v>46012</v>
      </c>
      <c r="B1379">
        <v>6384706.5</v>
      </c>
      <c r="C1379" s="4">
        <v>5080527.7640699996</v>
      </c>
      <c r="D1379">
        <f t="shared" ref="D1379" si="38">B1379-MAX(100000,B46:B1379)</f>
        <v>-845925.5</v>
      </c>
      <c r="E1379">
        <f>D1379/MAX($B$2:B1379,100000)</f>
        <v>-0.11699191716574706</v>
      </c>
    </row>
    <row r="1380" spans="1:5" x14ac:dyDescent="0.3">
      <c r="A1380" s="2">
        <v>46013</v>
      </c>
      <c r="B1380">
        <v>6418996.5</v>
      </c>
      <c r="C1380" s="4">
        <v>5426135.6102699991</v>
      </c>
      <c r="D1380">
        <f t="shared" ref="D1380" si="39">B1380-MAX(100000,B47:B1380)</f>
        <v>-811635.5</v>
      </c>
      <c r="E1380">
        <f>D1380/MAX($B$2:B1380,100000)</f>
        <v>-0.11224959311993751</v>
      </c>
    </row>
    <row r="1381" spans="1:5" x14ac:dyDescent="0.3">
      <c r="A1381" s="2">
        <v>46019</v>
      </c>
      <c r="B1381">
        <v>6400252.5</v>
      </c>
      <c r="C1381" s="4">
        <v>5426135.6102699991</v>
      </c>
      <c r="D1381">
        <f t="shared" ref="D1381" si="40">B1381-MAX(100000,B48:B1381)</f>
        <v>-830379.5</v>
      </c>
      <c r="E1381">
        <f>D1381/MAX($B$2:B1381,100000)</f>
        <v>-0.11484189763771686</v>
      </c>
    </row>
    <row r="1382" spans="1:5" x14ac:dyDescent="0.3">
      <c r="A1382" s="2">
        <v>46022</v>
      </c>
      <c r="B1382">
        <v>6390389.5</v>
      </c>
      <c r="C1382" s="4">
        <v>5426135.6102699991</v>
      </c>
      <c r="D1382">
        <f t="shared" ref="D1382:D1383" si="41">B1382-MAX(100000,B49:B1382)</f>
        <v>-840242.5</v>
      </c>
      <c r="E1382">
        <f>D1382/MAX($B$2:B1382,100000)</f>
        <v>-0.11620595544068624</v>
      </c>
    </row>
    <row r="1383" spans="1:5" x14ac:dyDescent="0.3">
      <c r="A1383" s="2">
        <v>46026</v>
      </c>
      <c r="B1383">
        <v>6389851.5</v>
      </c>
      <c r="C1383" s="4">
        <v>5426135.6102699991</v>
      </c>
      <c r="D1383">
        <f t="shared" si="41"/>
        <v>-840780.5</v>
      </c>
      <c r="E1383">
        <f>D1383/MAX($B$2:B1383,100000)</f>
        <v>-0.11628036110812996</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901"/>
  <sheetViews>
    <sheetView zoomScale="130" zoomScaleNormal="130" workbookViewId="0">
      <selection activeCell="G4" sqref="G4"/>
    </sheetView>
  </sheetViews>
  <sheetFormatPr defaultRowHeight="14.4" x14ac:dyDescent="0.3"/>
  <cols>
    <col min="1" max="1" width="10.109375" bestFit="1" customWidth="1"/>
    <col min="2" max="2" width="71.33203125" bestFit="1" customWidth="1"/>
    <col min="3" max="3" width="10.44140625" bestFit="1" customWidth="1"/>
    <col min="4" max="4" width="10.6640625" bestFit="1" customWidth="1"/>
    <col min="5" max="5" width="9.6640625" bestFit="1" customWidth="1"/>
    <col min="6" max="6" width="10.6640625" bestFit="1" customWidth="1"/>
    <col min="7" max="7" width="9.6640625" bestFit="1" customWidth="1"/>
    <col min="11" max="11" width="10.109375" customWidth="1"/>
    <col min="12" max="12" width="12.6640625" bestFit="1" customWidth="1"/>
    <col min="13" max="13" width="14.33203125" bestFit="1" customWidth="1"/>
    <col min="14" max="14" width="11.88671875" bestFit="1" customWidth="1"/>
    <col min="15" max="15" width="13.5546875" bestFit="1" customWidth="1"/>
    <col min="16" max="16" width="12.109375" bestFit="1" customWidth="1"/>
  </cols>
  <sheetData>
    <row r="1" spans="1:18" x14ac:dyDescent="0.3">
      <c r="A1" s="1" t="s">
        <v>1</v>
      </c>
      <c r="B1" s="1" t="s">
        <v>396</v>
      </c>
      <c r="C1" s="1" t="s">
        <v>43</v>
      </c>
      <c r="D1" s="1" t="s">
        <v>39</v>
      </c>
      <c r="E1" s="1" t="s">
        <v>44</v>
      </c>
      <c r="F1" s="1" t="s">
        <v>45</v>
      </c>
      <c r="G1" s="1" t="s">
        <v>46</v>
      </c>
      <c r="H1" s="1" t="s">
        <v>47</v>
      </c>
      <c r="I1" s="1" t="s">
        <v>48</v>
      </c>
      <c r="J1" s="1" t="s">
        <v>49</v>
      </c>
      <c r="K1" s="1" t="s">
        <v>50</v>
      </c>
      <c r="N1" s="11"/>
      <c r="O1" s="11"/>
    </row>
    <row r="2" spans="1:18" x14ac:dyDescent="0.3">
      <c r="A2" t="s">
        <v>118</v>
      </c>
      <c r="B2" t="s">
        <v>354</v>
      </c>
      <c r="C2" t="s">
        <v>1225</v>
      </c>
      <c r="D2" s="2">
        <v>45786</v>
      </c>
      <c r="E2">
        <v>1.79</v>
      </c>
      <c r="F2" s="12">
        <v>46017</v>
      </c>
      <c r="G2" s="4">
        <v>1.76</v>
      </c>
      <c r="H2" s="3">
        <f t="shared" ref="H2:H3" si="0">G2/E2-1</f>
        <v>-1.6759776536312887E-2</v>
      </c>
      <c r="I2" s="20">
        <f t="shared" ref="I2:I3" si="1">K2*E2*J2</f>
        <v>-4898.4825000000101</v>
      </c>
      <c r="J2" s="21">
        <f t="shared" ref="J2:J3" si="2">H2-0.002</f>
        <v>-1.8759776536312889E-2</v>
      </c>
      <c r="K2">
        <v>145875</v>
      </c>
      <c r="M2" s="4"/>
      <c r="N2" s="4"/>
      <c r="O2" s="4"/>
      <c r="P2" s="15"/>
      <c r="R2" s="4"/>
    </row>
    <row r="3" spans="1:18" x14ac:dyDescent="0.3">
      <c r="A3" t="s">
        <v>126</v>
      </c>
      <c r="B3" t="s">
        <v>379</v>
      </c>
      <c r="C3" t="s">
        <v>1225</v>
      </c>
      <c r="D3" s="2">
        <v>45786</v>
      </c>
      <c r="E3">
        <v>2.66</v>
      </c>
      <c r="F3" s="12">
        <v>46017</v>
      </c>
      <c r="G3" s="4">
        <v>2.95</v>
      </c>
      <c r="H3" s="3">
        <f t="shared" si="0"/>
        <v>0.10902255639097747</v>
      </c>
      <c r="I3" s="20">
        <f t="shared" si="1"/>
        <v>27969.240640000007</v>
      </c>
      <c r="J3" s="21">
        <f t="shared" si="2"/>
        <v>0.10702255639097746</v>
      </c>
      <c r="K3">
        <v>98248</v>
      </c>
      <c r="M3" s="4"/>
      <c r="N3" s="4"/>
      <c r="P3" s="15"/>
      <c r="R3" s="4"/>
    </row>
    <row r="4" spans="1:18" x14ac:dyDescent="0.3">
      <c r="A4" t="s">
        <v>131</v>
      </c>
      <c r="B4" t="s">
        <v>395</v>
      </c>
      <c r="C4" t="s">
        <v>1226</v>
      </c>
      <c r="D4" s="2">
        <v>45569</v>
      </c>
      <c r="E4">
        <v>4.8722630000000002</v>
      </c>
      <c r="F4" s="12">
        <v>46026</v>
      </c>
      <c r="G4" s="4" t="s">
        <v>1375</v>
      </c>
      <c r="H4" s="3" t="s">
        <v>1375</v>
      </c>
      <c r="I4" s="20" t="s">
        <v>1375</v>
      </c>
      <c r="J4" s="3" t="s">
        <v>1375</v>
      </c>
      <c r="K4">
        <v>60986</v>
      </c>
      <c r="N4" s="4"/>
      <c r="P4" s="15"/>
      <c r="R4" s="4"/>
    </row>
    <row r="5" spans="1:18" x14ac:dyDescent="0.3">
      <c r="A5" t="s">
        <v>1471</v>
      </c>
      <c r="B5" t="s">
        <v>1473</v>
      </c>
      <c r="C5" s="18" t="s">
        <v>1226</v>
      </c>
      <c r="D5" s="2">
        <v>44826</v>
      </c>
      <c r="E5">
        <v>6.23</v>
      </c>
      <c r="F5" s="12">
        <v>46013</v>
      </c>
      <c r="G5" s="4">
        <v>6.2</v>
      </c>
      <c r="H5" s="3">
        <f t="shared" ref="H5" si="3">G5/E5-1</f>
        <v>-4.8154093097914075E-3</v>
      </c>
      <c r="I5" s="20">
        <f t="shared" ref="I5" si="4">K5*E5*J5</f>
        <v>-2369.2255400000263</v>
      </c>
      <c r="J5" s="3">
        <f t="shared" ref="J5" si="5">H5-0.002</f>
        <v>-6.8154093097914075E-3</v>
      </c>
      <c r="K5">
        <v>55799</v>
      </c>
      <c r="L5" s="4"/>
      <c r="M5" s="4"/>
      <c r="N5" s="4"/>
      <c r="P5" s="15"/>
      <c r="R5" s="4"/>
    </row>
    <row r="6" spans="1:18" x14ac:dyDescent="0.3">
      <c r="A6" t="s">
        <v>115</v>
      </c>
      <c r="B6" t="s">
        <v>346</v>
      </c>
      <c r="C6" t="s">
        <v>1226</v>
      </c>
      <c r="D6" s="2">
        <v>45786</v>
      </c>
      <c r="E6">
        <v>2.036613</v>
      </c>
      <c r="F6" s="12">
        <v>46006</v>
      </c>
      <c r="G6" s="4">
        <v>3.76</v>
      </c>
      <c r="H6" s="3">
        <f t="shared" ref="H6:H7" si="6">G6/E6-1</f>
        <v>0.84620249404280523</v>
      </c>
      <c r="I6" s="20">
        <f t="shared" ref="I6:I7" si="7">K6*E6*J6</f>
        <v>220371.32366867596</v>
      </c>
      <c r="J6" s="3">
        <f t="shared" ref="J6:J7" si="8">H6-0.002</f>
        <v>0.84420249404280523</v>
      </c>
      <c r="K6">
        <v>128174</v>
      </c>
      <c r="L6" s="4"/>
      <c r="M6" s="4"/>
      <c r="N6" s="4"/>
      <c r="P6" s="15"/>
      <c r="R6" s="4"/>
    </row>
    <row r="7" spans="1:18" x14ac:dyDescent="0.3">
      <c r="A7" t="s">
        <v>129</v>
      </c>
      <c r="B7" t="s">
        <v>389</v>
      </c>
      <c r="C7" t="s">
        <v>1226</v>
      </c>
      <c r="D7" s="2">
        <v>45702</v>
      </c>
      <c r="E7">
        <v>1.425</v>
      </c>
      <c r="F7" s="12">
        <v>46006</v>
      </c>
      <c r="G7" s="4">
        <v>2.17</v>
      </c>
      <c r="H7" s="3">
        <f t="shared" si="6"/>
        <v>0.5228070175438595</v>
      </c>
      <c r="I7" s="20">
        <f t="shared" si="7"/>
        <v>156726.49484999996</v>
      </c>
      <c r="J7" s="3">
        <f t="shared" si="8"/>
        <v>0.5208070175438595</v>
      </c>
      <c r="K7">
        <v>211179</v>
      </c>
      <c r="L7" s="4"/>
      <c r="M7" s="4"/>
      <c r="N7" s="4"/>
      <c r="P7" s="15"/>
      <c r="R7" s="4"/>
    </row>
    <row r="8" spans="1:18" x14ac:dyDescent="0.3">
      <c r="A8" t="s">
        <v>114</v>
      </c>
      <c r="B8" t="s">
        <v>341</v>
      </c>
      <c r="C8" t="s">
        <v>1226</v>
      </c>
      <c r="D8" s="2">
        <v>45793</v>
      </c>
      <c r="E8">
        <v>3.31</v>
      </c>
      <c r="F8" s="12">
        <v>45999</v>
      </c>
      <c r="G8" s="25">
        <v>4.75</v>
      </c>
      <c r="H8" s="3">
        <f t="shared" ref="H8:H9" si="9">G8/E8-1</f>
        <v>0.43504531722054374</v>
      </c>
      <c r="I8" s="20">
        <f t="shared" ref="I8:I9" si="10">K8*E8*J8</f>
        <v>125905.23243999999</v>
      </c>
      <c r="J8" s="3">
        <f t="shared" ref="J8:J9" si="11">H8-0.002</f>
        <v>0.43304531722054374</v>
      </c>
      <c r="K8">
        <v>87838</v>
      </c>
      <c r="L8" s="4"/>
      <c r="M8" s="4"/>
      <c r="N8" s="4"/>
      <c r="P8" s="15"/>
      <c r="R8" s="4"/>
    </row>
    <row r="9" spans="1:18" x14ac:dyDescent="0.3">
      <c r="A9" t="s">
        <v>130</v>
      </c>
      <c r="B9" t="s">
        <v>393</v>
      </c>
      <c r="C9" t="s">
        <v>1226</v>
      </c>
      <c r="D9" s="2">
        <v>45660</v>
      </c>
      <c r="E9">
        <v>0.52570839999999996</v>
      </c>
      <c r="F9" s="12">
        <v>45999</v>
      </c>
      <c r="G9" s="25">
        <v>0.51500000000000001</v>
      </c>
      <c r="H9" s="3">
        <f t="shared" si="9"/>
        <v>-2.0369467179904177E-2</v>
      </c>
      <c r="I9" s="20">
        <f t="shared" si="10"/>
        <v>-6393.4595996559656</v>
      </c>
      <c r="J9" s="3">
        <f t="shared" si="11"/>
        <v>-2.2369467179904179E-2</v>
      </c>
      <c r="K9">
        <v>543670</v>
      </c>
      <c r="L9" s="4"/>
      <c r="M9" s="4"/>
      <c r="N9" s="4"/>
      <c r="P9" s="15"/>
      <c r="R9" s="4"/>
    </row>
    <row r="10" spans="1:18" x14ac:dyDescent="0.3">
      <c r="A10" s="17" t="s">
        <v>1400</v>
      </c>
      <c r="B10" s="17" t="s">
        <v>1401</v>
      </c>
      <c r="C10" s="18" t="s">
        <v>1226</v>
      </c>
      <c r="D10" s="19">
        <v>45873</v>
      </c>
      <c r="E10" s="20">
        <v>0.625</v>
      </c>
      <c r="F10" s="12">
        <v>45985</v>
      </c>
      <c r="G10" s="4">
        <v>0.67</v>
      </c>
      <c r="H10" s="3">
        <f t="shared" ref="H10:H11" si="12">G10/E10-1</f>
        <v>7.2000000000000064E-2</v>
      </c>
      <c r="I10" s="20">
        <f t="shared" ref="I10:I11" si="13">K10*E10*J10</f>
        <v>21105.56875000002</v>
      </c>
      <c r="J10" s="3">
        <f t="shared" ref="J10:J11" si="14">H10-0.002</f>
        <v>7.0000000000000062E-2</v>
      </c>
      <c r="K10" s="20">
        <v>482413</v>
      </c>
      <c r="L10" s="4"/>
      <c r="M10" s="4"/>
      <c r="N10" s="4"/>
      <c r="P10" s="15"/>
      <c r="R10" s="4"/>
    </row>
    <row r="11" spans="1:18" x14ac:dyDescent="0.3">
      <c r="A11" t="s">
        <v>100</v>
      </c>
      <c r="B11" t="s">
        <v>376</v>
      </c>
      <c r="C11" t="s">
        <v>1226</v>
      </c>
      <c r="D11" s="2">
        <v>45786</v>
      </c>
      <c r="E11">
        <v>1.8</v>
      </c>
      <c r="F11" s="12">
        <v>45985</v>
      </c>
      <c r="G11" s="4">
        <v>3.93</v>
      </c>
      <c r="H11" s="3">
        <f t="shared" si="12"/>
        <v>1.1833333333333336</v>
      </c>
      <c r="I11" s="20">
        <f t="shared" si="13"/>
        <v>308700.12000000005</v>
      </c>
      <c r="J11" s="3">
        <f t="shared" si="14"/>
        <v>1.1813333333333336</v>
      </c>
      <c r="K11">
        <v>145175</v>
      </c>
      <c r="L11" s="4"/>
      <c r="M11" s="4"/>
      <c r="N11" s="4"/>
      <c r="P11" s="15"/>
      <c r="R11" s="4"/>
    </row>
    <row r="12" spans="1:18" x14ac:dyDescent="0.3">
      <c r="A12" s="13" t="s">
        <v>330</v>
      </c>
      <c r="B12" s="6" t="s">
        <v>1121</v>
      </c>
      <c r="C12" s="13" t="s">
        <v>1226</v>
      </c>
      <c r="D12" s="12">
        <v>45950</v>
      </c>
      <c r="E12" s="13">
        <v>1.53</v>
      </c>
      <c r="F12" s="12">
        <v>45961</v>
      </c>
      <c r="G12" s="4">
        <v>0.96</v>
      </c>
      <c r="H12" s="3">
        <f t="shared" ref="H12:H21" si="15">G12/E12-1</f>
        <v>-0.37254901960784315</v>
      </c>
      <c r="I12" s="20">
        <f t="shared" ref="I12:I21" si="16">K12*E12*J12</f>
        <v>-129633.62178000002</v>
      </c>
      <c r="J12" s="3">
        <f t="shared" ref="J12:J21" si="17">H12-0.002</f>
        <v>-0.37454901960784315</v>
      </c>
      <c r="K12" s="13">
        <v>226213</v>
      </c>
      <c r="N12" s="4"/>
      <c r="P12" s="15"/>
      <c r="R12" s="4"/>
    </row>
    <row r="13" spans="1:18" x14ac:dyDescent="0.3">
      <c r="A13" s="13" t="s">
        <v>1507</v>
      </c>
      <c r="B13" s="17" t="s">
        <v>1509</v>
      </c>
      <c r="C13" s="13" t="s">
        <v>1226</v>
      </c>
      <c r="D13" s="12">
        <v>45943</v>
      </c>
      <c r="E13" s="13">
        <v>0.5</v>
      </c>
      <c r="F13" s="12">
        <v>45961</v>
      </c>
      <c r="G13" s="4">
        <v>0.39</v>
      </c>
      <c r="H13" s="3">
        <f t="shared" si="15"/>
        <v>-0.21999999999999997</v>
      </c>
      <c r="I13" s="20">
        <f t="shared" si="16"/>
        <v>-75716.984999999986</v>
      </c>
      <c r="J13" s="3">
        <f t="shared" si="17"/>
        <v>-0.22199999999999998</v>
      </c>
      <c r="K13">
        <v>682135</v>
      </c>
      <c r="P13" s="15"/>
      <c r="R13" s="4"/>
    </row>
    <row r="14" spans="1:18" x14ac:dyDescent="0.3">
      <c r="A14" s="13" t="s">
        <v>1508</v>
      </c>
      <c r="B14" s="17" t="s">
        <v>1510</v>
      </c>
      <c r="C14" s="13" t="s">
        <v>1226</v>
      </c>
      <c r="D14" s="12">
        <v>45943</v>
      </c>
      <c r="E14" s="13">
        <v>4.68</v>
      </c>
      <c r="F14" s="12">
        <v>45961</v>
      </c>
      <c r="G14" s="4">
        <v>3.13</v>
      </c>
      <c r="H14" s="3">
        <f t="shared" si="15"/>
        <v>-0.33119658119658113</v>
      </c>
      <c r="I14" s="20">
        <f t="shared" si="16"/>
        <v>-119947.53055999997</v>
      </c>
      <c r="J14" s="3">
        <f t="shared" si="17"/>
        <v>-0.33319658119658113</v>
      </c>
      <c r="K14">
        <v>76921</v>
      </c>
      <c r="P14" s="15"/>
      <c r="R14" s="4"/>
    </row>
    <row r="15" spans="1:18" x14ac:dyDescent="0.3">
      <c r="A15" s="13" t="s">
        <v>1489</v>
      </c>
      <c r="B15" s="17" t="s">
        <v>1490</v>
      </c>
      <c r="C15" s="13" t="s">
        <v>1226</v>
      </c>
      <c r="D15" s="12">
        <v>45929</v>
      </c>
      <c r="E15" s="13">
        <v>0.53500000000000003</v>
      </c>
      <c r="F15" s="12">
        <v>45961</v>
      </c>
      <c r="G15" s="15">
        <v>0.42499999999999999</v>
      </c>
      <c r="H15" s="3">
        <f t="shared" si="15"/>
        <v>-0.20560747663551404</v>
      </c>
      <c r="I15" s="20">
        <f t="shared" si="16"/>
        <v>-75268.029410000017</v>
      </c>
      <c r="J15" s="3">
        <f t="shared" si="17"/>
        <v>-0.20760747663551404</v>
      </c>
      <c r="K15" s="13">
        <v>677663</v>
      </c>
      <c r="P15" s="15"/>
      <c r="R15" s="4"/>
    </row>
    <row r="16" spans="1:18" x14ac:dyDescent="0.3">
      <c r="A16" t="s">
        <v>1470</v>
      </c>
      <c r="B16" t="s">
        <v>1472</v>
      </c>
      <c r="C16" s="13" t="s">
        <v>1226</v>
      </c>
      <c r="D16" s="2">
        <v>44826</v>
      </c>
      <c r="E16">
        <v>3.48</v>
      </c>
      <c r="F16" s="12">
        <v>45961</v>
      </c>
      <c r="G16" s="4">
        <v>3.37</v>
      </c>
      <c r="H16" s="3">
        <f t="shared" si="15"/>
        <v>-3.1609195402298784E-2</v>
      </c>
      <c r="I16" s="20">
        <f t="shared" si="16"/>
        <v>-11747.228479999978</v>
      </c>
      <c r="J16" s="3">
        <f t="shared" si="17"/>
        <v>-3.3609195402298786E-2</v>
      </c>
      <c r="K16">
        <v>100438</v>
      </c>
      <c r="P16" s="15"/>
      <c r="R16" s="4"/>
    </row>
    <row r="17" spans="1:18" x14ac:dyDescent="0.3">
      <c r="A17" t="s">
        <v>227</v>
      </c>
      <c r="B17" t="s">
        <v>807</v>
      </c>
      <c r="C17" s="13" t="s">
        <v>1226</v>
      </c>
      <c r="D17" s="2">
        <v>44826</v>
      </c>
      <c r="E17">
        <v>3.25</v>
      </c>
      <c r="F17" s="12">
        <v>45961</v>
      </c>
      <c r="G17" s="4">
        <v>3.96</v>
      </c>
      <c r="H17" s="3">
        <f t="shared" si="15"/>
        <v>0.21846153846153848</v>
      </c>
      <c r="I17" s="20">
        <f t="shared" si="16"/>
        <v>76178.497500000012</v>
      </c>
      <c r="J17" s="3">
        <f t="shared" si="17"/>
        <v>0.21646153846153848</v>
      </c>
      <c r="K17">
        <v>108285</v>
      </c>
      <c r="P17" s="15"/>
      <c r="R17" s="4"/>
    </row>
    <row r="18" spans="1:18" x14ac:dyDescent="0.3">
      <c r="A18" t="s">
        <v>1406</v>
      </c>
      <c r="B18" t="s">
        <v>1407</v>
      </c>
      <c r="C18" s="13" t="s">
        <v>1226</v>
      </c>
      <c r="D18" s="2">
        <v>45887</v>
      </c>
      <c r="E18">
        <v>6</v>
      </c>
      <c r="F18" s="12">
        <v>45961</v>
      </c>
      <c r="G18" s="4">
        <v>5.12</v>
      </c>
      <c r="H18" s="3">
        <f t="shared" si="15"/>
        <v>-0.14666666666666661</v>
      </c>
      <c r="I18" s="20">
        <f t="shared" si="16"/>
        <v>-50366.779999999984</v>
      </c>
      <c r="J18" s="3">
        <f t="shared" si="17"/>
        <v>-0.14866666666666661</v>
      </c>
      <c r="K18">
        <v>56465</v>
      </c>
      <c r="P18" s="15"/>
      <c r="R18" s="4"/>
    </row>
    <row r="19" spans="1:18" x14ac:dyDescent="0.3">
      <c r="A19" t="s">
        <v>120</v>
      </c>
      <c r="B19" t="s">
        <v>362</v>
      </c>
      <c r="C19" s="13" t="s">
        <v>1226</v>
      </c>
      <c r="D19" s="2">
        <v>45786</v>
      </c>
      <c r="E19">
        <v>1.885</v>
      </c>
      <c r="F19" s="12">
        <v>45961</v>
      </c>
      <c r="G19" s="4">
        <v>2.2400000000000002</v>
      </c>
      <c r="H19" s="3">
        <f t="shared" si="15"/>
        <v>0.18832891246684369</v>
      </c>
      <c r="I19" s="20">
        <f t="shared" si="16"/>
        <v>48662.91650000005</v>
      </c>
      <c r="J19" s="3">
        <f t="shared" si="17"/>
        <v>0.18632891246684369</v>
      </c>
      <c r="K19">
        <v>138550</v>
      </c>
      <c r="P19" s="15"/>
      <c r="R19" s="4"/>
    </row>
    <row r="20" spans="1:18" x14ac:dyDescent="0.3">
      <c r="A20" t="s">
        <v>122</v>
      </c>
      <c r="B20" t="s">
        <v>366</v>
      </c>
      <c r="C20" s="13" t="s">
        <v>1226</v>
      </c>
      <c r="D20" s="2">
        <v>45786</v>
      </c>
      <c r="E20">
        <v>3.32</v>
      </c>
      <c r="F20" s="12">
        <v>45961</v>
      </c>
      <c r="G20" s="4">
        <v>3.36</v>
      </c>
      <c r="H20" s="3">
        <f t="shared" si="15"/>
        <v>1.2048192771084265E-2</v>
      </c>
      <c r="I20" s="20">
        <f t="shared" si="16"/>
        <v>2624.7314399999809</v>
      </c>
      <c r="J20" s="3">
        <f t="shared" si="17"/>
        <v>1.0048192771084265E-2</v>
      </c>
      <c r="K20">
        <v>78679</v>
      </c>
      <c r="P20" s="15"/>
      <c r="R20" s="4"/>
    </row>
    <row r="21" spans="1:18" x14ac:dyDescent="0.3">
      <c r="A21" t="s">
        <v>96</v>
      </c>
      <c r="B21" t="s">
        <v>384</v>
      </c>
      <c r="C21" s="13" t="s">
        <v>1226</v>
      </c>
      <c r="D21" s="2">
        <v>45786</v>
      </c>
      <c r="E21">
        <v>2.9</v>
      </c>
      <c r="F21" s="12">
        <v>45961</v>
      </c>
      <c r="G21" s="4">
        <v>2.7</v>
      </c>
      <c r="H21" s="3">
        <f t="shared" si="15"/>
        <v>-6.8965517241379226E-2</v>
      </c>
      <c r="I21" s="20">
        <f t="shared" si="16"/>
        <v>-18549.577199999978</v>
      </c>
      <c r="J21" s="3">
        <f t="shared" si="17"/>
        <v>-7.0965517241379228E-2</v>
      </c>
      <c r="K21">
        <v>90134</v>
      </c>
      <c r="P21" s="15"/>
      <c r="R21" s="4"/>
    </row>
    <row r="22" spans="1:18" x14ac:dyDescent="0.3">
      <c r="A22" t="s">
        <v>127</v>
      </c>
      <c r="B22" t="s">
        <v>380</v>
      </c>
      <c r="C22" t="s">
        <v>1226</v>
      </c>
      <c r="D22" s="2">
        <v>45786</v>
      </c>
      <c r="E22">
        <v>1.66</v>
      </c>
      <c r="F22" s="12">
        <v>45950</v>
      </c>
      <c r="G22" s="4">
        <v>1.395</v>
      </c>
      <c r="H22" s="3">
        <f t="shared" ref="H4:H29" si="18">G22/E22-1</f>
        <v>-0.15963855421686746</v>
      </c>
      <c r="I22" s="20">
        <f t="shared" ref="I4:I29" si="19">K22*E22*J22</f>
        <v>-42246.715679999994</v>
      </c>
      <c r="J22" s="3">
        <f t="shared" ref="J4:J29" si="20">H22-0.002</f>
        <v>-0.16163855421686746</v>
      </c>
      <c r="K22">
        <v>157449</v>
      </c>
      <c r="L22" s="4"/>
      <c r="P22" s="15"/>
      <c r="R22" s="4"/>
    </row>
    <row r="23" spans="1:18" x14ac:dyDescent="0.3">
      <c r="A23" t="s">
        <v>123</v>
      </c>
      <c r="B23" t="s">
        <v>368</v>
      </c>
      <c r="C23" t="s">
        <v>1226</v>
      </c>
      <c r="D23" s="2">
        <v>45786</v>
      </c>
      <c r="E23">
        <v>0.68</v>
      </c>
      <c r="F23" s="12">
        <v>45943</v>
      </c>
      <c r="G23" s="4">
        <v>0.65500000000000003</v>
      </c>
      <c r="H23" s="3">
        <f t="shared" ref="H23:H24" si="21">G23/E23-1</f>
        <v>-3.6764705882352922E-2</v>
      </c>
      <c r="I23" s="20">
        <f t="shared" ref="I23:I24" si="22">K23*E23*J23</f>
        <v>-10513.475119999996</v>
      </c>
      <c r="J23" s="3">
        <f t="shared" ref="J23:J24" si="23">H23-0.002</f>
        <v>-3.8764705882352923E-2</v>
      </c>
      <c r="K23">
        <v>398842</v>
      </c>
      <c r="L23" s="4"/>
      <c r="P23" s="15"/>
      <c r="R23" s="4"/>
    </row>
    <row r="24" spans="1:18" x14ac:dyDescent="0.3">
      <c r="A24" t="s">
        <v>117</v>
      </c>
      <c r="B24" t="s">
        <v>352</v>
      </c>
      <c r="C24" t="s">
        <v>1226</v>
      </c>
      <c r="D24" s="2">
        <v>45786</v>
      </c>
      <c r="E24">
        <v>1.26</v>
      </c>
      <c r="F24" s="12">
        <v>45943</v>
      </c>
      <c r="G24" s="4">
        <v>1.175</v>
      </c>
      <c r="H24" s="3">
        <f t="shared" si="21"/>
        <v>-6.7460317460317443E-2</v>
      </c>
      <c r="I24" s="20">
        <f t="shared" si="22"/>
        <v>-18540.849439999998</v>
      </c>
      <c r="J24" s="3">
        <f t="shared" si="23"/>
        <v>-6.9460317460317444E-2</v>
      </c>
      <c r="K24">
        <v>211847</v>
      </c>
      <c r="L24" s="4"/>
      <c r="P24" s="15"/>
      <c r="R24" s="4"/>
    </row>
    <row r="25" spans="1:18" x14ac:dyDescent="0.3">
      <c r="A25" t="s">
        <v>121</v>
      </c>
      <c r="B25" t="s">
        <v>365</v>
      </c>
      <c r="C25" t="s">
        <v>1226</v>
      </c>
      <c r="D25" s="2">
        <v>45786</v>
      </c>
      <c r="E25">
        <v>7.29</v>
      </c>
      <c r="F25" s="12">
        <v>45929</v>
      </c>
      <c r="G25" s="4">
        <v>6.26</v>
      </c>
      <c r="H25" s="3">
        <f t="shared" ref="H25" si="24">G25/E25-1</f>
        <v>-0.14128943758573387</v>
      </c>
      <c r="I25" s="20">
        <f t="shared" ref="I25" si="25">K25*E25*J25</f>
        <v>-37425.212239999993</v>
      </c>
      <c r="J25" s="3">
        <f t="shared" ref="J25" si="26">H25-0.002</f>
        <v>-0.14328943758573387</v>
      </c>
      <c r="K25">
        <v>35828</v>
      </c>
      <c r="O25" s="4"/>
      <c r="P25" s="15"/>
      <c r="R25" s="4"/>
    </row>
    <row r="26" spans="1:18" x14ac:dyDescent="0.3">
      <c r="A26" s="17" t="s">
        <v>1428</v>
      </c>
      <c r="B26" s="17" t="s">
        <v>1429</v>
      </c>
      <c r="C26" t="s">
        <v>1226</v>
      </c>
      <c r="D26" s="12">
        <v>45901</v>
      </c>
      <c r="E26" s="13">
        <v>6.78</v>
      </c>
      <c r="F26" s="2">
        <v>44826</v>
      </c>
      <c r="G26" s="4">
        <v>6.42</v>
      </c>
      <c r="H26" s="3">
        <f t="shared" ref="H26:H28" si="27">G26/E26-1</f>
        <v>-5.3097345132743445E-2</v>
      </c>
      <c r="I26" s="20">
        <f t="shared" ref="I26:I28" si="28">K26*E26*J26</f>
        <v>-18984.692760000031</v>
      </c>
      <c r="J26" s="3">
        <f t="shared" ref="J26:J28" si="29">H26-0.002</f>
        <v>-5.5097345132743447E-2</v>
      </c>
      <c r="K26" s="13">
        <v>50821</v>
      </c>
      <c r="L26" s="4"/>
      <c r="P26" s="15"/>
      <c r="R26" s="4"/>
    </row>
    <row r="27" spans="1:18" x14ac:dyDescent="0.3">
      <c r="A27" t="s">
        <v>116</v>
      </c>
      <c r="B27" t="s">
        <v>349</v>
      </c>
      <c r="C27" t="s">
        <v>1226</v>
      </c>
      <c r="D27" s="2">
        <v>45786</v>
      </c>
      <c r="E27">
        <v>2.64</v>
      </c>
      <c r="F27" s="2">
        <v>44826</v>
      </c>
      <c r="G27" s="4">
        <v>3.24</v>
      </c>
      <c r="H27" s="3">
        <f t="shared" si="27"/>
        <v>0.22727272727272729</v>
      </c>
      <c r="I27" s="20">
        <f t="shared" si="28"/>
        <v>58811.266080000009</v>
      </c>
      <c r="J27" s="3">
        <f t="shared" si="29"/>
        <v>0.22527272727272729</v>
      </c>
      <c r="K27">
        <v>98889</v>
      </c>
      <c r="L27" s="4"/>
      <c r="P27" s="15"/>
      <c r="R27" s="4"/>
    </row>
    <row r="28" spans="1:18" x14ac:dyDescent="0.3">
      <c r="A28" t="s">
        <v>128</v>
      </c>
      <c r="B28" t="s">
        <v>386</v>
      </c>
      <c r="C28" t="s">
        <v>1226</v>
      </c>
      <c r="D28" s="2">
        <v>45786</v>
      </c>
      <c r="E28">
        <v>1.36</v>
      </c>
      <c r="F28" s="2">
        <v>44826</v>
      </c>
      <c r="G28" s="4">
        <v>3.26</v>
      </c>
      <c r="H28" s="3">
        <f t="shared" si="27"/>
        <v>1.3970588235294112</v>
      </c>
      <c r="I28" s="20">
        <f t="shared" si="28"/>
        <v>364689.46975999989</v>
      </c>
      <c r="J28" s="3">
        <f t="shared" si="29"/>
        <v>1.3950588235294112</v>
      </c>
      <c r="K28">
        <v>192217</v>
      </c>
      <c r="L28" s="4"/>
      <c r="M28" s="15"/>
      <c r="N28" s="4"/>
      <c r="P28" s="15"/>
      <c r="R28" s="4"/>
    </row>
    <row r="29" spans="1:18" x14ac:dyDescent="0.3">
      <c r="A29" t="s">
        <v>125</v>
      </c>
      <c r="B29" t="s">
        <v>374</v>
      </c>
      <c r="C29" t="s">
        <v>1226</v>
      </c>
      <c r="D29" s="2">
        <v>45786</v>
      </c>
      <c r="E29">
        <v>1.5449999999999999</v>
      </c>
      <c r="F29" s="2">
        <v>45901</v>
      </c>
      <c r="G29">
        <v>1.42</v>
      </c>
      <c r="H29" s="3">
        <f t="shared" si="18"/>
        <v>-8.0906148867313954E-2</v>
      </c>
      <c r="I29" s="20">
        <f t="shared" si="19"/>
        <v>-22104.747480000009</v>
      </c>
      <c r="J29" s="21">
        <f t="shared" si="20"/>
        <v>-8.2906148867313956E-2</v>
      </c>
      <c r="K29">
        <v>172572</v>
      </c>
      <c r="L29" s="4"/>
      <c r="P29" s="15"/>
    </row>
    <row r="30" spans="1:18" x14ac:dyDescent="0.3">
      <c r="A30" t="s">
        <v>84</v>
      </c>
      <c r="B30" t="s">
        <v>732</v>
      </c>
      <c r="C30" t="s">
        <v>1226</v>
      </c>
      <c r="D30" s="2">
        <v>45856</v>
      </c>
      <c r="E30">
        <v>3.23</v>
      </c>
      <c r="F30" s="2">
        <v>45887</v>
      </c>
      <c r="G30">
        <v>2.7</v>
      </c>
      <c r="H30" s="3">
        <f t="shared" ref="H30" si="30">G30/E30-1</f>
        <v>-0.16408668730650144</v>
      </c>
      <c r="I30" s="20">
        <f t="shared" ref="I30" si="31">K30*E30*J30</f>
        <v>-52430.381639999971</v>
      </c>
      <c r="J30" s="3">
        <f t="shared" ref="J30" si="32">H30-0.002</f>
        <v>-0.16608668730650145</v>
      </c>
      <c r="K30">
        <v>97734</v>
      </c>
      <c r="L30" s="4"/>
      <c r="O30" s="4"/>
      <c r="P30" s="4"/>
    </row>
    <row r="31" spans="1:18" x14ac:dyDescent="0.3">
      <c r="A31" t="s">
        <v>119</v>
      </c>
      <c r="B31" t="s">
        <v>357</v>
      </c>
      <c r="C31" t="s">
        <v>1226</v>
      </c>
      <c r="D31" s="2">
        <v>45786</v>
      </c>
      <c r="E31">
        <v>0.77500000000000002</v>
      </c>
      <c r="F31" s="2">
        <v>45873</v>
      </c>
      <c r="G31">
        <v>0.48</v>
      </c>
      <c r="H31" s="3">
        <f t="shared" ref="H31" si="33">G31/E31-1</f>
        <v>-0.38064516129032266</v>
      </c>
      <c r="I31">
        <f>K31*E31*J31</f>
        <v>-99924.598350000029</v>
      </c>
      <c r="J31" s="3">
        <f>H31-0.002</f>
        <v>-0.38264516129032267</v>
      </c>
      <c r="K31">
        <v>336957</v>
      </c>
      <c r="L31" s="4"/>
      <c r="O31" s="4"/>
      <c r="P31" s="15"/>
      <c r="Q31" s="4"/>
    </row>
    <row r="32" spans="1:18" x14ac:dyDescent="0.3">
      <c r="A32" t="s">
        <v>124</v>
      </c>
      <c r="B32" t="s">
        <v>370</v>
      </c>
      <c r="C32" t="s">
        <v>1226</v>
      </c>
      <c r="D32" s="10">
        <v>45786</v>
      </c>
      <c r="E32">
        <v>1.82</v>
      </c>
      <c r="F32" s="2">
        <v>45856</v>
      </c>
      <c r="G32">
        <v>1.25</v>
      </c>
      <c r="H32" s="3">
        <v>-0.31319999999999998</v>
      </c>
      <c r="I32">
        <v>-91465.98</v>
      </c>
      <c r="J32" s="3">
        <v>-0.31490000000000001</v>
      </c>
      <c r="K32">
        <v>159607</v>
      </c>
    </row>
    <row r="33" spans="1:11" x14ac:dyDescent="0.3">
      <c r="A33" t="s">
        <v>132</v>
      </c>
      <c r="B33" t="s">
        <v>678</v>
      </c>
      <c r="C33" t="s">
        <v>1226</v>
      </c>
      <c r="D33" s="2">
        <v>45695</v>
      </c>
      <c r="E33">
        <v>5.73</v>
      </c>
      <c r="F33" s="2">
        <v>45791</v>
      </c>
      <c r="G33">
        <v>5.88</v>
      </c>
      <c r="H33" s="3">
        <v>2.6200000000000001E-2</v>
      </c>
      <c r="I33">
        <v>6731.57</v>
      </c>
      <c r="J33" s="3">
        <v>2.4199999999999999E-2</v>
      </c>
      <c r="K33">
        <v>48642</v>
      </c>
    </row>
    <row r="34" spans="1:11" x14ac:dyDescent="0.3">
      <c r="A34" t="s">
        <v>133</v>
      </c>
      <c r="B34" t="s">
        <v>679</v>
      </c>
      <c r="C34" t="s">
        <v>1226</v>
      </c>
      <c r="D34" s="2">
        <v>45674</v>
      </c>
      <c r="E34">
        <v>1.55</v>
      </c>
      <c r="F34" s="2">
        <v>45764</v>
      </c>
      <c r="G34">
        <v>1.2849999999999999</v>
      </c>
      <c r="H34" s="3">
        <v>-0.17100000000000001</v>
      </c>
      <c r="I34">
        <v>-48131.29</v>
      </c>
      <c r="J34" s="3">
        <v>-0.17280000000000001</v>
      </c>
      <c r="K34">
        <v>179705</v>
      </c>
    </row>
    <row r="35" spans="1:11" x14ac:dyDescent="0.3">
      <c r="A35" t="s">
        <v>134</v>
      </c>
      <c r="B35" t="s">
        <v>680</v>
      </c>
      <c r="C35" t="s">
        <v>1226</v>
      </c>
      <c r="D35" s="2">
        <v>45268</v>
      </c>
      <c r="E35">
        <v>4.7785450000000003</v>
      </c>
      <c r="F35" s="2">
        <v>45764</v>
      </c>
      <c r="G35">
        <v>6</v>
      </c>
      <c r="H35" s="3">
        <v>0.25559999999999999</v>
      </c>
      <c r="I35">
        <v>52447.71</v>
      </c>
      <c r="J35" s="3">
        <v>0.25340000000000001</v>
      </c>
      <c r="K35">
        <v>43321</v>
      </c>
    </row>
    <row r="36" spans="1:11" x14ac:dyDescent="0.3">
      <c r="A36" t="s">
        <v>135</v>
      </c>
      <c r="B36" t="s">
        <v>681</v>
      </c>
      <c r="C36" t="s">
        <v>1226</v>
      </c>
      <c r="D36" s="2">
        <v>45702</v>
      </c>
      <c r="E36">
        <v>17.670459999999999</v>
      </c>
      <c r="F36" s="2">
        <v>45758</v>
      </c>
      <c r="G36">
        <v>14.25</v>
      </c>
      <c r="H36" s="3">
        <v>-0.19359999999999999</v>
      </c>
      <c r="I36">
        <v>-54851.42</v>
      </c>
      <c r="J36" s="3">
        <v>-0.19539999999999999</v>
      </c>
      <c r="K36">
        <v>15888</v>
      </c>
    </row>
    <row r="37" spans="1:11" x14ac:dyDescent="0.3">
      <c r="A37" t="s">
        <v>114</v>
      </c>
      <c r="B37" t="s">
        <v>341</v>
      </c>
      <c r="C37" t="s">
        <v>1226</v>
      </c>
      <c r="D37" s="2">
        <v>45702</v>
      </c>
      <c r="E37">
        <v>2.21</v>
      </c>
      <c r="F37" s="2">
        <v>45758</v>
      </c>
      <c r="G37">
        <v>2.27</v>
      </c>
      <c r="H37" s="3">
        <v>2.7099999999999999E-2</v>
      </c>
      <c r="I37">
        <v>7053.98</v>
      </c>
      <c r="J37" s="3">
        <v>2.5100000000000001E-2</v>
      </c>
      <c r="K37">
        <v>127053</v>
      </c>
    </row>
    <row r="38" spans="1:11" x14ac:dyDescent="0.3">
      <c r="A38" t="s">
        <v>136</v>
      </c>
      <c r="B38" t="s">
        <v>682</v>
      </c>
      <c r="C38" t="s">
        <v>1226</v>
      </c>
      <c r="D38" s="2">
        <v>45688</v>
      </c>
      <c r="E38">
        <v>1.7</v>
      </c>
      <c r="F38" s="2">
        <v>45751</v>
      </c>
      <c r="G38">
        <v>1.74</v>
      </c>
      <c r="H38" s="3">
        <v>2.35E-2</v>
      </c>
      <c r="I38">
        <v>5947.25</v>
      </c>
      <c r="J38" s="3">
        <v>2.1499999999999998E-2</v>
      </c>
      <c r="K38">
        <v>162671</v>
      </c>
    </row>
    <row r="39" spans="1:11" x14ac:dyDescent="0.3">
      <c r="A39" t="s">
        <v>137</v>
      </c>
      <c r="B39" t="s">
        <v>683</v>
      </c>
      <c r="C39" t="s">
        <v>1226</v>
      </c>
      <c r="D39" s="2">
        <v>45695</v>
      </c>
      <c r="E39">
        <v>6.48</v>
      </c>
      <c r="F39" s="2">
        <v>45751</v>
      </c>
      <c r="G39">
        <v>5.2</v>
      </c>
      <c r="H39" s="3">
        <v>-0.19750000000000001</v>
      </c>
      <c r="I39">
        <v>-55552.57</v>
      </c>
      <c r="J39" s="3">
        <v>-0.1993</v>
      </c>
      <c r="K39">
        <v>43008</v>
      </c>
    </row>
    <row r="40" spans="1:11" x14ac:dyDescent="0.3">
      <c r="A40" t="s">
        <v>138</v>
      </c>
      <c r="B40" t="s">
        <v>684</v>
      </c>
      <c r="C40" t="s">
        <v>1226</v>
      </c>
      <c r="D40" s="2">
        <v>45590</v>
      </c>
      <c r="E40">
        <v>1.9650000000000001</v>
      </c>
      <c r="F40" s="2">
        <v>45737</v>
      </c>
      <c r="G40">
        <v>1.75</v>
      </c>
      <c r="H40" s="3">
        <v>-0.1094</v>
      </c>
      <c r="I40">
        <v>-34660.86</v>
      </c>
      <c r="J40" s="3">
        <v>-0.1113</v>
      </c>
      <c r="K40">
        <v>158475</v>
      </c>
    </row>
    <row r="41" spans="1:11" x14ac:dyDescent="0.3">
      <c r="A41" t="s">
        <v>139</v>
      </c>
      <c r="B41" t="s">
        <v>685</v>
      </c>
      <c r="C41" t="s">
        <v>1226</v>
      </c>
      <c r="D41" s="2">
        <v>45709</v>
      </c>
      <c r="E41">
        <v>12.9</v>
      </c>
      <c r="F41" s="2">
        <v>45737</v>
      </c>
      <c r="G41">
        <v>11.78</v>
      </c>
      <c r="H41" s="3">
        <v>-8.6800000000000002E-2</v>
      </c>
      <c r="I41">
        <v>-24900.22</v>
      </c>
      <c r="J41" s="3">
        <v>-8.8700000000000001E-2</v>
      </c>
      <c r="K41">
        <v>21753</v>
      </c>
    </row>
    <row r="42" spans="1:11" x14ac:dyDescent="0.3">
      <c r="A42" t="s">
        <v>140</v>
      </c>
      <c r="B42" t="s">
        <v>686</v>
      </c>
      <c r="C42" t="s">
        <v>1226</v>
      </c>
      <c r="D42" s="2">
        <v>45702</v>
      </c>
      <c r="E42">
        <v>7.1378370000000002</v>
      </c>
      <c r="F42" s="2">
        <v>45737</v>
      </c>
      <c r="G42">
        <v>7.5</v>
      </c>
      <c r="H42" s="3">
        <v>5.0700000000000002E-2</v>
      </c>
      <c r="I42">
        <v>13673.38</v>
      </c>
      <c r="J42" s="3">
        <v>4.87E-2</v>
      </c>
      <c r="K42">
        <v>39345</v>
      </c>
    </row>
    <row r="43" spans="1:11" x14ac:dyDescent="0.3">
      <c r="A43" t="s">
        <v>141</v>
      </c>
      <c r="B43" t="s">
        <v>687</v>
      </c>
      <c r="C43" t="s">
        <v>1226</v>
      </c>
      <c r="D43" s="2">
        <v>45695</v>
      </c>
      <c r="E43">
        <v>1.123842</v>
      </c>
      <c r="F43" s="2">
        <v>45730</v>
      </c>
      <c r="G43">
        <v>0.99734880000000004</v>
      </c>
      <c r="H43" s="3">
        <v>-0.11260000000000001</v>
      </c>
      <c r="I43">
        <v>-31891.22</v>
      </c>
      <c r="J43" s="3">
        <v>-0.1144</v>
      </c>
      <c r="K43">
        <v>247960</v>
      </c>
    </row>
    <row r="44" spans="1:11" x14ac:dyDescent="0.3">
      <c r="A44" t="s">
        <v>142</v>
      </c>
      <c r="B44" t="s">
        <v>688</v>
      </c>
      <c r="C44" t="s">
        <v>1226</v>
      </c>
      <c r="D44" s="2">
        <v>45569</v>
      </c>
      <c r="E44">
        <v>13</v>
      </c>
      <c r="F44" s="2">
        <v>45730</v>
      </c>
      <c r="G44">
        <v>16.38</v>
      </c>
      <c r="H44" s="3">
        <v>0.26</v>
      </c>
      <c r="I44">
        <v>76575.070000000007</v>
      </c>
      <c r="J44" s="3">
        <v>0.25769999999999998</v>
      </c>
      <c r="K44">
        <v>22854</v>
      </c>
    </row>
    <row r="45" spans="1:11" x14ac:dyDescent="0.3">
      <c r="A45" t="s">
        <v>143</v>
      </c>
      <c r="B45" t="s">
        <v>689</v>
      </c>
      <c r="C45" t="s">
        <v>1226</v>
      </c>
      <c r="D45" s="2">
        <v>45534</v>
      </c>
      <c r="E45">
        <v>2.7396500000000001</v>
      </c>
      <c r="F45" s="2">
        <v>45723</v>
      </c>
      <c r="G45">
        <v>3.014885</v>
      </c>
      <c r="H45" s="3">
        <v>0.10050000000000001</v>
      </c>
      <c r="I45">
        <v>25395.3</v>
      </c>
      <c r="J45" s="3">
        <v>9.8400000000000001E-2</v>
      </c>
      <c r="K45">
        <v>94238</v>
      </c>
    </row>
    <row r="46" spans="1:11" x14ac:dyDescent="0.3">
      <c r="A46" t="s">
        <v>144</v>
      </c>
      <c r="B46" t="s">
        <v>690</v>
      </c>
      <c r="C46" t="s">
        <v>1226</v>
      </c>
      <c r="D46" s="2">
        <v>45478</v>
      </c>
      <c r="E46">
        <v>2.6450070000000001</v>
      </c>
      <c r="F46" s="2">
        <v>45723</v>
      </c>
      <c r="G46">
        <v>2.0656979999999998</v>
      </c>
      <c r="H46" s="3">
        <v>-0.219</v>
      </c>
      <c r="I46">
        <v>-55012.9</v>
      </c>
      <c r="J46" s="3">
        <v>-0.2208</v>
      </c>
      <c r="K46">
        <v>94197</v>
      </c>
    </row>
    <row r="47" spans="1:11" x14ac:dyDescent="0.3">
      <c r="A47" t="s">
        <v>90</v>
      </c>
      <c r="B47" t="s">
        <v>691</v>
      </c>
      <c r="C47" t="s">
        <v>1226</v>
      </c>
      <c r="D47" s="2">
        <v>45674</v>
      </c>
      <c r="E47">
        <v>4.68</v>
      </c>
      <c r="F47" s="2">
        <v>45723</v>
      </c>
      <c r="G47">
        <v>4.55</v>
      </c>
      <c r="H47" s="3">
        <v>-2.7799999999999998E-2</v>
      </c>
      <c r="I47">
        <v>-8285.86</v>
      </c>
      <c r="J47" s="3">
        <v>-2.98E-2</v>
      </c>
      <c r="K47">
        <v>59512</v>
      </c>
    </row>
    <row r="48" spans="1:11" x14ac:dyDescent="0.3">
      <c r="A48" t="s">
        <v>145</v>
      </c>
      <c r="B48" t="s">
        <v>692</v>
      </c>
      <c r="C48" t="s">
        <v>1226</v>
      </c>
      <c r="D48" s="2">
        <v>45688</v>
      </c>
      <c r="E48">
        <v>5.93</v>
      </c>
      <c r="F48" s="2">
        <v>45716</v>
      </c>
      <c r="G48">
        <v>4.6500000000000004</v>
      </c>
      <c r="H48" s="3">
        <v>-0.21590000000000001</v>
      </c>
      <c r="I48">
        <v>-60190.07</v>
      </c>
      <c r="J48" s="3">
        <v>-0.21759999999999999</v>
      </c>
      <c r="K48">
        <v>46638</v>
      </c>
    </row>
    <row r="49" spans="1:11" x14ac:dyDescent="0.3">
      <c r="A49" t="s">
        <v>146</v>
      </c>
      <c r="B49" t="s">
        <v>693</v>
      </c>
      <c r="C49" t="s">
        <v>1226</v>
      </c>
      <c r="D49" s="2">
        <v>45688</v>
      </c>
      <c r="E49">
        <v>2.46</v>
      </c>
      <c r="F49" s="2">
        <v>45716</v>
      </c>
      <c r="G49">
        <v>1.93</v>
      </c>
      <c r="H49" s="3">
        <v>-0.21540000000000001</v>
      </c>
      <c r="I49">
        <v>-60067.57</v>
      </c>
      <c r="J49" s="3">
        <v>-0.2172</v>
      </c>
      <c r="K49">
        <v>112404</v>
      </c>
    </row>
    <row r="50" spans="1:11" x14ac:dyDescent="0.3">
      <c r="A50" t="s">
        <v>147</v>
      </c>
      <c r="B50" t="s">
        <v>694</v>
      </c>
      <c r="C50" t="s">
        <v>1226</v>
      </c>
      <c r="D50" s="2">
        <v>45660</v>
      </c>
      <c r="E50">
        <v>4.45</v>
      </c>
      <c r="F50" s="2">
        <v>45681</v>
      </c>
      <c r="G50">
        <v>2.8</v>
      </c>
      <c r="H50" s="3">
        <v>-0.37080000000000002</v>
      </c>
      <c r="I50">
        <v>-106450.14</v>
      </c>
      <c r="J50" s="3">
        <v>-0.37240000000000001</v>
      </c>
      <c r="K50">
        <v>64233</v>
      </c>
    </row>
    <row r="51" spans="1:11" x14ac:dyDescent="0.3">
      <c r="A51" t="s">
        <v>148</v>
      </c>
      <c r="B51" t="s">
        <v>695</v>
      </c>
      <c r="C51" t="s">
        <v>1226</v>
      </c>
      <c r="D51" s="2">
        <v>45548</v>
      </c>
      <c r="E51">
        <v>0.82287750000000004</v>
      </c>
      <c r="F51" s="2">
        <v>45681</v>
      </c>
      <c r="G51">
        <v>0.83760409999999996</v>
      </c>
      <c r="H51" s="3">
        <v>1.7899999999999999E-2</v>
      </c>
      <c r="I51">
        <v>4091.65</v>
      </c>
      <c r="J51" s="3">
        <v>1.5900000000000001E-2</v>
      </c>
      <c r="K51">
        <v>313147</v>
      </c>
    </row>
    <row r="52" spans="1:11" x14ac:dyDescent="0.3">
      <c r="A52" t="s">
        <v>149</v>
      </c>
      <c r="B52" t="s">
        <v>696</v>
      </c>
      <c r="C52" t="s">
        <v>1226</v>
      </c>
      <c r="D52" s="2">
        <v>45534</v>
      </c>
      <c r="E52">
        <v>5.2793070000000002</v>
      </c>
      <c r="F52" s="2">
        <v>45674</v>
      </c>
      <c r="G52">
        <v>5.169619</v>
      </c>
      <c r="H52" s="3">
        <v>-2.0799999999999999E-2</v>
      </c>
      <c r="I52">
        <v>-5875.66</v>
      </c>
      <c r="J52" s="3">
        <v>-2.2800000000000001E-2</v>
      </c>
      <c r="K52">
        <v>48908</v>
      </c>
    </row>
    <row r="53" spans="1:11" x14ac:dyDescent="0.3">
      <c r="A53" t="s">
        <v>150</v>
      </c>
      <c r="B53" t="s">
        <v>697</v>
      </c>
      <c r="C53" t="s">
        <v>1226</v>
      </c>
      <c r="D53" s="2">
        <v>45471</v>
      </c>
      <c r="E53">
        <v>1.3427100000000001</v>
      </c>
      <c r="F53" s="2">
        <v>45660</v>
      </c>
      <c r="G53">
        <v>1.3526560000000001</v>
      </c>
      <c r="H53" s="3">
        <v>7.4000000000000003E-3</v>
      </c>
      <c r="I53">
        <v>1323.97</v>
      </c>
      <c r="J53" s="3">
        <v>5.4000000000000003E-3</v>
      </c>
      <c r="K53">
        <v>182600</v>
      </c>
    </row>
    <row r="54" spans="1:11" x14ac:dyDescent="0.3">
      <c r="A54" t="s">
        <v>151</v>
      </c>
      <c r="B54" t="s">
        <v>698</v>
      </c>
      <c r="C54" t="s">
        <v>1226</v>
      </c>
      <c r="D54" s="2">
        <v>45632</v>
      </c>
      <c r="E54">
        <v>2.235484</v>
      </c>
      <c r="F54" s="2">
        <v>45653</v>
      </c>
      <c r="G54">
        <v>2.351613</v>
      </c>
      <c r="H54" s="3">
        <v>5.1900000000000002E-2</v>
      </c>
      <c r="I54">
        <v>14850.69</v>
      </c>
      <c r="J54" s="3">
        <v>4.99E-2</v>
      </c>
      <c r="K54">
        <v>133140</v>
      </c>
    </row>
    <row r="55" spans="1:11" x14ac:dyDescent="0.3">
      <c r="A55" t="s">
        <v>152</v>
      </c>
      <c r="B55" t="s">
        <v>699</v>
      </c>
      <c r="C55" t="s">
        <v>1226</v>
      </c>
      <c r="D55" s="2">
        <v>45604</v>
      </c>
      <c r="E55">
        <v>0.80500000000000005</v>
      </c>
      <c r="F55" s="2">
        <v>45653</v>
      </c>
      <c r="G55">
        <v>0.72499999999999998</v>
      </c>
      <c r="H55" s="3">
        <v>-9.9400000000000002E-2</v>
      </c>
      <c r="I55">
        <v>-31053.55</v>
      </c>
      <c r="J55" s="3">
        <v>-0.1013</v>
      </c>
      <c r="K55">
        <v>380885</v>
      </c>
    </row>
    <row r="56" spans="1:11" x14ac:dyDescent="0.3">
      <c r="A56" t="s">
        <v>153</v>
      </c>
      <c r="B56" t="s">
        <v>700</v>
      </c>
      <c r="C56" t="s">
        <v>1226</v>
      </c>
      <c r="D56" s="2">
        <v>45534</v>
      </c>
      <c r="E56">
        <v>0.54</v>
      </c>
      <c r="F56" s="2">
        <v>45653</v>
      </c>
      <c r="G56">
        <v>0.65</v>
      </c>
      <c r="H56" s="3">
        <v>0.20369999999999999</v>
      </c>
      <c r="I56">
        <v>52038.16</v>
      </c>
      <c r="J56" s="3">
        <v>0.20150000000000001</v>
      </c>
      <c r="K56">
        <v>478248</v>
      </c>
    </row>
    <row r="57" spans="1:11" x14ac:dyDescent="0.3">
      <c r="A57" t="s">
        <v>77</v>
      </c>
      <c r="B57" t="s">
        <v>701</v>
      </c>
      <c r="C57" t="s">
        <v>1226</v>
      </c>
      <c r="D57" s="2">
        <v>45527</v>
      </c>
      <c r="E57">
        <v>1.0900000000000001</v>
      </c>
      <c r="F57" s="2">
        <v>45653</v>
      </c>
      <c r="G57">
        <v>2.17</v>
      </c>
      <c r="H57" s="3">
        <v>0.99080000000000001</v>
      </c>
      <c r="I57">
        <v>245258.76</v>
      </c>
      <c r="J57" s="3">
        <v>0.98780000000000001</v>
      </c>
      <c r="K57">
        <v>227779</v>
      </c>
    </row>
    <row r="58" spans="1:11" x14ac:dyDescent="0.3">
      <c r="A58" t="s">
        <v>118</v>
      </c>
      <c r="B58" t="s">
        <v>354</v>
      </c>
      <c r="C58" t="s">
        <v>1226</v>
      </c>
      <c r="D58" s="2">
        <v>45527</v>
      </c>
      <c r="E58">
        <v>1.087874</v>
      </c>
      <c r="F58" s="2">
        <v>45653</v>
      </c>
      <c r="G58">
        <v>1.4973909999999999</v>
      </c>
      <c r="H58" s="3">
        <v>0.37640000000000001</v>
      </c>
      <c r="I58">
        <v>92880.54</v>
      </c>
      <c r="J58" s="3">
        <v>0.37409999999999999</v>
      </c>
      <c r="K58">
        <v>228246</v>
      </c>
    </row>
    <row r="59" spans="1:11" x14ac:dyDescent="0.3">
      <c r="A59" t="s">
        <v>114</v>
      </c>
      <c r="B59" t="s">
        <v>341</v>
      </c>
      <c r="C59" t="s">
        <v>1226</v>
      </c>
      <c r="D59" s="2">
        <v>45478</v>
      </c>
      <c r="E59">
        <v>1.6319999999999999</v>
      </c>
      <c r="F59" s="2">
        <v>45653</v>
      </c>
      <c r="G59">
        <v>1.496</v>
      </c>
      <c r="H59" s="3">
        <v>-8.3299999999999999E-2</v>
      </c>
      <c r="I59">
        <v>-21242.2</v>
      </c>
      <c r="J59" s="3">
        <v>-8.5300000000000001E-2</v>
      </c>
      <c r="K59">
        <v>152681</v>
      </c>
    </row>
    <row r="60" spans="1:11" x14ac:dyDescent="0.3">
      <c r="A60" t="s">
        <v>154</v>
      </c>
      <c r="B60" t="s">
        <v>702</v>
      </c>
      <c r="C60" t="s">
        <v>1226</v>
      </c>
      <c r="D60" s="2">
        <v>45268</v>
      </c>
      <c r="E60">
        <v>1.91</v>
      </c>
      <c r="F60" s="2">
        <v>45653</v>
      </c>
      <c r="G60">
        <v>6.07</v>
      </c>
      <c r="H60" s="3">
        <v>2.1779999999999999</v>
      </c>
      <c r="I60">
        <v>450228.44</v>
      </c>
      <c r="J60" s="3">
        <v>2.1738</v>
      </c>
      <c r="K60">
        <v>108436</v>
      </c>
    </row>
    <row r="61" spans="1:11" x14ac:dyDescent="0.3">
      <c r="A61" t="s">
        <v>121</v>
      </c>
      <c r="B61" t="s">
        <v>365</v>
      </c>
      <c r="C61" t="s">
        <v>1226</v>
      </c>
      <c r="D61" s="2">
        <v>45177</v>
      </c>
      <c r="E61">
        <v>2.3856609999999998</v>
      </c>
      <c r="F61" s="2">
        <v>45653</v>
      </c>
      <c r="G61">
        <v>5.9801539999999997</v>
      </c>
      <c r="H61" s="3">
        <v>1.5066999999999999</v>
      </c>
      <c r="I61">
        <v>325996.89</v>
      </c>
      <c r="J61" s="3">
        <v>1.5032000000000001</v>
      </c>
      <c r="K61">
        <v>90905</v>
      </c>
    </row>
    <row r="62" spans="1:11" x14ac:dyDescent="0.3">
      <c r="A62" t="s">
        <v>155</v>
      </c>
      <c r="B62" t="s">
        <v>703</v>
      </c>
      <c r="C62" t="s">
        <v>1226</v>
      </c>
      <c r="D62" s="2">
        <v>45534</v>
      </c>
      <c r="E62">
        <v>0.67310519999999996</v>
      </c>
      <c r="F62" s="2">
        <v>45632</v>
      </c>
      <c r="G62">
        <v>0.6321</v>
      </c>
      <c r="H62" s="3">
        <v>-6.0900000000000003E-2</v>
      </c>
      <c r="I62">
        <v>-16227.27</v>
      </c>
      <c r="J62" s="3">
        <v>-6.2899999999999998E-2</v>
      </c>
      <c r="K62">
        <v>383529</v>
      </c>
    </row>
    <row r="63" spans="1:11" x14ac:dyDescent="0.3">
      <c r="A63" t="s">
        <v>156</v>
      </c>
      <c r="B63" t="s">
        <v>704</v>
      </c>
      <c r="C63" t="s">
        <v>1226</v>
      </c>
      <c r="D63" s="2">
        <v>45534</v>
      </c>
      <c r="E63">
        <v>1.365</v>
      </c>
      <c r="F63" s="2">
        <v>45618</v>
      </c>
      <c r="G63">
        <v>1.105</v>
      </c>
      <c r="H63" s="3">
        <v>-0.1905</v>
      </c>
      <c r="I63">
        <v>-49663.26</v>
      </c>
      <c r="J63" s="3">
        <v>-0.1923</v>
      </c>
      <c r="K63">
        <v>189215</v>
      </c>
    </row>
    <row r="64" spans="1:11" x14ac:dyDescent="0.3">
      <c r="A64" t="s">
        <v>157</v>
      </c>
      <c r="B64" t="s">
        <v>705</v>
      </c>
      <c r="C64" t="s">
        <v>1226</v>
      </c>
      <c r="D64" s="2">
        <v>44911</v>
      </c>
      <c r="E64">
        <v>2.570754</v>
      </c>
      <c r="F64" s="2">
        <v>45604</v>
      </c>
      <c r="G64">
        <v>2.6177049999999999</v>
      </c>
      <c r="H64" s="3">
        <v>1.83E-2</v>
      </c>
      <c r="I64">
        <v>3453.89</v>
      </c>
      <c r="J64" s="3">
        <v>1.6199999999999999E-2</v>
      </c>
      <c r="K64">
        <v>82703</v>
      </c>
    </row>
    <row r="65" spans="1:11" x14ac:dyDescent="0.3">
      <c r="A65" t="s">
        <v>158</v>
      </c>
      <c r="B65" t="s">
        <v>706</v>
      </c>
      <c r="C65" t="s">
        <v>1226</v>
      </c>
      <c r="D65" s="2">
        <v>45037</v>
      </c>
      <c r="E65">
        <v>9.5199829999999999</v>
      </c>
      <c r="F65" s="2">
        <v>45590</v>
      </c>
      <c r="G65">
        <v>11.01519</v>
      </c>
      <c r="H65" s="3">
        <v>0.15709999999999999</v>
      </c>
      <c r="I65">
        <v>33506.089999999997</v>
      </c>
      <c r="J65" s="3">
        <v>0.15490000000000001</v>
      </c>
      <c r="K65">
        <v>22721</v>
      </c>
    </row>
    <row r="66" spans="1:11" x14ac:dyDescent="0.3">
      <c r="A66" t="s">
        <v>159</v>
      </c>
      <c r="B66" t="s">
        <v>707</v>
      </c>
      <c r="C66" t="s">
        <v>1226</v>
      </c>
      <c r="D66" s="2">
        <v>45128</v>
      </c>
      <c r="E66">
        <v>1.724593</v>
      </c>
      <c r="F66" s="2">
        <v>45569</v>
      </c>
      <c r="G66">
        <v>2.63</v>
      </c>
      <c r="H66" s="3">
        <v>0.52500000000000002</v>
      </c>
      <c r="I66">
        <v>114083.15</v>
      </c>
      <c r="J66" s="3">
        <v>0.52249999999999996</v>
      </c>
      <c r="K66">
        <v>126611</v>
      </c>
    </row>
    <row r="67" spans="1:11" x14ac:dyDescent="0.3">
      <c r="A67" t="s">
        <v>160</v>
      </c>
      <c r="B67" t="s">
        <v>708</v>
      </c>
      <c r="C67" t="s">
        <v>1226</v>
      </c>
      <c r="D67" s="2">
        <v>45534</v>
      </c>
      <c r="E67">
        <v>14.47714</v>
      </c>
      <c r="F67" s="2">
        <v>45569</v>
      </c>
      <c r="G67">
        <v>15.98958</v>
      </c>
      <c r="H67" s="3">
        <v>0.1045</v>
      </c>
      <c r="I67">
        <v>26433.96</v>
      </c>
      <c r="J67" s="3">
        <v>0.1024</v>
      </c>
      <c r="K67">
        <v>17837</v>
      </c>
    </row>
    <row r="68" spans="1:11" x14ac:dyDescent="0.3">
      <c r="A68" t="s">
        <v>161</v>
      </c>
      <c r="B68" t="s">
        <v>709</v>
      </c>
      <c r="C68" t="s">
        <v>1226</v>
      </c>
      <c r="D68" s="2">
        <v>45177</v>
      </c>
      <c r="E68">
        <v>3.8</v>
      </c>
      <c r="F68" s="2">
        <v>45548</v>
      </c>
      <c r="G68">
        <v>2.73</v>
      </c>
      <c r="H68" s="3">
        <v>-0.28160000000000002</v>
      </c>
      <c r="I68">
        <v>-61444.03</v>
      </c>
      <c r="J68" s="3">
        <v>-0.2833</v>
      </c>
      <c r="K68">
        <v>57076</v>
      </c>
    </row>
    <row r="69" spans="1:11" x14ac:dyDescent="0.3">
      <c r="A69" t="s">
        <v>162</v>
      </c>
      <c r="B69" t="s">
        <v>710</v>
      </c>
      <c r="C69" t="s">
        <v>1226</v>
      </c>
      <c r="D69" s="2">
        <v>45429</v>
      </c>
      <c r="E69">
        <v>91.38</v>
      </c>
      <c r="F69" s="2">
        <v>45548</v>
      </c>
      <c r="G69">
        <v>74.98</v>
      </c>
      <c r="H69" s="3">
        <v>-0.17949999999999999</v>
      </c>
      <c r="I69">
        <v>-42095.12</v>
      </c>
      <c r="J69" s="3">
        <v>-0.18129999999999999</v>
      </c>
      <c r="K69">
        <v>2541</v>
      </c>
    </row>
    <row r="70" spans="1:11" x14ac:dyDescent="0.3">
      <c r="A70" t="s">
        <v>163</v>
      </c>
      <c r="B70" t="s">
        <v>711</v>
      </c>
      <c r="C70" t="s">
        <v>1226</v>
      </c>
      <c r="D70" s="2">
        <v>45457</v>
      </c>
      <c r="E70">
        <v>3.3680379999999999</v>
      </c>
      <c r="F70" s="2">
        <v>45520</v>
      </c>
      <c r="G70">
        <v>3.1125970000000001</v>
      </c>
      <c r="H70" s="3">
        <v>-7.5800000000000006E-2</v>
      </c>
      <c r="I70">
        <v>-18782.919999999998</v>
      </c>
      <c r="J70" s="3">
        <v>-7.7799999999999994E-2</v>
      </c>
      <c r="K70">
        <v>71712</v>
      </c>
    </row>
    <row r="71" spans="1:11" x14ac:dyDescent="0.3">
      <c r="A71" t="s">
        <v>164</v>
      </c>
      <c r="B71" t="s">
        <v>712</v>
      </c>
      <c r="C71" t="s">
        <v>1226</v>
      </c>
      <c r="D71" s="2">
        <v>45457</v>
      </c>
      <c r="E71">
        <v>2.5221179999999999</v>
      </c>
      <c r="F71" s="2">
        <v>45520</v>
      </c>
      <c r="G71">
        <v>2.4750640000000002</v>
      </c>
      <c r="H71" s="3">
        <v>-1.8700000000000001E-2</v>
      </c>
      <c r="I71">
        <v>-4985.1499999999996</v>
      </c>
      <c r="J71" s="3">
        <v>-2.06E-2</v>
      </c>
      <c r="K71">
        <v>95774</v>
      </c>
    </row>
    <row r="72" spans="1:11" x14ac:dyDescent="0.3">
      <c r="A72" t="s">
        <v>128</v>
      </c>
      <c r="B72" t="s">
        <v>386</v>
      </c>
      <c r="C72" t="s">
        <v>1226</v>
      </c>
      <c r="D72" s="2">
        <v>45457</v>
      </c>
      <c r="E72">
        <v>1.31</v>
      </c>
      <c r="F72" s="2">
        <v>45520</v>
      </c>
      <c r="G72">
        <v>1.1200000000000001</v>
      </c>
      <c r="H72" s="3">
        <v>-0.14499999999999999</v>
      </c>
      <c r="I72">
        <v>-35489.29</v>
      </c>
      <c r="J72" s="3">
        <v>-0.1469</v>
      </c>
      <c r="K72">
        <v>184427</v>
      </c>
    </row>
    <row r="73" spans="1:11" x14ac:dyDescent="0.3">
      <c r="A73" t="s">
        <v>165</v>
      </c>
      <c r="B73" t="s">
        <v>713</v>
      </c>
      <c r="C73" t="s">
        <v>1226</v>
      </c>
      <c r="D73" s="2">
        <v>45429</v>
      </c>
      <c r="E73">
        <v>3.99</v>
      </c>
      <c r="F73" s="2">
        <v>45520</v>
      </c>
      <c r="G73">
        <v>5.95</v>
      </c>
      <c r="H73" s="3">
        <v>0.49120000000000003</v>
      </c>
      <c r="I73">
        <v>113534.44</v>
      </c>
      <c r="J73" s="3">
        <v>0.48870000000000002</v>
      </c>
      <c r="K73">
        <v>58221</v>
      </c>
    </row>
    <row r="74" spans="1:11" x14ac:dyDescent="0.3">
      <c r="A74" t="s">
        <v>166</v>
      </c>
      <c r="B74" t="s">
        <v>714</v>
      </c>
      <c r="C74" t="s">
        <v>1226</v>
      </c>
      <c r="D74" s="2">
        <v>45373</v>
      </c>
      <c r="E74">
        <v>1.74</v>
      </c>
      <c r="F74" s="2">
        <v>45520</v>
      </c>
      <c r="G74">
        <v>2.02</v>
      </c>
      <c r="H74" s="3">
        <v>0.16089999999999999</v>
      </c>
      <c r="I74">
        <v>36154.29</v>
      </c>
      <c r="J74" s="3">
        <v>0.1588</v>
      </c>
      <c r="K74">
        <v>130880</v>
      </c>
    </row>
    <row r="75" spans="1:11" x14ac:dyDescent="0.3">
      <c r="A75" t="s">
        <v>137</v>
      </c>
      <c r="B75" t="s">
        <v>683</v>
      </c>
      <c r="C75" t="s">
        <v>1226</v>
      </c>
      <c r="D75" s="2">
        <v>45268</v>
      </c>
      <c r="E75">
        <v>2.79</v>
      </c>
      <c r="F75" s="2">
        <v>45520</v>
      </c>
      <c r="G75">
        <v>4.22</v>
      </c>
      <c r="H75" s="3">
        <v>0.51249999999999996</v>
      </c>
      <c r="I75">
        <v>105654.16</v>
      </c>
      <c r="J75" s="3">
        <v>0.51</v>
      </c>
      <c r="K75">
        <v>74248</v>
      </c>
    </row>
    <row r="76" spans="1:11" x14ac:dyDescent="0.3">
      <c r="A76" t="s">
        <v>160</v>
      </c>
      <c r="B76" t="s">
        <v>708</v>
      </c>
      <c r="C76" t="s">
        <v>1226</v>
      </c>
      <c r="D76" s="2">
        <v>45037</v>
      </c>
      <c r="E76">
        <v>6.1594170000000004</v>
      </c>
      <c r="F76" s="2">
        <v>45520</v>
      </c>
      <c r="G76">
        <v>11.75099</v>
      </c>
      <c r="H76" s="3">
        <v>0.90780000000000005</v>
      </c>
      <c r="I76">
        <v>195747.03</v>
      </c>
      <c r="J76" s="3">
        <v>0.90490000000000004</v>
      </c>
      <c r="K76">
        <v>35120</v>
      </c>
    </row>
    <row r="77" spans="1:11" x14ac:dyDescent="0.3">
      <c r="A77" t="s">
        <v>167</v>
      </c>
      <c r="B77" t="s">
        <v>715</v>
      </c>
      <c r="C77" t="s">
        <v>1226</v>
      </c>
      <c r="D77" s="2">
        <v>45275</v>
      </c>
      <c r="E77">
        <v>1.503703</v>
      </c>
      <c r="F77" s="2">
        <v>45471</v>
      </c>
      <c r="G77">
        <v>1.685524</v>
      </c>
      <c r="H77" s="3">
        <v>0.12089999999999999</v>
      </c>
      <c r="I77">
        <v>24605.81</v>
      </c>
      <c r="J77" s="3">
        <v>0.1188</v>
      </c>
      <c r="K77">
        <v>137746</v>
      </c>
    </row>
    <row r="78" spans="1:11" x14ac:dyDescent="0.3">
      <c r="A78" t="s">
        <v>168</v>
      </c>
      <c r="B78" t="s">
        <v>716</v>
      </c>
      <c r="C78" t="s">
        <v>1226</v>
      </c>
      <c r="D78" s="2">
        <v>45268</v>
      </c>
      <c r="E78">
        <v>3.8499500000000002</v>
      </c>
      <c r="F78" s="2">
        <v>45471</v>
      </c>
      <c r="G78">
        <v>3.2999580000000002</v>
      </c>
      <c r="H78" s="3">
        <v>-0.1429</v>
      </c>
      <c r="I78">
        <v>-29963.09</v>
      </c>
      <c r="J78" s="3">
        <v>-0.1447</v>
      </c>
      <c r="K78">
        <v>53780</v>
      </c>
    </row>
    <row r="79" spans="1:11" x14ac:dyDescent="0.3">
      <c r="A79" t="s">
        <v>152</v>
      </c>
      <c r="B79" t="s">
        <v>699</v>
      </c>
      <c r="C79" t="s">
        <v>1226</v>
      </c>
      <c r="D79" s="2">
        <v>45443</v>
      </c>
      <c r="E79">
        <v>0.55000000000000004</v>
      </c>
      <c r="F79" s="2">
        <v>45464</v>
      </c>
      <c r="G79">
        <v>0.56499999999999995</v>
      </c>
      <c r="H79" s="3">
        <v>2.7300000000000001E-2</v>
      </c>
      <c r="I79">
        <v>6130.51</v>
      </c>
      <c r="J79" s="3">
        <v>2.52E-2</v>
      </c>
      <c r="K79">
        <v>441520</v>
      </c>
    </row>
    <row r="80" spans="1:11" x14ac:dyDescent="0.3">
      <c r="A80" t="s">
        <v>136</v>
      </c>
      <c r="B80" t="s">
        <v>682</v>
      </c>
      <c r="C80" t="s">
        <v>1226</v>
      </c>
      <c r="D80" s="2">
        <v>45457</v>
      </c>
      <c r="E80">
        <v>1.126374</v>
      </c>
      <c r="F80" s="2">
        <v>45464</v>
      </c>
      <c r="G80">
        <v>1.0320959999999999</v>
      </c>
      <c r="H80" s="3">
        <v>-8.3699999999999997E-2</v>
      </c>
      <c r="I80">
        <v>-20682.919999999998</v>
      </c>
      <c r="J80" s="3">
        <v>-8.5599999999999996E-2</v>
      </c>
      <c r="K80">
        <v>214472</v>
      </c>
    </row>
    <row r="81" spans="1:11" x14ac:dyDescent="0.3">
      <c r="A81" t="s">
        <v>169</v>
      </c>
      <c r="B81" t="s">
        <v>717</v>
      </c>
      <c r="C81" t="s">
        <v>1226</v>
      </c>
      <c r="D81" s="2">
        <v>45289</v>
      </c>
      <c r="E81">
        <v>0.50361449999999996</v>
      </c>
      <c r="F81" s="2">
        <v>45450</v>
      </c>
      <c r="G81">
        <v>0.51500000000000001</v>
      </c>
      <c r="H81" s="3">
        <v>2.2599999999999999E-2</v>
      </c>
      <c r="I81">
        <v>4471.57</v>
      </c>
      <c r="J81" s="3">
        <v>2.06E-2</v>
      </c>
      <c r="K81">
        <v>431332</v>
      </c>
    </row>
    <row r="82" spans="1:11" x14ac:dyDescent="0.3">
      <c r="A82" t="s">
        <v>170</v>
      </c>
      <c r="B82" t="s">
        <v>718</v>
      </c>
      <c r="C82" t="s">
        <v>1226</v>
      </c>
      <c r="D82" s="2">
        <v>45429</v>
      </c>
      <c r="E82">
        <v>3.98</v>
      </c>
      <c r="F82" s="2">
        <v>45450</v>
      </c>
      <c r="G82">
        <v>4.62</v>
      </c>
      <c r="H82" s="3">
        <v>0.1608</v>
      </c>
      <c r="I82">
        <v>36845.980000000003</v>
      </c>
      <c r="J82" s="3">
        <v>0.15859999999999999</v>
      </c>
      <c r="K82">
        <v>58356</v>
      </c>
    </row>
    <row r="83" spans="1:11" x14ac:dyDescent="0.3">
      <c r="A83" t="s">
        <v>171</v>
      </c>
      <c r="B83" t="s">
        <v>719</v>
      </c>
      <c r="C83" t="s">
        <v>1226</v>
      </c>
      <c r="D83" s="2">
        <v>45429</v>
      </c>
      <c r="E83">
        <v>0.89500000000000002</v>
      </c>
      <c r="F83" s="2">
        <v>45450</v>
      </c>
      <c r="G83">
        <v>0.73499999999999999</v>
      </c>
      <c r="H83" s="3">
        <v>-0.17879999999999999</v>
      </c>
      <c r="I83">
        <v>-41948</v>
      </c>
      <c r="J83" s="3">
        <v>-0.18060000000000001</v>
      </c>
      <c r="K83">
        <v>259531</v>
      </c>
    </row>
    <row r="84" spans="1:11" x14ac:dyDescent="0.3">
      <c r="A84" t="s">
        <v>172</v>
      </c>
      <c r="B84" t="s">
        <v>720</v>
      </c>
      <c r="C84" t="s">
        <v>1226</v>
      </c>
      <c r="D84" s="2">
        <v>45429</v>
      </c>
      <c r="E84">
        <v>0.51389870000000004</v>
      </c>
      <c r="F84" s="2">
        <v>45450</v>
      </c>
      <c r="G84">
        <v>0.48481020000000002</v>
      </c>
      <c r="H84" s="3">
        <v>-5.6599999999999998E-2</v>
      </c>
      <c r="I84">
        <v>-13601.89</v>
      </c>
      <c r="J84" s="3">
        <v>-5.8500000000000003E-2</v>
      </c>
      <c r="K84">
        <v>452082</v>
      </c>
    </row>
    <row r="85" spans="1:11" x14ac:dyDescent="0.3">
      <c r="A85" t="s">
        <v>397</v>
      </c>
      <c r="B85" t="s">
        <v>721</v>
      </c>
      <c r="C85" t="s">
        <v>1226</v>
      </c>
      <c r="D85" s="2">
        <v>45268</v>
      </c>
      <c r="E85">
        <v>0.625</v>
      </c>
      <c r="F85" s="2">
        <v>45443</v>
      </c>
      <c r="G85">
        <v>0.67500000000000004</v>
      </c>
      <c r="H85" s="3">
        <v>0.08</v>
      </c>
      <c r="I85">
        <v>16135.14</v>
      </c>
      <c r="J85" s="3">
        <v>7.7899999999999997E-2</v>
      </c>
      <c r="K85">
        <v>331317</v>
      </c>
    </row>
    <row r="86" spans="1:11" x14ac:dyDescent="0.3">
      <c r="A86" t="s">
        <v>128</v>
      </c>
      <c r="B86" t="s">
        <v>386</v>
      </c>
      <c r="C86" t="s">
        <v>1226</v>
      </c>
      <c r="D86" s="2">
        <v>45408</v>
      </c>
      <c r="E86">
        <v>0.89</v>
      </c>
      <c r="F86" s="2">
        <v>45415</v>
      </c>
      <c r="G86">
        <v>0.84</v>
      </c>
      <c r="H86" s="3">
        <v>-5.62E-2</v>
      </c>
      <c r="I86">
        <v>-13081.28</v>
      </c>
      <c r="J86" s="3">
        <v>-5.8099999999999999E-2</v>
      </c>
      <c r="K86">
        <v>252876</v>
      </c>
    </row>
    <row r="87" spans="1:11" x14ac:dyDescent="0.3">
      <c r="A87" t="s">
        <v>150</v>
      </c>
      <c r="B87" t="s">
        <v>697</v>
      </c>
      <c r="C87" t="s">
        <v>1226</v>
      </c>
      <c r="D87" s="2">
        <v>45268</v>
      </c>
      <c r="E87">
        <v>1.0811500000000001</v>
      </c>
      <c r="F87" s="2">
        <v>45408</v>
      </c>
      <c r="G87">
        <v>0.95481609999999995</v>
      </c>
      <c r="H87" s="3">
        <v>-0.1169</v>
      </c>
      <c r="I87">
        <v>-24593.759999999998</v>
      </c>
      <c r="J87" s="3">
        <v>-0.1187</v>
      </c>
      <c r="K87">
        <v>191585</v>
      </c>
    </row>
    <row r="88" spans="1:11" x14ac:dyDescent="0.3">
      <c r="A88" t="s">
        <v>173</v>
      </c>
      <c r="B88" t="s">
        <v>722</v>
      </c>
      <c r="C88" t="s">
        <v>1226</v>
      </c>
      <c r="D88" s="2">
        <v>45345</v>
      </c>
      <c r="E88">
        <v>2.6879620000000002</v>
      </c>
      <c r="F88" s="2">
        <v>45408</v>
      </c>
      <c r="G88">
        <v>2.6876920000000002</v>
      </c>
      <c r="H88" s="3">
        <v>-1E-4</v>
      </c>
      <c r="I88">
        <v>-445.9</v>
      </c>
      <c r="J88" s="3">
        <v>-2.0999999999999999E-3</v>
      </c>
      <c r="K88">
        <v>78981</v>
      </c>
    </row>
    <row r="89" spans="1:11" x14ac:dyDescent="0.3">
      <c r="A89" t="s">
        <v>142</v>
      </c>
      <c r="B89" t="s">
        <v>688</v>
      </c>
      <c r="C89" t="s">
        <v>1226</v>
      </c>
      <c r="D89" s="2">
        <v>45268</v>
      </c>
      <c r="E89">
        <v>8.2100000000000009</v>
      </c>
      <c r="F89" s="2">
        <v>45408</v>
      </c>
      <c r="G89">
        <v>11.21</v>
      </c>
      <c r="H89" s="3">
        <v>0.3654</v>
      </c>
      <c r="I89">
        <v>75140.42</v>
      </c>
      <c r="J89" s="3">
        <v>0.36299999999999999</v>
      </c>
      <c r="K89">
        <v>25210</v>
      </c>
    </row>
    <row r="90" spans="1:11" x14ac:dyDescent="0.3">
      <c r="A90" t="s">
        <v>174</v>
      </c>
      <c r="B90" t="s">
        <v>723</v>
      </c>
      <c r="C90" t="s">
        <v>1226</v>
      </c>
      <c r="D90" s="2">
        <v>45268</v>
      </c>
      <c r="E90">
        <v>5.5</v>
      </c>
      <c r="F90" s="2">
        <v>45408</v>
      </c>
      <c r="G90">
        <v>6.5</v>
      </c>
      <c r="H90" s="3">
        <v>0.18179999999999999</v>
      </c>
      <c r="I90">
        <v>37183.379999999997</v>
      </c>
      <c r="J90" s="3">
        <v>0.17960000000000001</v>
      </c>
      <c r="K90">
        <v>37635</v>
      </c>
    </row>
    <row r="91" spans="1:11" x14ac:dyDescent="0.3">
      <c r="A91" t="s">
        <v>175</v>
      </c>
      <c r="B91" t="s">
        <v>724</v>
      </c>
      <c r="C91" t="s">
        <v>1226</v>
      </c>
      <c r="D91" s="2">
        <v>45268</v>
      </c>
      <c r="E91">
        <v>1.34</v>
      </c>
      <c r="F91" s="2">
        <v>45408</v>
      </c>
      <c r="G91">
        <v>1.39</v>
      </c>
      <c r="H91" s="3">
        <v>3.73E-2</v>
      </c>
      <c r="I91">
        <v>7303.31</v>
      </c>
      <c r="J91" s="3">
        <v>3.5299999999999998E-2</v>
      </c>
      <c r="K91">
        <v>154502</v>
      </c>
    </row>
    <row r="92" spans="1:11" x14ac:dyDescent="0.3">
      <c r="A92" t="s">
        <v>108</v>
      </c>
      <c r="B92" t="s">
        <v>725</v>
      </c>
      <c r="C92" t="s">
        <v>1226</v>
      </c>
      <c r="D92" s="2">
        <v>45191</v>
      </c>
      <c r="E92">
        <v>2.1599659999999998</v>
      </c>
      <c r="F92" s="2">
        <v>45373</v>
      </c>
      <c r="G92">
        <v>2.098862</v>
      </c>
      <c r="H92" s="3">
        <v>-2.8299999999999999E-2</v>
      </c>
      <c r="I92">
        <v>-6458.63</v>
      </c>
      <c r="J92" s="3">
        <v>-3.0300000000000001E-2</v>
      </c>
      <c r="K92">
        <v>98812</v>
      </c>
    </row>
    <row r="93" spans="1:11" x14ac:dyDescent="0.3">
      <c r="A93" t="s">
        <v>176</v>
      </c>
      <c r="B93" t="s">
        <v>726</v>
      </c>
      <c r="C93" t="s">
        <v>1226</v>
      </c>
      <c r="D93" s="2">
        <v>45191</v>
      </c>
      <c r="E93">
        <v>2.8376100000000002</v>
      </c>
      <c r="F93" s="2">
        <v>45345</v>
      </c>
      <c r="G93">
        <v>3.1977009999999999</v>
      </c>
      <c r="H93" s="3">
        <v>0.12690000000000001</v>
      </c>
      <c r="I93">
        <v>26627.82</v>
      </c>
      <c r="J93" s="3">
        <v>0.12479999999999999</v>
      </c>
      <c r="K93">
        <v>75208</v>
      </c>
    </row>
    <row r="94" spans="1:11" x14ac:dyDescent="0.3">
      <c r="A94" t="s">
        <v>177</v>
      </c>
      <c r="B94" t="s">
        <v>727</v>
      </c>
      <c r="C94" t="s">
        <v>1226</v>
      </c>
      <c r="D94" s="2">
        <v>45268</v>
      </c>
      <c r="E94">
        <v>3.2011120000000002</v>
      </c>
      <c r="F94" s="2">
        <v>45289</v>
      </c>
      <c r="G94">
        <v>3.254086</v>
      </c>
      <c r="H94" s="3">
        <v>1.6500000000000001E-2</v>
      </c>
      <c r="I94">
        <v>3009.49</v>
      </c>
      <c r="J94" s="3">
        <v>1.4500000000000001E-2</v>
      </c>
      <c r="K94">
        <v>64694</v>
      </c>
    </row>
    <row r="95" spans="1:11" x14ac:dyDescent="0.3">
      <c r="A95" t="s">
        <v>109</v>
      </c>
      <c r="B95" t="s">
        <v>728</v>
      </c>
      <c r="C95" t="s">
        <v>1226</v>
      </c>
      <c r="D95" s="2">
        <v>45044</v>
      </c>
      <c r="E95">
        <v>0.755</v>
      </c>
      <c r="F95" s="2">
        <v>45254</v>
      </c>
      <c r="G95">
        <v>1.0549999999999999</v>
      </c>
      <c r="H95" s="3">
        <v>0.39739999999999998</v>
      </c>
      <c r="I95">
        <v>86213.89</v>
      </c>
      <c r="J95" s="3">
        <v>0.39500000000000002</v>
      </c>
      <c r="K95">
        <v>289124</v>
      </c>
    </row>
    <row r="96" spans="1:11" x14ac:dyDescent="0.3">
      <c r="A96" t="s">
        <v>178</v>
      </c>
      <c r="B96" t="s">
        <v>729</v>
      </c>
      <c r="C96" t="s">
        <v>1226</v>
      </c>
      <c r="D96" s="2">
        <v>44876</v>
      </c>
      <c r="E96">
        <v>2.72</v>
      </c>
      <c r="F96" s="2">
        <v>45247</v>
      </c>
      <c r="G96">
        <v>3.19</v>
      </c>
      <c r="H96" s="3">
        <v>0.17280000000000001</v>
      </c>
      <c r="I96">
        <v>39550.21</v>
      </c>
      <c r="J96" s="3">
        <v>0.1706</v>
      </c>
      <c r="K96">
        <v>85221</v>
      </c>
    </row>
    <row r="97" spans="1:11" x14ac:dyDescent="0.3">
      <c r="A97" t="s">
        <v>179</v>
      </c>
      <c r="B97" t="s">
        <v>730</v>
      </c>
      <c r="C97" t="s">
        <v>1226</v>
      </c>
      <c r="D97" s="2">
        <v>45177</v>
      </c>
      <c r="E97">
        <v>0.70030720000000002</v>
      </c>
      <c r="F97" s="2">
        <v>45247</v>
      </c>
      <c r="G97">
        <v>0.70030720000000002</v>
      </c>
      <c r="H97" s="3">
        <v>0</v>
      </c>
      <c r="I97">
        <v>-433.86</v>
      </c>
      <c r="J97" s="3">
        <v>-2E-3</v>
      </c>
      <c r="K97">
        <v>309765</v>
      </c>
    </row>
    <row r="98" spans="1:11" x14ac:dyDescent="0.3">
      <c r="A98" t="s">
        <v>180</v>
      </c>
      <c r="B98" t="s">
        <v>731</v>
      </c>
      <c r="C98" t="s">
        <v>1226</v>
      </c>
      <c r="D98" s="2">
        <v>45100</v>
      </c>
      <c r="E98">
        <v>4.1660649999999997</v>
      </c>
      <c r="F98" s="2">
        <v>45226</v>
      </c>
      <c r="G98">
        <v>3.777606</v>
      </c>
      <c r="H98" s="3">
        <v>-9.3200000000000005E-2</v>
      </c>
      <c r="I98">
        <v>-20056.39</v>
      </c>
      <c r="J98" s="3">
        <v>-9.5200000000000007E-2</v>
      </c>
      <c r="K98">
        <v>50596</v>
      </c>
    </row>
    <row r="99" spans="1:11" x14ac:dyDescent="0.3">
      <c r="A99" t="s">
        <v>84</v>
      </c>
      <c r="B99" t="s">
        <v>732</v>
      </c>
      <c r="C99" t="s">
        <v>1226</v>
      </c>
      <c r="D99" s="2">
        <v>45100</v>
      </c>
      <c r="E99">
        <v>2.4500000000000002</v>
      </c>
      <c r="F99" s="2">
        <v>45212</v>
      </c>
      <c r="G99">
        <v>2.41</v>
      </c>
      <c r="H99" s="3">
        <v>-1.6299999999999999E-2</v>
      </c>
      <c r="I99">
        <v>-3857.33</v>
      </c>
      <c r="J99" s="3">
        <v>-1.83E-2</v>
      </c>
      <c r="K99">
        <v>85986</v>
      </c>
    </row>
    <row r="100" spans="1:11" x14ac:dyDescent="0.3">
      <c r="A100" t="s">
        <v>181</v>
      </c>
      <c r="B100" t="s">
        <v>733</v>
      </c>
      <c r="C100" t="s">
        <v>1226</v>
      </c>
      <c r="D100" s="2">
        <v>45177</v>
      </c>
      <c r="E100">
        <v>1.906817</v>
      </c>
      <c r="F100" s="2">
        <v>45205</v>
      </c>
      <c r="G100">
        <v>1.6176539999999999</v>
      </c>
      <c r="H100" s="3">
        <v>-0.15160000000000001</v>
      </c>
      <c r="I100">
        <v>-33285</v>
      </c>
      <c r="J100" s="3">
        <v>-0.1535</v>
      </c>
      <c r="K100">
        <v>113722</v>
      </c>
    </row>
    <row r="101" spans="1:11" x14ac:dyDescent="0.3">
      <c r="A101" t="s">
        <v>177</v>
      </c>
      <c r="B101" t="s">
        <v>727</v>
      </c>
      <c r="C101" t="s">
        <v>1226</v>
      </c>
      <c r="D101" s="2">
        <v>44988</v>
      </c>
      <c r="E101">
        <v>2.1206209999999999</v>
      </c>
      <c r="F101" s="2">
        <v>45198</v>
      </c>
      <c r="G101">
        <v>2.6638090000000001</v>
      </c>
      <c r="H101" s="3">
        <v>0.25609999999999999</v>
      </c>
      <c r="I101">
        <v>55155.78</v>
      </c>
      <c r="J101" s="3">
        <v>0.25390000000000001</v>
      </c>
      <c r="K101">
        <v>102443</v>
      </c>
    </row>
    <row r="102" spans="1:11" x14ac:dyDescent="0.3">
      <c r="A102" t="s">
        <v>182</v>
      </c>
      <c r="B102" t="s">
        <v>734</v>
      </c>
      <c r="C102" t="s">
        <v>1226</v>
      </c>
      <c r="D102" s="2">
        <v>45142</v>
      </c>
      <c r="E102">
        <v>6.3790800000000001</v>
      </c>
      <c r="F102" s="2">
        <v>45198</v>
      </c>
      <c r="G102">
        <v>5.9479889999999997</v>
      </c>
      <c r="H102" s="3">
        <v>-6.7599999999999993E-2</v>
      </c>
      <c r="I102">
        <v>-15037.19</v>
      </c>
      <c r="J102" s="3">
        <v>-6.9500000000000006E-2</v>
      </c>
      <c r="K102">
        <v>33912</v>
      </c>
    </row>
    <row r="103" spans="1:11" x14ac:dyDescent="0.3">
      <c r="A103" t="s">
        <v>107</v>
      </c>
      <c r="B103" t="s">
        <v>735</v>
      </c>
      <c r="C103" t="s">
        <v>1226</v>
      </c>
      <c r="D103" s="2">
        <v>45100</v>
      </c>
      <c r="E103">
        <v>0.82327939999999999</v>
      </c>
      <c r="F103" s="2">
        <v>45198</v>
      </c>
      <c r="G103">
        <v>0.65076140000000005</v>
      </c>
      <c r="H103" s="3">
        <v>-0.20949999999999999</v>
      </c>
      <c r="I103">
        <v>-44530.83</v>
      </c>
      <c r="J103" s="3">
        <v>-0.21129999999999999</v>
      </c>
      <c r="K103">
        <v>255936</v>
      </c>
    </row>
    <row r="104" spans="1:11" x14ac:dyDescent="0.3">
      <c r="A104" t="s">
        <v>149</v>
      </c>
      <c r="B104" t="s">
        <v>696</v>
      </c>
      <c r="C104" t="s">
        <v>1226</v>
      </c>
      <c r="D104" s="2">
        <v>45037</v>
      </c>
      <c r="E104">
        <v>4.4135759999999999</v>
      </c>
      <c r="F104" s="2">
        <v>45198</v>
      </c>
      <c r="G104">
        <v>4.2661499999999997</v>
      </c>
      <c r="H104" s="3">
        <v>-3.3399999999999999E-2</v>
      </c>
      <c r="I104">
        <v>-7644.65</v>
      </c>
      <c r="J104" s="3">
        <v>-3.5400000000000001E-2</v>
      </c>
      <c r="K104">
        <v>48971</v>
      </c>
    </row>
    <row r="105" spans="1:11" x14ac:dyDescent="0.3">
      <c r="A105" t="s">
        <v>106</v>
      </c>
      <c r="B105" t="s">
        <v>736</v>
      </c>
      <c r="C105" t="s">
        <v>1226</v>
      </c>
      <c r="D105" s="2">
        <v>45100</v>
      </c>
      <c r="E105">
        <v>2.1796609999999998</v>
      </c>
      <c r="F105" s="2">
        <v>45190</v>
      </c>
      <c r="G105">
        <v>1.8181689999999999</v>
      </c>
      <c r="H105" s="3">
        <v>-0.1658</v>
      </c>
      <c r="I105">
        <v>-35328.25</v>
      </c>
      <c r="J105" s="3">
        <v>-0.16769999999999999</v>
      </c>
      <c r="K105">
        <v>96660</v>
      </c>
    </row>
    <row r="106" spans="1:11" x14ac:dyDescent="0.3">
      <c r="A106" t="s">
        <v>183</v>
      </c>
      <c r="B106" t="s">
        <v>737</v>
      </c>
      <c r="C106" t="s">
        <v>1226</v>
      </c>
      <c r="D106" s="2">
        <v>45177</v>
      </c>
      <c r="E106">
        <v>14.3</v>
      </c>
      <c r="F106" s="2">
        <v>45184</v>
      </c>
      <c r="G106">
        <v>12.86</v>
      </c>
      <c r="H106" s="3">
        <v>-0.1007</v>
      </c>
      <c r="I106">
        <v>-22253.88</v>
      </c>
      <c r="J106" s="3">
        <v>-0.1026</v>
      </c>
      <c r="K106">
        <v>15168</v>
      </c>
    </row>
    <row r="107" spans="1:11" x14ac:dyDescent="0.3">
      <c r="A107" t="s">
        <v>184</v>
      </c>
      <c r="B107" t="s">
        <v>738</v>
      </c>
      <c r="C107" t="s">
        <v>1226</v>
      </c>
      <c r="D107" s="2">
        <v>45100</v>
      </c>
      <c r="E107">
        <v>0.69567319999999999</v>
      </c>
      <c r="F107" s="2">
        <v>45183</v>
      </c>
      <c r="G107">
        <v>0.36597030000000003</v>
      </c>
      <c r="H107" s="3">
        <v>-0.47389999999999999</v>
      </c>
      <c r="I107">
        <v>-100201.81</v>
      </c>
      <c r="J107" s="3">
        <v>-0.47549999999999998</v>
      </c>
      <c r="K107">
        <v>302940</v>
      </c>
    </row>
    <row r="108" spans="1:11" x14ac:dyDescent="0.3">
      <c r="A108" t="s">
        <v>185</v>
      </c>
      <c r="B108" t="s">
        <v>739</v>
      </c>
      <c r="C108" t="s">
        <v>1226</v>
      </c>
      <c r="D108" s="2">
        <v>45037</v>
      </c>
      <c r="E108">
        <v>1.04</v>
      </c>
      <c r="F108" s="2">
        <v>45170</v>
      </c>
      <c r="G108">
        <v>1.05</v>
      </c>
      <c r="H108" s="3">
        <v>9.5999999999999992E-3</v>
      </c>
      <c r="I108">
        <v>1644.37</v>
      </c>
      <c r="J108" s="3">
        <v>7.6E-3</v>
      </c>
      <c r="K108">
        <v>207885</v>
      </c>
    </row>
    <row r="109" spans="1:11" x14ac:dyDescent="0.3">
      <c r="A109" t="s">
        <v>186</v>
      </c>
      <c r="B109" t="s">
        <v>740</v>
      </c>
      <c r="C109" t="s">
        <v>1226</v>
      </c>
      <c r="D109" s="2">
        <v>45142</v>
      </c>
      <c r="E109">
        <v>0.55500000000000005</v>
      </c>
      <c r="F109" s="2">
        <v>45170</v>
      </c>
      <c r="G109">
        <v>0.44</v>
      </c>
      <c r="H109" s="3">
        <v>-0.2072</v>
      </c>
      <c r="I109">
        <v>-45208.94</v>
      </c>
      <c r="J109" s="3">
        <v>-0.20899999999999999</v>
      </c>
      <c r="K109">
        <v>389749</v>
      </c>
    </row>
    <row r="110" spans="1:11" x14ac:dyDescent="0.3">
      <c r="A110" t="s">
        <v>187</v>
      </c>
      <c r="B110" t="s">
        <v>741</v>
      </c>
      <c r="C110" t="s">
        <v>1226</v>
      </c>
      <c r="D110" s="2">
        <v>45100</v>
      </c>
      <c r="E110">
        <v>7.3885149999999999</v>
      </c>
      <c r="F110" s="2">
        <v>45170</v>
      </c>
      <c r="G110">
        <v>7.6398869999999999</v>
      </c>
      <c r="H110" s="3">
        <v>3.4000000000000002E-2</v>
      </c>
      <c r="I110">
        <v>6741.91</v>
      </c>
      <c r="J110" s="3">
        <v>3.2000000000000001E-2</v>
      </c>
      <c r="K110">
        <v>28526</v>
      </c>
    </row>
    <row r="111" spans="1:11" x14ac:dyDescent="0.3">
      <c r="A111" t="s">
        <v>93</v>
      </c>
      <c r="B111" t="s">
        <v>742</v>
      </c>
      <c r="C111" t="s">
        <v>1226</v>
      </c>
      <c r="D111" s="2">
        <v>45037</v>
      </c>
      <c r="E111">
        <v>12.85003</v>
      </c>
      <c r="F111" s="2">
        <v>45170</v>
      </c>
      <c r="G111">
        <v>15.915570000000001</v>
      </c>
      <c r="H111" s="3">
        <v>0.23860000000000001</v>
      </c>
      <c r="I111">
        <v>51087.66</v>
      </c>
      <c r="J111" s="3">
        <v>0.23630000000000001</v>
      </c>
      <c r="K111">
        <v>16823</v>
      </c>
    </row>
    <row r="112" spans="1:11" x14ac:dyDescent="0.3">
      <c r="A112" t="s">
        <v>188</v>
      </c>
      <c r="B112" t="s">
        <v>743</v>
      </c>
      <c r="C112" t="s">
        <v>1226</v>
      </c>
      <c r="D112" s="2">
        <v>45100</v>
      </c>
      <c r="E112">
        <v>2.4794640000000001</v>
      </c>
      <c r="F112" s="2">
        <v>45163</v>
      </c>
      <c r="G112">
        <v>1.9973460000000001</v>
      </c>
      <c r="H112" s="3">
        <v>-0.19439999999999999</v>
      </c>
      <c r="I112">
        <v>-41355.21</v>
      </c>
      <c r="J112" s="3">
        <v>-0.1963</v>
      </c>
      <c r="K112">
        <v>84989</v>
      </c>
    </row>
    <row r="113" spans="1:11" x14ac:dyDescent="0.3">
      <c r="A113" t="s">
        <v>189</v>
      </c>
      <c r="B113" t="s">
        <v>744</v>
      </c>
      <c r="C113" t="s">
        <v>1226</v>
      </c>
      <c r="D113" s="2">
        <v>45114</v>
      </c>
      <c r="E113">
        <v>3.17</v>
      </c>
      <c r="F113" s="2">
        <v>45163</v>
      </c>
      <c r="G113">
        <v>2.95</v>
      </c>
      <c r="H113" s="3">
        <v>-6.9400000000000003E-2</v>
      </c>
      <c r="I113">
        <v>-15215.16</v>
      </c>
      <c r="J113" s="3">
        <v>-7.1300000000000002E-2</v>
      </c>
      <c r="K113">
        <v>67288</v>
      </c>
    </row>
    <row r="114" spans="1:11" x14ac:dyDescent="0.3">
      <c r="A114" t="s">
        <v>24</v>
      </c>
      <c r="B114" t="s">
        <v>745</v>
      </c>
      <c r="C114" t="s">
        <v>1226</v>
      </c>
      <c r="D114" s="2">
        <v>45037</v>
      </c>
      <c r="E114">
        <v>2.4184800000000002</v>
      </c>
      <c r="F114" s="2">
        <v>45142</v>
      </c>
      <c r="G114">
        <v>2.6350600000000002</v>
      </c>
      <c r="H114" s="3">
        <v>8.9599999999999999E-2</v>
      </c>
      <c r="I114">
        <v>18905.810000000001</v>
      </c>
      <c r="J114" s="3">
        <v>8.7499999999999994E-2</v>
      </c>
      <c r="K114">
        <v>89378</v>
      </c>
    </row>
    <row r="115" spans="1:11" x14ac:dyDescent="0.3">
      <c r="A115" t="s">
        <v>398</v>
      </c>
      <c r="B115" t="s">
        <v>746</v>
      </c>
      <c r="C115" t="s">
        <v>1226</v>
      </c>
      <c r="D115" s="2">
        <v>44806</v>
      </c>
      <c r="E115">
        <v>4.8841190000000001</v>
      </c>
      <c r="F115" s="2">
        <v>45121</v>
      </c>
      <c r="G115">
        <v>4.75936</v>
      </c>
      <c r="H115" s="3">
        <v>-2.5499999999999998E-2</v>
      </c>
      <c r="I115">
        <v>-6547.55</v>
      </c>
      <c r="J115" s="3">
        <v>-2.75E-2</v>
      </c>
      <c r="K115">
        <v>48716</v>
      </c>
    </row>
    <row r="116" spans="1:11" x14ac:dyDescent="0.3">
      <c r="A116" t="s">
        <v>190</v>
      </c>
      <c r="B116" t="s">
        <v>747</v>
      </c>
      <c r="C116" t="s">
        <v>1226</v>
      </c>
      <c r="D116" s="2">
        <v>45037</v>
      </c>
      <c r="E116">
        <v>1.384806</v>
      </c>
      <c r="F116" s="2">
        <v>45107</v>
      </c>
      <c r="G116">
        <v>1.1571670000000001</v>
      </c>
      <c r="H116" s="3">
        <v>-0.16439999999999999</v>
      </c>
      <c r="I116">
        <v>-35940</v>
      </c>
      <c r="J116" s="3">
        <v>-0.16619999999999999</v>
      </c>
      <c r="K116">
        <v>156138</v>
      </c>
    </row>
    <row r="117" spans="1:11" x14ac:dyDescent="0.3">
      <c r="A117" t="s">
        <v>191</v>
      </c>
      <c r="B117" t="s">
        <v>748</v>
      </c>
      <c r="C117" t="s">
        <v>1226</v>
      </c>
      <c r="D117" s="2">
        <v>44785</v>
      </c>
      <c r="E117">
        <v>5.8011980000000003</v>
      </c>
      <c r="F117" s="2">
        <v>45100</v>
      </c>
      <c r="G117">
        <v>6.3844459999999996</v>
      </c>
      <c r="H117" s="3">
        <v>0.10050000000000001</v>
      </c>
      <c r="I117">
        <v>24529.98</v>
      </c>
      <c r="J117" s="3">
        <v>9.8400000000000001E-2</v>
      </c>
      <c r="K117">
        <v>42955</v>
      </c>
    </row>
    <row r="118" spans="1:11" x14ac:dyDescent="0.3">
      <c r="A118" t="s">
        <v>192</v>
      </c>
      <c r="B118" t="s">
        <v>749</v>
      </c>
      <c r="C118" t="s">
        <v>1226</v>
      </c>
      <c r="D118" s="2">
        <v>45037</v>
      </c>
      <c r="E118">
        <v>1.0410250000000001</v>
      </c>
      <c r="F118" s="2">
        <v>45086</v>
      </c>
      <c r="G118">
        <v>1.027563</v>
      </c>
      <c r="H118" s="3">
        <v>-1.29E-2</v>
      </c>
      <c r="I118">
        <v>-3226.32</v>
      </c>
      <c r="J118" s="3">
        <v>-1.49E-2</v>
      </c>
      <c r="K118">
        <v>207740</v>
      </c>
    </row>
    <row r="119" spans="1:11" x14ac:dyDescent="0.3">
      <c r="A119" t="s">
        <v>58</v>
      </c>
      <c r="B119" t="s">
        <v>750</v>
      </c>
      <c r="C119" t="s">
        <v>1226</v>
      </c>
      <c r="D119" s="2">
        <v>44883</v>
      </c>
      <c r="E119">
        <v>8.4</v>
      </c>
      <c r="F119" s="2">
        <v>45086</v>
      </c>
      <c r="G119">
        <v>13.01</v>
      </c>
      <c r="H119" s="3">
        <v>0.54879999999999995</v>
      </c>
      <c r="I119">
        <v>124626.1</v>
      </c>
      <c r="J119" s="3">
        <v>0.54630000000000001</v>
      </c>
      <c r="K119">
        <v>27160</v>
      </c>
    </row>
    <row r="120" spans="1:11" x14ac:dyDescent="0.3">
      <c r="A120" t="s">
        <v>193</v>
      </c>
      <c r="B120" t="s">
        <v>751</v>
      </c>
      <c r="C120" t="s">
        <v>1226</v>
      </c>
      <c r="D120" s="2">
        <v>45037</v>
      </c>
      <c r="E120">
        <v>2.2611940000000001</v>
      </c>
      <c r="F120" s="2">
        <v>45079</v>
      </c>
      <c r="G120">
        <v>2.2789990000000002</v>
      </c>
      <c r="H120" s="3">
        <v>7.9000000000000008E-3</v>
      </c>
      <c r="I120">
        <v>1269.1400000000001</v>
      </c>
      <c r="J120" s="3">
        <v>5.8999999999999999E-3</v>
      </c>
      <c r="K120">
        <v>95677</v>
      </c>
    </row>
    <row r="121" spans="1:11" x14ac:dyDescent="0.3">
      <c r="A121" t="s">
        <v>108</v>
      </c>
      <c r="B121" t="s">
        <v>725</v>
      </c>
      <c r="C121" t="s">
        <v>1226</v>
      </c>
      <c r="D121" s="2">
        <v>44799</v>
      </c>
      <c r="E121">
        <v>1.717481</v>
      </c>
      <c r="F121" s="2">
        <v>45079</v>
      </c>
      <c r="G121">
        <v>1.7463550000000001</v>
      </c>
      <c r="H121" s="3">
        <v>1.6799999999999999E-2</v>
      </c>
      <c r="I121">
        <v>3606.08</v>
      </c>
      <c r="J121" s="3">
        <v>1.4800000000000001E-2</v>
      </c>
      <c r="K121">
        <v>141915</v>
      </c>
    </row>
    <row r="122" spans="1:11" x14ac:dyDescent="0.3">
      <c r="A122" t="s">
        <v>189</v>
      </c>
      <c r="B122" t="s">
        <v>744</v>
      </c>
      <c r="C122" t="s">
        <v>1226</v>
      </c>
      <c r="D122" s="2">
        <v>45072</v>
      </c>
      <c r="E122">
        <v>2.34</v>
      </c>
      <c r="F122" s="2">
        <v>45079</v>
      </c>
      <c r="G122">
        <v>1.92</v>
      </c>
      <c r="H122" s="3">
        <v>-0.17949999999999999</v>
      </c>
      <c r="I122">
        <v>-39513.879999999997</v>
      </c>
      <c r="J122" s="3">
        <v>-0.18129999999999999</v>
      </c>
      <c r="K122">
        <v>93136</v>
      </c>
    </row>
    <row r="123" spans="1:11" x14ac:dyDescent="0.3">
      <c r="A123" t="s">
        <v>159</v>
      </c>
      <c r="B123" t="s">
        <v>707</v>
      </c>
      <c r="C123" t="s">
        <v>1226</v>
      </c>
      <c r="D123" s="2">
        <v>45037</v>
      </c>
      <c r="E123">
        <v>1.5065409999999999</v>
      </c>
      <c r="F123" s="2">
        <v>45065</v>
      </c>
      <c r="G123">
        <v>1.4916739999999999</v>
      </c>
      <c r="H123" s="3">
        <v>-9.9000000000000008E-3</v>
      </c>
      <c r="I123">
        <v>-2564.7800000000002</v>
      </c>
      <c r="J123" s="3">
        <v>-1.1900000000000001E-2</v>
      </c>
      <c r="K123">
        <v>143563</v>
      </c>
    </row>
    <row r="124" spans="1:11" x14ac:dyDescent="0.3">
      <c r="A124" t="s">
        <v>194</v>
      </c>
      <c r="B124" t="s">
        <v>752</v>
      </c>
      <c r="C124" t="s">
        <v>1226</v>
      </c>
      <c r="D124" s="2">
        <v>45037</v>
      </c>
      <c r="E124">
        <v>0.92</v>
      </c>
      <c r="F124" s="2">
        <v>45065</v>
      </c>
      <c r="G124">
        <v>0.83499999999999996</v>
      </c>
      <c r="H124" s="3">
        <v>-9.2399999999999996E-2</v>
      </c>
      <c r="I124">
        <v>-20391.419999999998</v>
      </c>
      <c r="J124" s="3">
        <v>-9.4299999999999995E-2</v>
      </c>
      <c r="K124">
        <v>235046</v>
      </c>
    </row>
    <row r="125" spans="1:11" x14ac:dyDescent="0.3">
      <c r="A125" t="s">
        <v>151</v>
      </c>
      <c r="B125" t="s">
        <v>698</v>
      </c>
      <c r="C125" t="s">
        <v>1226</v>
      </c>
      <c r="D125" s="2">
        <v>44785</v>
      </c>
      <c r="E125">
        <v>1.747649</v>
      </c>
      <c r="F125" s="2">
        <v>45044</v>
      </c>
      <c r="G125">
        <v>1.5334920000000001</v>
      </c>
      <c r="H125" s="3">
        <v>-0.1225</v>
      </c>
      <c r="I125">
        <v>-31007.11</v>
      </c>
      <c r="J125" s="3">
        <v>-0.1244</v>
      </c>
      <c r="K125">
        <v>142602</v>
      </c>
    </row>
    <row r="126" spans="1:11" x14ac:dyDescent="0.3">
      <c r="A126" t="s">
        <v>399</v>
      </c>
      <c r="B126" t="s">
        <v>753</v>
      </c>
      <c r="C126" t="s">
        <v>1226</v>
      </c>
      <c r="D126" s="2">
        <v>44876</v>
      </c>
      <c r="E126">
        <v>2.1</v>
      </c>
      <c r="F126" s="2">
        <v>45027</v>
      </c>
      <c r="G126">
        <v>2.2000000000000002</v>
      </c>
      <c r="H126" s="3">
        <v>4.7600000000000003E-2</v>
      </c>
      <c r="I126">
        <v>10566.52</v>
      </c>
      <c r="J126" s="3">
        <v>4.5600000000000002E-2</v>
      </c>
      <c r="K126">
        <v>110413</v>
      </c>
    </row>
    <row r="127" spans="1:11" x14ac:dyDescent="0.3">
      <c r="A127" t="s">
        <v>195</v>
      </c>
      <c r="B127" t="s">
        <v>754</v>
      </c>
      <c r="C127" t="s">
        <v>1226</v>
      </c>
      <c r="D127" s="2">
        <v>44876</v>
      </c>
      <c r="E127">
        <v>2.3166380000000002</v>
      </c>
      <c r="F127" s="2">
        <v>45016</v>
      </c>
      <c r="G127">
        <v>2.071307</v>
      </c>
      <c r="H127" s="3">
        <v>-0.10589999999999999</v>
      </c>
      <c r="I127">
        <v>-25000.86</v>
      </c>
      <c r="J127" s="3">
        <v>-0.10780000000000001</v>
      </c>
      <c r="K127">
        <v>100116</v>
      </c>
    </row>
    <row r="128" spans="1:11" x14ac:dyDescent="0.3">
      <c r="A128" t="s">
        <v>182</v>
      </c>
      <c r="B128" t="s">
        <v>734</v>
      </c>
      <c r="C128" t="s">
        <v>1226</v>
      </c>
      <c r="D128" s="2">
        <v>44974</v>
      </c>
      <c r="E128">
        <v>4.5998650000000003</v>
      </c>
      <c r="F128" s="2">
        <v>45009</v>
      </c>
      <c r="G128">
        <v>3.5937100000000002</v>
      </c>
      <c r="H128" s="3">
        <v>-0.21870000000000001</v>
      </c>
      <c r="I128">
        <v>-48787.12</v>
      </c>
      <c r="J128" s="3">
        <v>-0.2205</v>
      </c>
      <c r="K128">
        <v>48097</v>
      </c>
    </row>
    <row r="129" spans="1:11" x14ac:dyDescent="0.3">
      <c r="A129" t="s">
        <v>196</v>
      </c>
      <c r="B129" t="s">
        <v>755</v>
      </c>
      <c r="C129" t="s">
        <v>1226</v>
      </c>
      <c r="D129" s="2">
        <v>44876</v>
      </c>
      <c r="E129">
        <v>10.800129999999999</v>
      </c>
      <c r="F129" s="2">
        <v>45009</v>
      </c>
      <c r="G129">
        <v>9.1829040000000006</v>
      </c>
      <c r="H129" s="3">
        <v>-0.1497</v>
      </c>
      <c r="I129">
        <v>-35150.959999999999</v>
      </c>
      <c r="J129" s="3">
        <v>-0.15160000000000001</v>
      </c>
      <c r="K129">
        <v>21470</v>
      </c>
    </row>
    <row r="130" spans="1:11" x14ac:dyDescent="0.3">
      <c r="A130" t="s">
        <v>176</v>
      </c>
      <c r="B130" t="s">
        <v>726</v>
      </c>
      <c r="C130" t="s">
        <v>1226</v>
      </c>
      <c r="D130" s="2">
        <v>44876</v>
      </c>
      <c r="E130">
        <v>2.7582979999999999</v>
      </c>
      <c r="F130" s="2">
        <v>45009</v>
      </c>
      <c r="G130">
        <v>2.7230479999999999</v>
      </c>
      <c r="H130" s="3">
        <v>-1.2800000000000001E-2</v>
      </c>
      <c r="I130">
        <v>-3425.22</v>
      </c>
      <c r="J130" s="3">
        <v>-1.4800000000000001E-2</v>
      </c>
      <c r="K130">
        <v>84093</v>
      </c>
    </row>
    <row r="131" spans="1:11" x14ac:dyDescent="0.3">
      <c r="A131" t="s">
        <v>150</v>
      </c>
      <c r="B131" t="s">
        <v>697</v>
      </c>
      <c r="C131" t="s">
        <v>1226</v>
      </c>
      <c r="D131" s="2">
        <v>44995</v>
      </c>
      <c r="E131">
        <v>0.92389180000000004</v>
      </c>
      <c r="F131" s="2">
        <v>45002</v>
      </c>
      <c r="G131">
        <v>0.87474870000000005</v>
      </c>
      <c r="H131" s="3">
        <v>-5.3199999999999997E-2</v>
      </c>
      <c r="I131">
        <v>-12149.25</v>
      </c>
      <c r="J131" s="3">
        <v>-5.5100000000000003E-2</v>
      </c>
      <c r="K131">
        <v>238493</v>
      </c>
    </row>
    <row r="132" spans="1:11" x14ac:dyDescent="0.3">
      <c r="A132" t="s">
        <v>193</v>
      </c>
      <c r="B132" t="s">
        <v>751</v>
      </c>
      <c r="C132" t="s">
        <v>1226</v>
      </c>
      <c r="D132" s="2">
        <v>44988</v>
      </c>
      <c r="E132">
        <v>2.0477650000000001</v>
      </c>
      <c r="F132" s="2">
        <v>45002</v>
      </c>
      <c r="G132">
        <v>2.0030260000000002</v>
      </c>
      <c r="H132" s="3">
        <v>-2.18E-2</v>
      </c>
      <c r="I132">
        <v>-5176.5</v>
      </c>
      <c r="J132" s="3">
        <v>-2.3800000000000002E-2</v>
      </c>
      <c r="K132">
        <v>106098</v>
      </c>
    </row>
    <row r="133" spans="1:11" x14ac:dyDescent="0.3">
      <c r="A133" t="s">
        <v>197</v>
      </c>
      <c r="B133" t="s">
        <v>756</v>
      </c>
      <c r="C133" t="s">
        <v>1226</v>
      </c>
      <c r="D133" s="2">
        <v>44904</v>
      </c>
      <c r="E133">
        <v>1.72</v>
      </c>
      <c r="F133" s="2">
        <v>45002</v>
      </c>
      <c r="G133">
        <v>1.46</v>
      </c>
      <c r="H133" s="3">
        <v>-0.1512</v>
      </c>
      <c r="I133">
        <v>-34200.5</v>
      </c>
      <c r="J133" s="3">
        <v>-0.153</v>
      </c>
      <c r="K133">
        <v>129951</v>
      </c>
    </row>
    <row r="134" spans="1:11" x14ac:dyDescent="0.3">
      <c r="A134" t="s">
        <v>198</v>
      </c>
      <c r="B134" t="s">
        <v>757</v>
      </c>
      <c r="C134" t="s">
        <v>1226</v>
      </c>
      <c r="D134" s="2">
        <v>44883</v>
      </c>
      <c r="E134">
        <v>0.64500000000000002</v>
      </c>
      <c r="F134" s="2">
        <v>45002</v>
      </c>
      <c r="G134">
        <v>0.64</v>
      </c>
      <c r="H134" s="3">
        <v>-7.7999999999999996E-3</v>
      </c>
      <c r="I134">
        <v>-2222.9</v>
      </c>
      <c r="J134" s="3">
        <v>-9.7000000000000003E-3</v>
      </c>
      <c r="K134">
        <v>353684</v>
      </c>
    </row>
    <row r="135" spans="1:11" x14ac:dyDescent="0.3">
      <c r="A135" t="s">
        <v>400</v>
      </c>
      <c r="B135" t="s">
        <v>758</v>
      </c>
      <c r="C135" t="s">
        <v>1226</v>
      </c>
      <c r="D135" s="2">
        <v>44981</v>
      </c>
      <c r="E135">
        <v>1.9413910000000001</v>
      </c>
      <c r="F135" s="2">
        <v>44995</v>
      </c>
      <c r="G135">
        <v>1.79253</v>
      </c>
      <c r="H135" s="3">
        <v>-7.6700000000000004E-2</v>
      </c>
      <c r="I135">
        <v>-17336.919999999998</v>
      </c>
      <c r="J135" s="3">
        <v>-7.8600000000000003E-2</v>
      </c>
      <c r="K135">
        <v>113614</v>
      </c>
    </row>
    <row r="136" spans="1:11" x14ac:dyDescent="0.3">
      <c r="A136" t="s">
        <v>122</v>
      </c>
      <c r="B136" t="s">
        <v>366</v>
      </c>
      <c r="C136" t="s">
        <v>1226</v>
      </c>
      <c r="D136" s="2">
        <v>44925</v>
      </c>
      <c r="E136">
        <v>3.1421250000000001</v>
      </c>
      <c r="F136" s="2">
        <v>44995</v>
      </c>
      <c r="G136">
        <v>3.2119499999999999</v>
      </c>
      <c r="H136" s="3">
        <v>2.2200000000000001E-2</v>
      </c>
      <c r="I136">
        <v>4340.21</v>
      </c>
      <c r="J136" s="3">
        <v>2.0199999999999999E-2</v>
      </c>
      <c r="K136">
        <v>68381</v>
      </c>
    </row>
    <row r="137" spans="1:11" x14ac:dyDescent="0.3">
      <c r="A137" t="s">
        <v>161</v>
      </c>
      <c r="B137" t="s">
        <v>709</v>
      </c>
      <c r="C137" t="s">
        <v>1226</v>
      </c>
      <c r="D137" s="2">
        <v>44876</v>
      </c>
      <c r="E137">
        <v>4.05</v>
      </c>
      <c r="F137" s="2">
        <v>44995</v>
      </c>
      <c r="G137">
        <v>3.16</v>
      </c>
      <c r="H137" s="3">
        <v>-0.2198</v>
      </c>
      <c r="I137">
        <v>-51341.05</v>
      </c>
      <c r="J137" s="3">
        <v>-0.2215</v>
      </c>
      <c r="K137">
        <v>57223</v>
      </c>
    </row>
    <row r="138" spans="1:11" x14ac:dyDescent="0.3">
      <c r="A138" t="s">
        <v>199</v>
      </c>
      <c r="B138" t="s">
        <v>759</v>
      </c>
      <c r="C138" t="s">
        <v>1226</v>
      </c>
      <c r="D138" s="2">
        <v>44876</v>
      </c>
      <c r="E138">
        <v>0.85117240000000005</v>
      </c>
      <c r="F138" s="2">
        <v>44988</v>
      </c>
      <c r="G138">
        <v>0.73510350000000002</v>
      </c>
      <c r="H138" s="3">
        <v>-0.13639999999999999</v>
      </c>
      <c r="I138">
        <v>-32056.45</v>
      </c>
      <c r="J138" s="3">
        <v>-0.13819999999999999</v>
      </c>
      <c r="K138">
        <v>272461</v>
      </c>
    </row>
    <row r="139" spans="1:11" x14ac:dyDescent="0.3">
      <c r="A139" t="s">
        <v>200</v>
      </c>
      <c r="B139" t="s">
        <v>760</v>
      </c>
      <c r="C139" t="s">
        <v>1226</v>
      </c>
      <c r="D139" s="2">
        <v>44876</v>
      </c>
      <c r="E139">
        <v>0.61499999999999999</v>
      </c>
      <c r="F139" s="2">
        <v>44988</v>
      </c>
      <c r="G139">
        <v>0.53</v>
      </c>
      <c r="H139" s="3">
        <v>-0.13819999999999999</v>
      </c>
      <c r="I139">
        <v>-32465.98</v>
      </c>
      <c r="J139" s="3">
        <v>-0.1401</v>
      </c>
      <c r="K139">
        <v>376876</v>
      </c>
    </row>
    <row r="140" spans="1:11" x14ac:dyDescent="0.3">
      <c r="A140" t="s">
        <v>93</v>
      </c>
      <c r="B140" t="s">
        <v>742</v>
      </c>
      <c r="C140" t="s">
        <v>1226</v>
      </c>
      <c r="D140" s="2">
        <v>44785</v>
      </c>
      <c r="E140">
        <v>9.9629499999999993</v>
      </c>
      <c r="F140" s="2">
        <v>44981</v>
      </c>
      <c r="G140">
        <v>10.438230000000001</v>
      </c>
      <c r="H140" s="3">
        <v>4.7699999999999999E-2</v>
      </c>
      <c r="I140">
        <v>11380.61</v>
      </c>
      <c r="J140" s="3">
        <v>4.5699999999999998E-2</v>
      </c>
      <c r="K140">
        <v>25019</v>
      </c>
    </row>
    <row r="141" spans="1:11" x14ac:dyDescent="0.3">
      <c r="A141" t="s">
        <v>87</v>
      </c>
      <c r="B141" t="s">
        <v>761</v>
      </c>
      <c r="C141" t="s">
        <v>1226</v>
      </c>
      <c r="D141" s="2">
        <v>44876</v>
      </c>
      <c r="E141">
        <v>2.5895760000000001</v>
      </c>
      <c r="F141" s="2">
        <v>44974</v>
      </c>
      <c r="G141">
        <v>1.7754289999999999</v>
      </c>
      <c r="H141" s="3">
        <v>-0.31440000000000001</v>
      </c>
      <c r="I141">
        <v>-73323.12</v>
      </c>
      <c r="J141" s="3">
        <v>-0.31609999999999999</v>
      </c>
      <c r="K141">
        <v>89581</v>
      </c>
    </row>
    <row r="142" spans="1:11" x14ac:dyDescent="0.3">
      <c r="A142" t="s">
        <v>201</v>
      </c>
      <c r="B142" t="s">
        <v>762</v>
      </c>
      <c r="C142" t="s">
        <v>1226</v>
      </c>
      <c r="D142" s="2">
        <v>44876</v>
      </c>
      <c r="E142">
        <v>1.7257499999999999</v>
      </c>
      <c r="F142" s="2">
        <v>44925</v>
      </c>
      <c r="G142">
        <v>0.95550009999999996</v>
      </c>
      <c r="H142" s="3">
        <v>-0.44629999999999997</v>
      </c>
      <c r="I142">
        <v>-103838.66</v>
      </c>
      <c r="J142" s="3">
        <v>-0.44790000000000002</v>
      </c>
      <c r="K142">
        <v>134344</v>
      </c>
    </row>
    <row r="143" spans="1:11" x14ac:dyDescent="0.3">
      <c r="A143" t="s">
        <v>103</v>
      </c>
      <c r="B143" t="s">
        <v>763</v>
      </c>
      <c r="C143" t="s">
        <v>1226</v>
      </c>
      <c r="D143" s="2">
        <v>44806</v>
      </c>
      <c r="E143">
        <v>11.47105</v>
      </c>
      <c r="F143" s="2">
        <v>44925</v>
      </c>
      <c r="G143">
        <v>11.8141</v>
      </c>
      <c r="H143" s="3">
        <v>2.9899999999999999E-2</v>
      </c>
      <c r="I143">
        <v>6633.2</v>
      </c>
      <c r="J143" s="3">
        <v>2.7900000000000001E-2</v>
      </c>
      <c r="K143">
        <v>20744</v>
      </c>
    </row>
    <row r="144" spans="1:11" x14ac:dyDescent="0.3">
      <c r="A144" t="s">
        <v>202</v>
      </c>
      <c r="B144" t="s">
        <v>764</v>
      </c>
      <c r="C144" t="s">
        <v>1226</v>
      </c>
      <c r="D144" s="2">
        <v>44876</v>
      </c>
      <c r="E144">
        <v>1.127351</v>
      </c>
      <c r="F144" s="2">
        <v>44911</v>
      </c>
      <c r="G144">
        <v>0.9514842</v>
      </c>
      <c r="H144" s="3">
        <v>-0.156</v>
      </c>
      <c r="I144">
        <v>-36591.85</v>
      </c>
      <c r="J144" s="3">
        <v>-0.1578</v>
      </c>
      <c r="K144">
        <v>205635</v>
      </c>
    </row>
    <row r="145" spans="1:11" x14ac:dyDescent="0.3">
      <c r="A145" t="s">
        <v>401</v>
      </c>
      <c r="B145" t="s">
        <v>765</v>
      </c>
      <c r="C145" t="s">
        <v>1226</v>
      </c>
      <c r="D145" s="2">
        <v>44799</v>
      </c>
      <c r="E145">
        <v>2.0499999999999998</v>
      </c>
      <c r="F145" s="2">
        <v>44901</v>
      </c>
      <c r="G145">
        <v>2.09</v>
      </c>
      <c r="H145" s="3">
        <v>1.95E-2</v>
      </c>
      <c r="I145">
        <v>4264.01</v>
      </c>
      <c r="J145" s="3">
        <v>1.7500000000000002E-2</v>
      </c>
      <c r="K145">
        <v>118907</v>
      </c>
    </row>
    <row r="146" spans="1:11" x14ac:dyDescent="0.3">
      <c r="A146" t="s">
        <v>107</v>
      </c>
      <c r="B146" t="s">
        <v>735</v>
      </c>
      <c r="C146" t="s">
        <v>1226</v>
      </c>
      <c r="D146" s="2">
        <v>44785</v>
      </c>
      <c r="E146">
        <v>0.594225</v>
      </c>
      <c r="F146" s="2">
        <v>44883</v>
      </c>
      <c r="G146">
        <v>0.57024870000000005</v>
      </c>
      <c r="H146" s="3">
        <v>-4.0300000000000002E-2</v>
      </c>
      <c r="I146">
        <v>-10548.11</v>
      </c>
      <c r="J146" s="3">
        <v>-4.2299999999999997E-2</v>
      </c>
      <c r="K146">
        <v>419562</v>
      </c>
    </row>
    <row r="147" spans="1:11" x14ac:dyDescent="0.3">
      <c r="A147" t="s">
        <v>104</v>
      </c>
      <c r="B147" t="s">
        <v>766</v>
      </c>
      <c r="C147" t="s">
        <v>1226</v>
      </c>
      <c r="D147" s="2">
        <v>44806</v>
      </c>
      <c r="E147">
        <v>0.8604465</v>
      </c>
      <c r="F147" s="2">
        <v>44855</v>
      </c>
      <c r="G147">
        <v>0.74734279999999997</v>
      </c>
      <c r="H147" s="3">
        <v>-0.13139999999999999</v>
      </c>
      <c r="I147">
        <v>-31717.5</v>
      </c>
      <c r="J147" s="3">
        <v>-0.1333</v>
      </c>
      <c r="K147">
        <v>276498</v>
      </c>
    </row>
    <row r="148" spans="1:11" x14ac:dyDescent="0.3">
      <c r="A148" t="s">
        <v>402</v>
      </c>
      <c r="B148" t="s">
        <v>767</v>
      </c>
      <c r="C148" t="s">
        <v>1226</v>
      </c>
      <c r="D148" s="2">
        <v>44645</v>
      </c>
      <c r="E148">
        <v>0.81499999999999995</v>
      </c>
      <c r="F148" s="2">
        <v>44855</v>
      </c>
      <c r="G148">
        <v>1.06</v>
      </c>
      <c r="H148" s="3">
        <v>0.30059999999999998</v>
      </c>
      <c r="I148">
        <v>76907.25</v>
      </c>
      <c r="J148" s="3">
        <v>0.29830000000000001</v>
      </c>
      <c r="K148">
        <v>316328</v>
      </c>
    </row>
    <row r="149" spans="1:11" x14ac:dyDescent="0.3">
      <c r="A149" t="s">
        <v>203</v>
      </c>
      <c r="B149" t="s">
        <v>768</v>
      </c>
      <c r="C149" t="s">
        <v>1226</v>
      </c>
      <c r="D149" s="2">
        <v>44783</v>
      </c>
      <c r="E149">
        <v>1.8348230000000001</v>
      </c>
      <c r="F149" s="2">
        <v>44848</v>
      </c>
      <c r="G149">
        <v>1.5611839999999999</v>
      </c>
      <c r="H149" s="3">
        <v>-0.14910000000000001</v>
      </c>
      <c r="I149">
        <v>-37573.980000000003</v>
      </c>
      <c r="J149" s="3">
        <v>-0.151</v>
      </c>
      <c r="K149">
        <v>135629</v>
      </c>
    </row>
    <row r="150" spans="1:11" x14ac:dyDescent="0.3">
      <c r="A150" t="s">
        <v>181</v>
      </c>
      <c r="B150" t="s">
        <v>733</v>
      </c>
      <c r="C150" t="s">
        <v>1226</v>
      </c>
      <c r="D150" s="2">
        <v>44379</v>
      </c>
      <c r="E150">
        <v>2.0895220000000001</v>
      </c>
      <c r="F150" s="2">
        <v>44841</v>
      </c>
      <c r="G150">
        <v>1.9810399999999999</v>
      </c>
      <c r="H150" s="3">
        <v>-5.1900000000000002E-2</v>
      </c>
      <c r="I150">
        <v>-14989.41</v>
      </c>
      <c r="J150" s="3">
        <v>-5.3900000000000003E-2</v>
      </c>
      <c r="K150">
        <v>133177</v>
      </c>
    </row>
    <row r="151" spans="1:11" x14ac:dyDescent="0.3">
      <c r="A151" t="s">
        <v>58</v>
      </c>
      <c r="B151" t="s">
        <v>750</v>
      </c>
      <c r="C151" t="s">
        <v>1226</v>
      </c>
      <c r="D151" s="2">
        <v>44820</v>
      </c>
      <c r="E151">
        <v>6.51</v>
      </c>
      <c r="F151" s="2">
        <v>44841</v>
      </c>
      <c r="G151">
        <v>6.45</v>
      </c>
      <c r="H151" s="3">
        <v>-9.1999999999999998E-3</v>
      </c>
      <c r="I151">
        <v>-2737.82</v>
      </c>
      <c r="J151" s="3">
        <v>-1.12E-2</v>
      </c>
      <c r="K151">
        <v>37525</v>
      </c>
    </row>
    <row r="152" spans="1:11" x14ac:dyDescent="0.3">
      <c r="A152" t="s">
        <v>183</v>
      </c>
      <c r="B152" t="s">
        <v>737</v>
      </c>
      <c r="C152" t="s">
        <v>1226</v>
      </c>
      <c r="D152" s="2">
        <v>44785</v>
      </c>
      <c r="E152">
        <v>10.09</v>
      </c>
      <c r="F152" s="2">
        <v>44834</v>
      </c>
      <c r="G152">
        <v>7.300001</v>
      </c>
      <c r="H152" s="3">
        <v>-0.27650000000000002</v>
      </c>
      <c r="I152">
        <v>-69373.41</v>
      </c>
      <c r="J152" s="3">
        <v>-0.2782</v>
      </c>
      <c r="K152">
        <v>24711</v>
      </c>
    </row>
    <row r="153" spans="1:11" x14ac:dyDescent="0.3">
      <c r="A153" t="s">
        <v>148</v>
      </c>
      <c r="B153" t="s">
        <v>695</v>
      </c>
      <c r="C153" t="s">
        <v>1226</v>
      </c>
      <c r="D153" s="2">
        <v>44820</v>
      </c>
      <c r="E153">
        <v>0.51734309999999994</v>
      </c>
      <c r="F153" s="2">
        <v>44834</v>
      </c>
      <c r="G153">
        <v>0.4648004</v>
      </c>
      <c r="H153" s="3">
        <v>-0.1016</v>
      </c>
      <c r="I153">
        <v>-25267.63</v>
      </c>
      <c r="J153" s="3">
        <v>-0.10349999999999999</v>
      </c>
      <c r="K153">
        <v>472073</v>
      </c>
    </row>
    <row r="154" spans="1:11" x14ac:dyDescent="0.3">
      <c r="A154" t="s">
        <v>204</v>
      </c>
      <c r="B154" t="s">
        <v>769</v>
      </c>
      <c r="C154" t="s">
        <v>1226</v>
      </c>
      <c r="D154" s="2">
        <v>44820</v>
      </c>
      <c r="E154">
        <v>0.52</v>
      </c>
      <c r="F154" s="2">
        <v>44834</v>
      </c>
      <c r="G154">
        <v>0.42</v>
      </c>
      <c r="H154" s="3">
        <v>-0.1923</v>
      </c>
      <c r="I154">
        <v>-47412.12</v>
      </c>
      <c r="J154" s="3">
        <v>-0.19409999999999999</v>
      </c>
      <c r="K154">
        <v>469706</v>
      </c>
    </row>
    <row r="155" spans="1:11" x14ac:dyDescent="0.3">
      <c r="A155" t="s">
        <v>205</v>
      </c>
      <c r="B155" t="s">
        <v>770</v>
      </c>
      <c r="C155" t="s">
        <v>1226</v>
      </c>
      <c r="D155" s="2">
        <v>44820</v>
      </c>
      <c r="E155">
        <v>22.382490000000001</v>
      </c>
      <c r="F155" s="2">
        <v>44834</v>
      </c>
      <c r="G155">
        <v>20.47372</v>
      </c>
      <c r="H155" s="3">
        <v>-8.5300000000000001E-2</v>
      </c>
      <c r="I155">
        <v>-21298.1</v>
      </c>
      <c r="J155" s="3">
        <v>-8.72E-2</v>
      </c>
      <c r="K155">
        <v>10913</v>
      </c>
    </row>
    <row r="156" spans="1:11" x14ac:dyDescent="0.3">
      <c r="A156" t="s">
        <v>102</v>
      </c>
      <c r="B156" t="s">
        <v>771</v>
      </c>
      <c r="C156" t="s">
        <v>1226</v>
      </c>
      <c r="D156" s="2">
        <v>44792</v>
      </c>
      <c r="E156">
        <v>1.9311799999999999</v>
      </c>
      <c r="F156" s="2">
        <v>44834</v>
      </c>
      <c r="G156">
        <v>2.0546060000000002</v>
      </c>
      <c r="H156" s="3">
        <v>6.3899999999999998E-2</v>
      </c>
      <c r="I156">
        <v>15368.85</v>
      </c>
      <c r="J156" s="3">
        <v>6.1800000000000001E-2</v>
      </c>
      <c r="K156">
        <v>128674</v>
      </c>
    </row>
    <row r="157" spans="1:11" x14ac:dyDescent="0.3">
      <c r="A157" t="s">
        <v>166</v>
      </c>
      <c r="B157" t="s">
        <v>714</v>
      </c>
      <c r="C157" t="s">
        <v>1226</v>
      </c>
      <c r="D157" s="2">
        <v>44785</v>
      </c>
      <c r="E157">
        <v>2.84</v>
      </c>
      <c r="F157" s="2">
        <v>44827</v>
      </c>
      <c r="G157">
        <v>2.4</v>
      </c>
      <c r="H157" s="3">
        <v>-0.15490000000000001</v>
      </c>
      <c r="I157">
        <v>-39074.71</v>
      </c>
      <c r="J157" s="3">
        <v>-0.15679999999999999</v>
      </c>
      <c r="K157">
        <v>87761</v>
      </c>
    </row>
    <row r="158" spans="1:11" x14ac:dyDescent="0.3">
      <c r="A158" t="s">
        <v>89</v>
      </c>
      <c r="B158" t="s">
        <v>772</v>
      </c>
      <c r="C158" t="s">
        <v>1226</v>
      </c>
      <c r="D158" s="2">
        <v>44799</v>
      </c>
      <c r="E158">
        <v>0.55500000000000005</v>
      </c>
      <c r="F158" s="2">
        <v>44827</v>
      </c>
      <c r="G158">
        <v>0.55500000000000005</v>
      </c>
      <c r="H158" s="3">
        <v>0</v>
      </c>
      <c r="I158">
        <v>-487.57</v>
      </c>
      <c r="J158" s="3">
        <v>-2E-3</v>
      </c>
      <c r="K158">
        <v>439250</v>
      </c>
    </row>
    <row r="159" spans="1:11" x14ac:dyDescent="0.3">
      <c r="A159" t="s">
        <v>174</v>
      </c>
      <c r="B159" t="s">
        <v>723</v>
      </c>
      <c r="C159" t="s">
        <v>1226</v>
      </c>
      <c r="D159" s="2">
        <v>44792</v>
      </c>
      <c r="E159">
        <v>6.8570659999999997</v>
      </c>
      <c r="F159" s="2">
        <v>44813</v>
      </c>
      <c r="G159">
        <v>4.9230219999999996</v>
      </c>
      <c r="H159" s="3">
        <v>-0.28210000000000002</v>
      </c>
      <c r="I159">
        <v>-70520.56</v>
      </c>
      <c r="J159" s="3">
        <v>-0.2838</v>
      </c>
      <c r="K159">
        <v>36242</v>
      </c>
    </row>
    <row r="160" spans="1:11" x14ac:dyDescent="0.3">
      <c r="A160" t="s">
        <v>133</v>
      </c>
      <c r="B160" t="s">
        <v>679</v>
      </c>
      <c r="C160" t="s">
        <v>1226</v>
      </c>
      <c r="D160" s="2">
        <v>44785</v>
      </c>
      <c r="E160">
        <v>4.24</v>
      </c>
      <c r="F160" s="2">
        <v>44813</v>
      </c>
      <c r="G160">
        <v>4.1100000000000003</v>
      </c>
      <c r="H160" s="3">
        <v>-3.0700000000000002E-2</v>
      </c>
      <c r="I160">
        <v>-8134.29</v>
      </c>
      <c r="J160" s="3">
        <v>-3.2599999999999997E-2</v>
      </c>
      <c r="K160">
        <v>58795</v>
      </c>
    </row>
    <row r="161" spans="1:11" x14ac:dyDescent="0.3">
      <c r="A161" t="s">
        <v>206</v>
      </c>
      <c r="B161" t="s">
        <v>773</v>
      </c>
      <c r="C161" t="s">
        <v>1226</v>
      </c>
      <c r="D161" s="2">
        <v>44785</v>
      </c>
      <c r="E161">
        <v>1.97</v>
      </c>
      <c r="F161" s="2">
        <v>44813</v>
      </c>
      <c r="G161">
        <v>1.2350000000000001</v>
      </c>
      <c r="H161" s="3">
        <v>-0.37309999999999999</v>
      </c>
      <c r="I161">
        <v>-93441.25</v>
      </c>
      <c r="J161" s="3">
        <v>-0.37469999999999998</v>
      </c>
      <c r="K161">
        <v>126579</v>
      </c>
    </row>
    <row r="162" spans="1:11" x14ac:dyDescent="0.3">
      <c r="A162" t="s">
        <v>108</v>
      </c>
      <c r="B162" t="s">
        <v>725</v>
      </c>
      <c r="C162" t="s">
        <v>1226</v>
      </c>
      <c r="D162" s="2">
        <v>44652</v>
      </c>
      <c r="E162">
        <v>1.4777560000000001</v>
      </c>
      <c r="F162" s="2">
        <v>44771</v>
      </c>
      <c r="G162">
        <v>1.327949</v>
      </c>
      <c r="H162" s="3">
        <v>-0.1014</v>
      </c>
      <c r="I162">
        <v>-26856.78</v>
      </c>
      <c r="J162" s="3">
        <v>-0.1033</v>
      </c>
      <c r="K162">
        <v>175980</v>
      </c>
    </row>
    <row r="163" spans="1:11" x14ac:dyDescent="0.3">
      <c r="A163" t="s">
        <v>403</v>
      </c>
      <c r="B163" t="s">
        <v>774</v>
      </c>
      <c r="C163" t="s">
        <v>1226</v>
      </c>
      <c r="D163" s="2">
        <v>44645</v>
      </c>
      <c r="E163">
        <v>7.8496649999999999</v>
      </c>
      <c r="F163" s="2">
        <v>44750</v>
      </c>
      <c r="G163">
        <v>7.81</v>
      </c>
      <c r="H163" s="3">
        <v>-5.1000000000000004E-3</v>
      </c>
      <c r="I163">
        <v>-1818.25</v>
      </c>
      <c r="J163" s="3">
        <v>-7.0000000000000001E-3</v>
      </c>
      <c r="K163">
        <v>32865</v>
      </c>
    </row>
    <row r="164" spans="1:11" x14ac:dyDescent="0.3">
      <c r="A164" t="s">
        <v>187</v>
      </c>
      <c r="B164" t="s">
        <v>741</v>
      </c>
      <c r="C164" t="s">
        <v>1226</v>
      </c>
      <c r="D164" s="2">
        <v>44645</v>
      </c>
      <c r="E164">
        <v>6.833691</v>
      </c>
      <c r="F164" s="2">
        <v>44736</v>
      </c>
      <c r="G164">
        <v>5.1252680000000002</v>
      </c>
      <c r="H164" s="3">
        <v>-0.25</v>
      </c>
      <c r="I164">
        <v>-64908.29</v>
      </c>
      <c r="J164" s="3">
        <v>-0.25180000000000002</v>
      </c>
      <c r="K164">
        <v>37729</v>
      </c>
    </row>
    <row r="165" spans="1:11" x14ac:dyDescent="0.3">
      <c r="A165" t="s">
        <v>207</v>
      </c>
      <c r="B165" t="s">
        <v>775</v>
      </c>
      <c r="C165" t="s">
        <v>1226</v>
      </c>
      <c r="D165" s="2">
        <v>44561</v>
      </c>
      <c r="E165">
        <v>2.8324500000000001</v>
      </c>
      <c r="F165" s="2">
        <v>44736</v>
      </c>
      <c r="G165">
        <v>2.1090610000000001</v>
      </c>
      <c r="H165" s="3">
        <v>-0.25540000000000002</v>
      </c>
      <c r="I165">
        <v>-72814.84</v>
      </c>
      <c r="J165" s="3">
        <v>-0.2571</v>
      </c>
      <c r="K165">
        <v>99975</v>
      </c>
    </row>
    <row r="166" spans="1:11" x14ac:dyDescent="0.3">
      <c r="A166" t="s">
        <v>64</v>
      </c>
      <c r="B166" t="s">
        <v>776</v>
      </c>
      <c r="C166" t="s">
        <v>1226</v>
      </c>
      <c r="D166" s="2">
        <v>44652</v>
      </c>
      <c r="E166">
        <v>2.3356469999999998</v>
      </c>
      <c r="F166" s="2">
        <v>44736</v>
      </c>
      <c r="G166">
        <v>2.605057</v>
      </c>
      <c r="H166" s="3">
        <v>0.1153</v>
      </c>
      <c r="I166">
        <v>29454.74</v>
      </c>
      <c r="J166" s="3">
        <v>0.1132</v>
      </c>
      <c r="K166">
        <v>111373</v>
      </c>
    </row>
    <row r="167" spans="1:11" x14ac:dyDescent="0.3">
      <c r="A167" t="s">
        <v>177</v>
      </c>
      <c r="B167" t="s">
        <v>727</v>
      </c>
      <c r="C167" t="s">
        <v>1226</v>
      </c>
      <c r="D167" s="2">
        <v>44645</v>
      </c>
      <c r="E167">
        <v>1.804943</v>
      </c>
      <c r="F167" s="2">
        <v>44729</v>
      </c>
      <c r="G167">
        <v>1.509253</v>
      </c>
      <c r="H167" s="3">
        <v>-0.1638</v>
      </c>
      <c r="I167">
        <v>-42728.3</v>
      </c>
      <c r="J167" s="3">
        <v>-0.16569999999999999</v>
      </c>
      <c r="K167">
        <v>142902</v>
      </c>
    </row>
    <row r="168" spans="1:11" x14ac:dyDescent="0.3">
      <c r="A168" t="s">
        <v>208</v>
      </c>
      <c r="B168" t="s">
        <v>777</v>
      </c>
      <c r="C168" t="s">
        <v>1226</v>
      </c>
      <c r="D168" s="2">
        <v>44652</v>
      </c>
      <c r="E168">
        <v>3.197219</v>
      </c>
      <c r="F168" s="2">
        <v>44722</v>
      </c>
      <c r="G168">
        <v>3.6425700000000001</v>
      </c>
      <c r="H168" s="3">
        <v>0.13930000000000001</v>
      </c>
      <c r="I168">
        <v>35687.800000000003</v>
      </c>
      <c r="J168" s="3">
        <v>0.13719999999999999</v>
      </c>
      <c r="K168">
        <v>81384</v>
      </c>
    </row>
    <row r="169" spans="1:11" x14ac:dyDescent="0.3">
      <c r="A169" t="s">
        <v>166</v>
      </c>
      <c r="B169" t="s">
        <v>714</v>
      </c>
      <c r="C169" t="s">
        <v>1226</v>
      </c>
      <c r="D169" s="2">
        <v>44645</v>
      </c>
      <c r="E169">
        <v>2.58</v>
      </c>
      <c r="F169" s="2">
        <v>44715</v>
      </c>
      <c r="G169">
        <v>2.4</v>
      </c>
      <c r="H169" s="3">
        <v>-6.9800000000000001E-2</v>
      </c>
      <c r="I169">
        <v>-18489.310000000001</v>
      </c>
      <c r="J169" s="3">
        <v>-7.17E-2</v>
      </c>
      <c r="K169">
        <v>99953</v>
      </c>
    </row>
    <row r="170" spans="1:11" x14ac:dyDescent="0.3">
      <c r="A170" t="s">
        <v>209</v>
      </c>
      <c r="B170" t="s">
        <v>778</v>
      </c>
      <c r="C170" t="s">
        <v>1226</v>
      </c>
      <c r="D170" s="2">
        <v>44652</v>
      </c>
      <c r="E170">
        <v>1.2676449999999999</v>
      </c>
      <c r="F170" s="2">
        <v>44701</v>
      </c>
      <c r="G170">
        <v>1.350498</v>
      </c>
      <c r="H170" s="3">
        <v>6.54E-2</v>
      </c>
      <c r="I170">
        <v>16458.5</v>
      </c>
      <c r="J170" s="3">
        <v>6.3299999999999995E-2</v>
      </c>
      <c r="K170">
        <v>205129</v>
      </c>
    </row>
    <row r="171" spans="1:11" x14ac:dyDescent="0.3">
      <c r="A171" t="s">
        <v>101</v>
      </c>
      <c r="B171" t="s">
        <v>779</v>
      </c>
      <c r="C171" t="s">
        <v>1226</v>
      </c>
      <c r="D171" s="2">
        <v>44652</v>
      </c>
      <c r="E171">
        <v>0.64</v>
      </c>
      <c r="F171" s="2">
        <v>44701</v>
      </c>
      <c r="G171">
        <v>0.63</v>
      </c>
      <c r="H171" s="3">
        <v>-1.5599999999999999E-2</v>
      </c>
      <c r="I171">
        <v>-4580.29</v>
      </c>
      <c r="J171" s="3">
        <v>-1.7600000000000001E-2</v>
      </c>
      <c r="K171">
        <v>406414</v>
      </c>
    </row>
    <row r="172" spans="1:11" x14ac:dyDescent="0.3">
      <c r="A172" t="s">
        <v>63</v>
      </c>
      <c r="B172" t="s">
        <v>780</v>
      </c>
      <c r="C172" t="s">
        <v>1226</v>
      </c>
      <c r="D172" s="2">
        <v>44652</v>
      </c>
      <c r="E172">
        <v>1.830584</v>
      </c>
      <c r="F172" s="2">
        <v>44701</v>
      </c>
      <c r="G172">
        <v>1.814092</v>
      </c>
      <c r="H172" s="3">
        <v>-8.9999999999999993E-3</v>
      </c>
      <c r="I172">
        <v>-2862.01</v>
      </c>
      <c r="J172" s="3">
        <v>-1.0999999999999999E-2</v>
      </c>
      <c r="K172">
        <v>142129</v>
      </c>
    </row>
    <row r="173" spans="1:11" x14ac:dyDescent="0.3">
      <c r="A173" t="s">
        <v>210</v>
      </c>
      <c r="B173" t="s">
        <v>781</v>
      </c>
      <c r="C173" t="s">
        <v>1226</v>
      </c>
      <c r="D173" s="2">
        <v>44652</v>
      </c>
      <c r="E173">
        <v>0.98127679999999995</v>
      </c>
      <c r="F173" s="2">
        <v>44701</v>
      </c>
      <c r="G173">
        <v>1.111218</v>
      </c>
      <c r="H173" s="3">
        <v>0.13239999999999999</v>
      </c>
      <c r="I173">
        <v>33904.71</v>
      </c>
      <c r="J173" s="3">
        <v>0.1303</v>
      </c>
      <c r="K173">
        <v>265194</v>
      </c>
    </row>
    <row r="174" spans="1:11" x14ac:dyDescent="0.3">
      <c r="A174" t="s">
        <v>211</v>
      </c>
      <c r="B174" t="s">
        <v>782</v>
      </c>
      <c r="C174" t="s">
        <v>1226</v>
      </c>
      <c r="D174" s="2">
        <v>44645</v>
      </c>
      <c r="E174">
        <v>0.92398449999999999</v>
      </c>
      <c r="F174" s="2">
        <v>44701</v>
      </c>
      <c r="G174">
        <v>0.8084865</v>
      </c>
      <c r="H174" s="3">
        <v>-0.125</v>
      </c>
      <c r="I174">
        <v>-32715.51</v>
      </c>
      <c r="J174" s="3">
        <v>-0.12690000000000001</v>
      </c>
      <c r="K174">
        <v>279070</v>
      </c>
    </row>
    <row r="175" spans="1:11" x14ac:dyDescent="0.3">
      <c r="A175" t="s">
        <v>404</v>
      </c>
      <c r="B175" t="s">
        <v>783</v>
      </c>
      <c r="C175" t="s">
        <v>1226</v>
      </c>
      <c r="D175" s="2">
        <v>44645</v>
      </c>
      <c r="E175">
        <v>0.95</v>
      </c>
      <c r="F175" s="2">
        <v>44701</v>
      </c>
      <c r="G175">
        <v>0.82499999999999996</v>
      </c>
      <c r="H175" s="3">
        <v>-0.13159999999999999</v>
      </c>
      <c r="I175">
        <v>-34416.75</v>
      </c>
      <c r="J175" s="3">
        <v>-0.13339999999999999</v>
      </c>
      <c r="K175">
        <v>271479</v>
      </c>
    </row>
    <row r="176" spans="1:11" x14ac:dyDescent="0.3">
      <c r="A176" t="s">
        <v>212</v>
      </c>
      <c r="B176" t="s">
        <v>784</v>
      </c>
      <c r="C176" t="s">
        <v>1226</v>
      </c>
      <c r="D176" s="2">
        <v>44645</v>
      </c>
      <c r="E176">
        <v>0.81043050000000005</v>
      </c>
      <c r="F176" s="2">
        <v>44701</v>
      </c>
      <c r="G176">
        <v>0.72938740000000002</v>
      </c>
      <c r="H176" s="3">
        <v>-0.1</v>
      </c>
      <c r="I176">
        <v>-26285.56</v>
      </c>
      <c r="J176" s="3">
        <v>-0.1019</v>
      </c>
      <c r="K176">
        <v>318293</v>
      </c>
    </row>
    <row r="177" spans="1:11" x14ac:dyDescent="0.3">
      <c r="A177" t="s">
        <v>213</v>
      </c>
      <c r="B177" t="s">
        <v>785</v>
      </c>
      <c r="C177" t="s">
        <v>1226</v>
      </c>
      <c r="D177" s="2">
        <v>44652</v>
      </c>
      <c r="E177">
        <v>1.75</v>
      </c>
      <c r="F177" s="2">
        <v>44694</v>
      </c>
      <c r="G177">
        <v>1.585</v>
      </c>
      <c r="H177" s="3">
        <v>-9.4299999999999995E-2</v>
      </c>
      <c r="I177">
        <v>-25017.439999999999</v>
      </c>
      <c r="J177" s="3">
        <v>-9.6199999999999994E-2</v>
      </c>
      <c r="K177">
        <v>148617</v>
      </c>
    </row>
    <row r="178" spans="1:11" x14ac:dyDescent="0.3">
      <c r="A178" t="s">
        <v>214</v>
      </c>
      <c r="B178" t="s">
        <v>786</v>
      </c>
      <c r="C178" t="s">
        <v>1226</v>
      </c>
      <c r="D178" s="2">
        <v>44652</v>
      </c>
      <c r="E178">
        <v>0.68</v>
      </c>
      <c r="F178" s="2">
        <v>44694</v>
      </c>
      <c r="G178">
        <v>0.63</v>
      </c>
      <c r="H178" s="3">
        <v>-7.3499999999999996E-2</v>
      </c>
      <c r="I178">
        <v>-19630.18</v>
      </c>
      <c r="J178" s="3">
        <v>-7.5499999999999998E-2</v>
      </c>
      <c r="K178">
        <v>382580</v>
      </c>
    </row>
    <row r="179" spans="1:11" x14ac:dyDescent="0.3">
      <c r="A179" t="s">
        <v>215</v>
      </c>
      <c r="B179" t="s">
        <v>787</v>
      </c>
      <c r="C179" t="s">
        <v>1226</v>
      </c>
      <c r="D179" s="2">
        <v>44652</v>
      </c>
      <c r="E179">
        <v>1.23</v>
      </c>
      <c r="F179" s="2">
        <v>44694</v>
      </c>
      <c r="G179">
        <v>1.2150000000000001</v>
      </c>
      <c r="H179" s="3">
        <v>-1.2200000000000001E-2</v>
      </c>
      <c r="I179">
        <v>-3691.15</v>
      </c>
      <c r="J179" s="3">
        <v>-1.4200000000000001E-2</v>
      </c>
      <c r="K179">
        <v>211588</v>
      </c>
    </row>
    <row r="180" spans="1:11" x14ac:dyDescent="0.3">
      <c r="A180" t="s">
        <v>405</v>
      </c>
      <c r="B180" t="s">
        <v>788</v>
      </c>
      <c r="C180" t="s">
        <v>1226</v>
      </c>
      <c r="D180" s="2">
        <v>44287</v>
      </c>
      <c r="E180">
        <v>1.284832</v>
      </c>
      <c r="F180" s="2">
        <v>44642</v>
      </c>
      <c r="G180">
        <v>1.5</v>
      </c>
      <c r="H180" s="3">
        <v>0.16750000000000001</v>
      </c>
      <c r="I180">
        <v>42425.87</v>
      </c>
      <c r="J180" s="3">
        <v>0.1653</v>
      </c>
      <c r="K180">
        <v>199761</v>
      </c>
    </row>
    <row r="181" spans="1:11" x14ac:dyDescent="0.3">
      <c r="A181" t="s">
        <v>406</v>
      </c>
      <c r="B181" t="s">
        <v>789</v>
      </c>
      <c r="C181" t="s">
        <v>1226</v>
      </c>
      <c r="D181" s="2">
        <v>44498</v>
      </c>
      <c r="E181">
        <v>4.5006510000000004</v>
      </c>
      <c r="F181" s="2">
        <v>44638</v>
      </c>
      <c r="G181">
        <v>4.59</v>
      </c>
      <c r="H181" s="3">
        <v>1.9900000000000001E-2</v>
      </c>
      <c r="I181">
        <v>5278.35</v>
      </c>
      <c r="J181" s="3">
        <v>1.78E-2</v>
      </c>
      <c r="K181">
        <v>65767</v>
      </c>
    </row>
    <row r="182" spans="1:11" x14ac:dyDescent="0.3">
      <c r="A182" t="s">
        <v>202</v>
      </c>
      <c r="B182" t="s">
        <v>764</v>
      </c>
      <c r="C182" t="s">
        <v>1226</v>
      </c>
      <c r="D182" s="2">
        <v>44568</v>
      </c>
      <c r="E182">
        <v>1.2244440000000001</v>
      </c>
      <c r="F182" s="2">
        <v>44638</v>
      </c>
      <c r="G182">
        <v>1.0350790000000001</v>
      </c>
      <c r="H182" s="3">
        <v>-0.1547</v>
      </c>
      <c r="I182">
        <v>-45240.44</v>
      </c>
      <c r="J182" s="3">
        <v>-0.1565</v>
      </c>
      <c r="K182">
        <v>236089</v>
      </c>
    </row>
    <row r="183" spans="1:11" x14ac:dyDescent="0.3">
      <c r="A183" t="s">
        <v>216</v>
      </c>
      <c r="B183" t="s">
        <v>790</v>
      </c>
      <c r="C183" t="s">
        <v>1226</v>
      </c>
      <c r="D183" s="2">
        <v>43994</v>
      </c>
      <c r="E183">
        <v>3.02</v>
      </c>
      <c r="F183" s="2">
        <v>44624</v>
      </c>
      <c r="G183">
        <v>3.34</v>
      </c>
      <c r="H183" s="3">
        <v>0.106</v>
      </c>
      <c r="I183">
        <v>20823.810000000001</v>
      </c>
      <c r="J183" s="3">
        <v>0.10390000000000001</v>
      </c>
      <c r="K183">
        <v>66394</v>
      </c>
    </row>
    <row r="184" spans="1:11" x14ac:dyDescent="0.3">
      <c r="A184" t="s">
        <v>210</v>
      </c>
      <c r="B184" t="s">
        <v>781</v>
      </c>
      <c r="C184" t="s">
        <v>1226</v>
      </c>
      <c r="D184" s="2">
        <v>44561</v>
      </c>
      <c r="E184">
        <v>0.5804492</v>
      </c>
      <c r="F184" s="2">
        <v>44617</v>
      </c>
      <c r="G184">
        <v>0.63358899999999996</v>
      </c>
      <c r="H184" s="3">
        <v>9.1499999999999998E-2</v>
      </c>
      <c r="I184">
        <v>25334.73</v>
      </c>
      <c r="J184" s="3">
        <v>8.9499999999999996E-2</v>
      </c>
      <c r="K184">
        <v>487903</v>
      </c>
    </row>
    <row r="185" spans="1:11" x14ac:dyDescent="0.3">
      <c r="A185" t="s">
        <v>217</v>
      </c>
      <c r="B185" t="s">
        <v>791</v>
      </c>
      <c r="C185" t="s">
        <v>1226</v>
      </c>
      <c r="D185" s="2">
        <v>44183</v>
      </c>
      <c r="E185">
        <v>2.4236149999999999</v>
      </c>
      <c r="F185" s="2">
        <v>44610</v>
      </c>
      <c r="G185">
        <v>4.2207800000000004</v>
      </c>
      <c r="H185" s="3">
        <v>0.74150000000000005</v>
      </c>
      <c r="I185">
        <v>188103.14</v>
      </c>
      <c r="J185" s="3">
        <v>0.73880000000000001</v>
      </c>
      <c r="K185">
        <v>105055</v>
      </c>
    </row>
    <row r="186" spans="1:11" x14ac:dyDescent="0.3">
      <c r="A186" t="s">
        <v>218</v>
      </c>
      <c r="B186" t="s">
        <v>792</v>
      </c>
      <c r="C186" t="s">
        <v>1226</v>
      </c>
      <c r="D186" s="2">
        <v>44568</v>
      </c>
      <c r="E186">
        <v>3.4</v>
      </c>
      <c r="F186" s="2">
        <v>44596</v>
      </c>
      <c r="G186">
        <v>2.96</v>
      </c>
      <c r="H186" s="3">
        <v>-0.12939999999999999</v>
      </c>
      <c r="I186">
        <v>-37946.85</v>
      </c>
      <c r="J186" s="3">
        <v>-0.1313</v>
      </c>
      <c r="K186">
        <v>85014</v>
      </c>
    </row>
    <row r="187" spans="1:11" x14ac:dyDescent="0.3">
      <c r="A187" t="s">
        <v>116</v>
      </c>
      <c r="B187" t="s">
        <v>349</v>
      </c>
      <c r="C187" t="s">
        <v>1226</v>
      </c>
      <c r="D187" s="2">
        <v>44498</v>
      </c>
      <c r="E187">
        <v>1.2050000000000001</v>
      </c>
      <c r="F187" s="2">
        <v>44596</v>
      </c>
      <c r="G187">
        <v>1.06</v>
      </c>
      <c r="H187" s="3">
        <v>-0.1203</v>
      </c>
      <c r="I187">
        <v>-36170.79</v>
      </c>
      <c r="J187" s="3">
        <v>-0.1222</v>
      </c>
      <c r="K187">
        <v>245617</v>
      </c>
    </row>
    <row r="188" spans="1:11" x14ac:dyDescent="0.3">
      <c r="A188" t="s">
        <v>219</v>
      </c>
      <c r="B188" t="s">
        <v>793</v>
      </c>
      <c r="C188" t="s">
        <v>1226</v>
      </c>
      <c r="D188" s="2">
        <v>44287</v>
      </c>
      <c r="E188">
        <v>3.635751</v>
      </c>
      <c r="F188" s="2">
        <v>44596</v>
      </c>
      <c r="G188">
        <v>6.8428250000000004</v>
      </c>
      <c r="H188" s="3">
        <v>0.8821</v>
      </c>
      <c r="I188">
        <v>225721.19</v>
      </c>
      <c r="J188" s="3">
        <v>0.87919999999999998</v>
      </c>
      <c r="K188">
        <v>70613</v>
      </c>
    </row>
    <row r="189" spans="1:11" x14ac:dyDescent="0.3">
      <c r="A189" t="s">
        <v>100</v>
      </c>
      <c r="B189" t="s">
        <v>376</v>
      </c>
      <c r="C189" t="s">
        <v>1226</v>
      </c>
      <c r="D189" s="2">
        <v>44582</v>
      </c>
      <c r="E189">
        <v>2.15</v>
      </c>
      <c r="F189" s="2">
        <v>44596</v>
      </c>
      <c r="G189">
        <v>1.865</v>
      </c>
      <c r="H189" s="3">
        <v>-0.1326</v>
      </c>
      <c r="I189">
        <v>-38305.47</v>
      </c>
      <c r="J189" s="3">
        <v>-0.13439999999999999</v>
      </c>
      <c r="K189">
        <v>132538</v>
      </c>
    </row>
    <row r="190" spans="1:11" x14ac:dyDescent="0.3">
      <c r="A190" t="s">
        <v>407</v>
      </c>
      <c r="B190" t="s">
        <v>794</v>
      </c>
      <c r="C190" t="s">
        <v>1226</v>
      </c>
      <c r="D190" s="2">
        <v>44575</v>
      </c>
      <c r="E190">
        <v>0.875</v>
      </c>
      <c r="F190" s="2">
        <v>44589</v>
      </c>
      <c r="G190">
        <v>0.70499999999999996</v>
      </c>
      <c r="H190" s="3">
        <v>-0.1943</v>
      </c>
      <c r="I190">
        <v>-55527.41</v>
      </c>
      <c r="J190" s="3">
        <v>-0.1961</v>
      </c>
      <c r="K190">
        <v>323624</v>
      </c>
    </row>
    <row r="191" spans="1:11" x14ac:dyDescent="0.3">
      <c r="A191" t="s">
        <v>87</v>
      </c>
      <c r="B191" t="s">
        <v>761</v>
      </c>
      <c r="C191" t="s">
        <v>1226</v>
      </c>
      <c r="D191" s="2">
        <v>44568</v>
      </c>
      <c r="E191">
        <v>1.8262780000000001</v>
      </c>
      <c r="F191" s="2">
        <v>44589</v>
      </c>
      <c r="G191">
        <v>1.7586379999999999</v>
      </c>
      <c r="H191" s="3">
        <v>-3.6999999999999998E-2</v>
      </c>
      <c r="I191">
        <v>-11271.84</v>
      </c>
      <c r="J191" s="3">
        <v>-3.9E-2</v>
      </c>
      <c r="K191">
        <v>158257</v>
      </c>
    </row>
    <row r="192" spans="1:11" x14ac:dyDescent="0.3">
      <c r="A192" t="s">
        <v>408</v>
      </c>
      <c r="B192" t="s">
        <v>795</v>
      </c>
      <c r="C192" t="s">
        <v>1226</v>
      </c>
      <c r="D192" s="2">
        <v>44568</v>
      </c>
      <c r="E192">
        <v>2.5</v>
      </c>
      <c r="F192" s="2">
        <v>44589</v>
      </c>
      <c r="G192">
        <v>2.52</v>
      </c>
      <c r="H192" s="3">
        <v>8.0000000000000002E-3</v>
      </c>
      <c r="I192">
        <v>1732.32</v>
      </c>
      <c r="J192" s="3">
        <v>6.0000000000000001E-3</v>
      </c>
      <c r="K192">
        <v>115642</v>
      </c>
    </row>
    <row r="193" spans="1:11" x14ac:dyDescent="0.3">
      <c r="A193" t="s">
        <v>220</v>
      </c>
      <c r="B193" t="s">
        <v>796</v>
      </c>
      <c r="C193" t="s">
        <v>1226</v>
      </c>
      <c r="D193" s="2">
        <v>44561</v>
      </c>
      <c r="E193">
        <v>0.875</v>
      </c>
      <c r="F193" s="2">
        <v>44589</v>
      </c>
      <c r="G193">
        <v>0.745</v>
      </c>
      <c r="H193" s="3">
        <v>-0.14860000000000001</v>
      </c>
      <c r="I193">
        <v>-42604.21</v>
      </c>
      <c r="J193" s="3">
        <v>-0.15040000000000001</v>
      </c>
      <c r="K193">
        <v>323691</v>
      </c>
    </row>
    <row r="194" spans="1:11" x14ac:dyDescent="0.3">
      <c r="A194" t="s">
        <v>166</v>
      </c>
      <c r="B194" t="s">
        <v>714</v>
      </c>
      <c r="C194" t="s">
        <v>1226</v>
      </c>
      <c r="D194" s="2">
        <v>44561</v>
      </c>
      <c r="E194">
        <v>2.38</v>
      </c>
      <c r="F194" s="2">
        <v>44589</v>
      </c>
      <c r="G194">
        <v>2.0499999999999998</v>
      </c>
      <c r="H194" s="3">
        <v>-0.13869999999999999</v>
      </c>
      <c r="I194">
        <v>-39802.19</v>
      </c>
      <c r="J194" s="3">
        <v>-0.14050000000000001</v>
      </c>
      <c r="K194">
        <v>119015</v>
      </c>
    </row>
    <row r="195" spans="1:11" x14ac:dyDescent="0.3">
      <c r="A195" t="s">
        <v>140</v>
      </c>
      <c r="B195" t="s">
        <v>686</v>
      </c>
      <c r="C195" t="s">
        <v>1226</v>
      </c>
      <c r="D195" s="2">
        <v>44287</v>
      </c>
      <c r="E195">
        <v>4.7091250000000002</v>
      </c>
      <c r="F195" s="2">
        <v>44589</v>
      </c>
      <c r="G195">
        <v>7.1156259999999998</v>
      </c>
      <c r="H195" s="3">
        <v>0.51100000000000001</v>
      </c>
      <c r="I195">
        <v>130526.62</v>
      </c>
      <c r="J195" s="3">
        <v>0.50849999999999995</v>
      </c>
      <c r="K195">
        <v>54507</v>
      </c>
    </row>
    <row r="196" spans="1:11" x14ac:dyDescent="0.3">
      <c r="A196" t="s">
        <v>221</v>
      </c>
      <c r="B196" t="s">
        <v>797</v>
      </c>
      <c r="C196" t="s">
        <v>1226</v>
      </c>
      <c r="D196" s="2">
        <v>44498</v>
      </c>
      <c r="E196">
        <v>1.4670840000000001</v>
      </c>
      <c r="F196" s="2">
        <v>44582</v>
      </c>
      <c r="G196">
        <v>1.3474839999999999</v>
      </c>
      <c r="H196" s="3">
        <v>-8.1500000000000003E-2</v>
      </c>
      <c r="I196">
        <v>-24691.14</v>
      </c>
      <c r="J196" s="3">
        <v>-8.3400000000000002E-2</v>
      </c>
      <c r="K196">
        <v>201701</v>
      </c>
    </row>
    <row r="197" spans="1:11" x14ac:dyDescent="0.3">
      <c r="A197" t="s">
        <v>222</v>
      </c>
      <c r="B197" t="s">
        <v>798</v>
      </c>
      <c r="C197" t="s">
        <v>1226</v>
      </c>
      <c r="D197" s="2">
        <v>43994</v>
      </c>
      <c r="E197">
        <v>1.5113529999999999</v>
      </c>
      <c r="F197" s="2">
        <v>44554</v>
      </c>
      <c r="G197">
        <v>0.27500000000000002</v>
      </c>
      <c r="H197" s="3">
        <v>-0.81799999999999995</v>
      </c>
      <c r="I197">
        <v>-164280.04</v>
      </c>
      <c r="J197" s="3">
        <v>-0.81920000000000004</v>
      </c>
      <c r="K197">
        <v>132683</v>
      </c>
    </row>
    <row r="198" spans="1:11" x14ac:dyDescent="0.3">
      <c r="A198" t="s">
        <v>223</v>
      </c>
      <c r="B198" t="s">
        <v>799</v>
      </c>
      <c r="C198" t="s">
        <v>1226</v>
      </c>
      <c r="D198" s="2">
        <v>44498</v>
      </c>
      <c r="E198">
        <v>11.65185</v>
      </c>
      <c r="F198" s="2">
        <v>44547</v>
      </c>
      <c r="G198">
        <v>11.57606</v>
      </c>
      <c r="H198" s="3">
        <v>-6.4999999999999997E-3</v>
      </c>
      <c r="I198">
        <v>-2515.5500000000002</v>
      </c>
      <c r="J198" s="3">
        <v>-8.5000000000000006E-3</v>
      </c>
      <c r="K198">
        <v>25405</v>
      </c>
    </row>
    <row r="199" spans="1:11" x14ac:dyDescent="0.3">
      <c r="A199" t="s">
        <v>400</v>
      </c>
      <c r="B199" t="s">
        <v>758</v>
      </c>
      <c r="C199" t="s">
        <v>1226</v>
      </c>
      <c r="D199" s="2">
        <v>44148</v>
      </c>
      <c r="E199">
        <v>1.4888140000000001</v>
      </c>
      <c r="F199" s="2">
        <v>44540</v>
      </c>
      <c r="G199">
        <v>1.8759520000000001</v>
      </c>
      <c r="H199" s="3">
        <v>0.26</v>
      </c>
      <c r="I199">
        <v>61198.78</v>
      </c>
      <c r="J199" s="3">
        <v>0.25779999999999997</v>
      </c>
      <c r="K199">
        <v>159466</v>
      </c>
    </row>
    <row r="200" spans="1:11" x14ac:dyDescent="0.3">
      <c r="A200" t="s">
        <v>224</v>
      </c>
      <c r="B200" t="s">
        <v>800</v>
      </c>
      <c r="C200" t="s">
        <v>1226</v>
      </c>
      <c r="D200" s="2">
        <v>44512</v>
      </c>
      <c r="E200">
        <v>8.6199999999999992</v>
      </c>
      <c r="F200" s="2">
        <v>44540</v>
      </c>
      <c r="G200">
        <v>8.0399999999999991</v>
      </c>
      <c r="H200" s="3">
        <v>-6.7299999999999999E-2</v>
      </c>
      <c r="I200">
        <v>-20939.189999999999</v>
      </c>
      <c r="J200" s="3">
        <v>-6.9199999999999998E-2</v>
      </c>
      <c r="K200">
        <v>35094</v>
      </c>
    </row>
    <row r="201" spans="1:11" x14ac:dyDescent="0.3">
      <c r="A201" t="s">
        <v>62</v>
      </c>
      <c r="B201" t="s">
        <v>801</v>
      </c>
      <c r="C201" t="s">
        <v>1226</v>
      </c>
      <c r="D201" s="2">
        <v>44498</v>
      </c>
      <c r="E201">
        <v>1.7350000000000001</v>
      </c>
      <c r="F201" s="2">
        <v>44540</v>
      </c>
      <c r="G201">
        <v>1.59</v>
      </c>
      <c r="H201" s="3">
        <v>-8.3599999999999994E-2</v>
      </c>
      <c r="I201">
        <v>-25309.58</v>
      </c>
      <c r="J201" s="3">
        <v>-8.5500000000000007E-2</v>
      </c>
      <c r="K201">
        <v>170636</v>
      </c>
    </row>
    <row r="202" spans="1:11" x14ac:dyDescent="0.3">
      <c r="A202" t="s">
        <v>225</v>
      </c>
      <c r="B202" t="s">
        <v>802</v>
      </c>
      <c r="C202" t="s">
        <v>1226</v>
      </c>
      <c r="D202" s="2">
        <v>44512</v>
      </c>
      <c r="E202">
        <v>0.81</v>
      </c>
      <c r="F202" s="2">
        <v>44533</v>
      </c>
      <c r="G202">
        <v>0.61</v>
      </c>
      <c r="H202" s="3">
        <v>-0.24690000000000001</v>
      </c>
      <c r="I202">
        <v>-75211.64</v>
      </c>
      <c r="J202" s="3">
        <v>-0.2487</v>
      </c>
      <c r="K202">
        <v>373407</v>
      </c>
    </row>
    <row r="203" spans="1:11" x14ac:dyDescent="0.3">
      <c r="A203" t="s">
        <v>407</v>
      </c>
      <c r="B203" t="s">
        <v>794</v>
      </c>
      <c r="C203" t="s">
        <v>1226</v>
      </c>
      <c r="D203" s="2">
        <v>44512</v>
      </c>
      <c r="E203">
        <v>0.55000000000000004</v>
      </c>
      <c r="F203" s="2">
        <v>44533</v>
      </c>
      <c r="G203">
        <v>0.54500000000000004</v>
      </c>
      <c r="H203" s="3">
        <v>-9.1000000000000004E-3</v>
      </c>
      <c r="I203">
        <v>-3352.12</v>
      </c>
      <c r="J203" s="3">
        <v>-1.11E-2</v>
      </c>
      <c r="K203">
        <v>549979</v>
      </c>
    </row>
    <row r="204" spans="1:11" x14ac:dyDescent="0.3">
      <c r="A204" t="s">
        <v>226</v>
      </c>
      <c r="B204" t="s">
        <v>803</v>
      </c>
      <c r="C204" t="s">
        <v>1226</v>
      </c>
      <c r="D204" s="2">
        <v>44498</v>
      </c>
      <c r="E204">
        <v>6.0535800000000002</v>
      </c>
      <c r="F204" s="2">
        <v>44533</v>
      </c>
      <c r="G204">
        <v>4.9115710000000004</v>
      </c>
      <c r="H204" s="3">
        <v>-0.18870000000000001</v>
      </c>
      <c r="I204">
        <v>-56364.29</v>
      </c>
      <c r="J204" s="3">
        <v>-0.1905</v>
      </c>
      <c r="K204">
        <v>48886</v>
      </c>
    </row>
    <row r="205" spans="1:11" x14ac:dyDescent="0.3">
      <c r="A205" t="s">
        <v>84</v>
      </c>
      <c r="B205" t="s">
        <v>732</v>
      </c>
      <c r="C205" t="s">
        <v>1226</v>
      </c>
      <c r="D205" s="2">
        <v>44379</v>
      </c>
      <c r="E205">
        <v>2.2799999999999998</v>
      </c>
      <c r="F205" s="2">
        <v>44533</v>
      </c>
      <c r="G205">
        <v>2.12</v>
      </c>
      <c r="H205" s="3">
        <v>-7.0199999999999999E-2</v>
      </c>
      <c r="I205">
        <v>-20066.990000000002</v>
      </c>
      <c r="J205" s="3">
        <v>-7.2099999999999997E-2</v>
      </c>
      <c r="K205">
        <v>122062</v>
      </c>
    </row>
    <row r="206" spans="1:11" x14ac:dyDescent="0.3">
      <c r="A206" t="s">
        <v>137</v>
      </c>
      <c r="B206" t="s">
        <v>683</v>
      </c>
      <c r="C206" t="s">
        <v>1226</v>
      </c>
      <c r="D206" s="2">
        <v>44519</v>
      </c>
      <c r="E206">
        <v>1.77</v>
      </c>
      <c r="F206" s="2">
        <v>44533</v>
      </c>
      <c r="G206">
        <v>1.54</v>
      </c>
      <c r="H206" s="3">
        <v>-0.12989999999999999</v>
      </c>
      <c r="I206">
        <v>-39077.33</v>
      </c>
      <c r="J206" s="3">
        <v>-0.1318</v>
      </c>
      <c r="K206">
        <v>167491</v>
      </c>
    </row>
    <row r="207" spans="1:11" x14ac:dyDescent="0.3">
      <c r="A207" t="s">
        <v>409</v>
      </c>
      <c r="B207" t="s">
        <v>804</v>
      </c>
      <c r="C207" t="s">
        <v>1226</v>
      </c>
      <c r="D207" s="2">
        <v>44274</v>
      </c>
      <c r="E207">
        <v>4.707281</v>
      </c>
      <c r="F207" s="2">
        <v>44519</v>
      </c>
      <c r="G207">
        <v>4.3608399999999996</v>
      </c>
      <c r="H207" s="3">
        <v>-7.3599999999999999E-2</v>
      </c>
      <c r="I207">
        <v>-19633.7</v>
      </c>
      <c r="J207" s="3">
        <v>-7.5499999999999998E-2</v>
      </c>
      <c r="K207">
        <v>55227</v>
      </c>
    </row>
    <row r="208" spans="1:11" x14ac:dyDescent="0.3">
      <c r="A208" t="s">
        <v>207</v>
      </c>
      <c r="B208" t="s">
        <v>775</v>
      </c>
      <c r="C208" t="s">
        <v>1226</v>
      </c>
      <c r="D208" s="2">
        <v>44337</v>
      </c>
      <c r="E208">
        <v>2.7159170000000001</v>
      </c>
      <c r="F208" s="2">
        <v>44519</v>
      </c>
      <c r="G208">
        <v>2.5254099999999999</v>
      </c>
      <c r="H208" s="3">
        <v>-7.0099999999999996E-2</v>
      </c>
      <c r="I208">
        <v>-19313.509999999998</v>
      </c>
      <c r="J208" s="3">
        <v>-7.2099999999999997E-2</v>
      </c>
      <c r="K208">
        <v>98665</v>
      </c>
    </row>
    <row r="209" spans="1:11" x14ac:dyDescent="0.3">
      <c r="A209" t="s">
        <v>90</v>
      </c>
      <c r="B209" t="s">
        <v>691</v>
      </c>
      <c r="C209" t="s">
        <v>1226</v>
      </c>
      <c r="D209" s="2">
        <v>44379</v>
      </c>
      <c r="E209">
        <v>6.4415690000000003</v>
      </c>
      <c r="F209" s="2">
        <v>44512</v>
      </c>
      <c r="G209">
        <v>6.6446810000000003</v>
      </c>
      <c r="H209" s="3">
        <v>3.15E-2</v>
      </c>
      <c r="I209">
        <v>8211.39</v>
      </c>
      <c r="J209" s="3">
        <v>2.9499999999999998E-2</v>
      </c>
      <c r="K209">
        <v>43212</v>
      </c>
    </row>
    <row r="210" spans="1:11" x14ac:dyDescent="0.3">
      <c r="A210" t="s">
        <v>410</v>
      </c>
      <c r="B210" t="s">
        <v>805</v>
      </c>
      <c r="C210" t="s">
        <v>1226</v>
      </c>
      <c r="D210" s="2">
        <v>44106</v>
      </c>
      <c r="E210">
        <v>0.84581139999999999</v>
      </c>
      <c r="F210" s="2">
        <v>44498</v>
      </c>
      <c r="G210">
        <v>1.1499999999999999</v>
      </c>
      <c r="H210" s="3">
        <v>0.35959999999999998</v>
      </c>
      <c r="I210">
        <v>84859.97</v>
      </c>
      <c r="J210" s="3">
        <v>0.35730000000000001</v>
      </c>
      <c r="K210">
        <v>280814</v>
      </c>
    </row>
    <row r="211" spans="1:11" x14ac:dyDescent="0.3">
      <c r="A211" t="s">
        <v>225</v>
      </c>
      <c r="B211" t="s">
        <v>802</v>
      </c>
      <c r="C211" t="s">
        <v>1226</v>
      </c>
      <c r="D211" s="2">
        <v>44449</v>
      </c>
      <c r="E211">
        <v>0.64</v>
      </c>
      <c r="F211" s="2">
        <v>44484</v>
      </c>
      <c r="G211">
        <v>0.58499999999999996</v>
      </c>
      <c r="H211" s="3">
        <v>-8.5900000000000004E-2</v>
      </c>
      <c r="I211">
        <v>-26465.439999999999</v>
      </c>
      <c r="J211" s="3">
        <v>-8.7900000000000006E-2</v>
      </c>
      <c r="K211">
        <v>470706</v>
      </c>
    </row>
    <row r="212" spans="1:11" x14ac:dyDescent="0.3">
      <c r="A212" t="s">
        <v>411</v>
      </c>
      <c r="B212" t="s">
        <v>806</v>
      </c>
      <c r="C212" t="s">
        <v>1226</v>
      </c>
      <c r="D212" s="2">
        <v>44379</v>
      </c>
      <c r="E212">
        <v>2.08</v>
      </c>
      <c r="F212" s="2">
        <v>44483</v>
      </c>
      <c r="G212">
        <v>2.5</v>
      </c>
      <c r="H212" s="3">
        <v>0.2019</v>
      </c>
      <c r="I212">
        <v>55588.18</v>
      </c>
      <c r="J212" s="3">
        <v>0.19969999999999999</v>
      </c>
      <c r="K212">
        <v>133812</v>
      </c>
    </row>
    <row r="213" spans="1:11" x14ac:dyDescent="0.3">
      <c r="A213" t="s">
        <v>189</v>
      </c>
      <c r="B213" t="s">
        <v>744</v>
      </c>
      <c r="C213" t="s">
        <v>1226</v>
      </c>
      <c r="D213" s="2">
        <v>44287</v>
      </c>
      <c r="E213">
        <v>1.52</v>
      </c>
      <c r="F213" s="2">
        <v>44477</v>
      </c>
      <c r="G213">
        <v>3.09</v>
      </c>
      <c r="H213" s="3">
        <v>1.0328999999999999</v>
      </c>
      <c r="I213">
        <v>264424.11</v>
      </c>
      <c r="J213" s="3">
        <v>1.0299</v>
      </c>
      <c r="K213">
        <v>168919</v>
      </c>
    </row>
    <row r="214" spans="1:11" x14ac:dyDescent="0.3">
      <c r="A214" t="s">
        <v>170</v>
      </c>
      <c r="B214" t="s">
        <v>718</v>
      </c>
      <c r="C214" t="s">
        <v>1226</v>
      </c>
      <c r="D214" s="2">
        <v>44400</v>
      </c>
      <c r="E214">
        <v>10.08</v>
      </c>
      <c r="F214" s="2">
        <v>44470</v>
      </c>
      <c r="G214">
        <v>13.59</v>
      </c>
      <c r="H214" s="3">
        <v>0.34820000000000001</v>
      </c>
      <c r="I214">
        <v>96247.11</v>
      </c>
      <c r="J214" s="3">
        <v>0.34589999999999999</v>
      </c>
      <c r="K214">
        <v>27607</v>
      </c>
    </row>
    <row r="215" spans="1:11" x14ac:dyDescent="0.3">
      <c r="A215" t="s">
        <v>227</v>
      </c>
      <c r="B215" t="s">
        <v>807</v>
      </c>
      <c r="C215" t="s">
        <v>1226</v>
      </c>
      <c r="D215" s="2">
        <v>44456</v>
      </c>
      <c r="E215">
        <v>3.3386100000000001</v>
      </c>
      <c r="F215" s="2">
        <v>44470</v>
      </c>
      <c r="G215">
        <v>2.8203779999999998</v>
      </c>
      <c r="H215" s="3">
        <v>-0.1552</v>
      </c>
      <c r="I215">
        <v>-47337.82</v>
      </c>
      <c r="J215" s="3">
        <v>-0.15709999999999999</v>
      </c>
      <c r="K215">
        <v>90272</v>
      </c>
    </row>
    <row r="216" spans="1:11" x14ac:dyDescent="0.3">
      <c r="A216" t="s">
        <v>87</v>
      </c>
      <c r="B216" t="s">
        <v>761</v>
      </c>
      <c r="C216" t="s">
        <v>1226</v>
      </c>
      <c r="D216" s="2">
        <v>44407</v>
      </c>
      <c r="E216">
        <v>1.25617</v>
      </c>
      <c r="F216" s="2">
        <v>44470</v>
      </c>
      <c r="G216">
        <v>1.1208899999999999</v>
      </c>
      <c r="H216" s="3">
        <v>-0.1077</v>
      </c>
      <c r="I216">
        <v>-30644.53</v>
      </c>
      <c r="J216" s="3">
        <v>-0.1096</v>
      </c>
      <c r="K216">
        <v>222615</v>
      </c>
    </row>
    <row r="217" spans="1:11" x14ac:dyDescent="0.3">
      <c r="A217" t="s">
        <v>226</v>
      </c>
      <c r="B217" t="s">
        <v>803</v>
      </c>
      <c r="C217" t="s">
        <v>1226</v>
      </c>
      <c r="D217" s="2">
        <v>44274</v>
      </c>
      <c r="E217">
        <v>5.28688</v>
      </c>
      <c r="F217" s="2">
        <v>44456</v>
      </c>
      <c r="G217">
        <v>5.0415549999999998</v>
      </c>
      <c r="H217" s="3">
        <v>-4.6399999999999997E-2</v>
      </c>
      <c r="I217">
        <v>-12572.27</v>
      </c>
      <c r="J217" s="3">
        <v>-4.8399999999999999E-2</v>
      </c>
      <c r="K217">
        <v>49177</v>
      </c>
    </row>
    <row r="218" spans="1:11" x14ac:dyDescent="0.3">
      <c r="A218" t="s">
        <v>228</v>
      </c>
      <c r="B218" t="s">
        <v>808</v>
      </c>
      <c r="C218" t="s">
        <v>1226</v>
      </c>
      <c r="D218" s="2">
        <v>44287</v>
      </c>
      <c r="E218">
        <v>0.65</v>
      </c>
      <c r="F218" s="2">
        <v>44449</v>
      </c>
      <c r="G218">
        <v>0.75999989999999995</v>
      </c>
      <c r="H218" s="3">
        <v>0.16919999999999999</v>
      </c>
      <c r="I218">
        <v>42886.1</v>
      </c>
      <c r="J218" s="3">
        <v>0.1671</v>
      </c>
      <c r="K218">
        <v>394936</v>
      </c>
    </row>
    <row r="219" spans="1:11" x14ac:dyDescent="0.3">
      <c r="A219" t="s">
        <v>229</v>
      </c>
      <c r="B219" t="s">
        <v>809</v>
      </c>
      <c r="C219" t="s">
        <v>1226</v>
      </c>
      <c r="D219" s="2">
        <v>44295</v>
      </c>
      <c r="E219">
        <v>0.62226499999999996</v>
      </c>
      <c r="F219" s="2">
        <v>44407</v>
      </c>
      <c r="G219">
        <v>0.63394079999999997</v>
      </c>
      <c r="H219" s="3">
        <v>1.8800000000000001E-2</v>
      </c>
      <c r="I219">
        <v>4347.1000000000004</v>
      </c>
      <c r="J219" s="3">
        <v>1.67E-2</v>
      </c>
      <c r="K219">
        <v>417204</v>
      </c>
    </row>
    <row r="220" spans="1:11" x14ac:dyDescent="0.3">
      <c r="A220" t="s">
        <v>230</v>
      </c>
      <c r="B220" t="s">
        <v>810</v>
      </c>
      <c r="C220" t="s">
        <v>1226</v>
      </c>
      <c r="D220" s="2">
        <v>44295</v>
      </c>
      <c r="E220">
        <v>1.165</v>
      </c>
      <c r="F220" s="2">
        <v>44400</v>
      </c>
      <c r="G220">
        <v>0.96</v>
      </c>
      <c r="H220" s="3">
        <v>-0.17599999999999999</v>
      </c>
      <c r="I220">
        <v>-46169.41</v>
      </c>
      <c r="J220" s="3">
        <v>-0.17780000000000001</v>
      </c>
      <c r="K220">
        <v>222906</v>
      </c>
    </row>
    <row r="221" spans="1:11" x14ac:dyDescent="0.3">
      <c r="A221" t="s">
        <v>174</v>
      </c>
      <c r="B221" t="s">
        <v>723</v>
      </c>
      <c r="C221" t="s">
        <v>1226</v>
      </c>
      <c r="D221" s="2">
        <v>44295</v>
      </c>
      <c r="E221">
        <v>7.5603559999999996</v>
      </c>
      <c r="F221" s="2">
        <v>44379</v>
      </c>
      <c r="G221">
        <v>5.9779549999999997</v>
      </c>
      <c r="H221" s="3">
        <v>-0.20930000000000001</v>
      </c>
      <c r="I221">
        <v>-54796.58</v>
      </c>
      <c r="J221" s="3">
        <v>-0.21110000000000001</v>
      </c>
      <c r="K221">
        <v>34335</v>
      </c>
    </row>
    <row r="222" spans="1:11" x14ac:dyDescent="0.3">
      <c r="A222" t="s">
        <v>231</v>
      </c>
      <c r="B222" t="s">
        <v>811</v>
      </c>
      <c r="C222" t="s">
        <v>1226</v>
      </c>
      <c r="D222" s="2">
        <v>44295</v>
      </c>
      <c r="E222">
        <v>5.5283769999999999</v>
      </c>
      <c r="F222" s="2">
        <v>44379</v>
      </c>
      <c r="G222">
        <v>7.3155260000000002</v>
      </c>
      <c r="H222" s="3">
        <v>0.32329999999999998</v>
      </c>
      <c r="I222">
        <v>83328.460000000006</v>
      </c>
      <c r="J222" s="3">
        <v>0.32090000000000002</v>
      </c>
      <c r="K222">
        <v>46964</v>
      </c>
    </row>
    <row r="223" spans="1:11" x14ac:dyDescent="0.3">
      <c r="A223" t="s">
        <v>232</v>
      </c>
      <c r="B223" t="s">
        <v>812</v>
      </c>
      <c r="C223" t="s">
        <v>1226</v>
      </c>
      <c r="D223" s="2">
        <v>44295</v>
      </c>
      <c r="E223">
        <v>1.669529</v>
      </c>
      <c r="F223" s="2">
        <v>44379</v>
      </c>
      <c r="G223">
        <v>1.5163960000000001</v>
      </c>
      <c r="H223" s="3">
        <v>-9.1700000000000004E-2</v>
      </c>
      <c r="I223">
        <v>-24312.13</v>
      </c>
      <c r="J223" s="3">
        <v>-9.3600000000000003E-2</v>
      </c>
      <c r="K223">
        <v>155529</v>
      </c>
    </row>
    <row r="224" spans="1:11" x14ac:dyDescent="0.3">
      <c r="A224" t="s">
        <v>233</v>
      </c>
      <c r="B224" t="s">
        <v>813</v>
      </c>
      <c r="C224" t="s">
        <v>1226</v>
      </c>
      <c r="D224" s="2">
        <v>44287</v>
      </c>
      <c r="E224">
        <v>17.339300000000001</v>
      </c>
      <c r="F224" s="2">
        <v>44379</v>
      </c>
      <c r="G224">
        <v>15.497960000000001</v>
      </c>
      <c r="H224" s="3">
        <v>-0.1062</v>
      </c>
      <c r="I224">
        <v>-27754.69</v>
      </c>
      <c r="J224" s="3">
        <v>-0.1081</v>
      </c>
      <c r="K224">
        <v>14809</v>
      </c>
    </row>
    <row r="225" spans="1:11" x14ac:dyDescent="0.3">
      <c r="A225" t="s">
        <v>412</v>
      </c>
      <c r="B225" t="s">
        <v>814</v>
      </c>
      <c r="C225" t="s">
        <v>1226</v>
      </c>
      <c r="D225" s="2">
        <v>44008</v>
      </c>
      <c r="E225">
        <v>0.79257610000000001</v>
      </c>
      <c r="F225" s="2">
        <v>44378</v>
      </c>
      <c r="G225">
        <v>1.295094</v>
      </c>
      <c r="H225" s="3">
        <v>0.63400000000000001</v>
      </c>
      <c r="I225">
        <v>129501.84</v>
      </c>
      <c r="J225" s="3">
        <v>0.63139999999999996</v>
      </c>
      <c r="K225">
        <v>258781</v>
      </c>
    </row>
    <row r="226" spans="1:11" x14ac:dyDescent="0.3">
      <c r="A226" t="s">
        <v>408</v>
      </c>
      <c r="B226" t="s">
        <v>795</v>
      </c>
      <c r="C226" t="s">
        <v>1226</v>
      </c>
      <c r="D226" s="2">
        <v>44323</v>
      </c>
      <c r="E226">
        <v>2.46</v>
      </c>
      <c r="F226" s="2">
        <v>44337</v>
      </c>
      <c r="G226">
        <v>1.3</v>
      </c>
      <c r="H226" s="3">
        <v>-0.47149999999999997</v>
      </c>
      <c r="I226">
        <v>-128868.96</v>
      </c>
      <c r="J226" s="3">
        <v>-0.47310000000000002</v>
      </c>
      <c r="K226">
        <v>110735</v>
      </c>
    </row>
    <row r="227" spans="1:11" x14ac:dyDescent="0.3">
      <c r="A227" t="s">
        <v>107</v>
      </c>
      <c r="B227" t="s">
        <v>735</v>
      </c>
      <c r="C227" t="s">
        <v>1226</v>
      </c>
      <c r="D227" s="2">
        <v>44239</v>
      </c>
      <c r="E227">
        <v>0.62782360000000004</v>
      </c>
      <c r="F227" s="2">
        <v>44323</v>
      </c>
      <c r="G227">
        <v>0.54604830000000004</v>
      </c>
      <c r="H227" s="3">
        <v>-0.1303</v>
      </c>
      <c r="I227">
        <v>-35447.08</v>
      </c>
      <c r="J227" s="3">
        <v>-0.1321</v>
      </c>
      <c r="K227">
        <v>427335</v>
      </c>
    </row>
    <row r="228" spans="1:11" x14ac:dyDescent="0.3">
      <c r="A228" t="s">
        <v>234</v>
      </c>
      <c r="B228" t="s">
        <v>815</v>
      </c>
      <c r="C228" t="s">
        <v>1226</v>
      </c>
      <c r="D228" s="2">
        <v>44148</v>
      </c>
      <c r="E228">
        <v>3.3864899999999998</v>
      </c>
      <c r="F228" s="2">
        <v>44287</v>
      </c>
      <c r="G228">
        <v>3.503587</v>
      </c>
      <c r="H228" s="3">
        <v>3.4599999999999999E-2</v>
      </c>
      <c r="I228">
        <v>7724.73</v>
      </c>
      <c r="J228" s="3">
        <v>3.2500000000000001E-2</v>
      </c>
      <c r="K228">
        <v>70093</v>
      </c>
    </row>
    <row r="229" spans="1:11" x14ac:dyDescent="0.3">
      <c r="A229" t="s">
        <v>69</v>
      </c>
      <c r="B229" t="s">
        <v>816</v>
      </c>
      <c r="C229" t="s">
        <v>1226</v>
      </c>
      <c r="D229" s="2">
        <v>44148</v>
      </c>
      <c r="E229">
        <v>3.4930080000000001</v>
      </c>
      <c r="F229" s="2">
        <v>44287</v>
      </c>
      <c r="G229">
        <v>4.6277920000000003</v>
      </c>
      <c r="H229" s="3">
        <v>0.32490000000000002</v>
      </c>
      <c r="I229">
        <v>76584.929999999993</v>
      </c>
      <c r="J229" s="3">
        <v>0.32250000000000001</v>
      </c>
      <c r="K229">
        <v>67975</v>
      </c>
    </row>
    <row r="230" spans="1:11" x14ac:dyDescent="0.3">
      <c r="A230" t="s">
        <v>235</v>
      </c>
      <c r="B230" t="s">
        <v>817</v>
      </c>
      <c r="C230" t="s">
        <v>1226</v>
      </c>
      <c r="D230" s="2">
        <v>44232</v>
      </c>
      <c r="E230">
        <v>0.66132930000000001</v>
      </c>
      <c r="F230" s="2">
        <v>44281</v>
      </c>
      <c r="G230">
        <v>0.63472110000000004</v>
      </c>
      <c r="H230" s="3">
        <v>-4.02E-2</v>
      </c>
      <c r="I230">
        <v>-10873.06</v>
      </c>
      <c r="J230" s="3">
        <v>-4.2200000000000001E-2</v>
      </c>
      <c r="K230">
        <v>389656</v>
      </c>
    </row>
    <row r="231" spans="1:11" x14ac:dyDescent="0.3">
      <c r="A231" t="s">
        <v>66</v>
      </c>
      <c r="B231" t="s">
        <v>818</v>
      </c>
      <c r="C231" t="s">
        <v>1226</v>
      </c>
      <c r="D231" s="2">
        <v>44148</v>
      </c>
      <c r="E231">
        <v>2.4900000000000002</v>
      </c>
      <c r="F231" s="2">
        <v>44267</v>
      </c>
      <c r="G231">
        <v>3.71</v>
      </c>
      <c r="H231" s="3">
        <v>0.49</v>
      </c>
      <c r="I231">
        <v>115764.96</v>
      </c>
      <c r="J231" s="3">
        <v>0.48749999999999999</v>
      </c>
      <c r="K231">
        <v>95374</v>
      </c>
    </row>
    <row r="232" spans="1:11" x14ac:dyDescent="0.3">
      <c r="A232" t="s">
        <v>219</v>
      </c>
      <c r="B232" t="s">
        <v>793</v>
      </c>
      <c r="C232" t="s">
        <v>1226</v>
      </c>
      <c r="D232" s="2">
        <v>44148</v>
      </c>
      <c r="E232">
        <v>3.0967699999999998</v>
      </c>
      <c r="F232" s="2">
        <v>44267</v>
      </c>
      <c r="G232">
        <v>3.1635759999999999</v>
      </c>
      <c r="H232" s="3">
        <v>2.1600000000000001E-2</v>
      </c>
      <c r="I232">
        <v>4643.49</v>
      </c>
      <c r="J232" s="3">
        <v>1.9599999999999999E-2</v>
      </c>
      <c r="K232">
        <v>76694</v>
      </c>
    </row>
    <row r="233" spans="1:11" x14ac:dyDescent="0.3">
      <c r="A233" t="s">
        <v>173</v>
      </c>
      <c r="B233" t="s">
        <v>722</v>
      </c>
      <c r="C233" t="s">
        <v>1226</v>
      </c>
      <c r="D233" s="2">
        <v>44008</v>
      </c>
      <c r="E233">
        <v>0.92753620000000003</v>
      </c>
      <c r="F233" s="2">
        <v>44267</v>
      </c>
      <c r="G233">
        <v>1.423899</v>
      </c>
      <c r="H233" s="3">
        <v>0.53510000000000002</v>
      </c>
      <c r="I233">
        <v>109208.13</v>
      </c>
      <c r="J233" s="3">
        <v>0.53259999999999996</v>
      </c>
      <c r="K233">
        <v>221064</v>
      </c>
    </row>
    <row r="234" spans="1:11" x14ac:dyDescent="0.3">
      <c r="A234" t="s">
        <v>236</v>
      </c>
      <c r="B234" t="s">
        <v>819</v>
      </c>
      <c r="C234" t="s">
        <v>1226</v>
      </c>
      <c r="D234" s="2">
        <v>44253</v>
      </c>
      <c r="E234">
        <v>0.54</v>
      </c>
      <c r="F234" s="2">
        <v>44267</v>
      </c>
      <c r="G234">
        <v>0.505</v>
      </c>
      <c r="H234" s="3">
        <v>-6.4799999999999996E-2</v>
      </c>
      <c r="I234">
        <v>-18053.79</v>
      </c>
      <c r="J234" s="3">
        <v>-6.6799999999999998E-2</v>
      </c>
      <c r="K234">
        <v>500868</v>
      </c>
    </row>
    <row r="235" spans="1:11" x14ac:dyDescent="0.3">
      <c r="A235" t="s">
        <v>237</v>
      </c>
      <c r="B235" t="s">
        <v>820</v>
      </c>
      <c r="C235" t="s">
        <v>1226</v>
      </c>
      <c r="D235" s="2">
        <v>44189</v>
      </c>
      <c r="E235">
        <v>6.23</v>
      </c>
      <c r="F235" s="2">
        <v>44260</v>
      </c>
      <c r="G235">
        <v>5.07</v>
      </c>
      <c r="H235" s="3">
        <v>-0.1862</v>
      </c>
      <c r="I235">
        <v>-48642.92</v>
      </c>
      <c r="J235" s="3">
        <v>-0.188</v>
      </c>
      <c r="K235">
        <v>41529</v>
      </c>
    </row>
    <row r="236" spans="1:11" x14ac:dyDescent="0.3">
      <c r="A236" t="s">
        <v>238</v>
      </c>
      <c r="B236" t="s">
        <v>821</v>
      </c>
      <c r="C236" t="s">
        <v>1226</v>
      </c>
      <c r="D236" s="2">
        <v>44155</v>
      </c>
      <c r="E236">
        <v>1.5139990000000001</v>
      </c>
      <c r="F236" s="2">
        <v>44260</v>
      </c>
      <c r="G236">
        <v>1.8715759999999999</v>
      </c>
      <c r="H236" s="3">
        <v>0.23619999999999999</v>
      </c>
      <c r="I236">
        <v>56063.19</v>
      </c>
      <c r="J236" s="3">
        <v>0.2339</v>
      </c>
      <c r="K236">
        <v>158285</v>
      </c>
    </row>
    <row r="237" spans="1:11" x14ac:dyDescent="0.3">
      <c r="A237" t="s">
        <v>84</v>
      </c>
      <c r="B237" t="s">
        <v>732</v>
      </c>
      <c r="C237" t="s">
        <v>1226</v>
      </c>
      <c r="D237" s="2">
        <v>44120</v>
      </c>
      <c r="E237">
        <v>1.75</v>
      </c>
      <c r="F237" s="2">
        <v>44260</v>
      </c>
      <c r="G237">
        <v>1.91</v>
      </c>
      <c r="H237" s="3">
        <v>9.1399999999999995E-2</v>
      </c>
      <c r="I237">
        <v>21782.85</v>
      </c>
      <c r="J237" s="3">
        <v>8.9300000000000004E-2</v>
      </c>
      <c r="K237">
        <v>139330</v>
      </c>
    </row>
    <row r="238" spans="1:11" x14ac:dyDescent="0.3">
      <c r="A238" t="s">
        <v>239</v>
      </c>
      <c r="B238" t="s">
        <v>822</v>
      </c>
      <c r="C238" t="s">
        <v>1226</v>
      </c>
      <c r="D238" s="2">
        <v>44106</v>
      </c>
      <c r="E238">
        <v>2.5476740000000002</v>
      </c>
      <c r="F238" s="2">
        <v>44260</v>
      </c>
      <c r="G238">
        <v>3.3415870000000001</v>
      </c>
      <c r="H238" s="3">
        <v>0.31159999999999999</v>
      </c>
      <c r="I238">
        <v>73472.97</v>
      </c>
      <c r="J238" s="3">
        <v>0.30930000000000002</v>
      </c>
      <c r="K238">
        <v>93237</v>
      </c>
    </row>
    <row r="239" spans="1:11" x14ac:dyDescent="0.3">
      <c r="A239" t="s">
        <v>240</v>
      </c>
      <c r="B239" t="s">
        <v>823</v>
      </c>
      <c r="C239" t="s">
        <v>1226</v>
      </c>
      <c r="D239" s="2">
        <v>43987</v>
      </c>
      <c r="E239">
        <v>6.4630330000000002</v>
      </c>
      <c r="F239" s="2">
        <v>44260</v>
      </c>
      <c r="G239">
        <v>8.8389240000000004</v>
      </c>
      <c r="H239" s="3">
        <v>0.36759999999999998</v>
      </c>
      <c r="I239">
        <v>72521.89</v>
      </c>
      <c r="J239" s="3">
        <v>0.36520000000000002</v>
      </c>
      <c r="K239">
        <v>30722</v>
      </c>
    </row>
    <row r="240" spans="1:11" x14ac:dyDescent="0.3">
      <c r="A240" t="s">
        <v>181</v>
      </c>
      <c r="B240" t="s">
        <v>733</v>
      </c>
      <c r="C240" t="s">
        <v>1226</v>
      </c>
      <c r="D240" s="2">
        <v>44008</v>
      </c>
      <c r="E240">
        <v>1.601485</v>
      </c>
      <c r="F240" s="2">
        <v>44253</v>
      </c>
      <c r="G240">
        <v>1.8422149999999999</v>
      </c>
      <c r="H240" s="3">
        <v>0.15029999999999999</v>
      </c>
      <c r="I240">
        <v>30383.56</v>
      </c>
      <c r="J240" s="3">
        <v>0.1482</v>
      </c>
      <c r="K240">
        <v>128046</v>
      </c>
    </row>
    <row r="241" spans="1:11" x14ac:dyDescent="0.3">
      <c r="A241" t="s">
        <v>241</v>
      </c>
      <c r="B241" t="s">
        <v>824</v>
      </c>
      <c r="C241" t="s">
        <v>1226</v>
      </c>
      <c r="D241" s="2">
        <v>44148</v>
      </c>
      <c r="E241">
        <v>0.84</v>
      </c>
      <c r="F241" s="2">
        <v>44239</v>
      </c>
      <c r="G241">
        <v>0.71</v>
      </c>
      <c r="H241" s="3">
        <v>-0.15479999999999999</v>
      </c>
      <c r="I241">
        <v>-37177.35</v>
      </c>
      <c r="J241" s="3">
        <v>-0.15659999999999999</v>
      </c>
      <c r="K241">
        <v>282610</v>
      </c>
    </row>
    <row r="242" spans="1:11" x14ac:dyDescent="0.3">
      <c r="A242" t="s">
        <v>413</v>
      </c>
      <c r="B242" t="s">
        <v>825</v>
      </c>
      <c r="C242" t="s">
        <v>1226</v>
      </c>
      <c r="D242" s="2">
        <v>44008</v>
      </c>
      <c r="E242">
        <v>0.59499999999999997</v>
      </c>
      <c r="F242" s="2">
        <v>44230</v>
      </c>
      <c r="G242">
        <v>1.0649999999999999</v>
      </c>
      <c r="H242" s="3">
        <v>0.78990000000000005</v>
      </c>
      <c r="I242">
        <v>161472.85999999999</v>
      </c>
      <c r="J242" s="3">
        <v>0.78710000000000002</v>
      </c>
      <c r="K242">
        <v>344777</v>
      </c>
    </row>
    <row r="243" spans="1:11" x14ac:dyDescent="0.3">
      <c r="A243" t="s">
        <v>242</v>
      </c>
      <c r="B243" t="s">
        <v>826</v>
      </c>
      <c r="C243" t="s">
        <v>1226</v>
      </c>
      <c r="D243" s="2">
        <v>44148</v>
      </c>
      <c r="E243">
        <v>1.405</v>
      </c>
      <c r="F243" s="2">
        <v>44218</v>
      </c>
      <c r="G243">
        <v>1.02</v>
      </c>
      <c r="H243" s="3">
        <v>-0.27400000000000002</v>
      </c>
      <c r="I243">
        <v>-65479.09</v>
      </c>
      <c r="J243" s="3">
        <v>-0.2757</v>
      </c>
      <c r="K243">
        <v>169011</v>
      </c>
    </row>
    <row r="244" spans="1:11" x14ac:dyDescent="0.3">
      <c r="A244" t="s">
        <v>243</v>
      </c>
      <c r="B244" t="s">
        <v>827</v>
      </c>
      <c r="C244" t="s">
        <v>1226</v>
      </c>
      <c r="D244" s="2">
        <v>44106</v>
      </c>
      <c r="E244">
        <v>1.1599999999999999</v>
      </c>
      <c r="F244" s="2">
        <v>44189</v>
      </c>
      <c r="G244">
        <v>1.0900000000000001</v>
      </c>
      <c r="H244" s="3">
        <v>-6.0299999999999999E-2</v>
      </c>
      <c r="I244">
        <v>-14792.1</v>
      </c>
      <c r="J244" s="3">
        <v>-6.2300000000000001E-2</v>
      </c>
      <c r="K244">
        <v>204735</v>
      </c>
    </row>
    <row r="245" spans="1:11" x14ac:dyDescent="0.3">
      <c r="A245" t="s">
        <v>414</v>
      </c>
      <c r="B245" t="s">
        <v>828</v>
      </c>
      <c r="C245" t="s">
        <v>1226</v>
      </c>
      <c r="D245" s="2">
        <v>44153</v>
      </c>
      <c r="E245">
        <v>2.4500000000000002</v>
      </c>
      <c r="F245" s="2">
        <v>44181</v>
      </c>
      <c r="G245">
        <v>2.99</v>
      </c>
      <c r="H245" s="3">
        <v>0.22040000000000001</v>
      </c>
      <c r="I245">
        <v>51898.83</v>
      </c>
      <c r="J245" s="3">
        <v>0.21820000000000001</v>
      </c>
      <c r="K245">
        <v>97087</v>
      </c>
    </row>
    <row r="246" spans="1:11" x14ac:dyDescent="0.3">
      <c r="A246" t="s">
        <v>415</v>
      </c>
      <c r="B246" t="s">
        <v>829</v>
      </c>
      <c r="C246" t="s">
        <v>1226</v>
      </c>
      <c r="D246" s="2">
        <v>44134</v>
      </c>
      <c r="E246">
        <v>1.386234</v>
      </c>
      <c r="F246" s="2">
        <v>44141</v>
      </c>
      <c r="G246">
        <v>1.0374099999999999</v>
      </c>
      <c r="H246" s="3">
        <v>-0.25159999999999999</v>
      </c>
      <c r="I246">
        <v>-61974.13</v>
      </c>
      <c r="J246" s="3">
        <v>-0.25340000000000001</v>
      </c>
      <c r="K246">
        <v>176440</v>
      </c>
    </row>
    <row r="247" spans="1:11" x14ac:dyDescent="0.3">
      <c r="A247" t="s">
        <v>191</v>
      </c>
      <c r="B247" t="s">
        <v>748</v>
      </c>
      <c r="C247" t="s">
        <v>1226</v>
      </c>
      <c r="D247" s="2">
        <v>44120</v>
      </c>
      <c r="E247">
        <v>6.175522</v>
      </c>
      <c r="F247" s="2">
        <v>44141</v>
      </c>
      <c r="G247">
        <v>5.3753140000000004</v>
      </c>
      <c r="H247" s="3">
        <v>-0.12959999999999999</v>
      </c>
      <c r="I247">
        <v>-32053.11</v>
      </c>
      <c r="J247" s="3">
        <v>-0.13139999999999999</v>
      </c>
      <c r="K247">
        <v>39486</v>
      </c>
    </row>
    <row r="248" spans="1:11" x14ac:dyDescent="0.3">
      <c r="A248" t="s">
        <v>60</v>
      </c>
      <c r="B248" t="s">
        <v>830</v>
      </c>
      <c r="C248" t="s">
        <v>1226</v>
      </c>
      <c r="D248" s="2">
        <v>44120</v>
      </c>
      <c r="E248">
        <v>0.83577120000000005</v>
      </c>
      <c r="F248" s="2">
        <v>44141</v>
      </c>
      <c r="G248">
        <v>0.70970520000000004</v>
      </c>
      <c r="H248" s="3">
        <v>-0.15079999999999999</v>
      </c>
      <c r="I248">
        <v>-37236.39</v>
      </c>
      <c r="J248" s="3">
        <v>-0.1527</v>
      </c>
      <c r="K248">
        <v>291795</v>
      </c>
    </row>
    <row r="249" spans="1:11" x14ac:dyDescent="0.3">
      <c r="A249" t="s">
        <v>199</v>
      </c>
      <c r="B249" t="s">
        <v>759</v>
      </c>
      <c r="C249" t="s">
        <v>1226</v>
      </c>
      <c r="D249" s="2">
        <v>44120</v>
      </c>
      <c r="E249">
        <v>0.52901739999999997</v>
      </c>
      <c r="F249" s="2">
        <v>44141</v>
      </c>
      <c r="G249">
        <v>0.58281590000000005</v>
      </c>
      <c r="H249" s="3">
        <v>0.1017</v>
      </c>
      <c r="I249">
        <v>24290.61</v>
      </c>
      <c r="J249" s="3">
        <v>9.9599999999999994E-2</v>
      </c>
      <c r="K249">
        <v>461039</v>
      </c>
    </row>
    <row r="250" spans="1:11" x14ac:dyDescent="0.3">
      <c r="A250" t="s">
        <v>416</v>
      </c>
      <c r="B250" t="s">
        <v>831</v>
      </c>
      <c r="C250" t="s">
        <v>1226</v>
      </c>
      <c r="D250" s="2">
        <v>44120</v>
      </c>
      <c r="E250">
        <v>2.2553800000000002</v>
      </c>
      <c r="F250" s="2">
        <v>44141</v>
      </c>
      <c r="G250">
        <v>1.8141099999999999</v>
      </c>
      <c r="H250" s="3">
        <v>-0.19570000000000001</v>
      </c>
      <c r="I250">
        <v>-48163.47</v>
      </c>
      <c r="J250" s="3">
        <v>-0.19750000000000001</v>
      </c>
      <c r="K250">
        <v>108150</v>
      </c>
    </row>
    <row r="251" spans="1:11" x14ac:dyDescent="0.3">
      <c r="A251" t="s">
        <v>231</v>
      </c>
      <c r="B251" t="s">
        <v>811</v>
      </c>
      <c r="C251" t="s">
        <v>1226</v>
      </c>
      <c r="D251" s="2">
        <v>44120</v>
      </c>
      <c r="E251">
        <v>3.0342250000000002</v>
      </c>
      <c r="F251" s="2">
        <v>44141</v>
      </c>
      <c r="G251">
        <v>2.5825279999999999</v>
      </c>
      <c r="H251" s="3">
        <v>-0.1489</v>
      </c>
      <c r="I251">
        <v>-36766.65</v>
      </c>
      <c r="J251" s="3">
        <v>-0.1507</v>
      </c>
      <c r="K251">
        <v>80397</v>
      </c>
    </row>
    <row r="252" spans="1:11" x14ac:dyDescent="0.3">
      <c r="A252" t="s">
        <v>244</v>
      </c>
      <c r="B252" t="s">
        <v>832</v>
      </c>
      <c r="C252" t="s">
        <v>1226</v>
      </c>
      <c r="D252" s="2">
        <v>44106</v>
      </c>
      <c r="E252">
        <v>1.7687930000000001</v>
      </c>
      <c r="F252" s="2">
        <v>44141</v>
      </c>
      <c r="G252">
        <v>1.3395459999999999</v>
      </c>
      <c r="H252" s="3">
        <v>-0.2427</v>
      </c>
      <c r="I252">
        <v>-58068.35</v>
      </c>
      <c r="J252" s="3">
        <v>-0.24440000000000001</v>
      </c>
      <c r="K252">
        <v>134307</v>
      </c>
    </row>
    <row r="253" spans="1:11" x14ac:dyDescent="0.3">
      <c r="A253" t="s">
        <v>245</v>
      </c>
      <c r="B253" t="s">
        <v>833</v>
      </c>
      <c r="C253" t="s">
        <v>1226</v>
      </c>
      <c r="D253" s="2">
        <v>44057</v>
      </c>
      <c r="E253">
        <v>2.267655</v>
      </c>
      <c r="F253" s="2">
        <v>44141</v>
      </c>
      <c r="G253">
        <v>2.9026749999999999</v>
      </c>
      <c r="H253" s="3">
        <v>0.28000000000000003</v>
      </c>
      <c r="I253">
        <v>62950.96</v>
      </c>
      <c r="J253" s="3">
        <v>0.27779999999999999</v>
      </c>
      <c r="K253">
        <v>99946</v>
      </c>
    </row>
    <row r="254" spans="1:11" x14ac:dyDescent="0.3">
      <c r="A254" t="s">
        <v>246</v>
      </c>
      <c r="B254" t="s">
        <v>834</v>
      </c>
      <c r="C254" t="s">
        <v>1226</v>
      </c>
      <c r="D254" s="2">
        <v>43987</v>
      </c>
      <c r="E254">
        <v>0.82499999999999996</v>
      </c>
      <c r="F254" s="2">
        <v>44141</v>
      </c>
      <c r="G254">
        <v>0.95499999999999996</v>
      </c>
      <c r="H254" s="3">
        <v>0.15759999999999999</v>
      </c>
      <c r="I254">
        <v>30871.27</v>
      </c>
      <c r="J254" s="3">
        <v>0.15540000000000001</v>
      </c>
      <c r="K254">
        <v>240768</v>
      </c>
    </row>
    <row r="255" spans="1:11" x14ac:dyDescent="0.3">
      <c r="A255" t="s">
        <v>417</v>
      </c>
      <c r="B255" t="s">
        <v>835</v>
      </c>
      <c r="C255" t="s">
        <v>1226</v>
      </c>
      <c r="D255" s="2">
        <v>43994</v>
      </c>
      <c r="E255">
        <v>0.81</v>
      </c>
      <c r="F255" s="2">
        <v>44134</v>
      </c>
      <c r="G255">
        <v>0.92500000000000004</v>
      </c>
      <c r="H255" s="3">
        <v>0.14199999999999999</v>
      </c>
      <c r="I255">
        <v>28043.62</v>
      </c>
      <c r="J255" s="3">
        <v>0.13980000000000001</v>
      </c>
      <c r="K255">
        <v>247593</v>
      </c>
    </row>
    <row r="256" spans="1:11" x14ac:dyDescent="0.3">
      <c r="A256" t="s">
        <v>418</v>
      </c>
      <c r="B256" t="s">
        <v>836</v>
      </c>
      <c r="C256" t="s">
        <v>1226</v>
      </c>
      <c r="D256" s="2">
        <v>44106</v>
      </c>
      <c r="E256">
        <v>2.492855</v>
      </c>
      <c r="F256" s="2">
        <v>44113</v>
      </c>
      <c r="G256">
        <v>2.6057389999999998</v>
      </c>
      <c r="H256" s="3">
        <v>4.53E-2</v>
      </c>
      <c r="I256">
        <v>10267.64</v>
      </c>
      <c r="J256" s="3">
        <v>4.3200000000000002E-2</v>
      </c>
      <c r="K256">
        <v>95260</v>
      </c>
    </row>
    <row r="257" spans="1:11" x14ac:dyDescent="0.3">
      <c r="A257" t="s">
        <v>231</v>
      </c>
      <c r="B257" t="s">
        <v>811</v>
      </c>
      <c r="C257" t="s">
        <v>1226</v>
      </c>
      <c r="D257" s="2">
        <v>44106</v>
      </c>
      <c r="E257">
        <v>2.3861379999999999</v>
      </c>
      <c r="F257" s="2">
        <v>44113</v>
      </c>
      <c r="G257">
        <v>2.5530689999999998</v>
      </c>
      <c r="H257" s="3">
        <v>7.0000000000000007E-2</v>
      </c>
      <c r="I257">
        <v>16129.2</v>
      </c>
      <c r="J257" s="3">
        <v>6.7900000000000002E-2</v>
      </c>
      <c r="K257">
        <v>99568</v>
      </c>
    </row>
    <row r="258" spans="1:11" x14ac:dyDescent="0.3">
      <c r="A258" t="s">
        <v>247</v>
      </c>
      <c r="B258" t="s">
        <v>837</v>
      </c>
      <c r="C258" t="s">
        <v>1226</v>
      </c>
      <c r="D258" s="2">
        <v>44106</v>
      </c>
      <c r="E258">
        <v>0.9784429</v>
      </c>
      <c r="F258" s="2">
        <v>44113</v>
      </c>
      <c r="G258">
        <v>1.106463</v>
      </c>
      <c r="H258" s="3">
        <v>0.1308</v>
      </c>
      <c r="I258">
        <v>30582.23</v>
      </c>
      <c r="J258" s="3">
        <v>0.12870000000000001</v>
      </c>
      <c r="K258">
        <v>242841</v>
      </c>
    </row>
    <row r="259" spans="1:11" x14ac:dyDescent="0.3">
      <c r="A259" t="s">
        <v>419</v>
      </c>
      <c r="B259" t="s">
        <v>838</v>
      </c>
      <c r="C259" t="s">
        <v>1226</v>
      </c>
      <c r="D259" s="2">
        <v>44015</v>
      </c>
      <c r="E259">
        <v>0.88685999999999998</v>
      </c>
      <c r="F259" s="2">
        <v>44113</v>
      </c>
      <c r="G259">
        <v>1.202188</v>
      </c>
      <c r="H259" s="3">
        <v>0.35560000000000003</v>
      </c>
      <c r="I259">
        <v>72121.39</v>
      </c>
      <c r="J259" s="3">
        <v>0.35320000000000001</v>
      </c>
      <c r="K259">
        <v>230244</v>
      </c>
    </row>
    <row r="260" spans="1:11" x14ac:dyDescent="0.3">
      <c r="A260" t="s">
        <v>242</v>
      </c>
      <c r="B260" t="s">
        <v>826</v>
      </c>
      <c r="C260" t="s">
        <v>1226</v>
      </c>
      <c r="D260" s="2">
        <v>43987</v>
      </c>
      <c r="E260">
        <v>0.90500000000000003</v>
      </c>
      <c r="F260" s="2">
        <v>44113</v>
      </c>
      <c r="G260">
        <v>1.105</v>
      </c>
      <c r="H260" s="3">
        <v>0.221</v>
      </c>
      <c r="I260">
        <v>43447.519999999997</v>
      </c>
      <c r="J260" s="3">
        <v>0.21879999999999999</v>
      </c>
      <c r="K260">
        <v>219443</v>
      </c>
    </row>
    <row r="261" spans="1:11" x14ac:dyDescent="0.3">
      <c r="A261" t="s">
        <v>248</v>
      </c>
      <c r="B261" t="s">
        <v>839</v>
      </c>
      <c r="C261" t="s">
        <v>1226</v>
      </c>
      <c r="D261" s="2">
        <v>43987</v>
      </c>
      <c r="E261">
        <v>1.2419720000000001</v>
      </c>
      <c r="F261" s="2">
        <v>44113</v>
      </c>
      <c r="G261">
        <v>1.1370480000000001</v>
      </c>
      <c r="H261" s="3">
        <v>-8.4500000000000006E-2</v>
      </c>
      <c r="I261">
        <v>-17159.79</v>
      </c>
      <c r="J261" s="3">
        <v>-8.6400000000000005E-2</v>
      </c>
      <c r="K261">
        <v>159919</v>
      </c>
    </row>
    <row r="262" spans="1:11" x14ac:dyDescent="0.3">
      <c r="A262" t="s">
        <v>237</v>
      </c>
      <c r="B262" t="s">
        <v>820</v>
      </c>
      <c r="C262" t="s">
        <v>1226</v>
      </c>
      <c r="D262" s="2">
        <v>44008</v>
      </c>
      <c r="E262">
        <v>1.68</v>
      </c>
      <c r="F262" s="2">
        <v>44092</v>
      </c>
      <c r="G262">
        <v>3.97</v>
      </c>
      <c r="H262" s="3">
        <v>1.3631</v>
      </c>
      <c r="I262">
        <v>278912.28000000003</v>
      </c>
      <c r="J262" s="3">
        <v>1.3596999999999999</v>
      </c>
      <c r="K262">
        <v>122097</v>
      </c>
    </row>
    <row r="263" spans="1:11" x14ac:dyDescent="0.3">
      <c r="A263" t="s">
        <v>420</v>
      </c>
      <c r="B263" t="s">
        <v>840</v>
      </c>
      <c r="C263" t="s">
        <v>1226</v>
      </c>
      <c r="D263" s="2">
        <v>44008</v>
      </c>
      <c r="E263">
        <v>1.9375</v>
      </c>
      <c r="F263" s="2">
        <v>44092</v>
      </c>
      <c r="G263">
        <v>1.7175</v>
      </c>
      <c r="H263" s="3">
        <v>-0.1135</v>
      </c>
      <c r="I263">
        <v>-23682.83</v>
      </c>
      <c r="J263" s="3">
        <v>-0.1154</v>
      </c>
      <c r="K263">
        <v>105890</v>
      </c>
    </row>
    <row r="264" spans="1:11" x14ac:dyDescent="0.3">
      <c r="A264" t="s">
        <v>55</v>
      </c>
      <c r="B264" t="s">
        <v>841</v>
      </c>
      <c r="C264" t="s">
        <v>1226</v>
      </c>
      <c r="D264" s="2">
        <v>43994</v>
      </c>
      <c r="E264">
        <v>6</v>
      </c>
      <c r="F264" s="2">
        <v>44092</v>
      </c>
      <c r="G264">
        <v>6</v>
      </c>
      <c r="H264" s="3">
        <v>0</v>
      </c>
      <c r="I264">
        <v>-400.98</v>
      </c>
      <c r="J264" s="3">
        <v>-2E-3</v>
      </c>
      <c r="K264">
        <v>33415</v>
      </c>
    </row>
    <row r="265" spans="1:11" x14ac:dyDescent="0.3">
      <c r="A265" t="s">
        <v>191</v>
      </c>
      <c r="B265" t="s">
        <v>748</v>
      </c>
      <c r="C265" t="s">
        <v>1226</v>
      </c>
      <c r="D265" s="2">
        <v>43987</v>
      </c>
      <c r="E265">
        <v>4.6767599999999998</v>
      </c>
      <c r="F265" s="2">
        <v>44092</v>
      </c>
      <c r="G265">
        <v>4.9508559999999999</v>
      </c>
      <c r="H265" s="3">
        <v>5.8599999999999999E-2</v>
      </c>
      <c r="I265">
        <v>11226.15</v>
      </c>
      <c r="J265" s="3">
        <v>5.6500000000000002E-2</v>
      </c>
      <c r="K265">
        <v>42448</v>
      </c>
    </row>
    <row r="266" spans="1:11" x14ac:dyDescent="0.3">
      <c r="A266" t="s">
        <v>249</v>
      </c>
      <c r="B266" t="s">
        <v>842</v>
      </c>
      <c r="C266" t="s">
        <v>1226</v>
      </c>
      <c r="D266" s="2">
        <v>43987</v>
      </c>
      <c r="E266">
        <v>3.3037100000000001</v>
      </c>
      <c r="F266" s="2">
        <v>44092</v>
      </c>
      <c r="G266">
        <v>3.4779659999999999</v>
      </c>
      <c r="H266" s="3">
        <v>5.2699999999999997E-2</v>
      </c>
      <c r="I266">
        <v>10066.379999999999</v>
      </c>
      <c r="J266" s="3">
        <v>5.0700000000000002E-2</v>
      </c>
      <c r="K266">
        <v>60107</v>
      </c>
    </row>
    <row r="267" spans="1:11" x14ac:dyDescent="0.3">
      <c r="A267" t="s">
        <v>250</v>
      </c>
      <c r="B267" t="s">
        <v>843</v>
      </c>
      <c r="C267" t="s">
        <v>1226</v>
      </c>
      <c r="D267" s="2">
        <v>43987</v>
      </c>
      <c r="E267">
        <v>10.559530000000001</v>
      </c>
      <c r="F267" s="2">
        <v>44092</v>
      </c>
      <c r="G267">
        <v>17.929279999999999</v>
      </c>
      <c r="H267" s="3">
        <v>0.69789999999999996</v>
      </c>
      <c r="I267">
        <v>138103.81</v>
      </c>
      <c r="J267" s="3">
        <v>0.69520000000000004</v>
      </c>
      <c r="K267">
        <v>18812</v>
      </c>
    </row>
    <row r="268" spans="1:11" x14ac:dyDescent="0.3">
      <c r="A268" t="s">
        <v>114</v>
      </c>
      <c r="B268" t="s">
        <v>341</v>
      </c>
      <c r="C268" t="s">
        <v>1226</v>
      </c>
      <c r="D268" s="2">
        <v>43987</v>
      </c>
      <c r="E268">
        <v>3.6549999999999998</v>
      </c>
      <c r="F268" s="2">
        <v>44092</v>
      </c>
      <c r="G268">
        <v>3.8250000000000002</v>
      </c>
      <c r="H268" s="3">
        <v>4.65E-2</v>
      </c>
      <c r="I268">
        <v>8833.94</v>
      </c>
      <c r="J268" s="3">
        <v>4.4499999999999998E-2</v>
      </c>
      <c r="K268">
        <v>54356</v>
      </c>
    </row>
    <row r="269" spans="1:11" x14ac:dyDescent="0.3">
      <c r="A269" t="s">
        <v>223</v>
      </c>
      <c r="B269" t="s">
        <v>799</v>
      </c>
      <c r="C269" t="s">
        <v>1226</v>
      </c>
      <c r="D269" s="2">
        <v>43987</v>
      </c>
      <c r="E269">
        <v>6.8023319999999998</v>
      </c>
      <c r="F269" s="2">
        <v>44057</v>
      </c>
      <c r="G269">
        <v>4.7336780000000003</v>
      </c>
      <c r="H269" s="3">
        <v>-0.30409999999999998</v>
      </c>
      <c r="I269">
        <v>-60714.51</v>
      </c>
      <c r="J269" s="3">
        <v>-0.30580000000000002</v>
      </c>
      <c r="K269">
        <v>29187</v>
      </c>
    </row>
    <row r="270" spans="1:11" x14ac:dyDescent="0.3">
      <c r="A270" t="s">
        <v>133</v>
      </c>
      <c r="B270" t="s">
        <v>679</v>
      </c>
      <c r="C270" t="s">
        <v>1226</v>
      </c>
      <c r="D270" s="2">
        <v>44008</v>
      </c>
      <c r="E270">
        <v>4.974977</v>
      </c>
      <c r="F270" s="2">
        <v>44015</v>
      </c>
      <c r="G270">
        <v>4.6578470000000003</v>
      </c>
      <c r="H270" s="3">
        <v>-6.3700000000000007E-2</v>
      </c>
      <c r="I270">
        <v>-13470.14</v>
      </c>
      <c r="J270" s="3">
        <v>-6.5699999999999995E-2</v>
      </c>
      <c r="K270">
        <v>41223</v>
      </c>
    </row>
    <row r="271" spans="1:11" x14ac:dyDescent="0.3">
      <c r="A271" t="s">
        <v>229</v>
      </c>
      <c r="B271" t="s">
        <v>809</v>
      </c>
      <c r="C271" t="s">
        <v>1226</v>
      </c>
      <c r="D271" s="2">
        <v>43868</v>
      </c>
      <c r="E271">
        <v>0.72434600000000005</v>
      </c>
      <c r="F271" s="2">
        <v>43910</v>
      </c>
      <c r="G271">
        <v>0.61775329999999995</v>
      </c>
      <c r="H271" s="3">
        <v>-0.1472</v>
      </c>
      <c r="I271">
        <v>-34139.56</v>
      </c>
      <c r="J271" s="3">
        <v>-0.14899999999999999</v>
      </c>
      <c r="K271">
        <v>316298</v>
      </c>
    </row>
    <row r="272" spans="1:11" x14ac:dyDescent="0.3">
      <c r="A272" t="s">
        <v>234</v>
      </c>
      <c r="B272" t="s">
        <v>815</v>
      </c>
      <c r="C272" t="s">
        <v>1226</v>
      </c>
      <c r="D272" s="2">
        <v>43826</v>
      </c>
      <c r="E272">
        <v>3.7420689999999999</v>
      </c>
      <c r="F272" s="2">
        <v>43910</v>
      </c>
      <c r="G272">
        <v>2.994856</v>
      </c>
      <c r="H272" s="3">
        <v>-0.19969999999999999</v>
      </c>
      <c r="I272">
        <v>-45513.7</v>
      </c>
      <c r="J272" s="3">
        <v>-0.20150000000000001</v>
      </c>
      <c r="K272">
        <v>60367</v>
      </c>
    </row>
    <row r="273" spans="1:11" x14ac:dyDescent="0.3">
      <c r="A273" t="s">
        <v>421</v>
      </c>
      <c r="B273" t="s">
        <v>844</v>
      </c>
      <c r="C273" t="s">
        <v>1226</v>
      </c>
      <c r="D273" s="2">
        <v>43252</v>
      </c>
      <c r="E273">
        <v>1.7712079999999999</v>
      </c>
      <c r="F273" s="2">
        <v>43910</v>
      </c>
      <c r="G273">
        <v>2.1368770000000001</v>
      </c>
      <c r="H273" s="3">
        <v>0.20649999999999999</v>
      </c>
      <c r="I273">
        <v>28940.87</v>
      </c>
      <c r="J273" s="3">
        <v>0.20419999999999999</v>
      </c>
      <c r="K273">
        <v>80000</v>
      </c>
    </row>
    <row r="274" spans="1:11" x14ac:dyDescent="0.3">
      <c r="A274" t="s">
        <v>398</v>
      </c>
      <c r="B274" t="s">
        <v>746</v>
      </c>
      <c r="C274" t="s">
        <v>1226</v>
      </c>
      <c r="D274" s="2">
        <v>43735</v>
      </c>
      <c r="E274">
        <v>2.475225</v>
      </c>
      <c r="F274" s="2">
        <v>43903</v>
      </c>
      <c r="G274">
        <v>2.5194260000000002</v>
      </c>
      <c r="H274" s="3">
        <v>1.7899999999999999E-2</v>
      </c>
      <c r="I274">
        <v>3428.99</v>
      </c>
      <c r="J274" s="3">
        <v>1.5800000000000002E-2</v>
      </c>
      <c r="K274">
        <v>87460</v>
      </c>
    </row>
    <row r="275" spans="1:11" x14ac:dyDescent="0.3">
      <c r="A275" t="s">
        <v>219</v>
      </c>
      <c r="B275" t="s">
        <v>793</v>
      </c>
      <c r="C275" t="s">
        <v>1226</v>
      </c>
      <c r="D275" s="2">
        <v>43511</v>
      </c>
      <c r="E275">
        <v>1.0631630000000001</v>
      </c>
      <c r="F275" s="2">
        <v>43903</v>
      </c>
      <c r="G275">
        <v>2.1964109999999999</v>
      </c>
      <c r="H275" s="3">
        <v>1.0659000000000001</v>
      </c>
      <c r="I275">
        <v>152046.72</v>
      </c>
      <c r="J275" s="3">
        <v>1.0629</v>
      </c>
      <c r="K275">
        <v>134556</v>
      </c>
    </row>
    <row r="276" spans="1:11" x14ac:dyDescent="0.3">
      <c r="A276" t="s">
        <v>243</v>
      </c>
      <c r="B276" t="s">
        <v>827</v>
      </c>
      <c r="C276" t="s">
        <v>1226</v>
      </c>
      <c r="D276" s="2">
        <v>43875</v>
      </c>
      <c r="E276">
        <v>1.31</v>
      </c>
      <c r="F276" s="2">
        <v>43896</v>
      </c>
      <c r="G276">
        <v>1.08</v>
      </c>
      <c r="H276" s="3">
        <v>-0.17560000000000001</v>
      </c>
      <c r="I276">
        <v>-42018.2</v>
      </c>
      <c r="J276" s="3">
        <v>-0.1774</v>
      </c>
      <c r="K276">
        <v>180809</v>
      </c>
    </row>
    <row r="277" spans="1:11" x14ac:dyDescent="0.3">
      <c r="A277" t="s">
        <v>251</v>
      </c>
      <c r="B277" t="s">
        <v>845</v>
      </c>
      <c r="C277" t="s">
        <v>1226</v>
      </c>
      <c r="D277" s="2">
        <v>43833</v>
      </c>
      <c r="E277">
        <v>1.010416</v>
      </c>
      <c r="F277" s="2">
        <v>43896</v>
      </c>
      <c r="G277">
        <v>0.86136970000000002</v>
      </c>
      <c r="H277" s="3">
        <v>-0.14749999999999999</v>
      </c>
      <c r="I277">
        <v>-34131.33</v>
      </c>
      <c r="J277" s="3">
        <v>-0.14940000000000001</v>
      </c>
      <c r="K277">
        <v>226158</v>
      </c>
    </row>
    <row r="278" spans="1:11" x14ac:dyDescent="0.3">
      <c r="A278" t="s">
        <v>245</v>
      </c>
      <c r="B278" t="s">
        <v>833</v>
      </c>
      <c r="C278" t="s">
        <v>1226</v>
      </c>
      <c r="D278" s="2">
        <v>43812</v>
      </c>
      <c r="E278">
        <v>1.738038</v>
      </c>
      <c r="F278" s="2">
        <v>43896</v>
      </c>
      <c r="G278">
        <v>1.738038</v>
      </c>
      <c r="H278" s="3">
        <v>0</v>
      </c>
      <c r="I278">
        <v>-436.84</v>
      </c>
      <c r="J278" s="3">
        <v>-2E-3</v>
      </c>
      <c r="K278">
        <v>125671</v>
      </c>
    </row>
    <row r="279" spans="1:11" x14ac:dyDescent="0.3">
      <c r="A279" t="s">
        <v>55</v>
      </c>
      <c r="B279" t="s">
        <v>841</v>
      </c>
      <c r="C279" t="s">
        <v>1226</v>
      </c>
      <c r="D279" s="2">
        <v>43742</v>
      </c>
      <c r="E279">
        <v>4.29</v>
      </c>
      <c r="F279" s="2">
        <v>43896</v>
      </c>
      <c r="G279">
        <v>2.65</v>
      </c>
      <c r="H279" s="3">
        <v>-0.38229999999999997</v>
      </c>
      <c r="I279">
        <v>-83233.05</v>
      </c>
      <c r="J279" s="3">
        <v>-0.38390000000000002</v>
      </c>
      <c r="K279">
        <v>50538</v>
      </c>
    </row>
    <row r="280" spans="1:11" x14ac:dyDescent="0.3">
      <c r="A280" t="s">
        <v>252</v>
      </c>
      <c r="B280" t="s">
        <v>846</v>
      </c>
      <c r="C280" t="s">
        <v>1226</v>
      </c>
      <c r="D280" s="2">
        <v>43714</v>
      </c>
      <c r="E280">
        <v>1.4233830000000001</v>
      </c>
      <c r="F280" s="2">
        <v>43896</v>
      </c>
      <c r="G280">
        <v>1.6389670000000001</v>
      </c>
      <c r="H280" s="3">
        <v>0.1515</v>
      </c>
      <c r="I280">
        <v>31474.880000000001</v>
      </c>
      <c r="J280" s="3">
        <v>0.14929999999999999</v>
      </c>
      <c r="K280">
        <v>148102</v>
      </c>
    </row>
    <row r="281" spans="1:11" x14ac:dyDescent="0.3">
      <c r="A281" t="s">
        <v>417</v>
      </c>
      <c r="B281" t="s">
        <v>835</v>
      </c>
      <c r="C281" t="s">
        <v>1226</v>
      </c>
      <c r="D281" s="2">
        <v>43714</v>
      </c>
      <c r="E281">
        <v>0.59104480000000004</v>
      </c>
      <c r="F281" s="2">
        <v>43896</v>
      </c>
      <c r="G281">
        <v>0.62</v>
      </c>
      <c r="H281" s="3">
        <v>4.9000000000000002E-2</v>
      </c>
      <c r="I281">
        <v>9898.25</v>
      </c>
      <c r="J281" s="3">
        <v>4.6899999999999997E-2</v>
      </c>
      <c r="K281">
        <v>356769</v>
      </c>
    </row>
    <row r="282" spans="1:11" x14ac:dyDescent="0.3">
      <c r="A282" t="s">
        <v>409</v>
      </c>
      <c r="B282" t="s">
        <v>804</v>
      </c>
      <c r="C282" t="s">
        <v>1226</v>
      </c>
      <c r="D282" s="2">
        <v>43714</v>
      </c>
      <c r="E282">
        <v>3.2267450000000002</v>
      </c>
      <c r="F282" s="2">
        <v>43896</v>
      </c>
      <c r="G282">
        <v>3.8061229999999999</v>
      </c>
      <c r="H282" s="3">
        <v>0.17960000000000001</v>
      </c>
      <c r="I282">
        <v>37409.620000000003</v>
      </c>
      <c r="J282" s="3">
        <v>0.1774</v>
      </c>
      <c r="K282">
        <v>65362</v>
      </c>
    </row>
    <row r="283" spans="1:11" x14ac:dyDescent="0.3">
      <c r="A283" t="s">
        <v>58</v>
      </c>
      <c r="B283" t="s">
        <v>750</v>
      </c>
      <c r="C283" t="s">
        <v>1226</v>
      </c>
      <c r="D283" s="2">
        <v>43714</v>
      </c>
      <c r="E283">
        <v>1.9</v>
      </c>
      <c r="F283" s="2">
        <v>43896</v>
      </c>
      <c r="G283">
        <v>1.69</v>
      </c>
      <c r="H283" s="3">
        <v>-0.1105</v>
      </c>
      <c r="I283">
        <v>-23711.48</v>
      </c>
      <c r="J283" s="3">
        <v>-0.1124</v>
      </c>
      <c r="K283">
        <v>111014</v>
      </c>
    </row>
    <row r="284" spans="1:11" x14ac:dyDescent="0.3">
      <c r="A284" t="s">
        <v>159</v>
      </c>
      <c r="B284" t="s">
        <v>707</v>
      </c>
      <c r="C284" t="s">
        <v>1226</v>
      </c>
      <c r="D284" s="2">
        <v>43714</v>
      </c>
      <c r="E284">
        <v>2.214979</v>
      </c>
      <c r="F284" s="2">
        <v>43896</v>
      </c>
      <c r="G284">
        <v>1.8851059999999999</v>
      </c>
      <c r="H284" s="3">
        <v>-0.1489</v>
      </c>
      <c r="I284">
        <v>-31806.26</v>
      </c>
      <c r="J284" s="3">
        <v>-0.15079999999999999</v>
      </c>
      <c r="K284">
        <v>95236</v>
      </c>
    </row>
    <row r="285" spans="1:11" x14ac:dyDescent="0.3">
      <c r="A285" t="s">
        <v>253</v>
      </c>
      <c r="B285" t="s">
        <v>847</v>
      </c>
      <c r="C285" t="s">
        <v>1226</v>
      </c>
      <c r="D285" s="2">
        <v>43693</v>
      </c>
      <c r="E285">
        <v>1.4288529999999999</v>
      </c>
      <c r="F285" s="2">
        <v>43896</v>
      </c>
      <c r="G285">
        <v>1.7695069999999999</v>
      </c>
      <c r="H285" s="3">
        <v>0.2384</v>
      </c>
      <c r="I285">
        <v>49475.05</v>
      </c>
      <c r="J285" s="3">
        <v>0.23619999999999999</v>
      </c>
      <c r="K285">
        <v>146612</v>
      </c>
    </row>
    <row r="286" spans="1:11" x14ac:dyDescent="0.3">
      <c r="A286" t="s">
        <v>221</v>
      </c>
      <c r="B286" t="s">
        <v>797</v>
      </c>
      <c r="C286" t="s">
        <v>1226</v>
      </c>
      <c r="D286" s="2">
        <v>43658</v>
      </c>
      <c r="E286">
        <v>0.61332339999999996</v>
      </c>
      <c r="F286" s="2">
        <v>43896</v>
      </c>
      <c r="G286">
        <v>0.73403059999999998</v>
      </c>
      <c r="H286" s="3">
        <v>0.1968</v>
      </c>
      <c r="I286">
        <v>39714</v>
      </c>
      <c r="J286" s="3">
        <v>0.1946</v>
      </c>
      <c r="K286">
        <v>332725</v>
      </c>
    </row>
    <row r="287" spans="1:11" x14ac:dyDescent="0.3">
      <c r="A287" t="s">
        <v>205</v>
      </c>
      <c r="B287" t="s">
        <v>770</v>
      </c>
      <c r="C287" t="s">
        <v>1226</v>
      </c>
      <c r="D287" s="2">
        <v>43581</v>
      </c>
      <c r="E287">
        <v>8.5835489999999997</v>
      </c>
      <c r="F287" s="2">
        <v>43896</v>
      </c>
      <c r="G287">
        <v>8.1386749999999992</v>
      </c>
      <c r="H287" s="3">
        <v>-5.1799999999999999E-2</v>
      </c>
      <c r="I287">
        <v>-9490.5400000000009</v>
      </c>
      <c r="J287" s="3">
        <v>-5.3800000000000001E-2</v>
      </c>
      <c r="K287">
        <v>20560</v>
      </c>
    </row>
    <row r="288" spans="1:11" x14ac:dyDescent="0.3">
      <c r="A288" t="s">
        <v>59</v>
      </c>
      <c r="B288" t="s">
        <v>848</v>
      </c>
      <c r="C288" t="s">
        <v>1226</v>
      </c>
      <c r="D288" s="2">
        <v>43518</v>
      </c>
      <c r="E288">
        <v>4.17</v>
      </c>
      <c r="F288" s="2">
        <v>43896</v>
      </c>
      <c r="G288">
        <v>9.51</v>
      </c>
      <c r="H288" s="3">
        <v>1.2806</v>
      </c>
      <c r="I288">
        <v>187273.41</v>
      </c>
      <c r="J288" s="3">
        <v>1.2773000000000001</v>
      </c>
      <c r="K288">
        <v>35160</v>
      </c>
    </row>
    <row r="289" spans="1:11" x14ac:dyDescent="0.3">
      <c r="A289" t="s">
        <v>422</v>
      </c>
      <c r="B289" t="s">
        <v>849</v>
      </c>
      <c r="C289" t="s">
        <v>1226</v>
      </c>
      <c r="D289" s="2">
        <v>43511</v>
      </c>
      <c r="E289">
        <v>0.95751280000000005</v>
      </c>
      <c r="F289" s="2">
        <v>43896</v>
      </c>
      <c r="G289">
        <v>0.97647349999999999</v>
      </c>
      <c r="H289" s="3">
        <v>1.9800000000000002E-2</v>
      </c>
      <c r="I289">
        <v>2544.08</v>
      </c>
      <c r="J289" s="3">
        <v>1.78E-2</v>
      </c>
      <c r="K289">
        <v>149417</v>
      </c>
    </row>
    <row r="290" spans="1:11" x14ac:dyDescent="0.3">
      <c r="A290" t="s">
        <v>402</v>
      </c>
      <c r="B290" t="s">
        <v>767</v>
      </c>
      <c r="C290" t="s">
        <v>1226</v>
      </c>
      <c r="D290" s="2">
        <v>43791</v>
      </c>
      <c r="E290">
        <v>0.87233130000000003</v>
      </c>
      <c r="F290" s="2">
        <v>43875</v>
      </c>
      <c r="G290">
        <v>0.77779290000000001</v>
      </c>
      <c r="H290" s="3">
        <v>-0.1084</v>
      </c>
      <c r="I290">
        <v>-24247.4</v>
      </c>
      <c r="J290" s="3">
        <v>-0.1103</v>
      </c>
      <c r="K290">
        <v>252082</v>
      </c>
    </row>
    <row r="291" spans="1:11" x14ac:dyDescent="0.3">
      <c r="A291" t="s">
        <v>423</v>
      </c>
      <c r="B291" t="s">
        <v>850</v>
      </c>
      <c r="C291" t="s">
        <v>1226</v>
      </c>
      <c r="D291" s="2">
        <v>43812</v>
      </c>
      <c r="E291">
        <v>1.98</v>
      </c>
      <c r="F291" s="2">
        <v>43868</v>
      </c>
      <c r="G291">
        <v>1.992</v>
      </c>
      <c r="H291" s="3">
        <v>6.1000000000000004E-3</v>
      </c>
      <c r="I291">
        <v>885.68</v>
      </c>
      <c r="J291" s="3">
        <v>4.1000000000000003E-3</v>
      </c>
      <c r="K291">
        <v>110324</v>
      </c>
    </row>
    <row r="292" spans="1:11" x14ac:dyDescent="0.3">
      <c r="A292" t="s">
        <v>254</v>
      </c>
      <c r="B292" t="s">
        <v>851</v>
      </c>
      <c r="C292" t="s">
        <v>1226</v>
      </c>
      <c r="D292" s="2">
        <v>43714</v>
      </c>
      <c r="E292">
        <v>1.505857</v>
      </c>
      <c r="F292" s="2">
        <v>43847</v>
      </c>
      <c r="G292">
        <v>1.3450040000000001</v>
      </c>
      <c r="H292" s="3">
        <v>-0.10680000000000001</v>
      </c>
      <c r="I292">
        <v>-22921.32</v>
      </c>
      <c r="J292" s="3">
        <v>-0.1087</v>
      </c>
      <c r="K292">
        <v>140017</v>
      </c>
    </row>
    <row r="293" spans="1:11" x14ac:dyDescent="0.3">
      <c r="A293" t="s">
        <v>255</v>
      </c>
      <c r="B293" t="s">
        <v>852</v>
      </c>
      <c r="C293" t="s">
        <v>1226</v>
      </c>
      <c r="D293" s="2">
        <v>42223</v>
      </c>
      <c r="E293">
        <v>2.0946310000000001</v>
      </c>
      <c r="F293" s="2">
        <v>43833</v>
      </c>
      <c r="G293">
        <v>4.3520349999999999</v>
      </c>
      <c r="H293" s="3">
        <v>1.0777000000000001</v>
      </c>
      <c r="I293">
        <v>103431.49</v>
      </c>
      <c r="J293" s="3">
        <v>1.0746</v>
      </c>
      <c r="K293">
        <v>45950</v>
      </c>
    </row>
    <row r="294" spans="1:11" x14ac:dyDescent="0.3">
      <c r="A294" t="s">
        <v>121</v>
      </c>
      <c r="B294" t="s">
        <v>365</v>
      </c>
      <c r="C294" t="s">
        <v>1226</v>
      </c>
      <c r="D294" s="2">
        <v>43763</v>
      </c>
      <c r="E294">
        <v>2.8089490000000001</v>
      </c>
      <c r="F294" s="2">
        <v>43826</v>
      </c>
      <c r="G294">
        <v>2.1884640000000002</v>
      </c>
      <c r="H294" s="3">
        <v>-0.22090000000000001</v>
      </c>
      <c r="I294">
        <v>-50103.02</v>
      </c>
      <c r="J294" s="3">
        <v>-0.22270000000000001</v>
      </c>
      <c r="K294">
        <v>80103</v>
      </c>
    </row>
    <row r="295" spans="1:11" x14ac:dyDescent="0.3">
      <c r="A295" t="s">
        <v>256</v>
      </c>
      <c r="B295" t="s">
        <v>853</v>
      </c>
      <c r="C295" t="s">
        <v>1226</v>
      </c>
      <c r="D295" s="2">
        <v>43497</v>
      </c>
      <c r="E295">
        <v>2.1854149999999999</v>
      </c>
      <c r="F295" s="2">
        <v>43812</v>
      </c>
      <c r="G295">
        <v>2.4567999999999999</v>
      </c>
      <c r="H295" s="3">
        <v>0.1242</v>
      </c>
      <c r="I295">
        <v>17005.12</v>
      </c>
      <c r="J295" s="3">
        <v>0.1221</v>
      </c>
      <c r="K295">
        <v>63751</v>
      </c>
    </row>
    <row r="296" spans="1:11" x14ac:dyDescent="0.3">
      <c r="A296" t="s">
        <v>424</v>
      </c>
      <c r="B296" t="s">
        <v>854</v>
      </c>
      <c r="C296" t="s">
        <v>1226</v>
      </c>
      <c r="D296" s="2">
        <v>43714</v>
      </c>
      <c r="E296">
        <v>4.0591540000000004</v>
      </c>
      <c r="F296" s="2">
        <v>43812</v>
      </c>
      <c r="G296">
        <v>3.8441809999999998</v>
      </c>
      <c r="H296" s="3">
        <v>-5.2999999999999999E-2</v>
      </c>
      <c r="I296">
        <v>-11575.75</v>
      </c>
      <c r="J296" s="3">
        <v>-5.4899999999999997E-2</v>
      </c>
      <c r="K296">
        <v>51938</v>
      </c>
    </row>
    <row r="297" spans="1:11" x14ac:dyDescent="0.3">
      <c r="A297" t="s">
        <v>147</v>
      </c>
      <c r="B297" t="s">
        <v>694</v>
      </c>
      <c r="C297" t="s">
        <v>1226</v>
      </c>
      <c r="D297" s="2">
        <v>43763</v>
      </c>
      <c r="E297">
        <v>12.7</v>
      </c>
      <c r="F297" s="2">
        <v>43791</v>
      </c>
      <c r="G297">
        <v>11.8</v>
      </c>
      <c r="H297" s="3">
        <v>-7.0900000000000005E-2</v>
      </c>
      <c r="I297">
        <v>-16380.29</v>
      </c>
      <c r="J297" s="3">
        <v>-7.2800000000000004E-2</v>
      </c>
      <c r="K297">
        <v>17718</v>
      </c>
    </row>
    <row r="298" spans="1:11" x14ac:dyDescent="0.3">
      <c r="A298" t="s">
        <v>84</v>
      </c>
      <c r="B298" t="s">
        <v>732</v>
      </c>
      <c r="C298" t="s">
        <v>1226</v>
      </c>
      <c r="D298" s="2">
        <v>43742</v>
      </c>
      <c r="E298">
        <v>1.835</v>
      </c>
      <c r="F298" s="2">
        <v>43756</v>
      </c>
      <c r="G298">
        <v>1.575</v>
      </c>
      <c r="H298" s="3">
        <v>-0.14169999999999999</v>
      </c>
      <c r="I298">
        <v>-31125.32</v>
      </c>
      <c r="J298" s="3">
        <v>-0.14349999999999999</v>
      </c>
      <c r="K298">
        <v>118163</v>
      </c>
    </row>
    <row r="299" spans="1:11" x14ac:dyDescent="0.3">
      <c r="A299" t="s">
        <v>257</v>
      </c>
      <c r="B299" t="s">
        <v>855</v>
      </c>
      <c r="C299" t="s">
        <v>1226</v>
      </c>
      <c r="D299" s="2">
        <v>43714</v>
      </c>
      <c r="E299">
        <v>3.021757</v>
      </c>
      <c r="F299" s="2">
        <v>43749</v>
      </c>
      <c r="G299">
        <v>2.9609740000000002</v>
      </c>
      <c r="H299" s="3">
        <v>-2.01E-2</v>
      </c>
      <c r="I299">
        <v>-4662.18</v>
      </c>
      <c r="J299" s="3">
        <v>-2.2100000000000002E-2</v>
      </c>
      <c r="K299">
        <v>69829</v>
      </c>
    </row>
    <row r="300" spans="1:11" x14ac:dyDescent="0.3">
      <c r="A300" t="s">
        <v>258</v>
      </c>
      <c r="B300" t="s">
        <v>856</v>
      </c>
      <c r="C300" t="s">
        <v>1226</v>
      </c>
      <c r="D300" s="2">
        <v>43714</v>
      </c>
      <c r="E300">
        <v>19.030190000000001</v>
      </c>
      <c r="F300" s="2">
        <v>43742</v>
      </c>
      <c r="G300">
        <v>20.662559999999999</v>
      </c>
      <c r="H300" s="3">
        <v>8.5800000000000001E-2</v>
      </c>
      <c r="I300">
        <v>17648.46</v>
      </c>
      <c r="J300" s="3">
        <v>8.3699999999999997E-2</v>
      </c>
      <c r="K300">
        <v>11081</v>
      </c>
    </row>
    <row r="301" spans="1:11" x14ac:dyDescent="0.3">
      <c r="A301" t="s">
        <v>206</v>
      </c>
      <c r="B301" t="s">
        <v>773</v>
      </c>
      <c r="C301" t="s">
        <v>1226</v>
      </c>
      <c r="D301" s="2">
        <v>43714</v>
      </c>
      <c r="E301">
        <v>2.06</v>
      </c>
      <c r="F301" s="2">
        <v>43742</v>
      </c>
      <c r="G301">
        <v>2.15</v>
      </c>
      <c r="H301" s="3">
        <v>4.3700000000000003E-2</v>
      </c>
      <c r="I301">
        <v>8785.84</v>
      </c>
      <c r="J301" s="3">
        <v>4.1599999999999998E-2</v>
      </c>
      <c r="K301">
        <v>102411</v>
      </c>
    </row>
    <row r="302" spans="1:11" x14ac:dyDescent="0.3">
      <c r="A302" t="s">
        <v>425</v>
      </c>
      <c r="B302" t="s">
        <v>857</v>
      </c>
      <c r="C302" t="s">
        <v>1226</v>
      </c>
      <c r="D302" s="2">
        <v>43714</v>
      </c>
      <c r="E302">
        <v>1.19</v>
      </c>
      <c r="F302" s="2">
        <v>43739</v>
      </c>
      <c r="G302">
        <v>0.95</v>
      </c>
      <c r="H302" s="3">
        <v>-0.20169999999999999</v>
      </c>
      <c r="I302">
        <v>-42931.42</v>
      </c>
      <c r="J302" s="3">
        <v>-0.20349999999999999</v>
      </c>
      <c r="K302">
        <v>177300</v>
      </c>
    </row>
    <row r="303" spans="1:11" x14ac:dyDescent="0.3">
      <c r="A303" t="s">
        <v>220</v>
      </c>
      <c r="B303" t="s">
        <v>796</v>
      </c>
      <c r="C303" t="s">
        <v>1226</v>
      </c>
      <c r="D303" s="2">
        <v>43630</v>
      </c>
      <c r="E303">
        <v>0.97499999999999998</v>
      </c>
      <c r="F303" s="2">
        <v>43735</v>
      </c>
      <c r="G303">
        <v>0.77</v>
      </c>
      <c r="H303" s="3">
        <v>-0.21029999999999999</v>
      </c>
      <c r="I303">
        <v>-41283.67</v>
      </c>
      <c r="J303" s="3">
        <v>-0.21199999999999999</v>
      </c>
      <c r="K303">
        <v>199684</v>
      </c>
    </row>
    <row r="304" spans="1:11" x14ac:dyDescent="0.3">
      <c r="A304" t="s">
        <v>259</v>
      </c>
      <c r="B304" t="s">
        <v>858</v>
      </c>
      <c r="C304" t="s">
        <v>1226</v>
      </c>
      <c r="D304" s="2">
        <v>43504</v>
      </c>
      <c r="E304">
        <v>0.7298945</v>
      </c>
      <c r="F304" s="2">
        <v>43707</v>
      </c>
      <c r="G304">
        <v>1.322341</v>
      </c>
      <c r="H304" s="3">
        <v>0.81169999999999998</v>
      </c>
      <c r="I304">
        <v>113516.88</v>
      </c>
      <c r="J304" s="3">
        <v>0.80889999999999995</v>
      </c>
      <c r="K304">
        <v>192273</v>
      </c>
    </row>
    <row r="305" spans="1:11" x14ac:dyDescent="0.3">
      <c r="A305" t="s">
        <v>63</v>
      </c>
      <c r="B305" t="s">
        <v>780</v>
      </c>
      <c r="C305" t="s">
        <v>1226</v>
      </c>
      <c r="D305" s="2">
        <v>43651</v>
      </c>
      <c r="E305">
        <v>2.1377009999999999</v>
      </c>
      <c r="F305" s="2">
        <v>43700</v>
      </c>
      <c r="G305">
        <v>1.7882130000000001</v>
      </c>
      <c r="H305" s="3">
        <v>-0.16350000000000001</v>
      </c>
      <c r="I305">
        <v>-33666.92</v>
      </c>
      <c r="J305" s="3">
        <v>-0.1653</v>
      </c>
      <c r="K305">
        <v>95262</v>
      </c>
    </row>
    <row r="306" spans="1:11" x14ac:dyDescent="0.3">
      <c r="A306" t="s">
        <v>55</v>
      </c>
      <c r="B306" t="s">
        <v>841</v>
      </c>
      <c r="C306" t="s">
        <v>1226</v>
      </c>
      <c r="D306" s="2">
        <v>43518</v>
      </c>
      <c r="E306">
        <v>1.375</v>
      </c>
      <c r="F306" s="2">
        <v>43700</v>
      </c>
      <c r="G306">
        <v>2.85</v>
      </c>
      <c r="H306" s="3">
        <v>1.0727</v>
      </c>
      <c r="I306">
        <v>156846.39000000001</v>
      </c>
      <c r="J306" s="3">
        <v>1.0697000000000001</v>
      </c>
      <c r="K306">
        <v>106642</v>
      </c>
    </row>
    <row r="307" spans="1:11" x14ac:dyDescent="0.3">
      <c r="A307" t="s">
        <v>258</v>
      </c>
      <c r="B307" t="s">
        <v>856</v>
      </c>
      <c r="C307" t="s">
        <v>1226</v>
      </c>
      <c r="D307" s="2">
        <v>43511</v>
      </c>
      <c r="E307">
        <v>7.3063560000000001</v>
      </c>
      <c r="F307" s="2">
        <v>43700</v>
      </c>
      <c r="G307">
        <v>15.07868</v>
      </c>
      <c r="H307" s="3">
        <v>1.0638000000000001</v>
      </c>
      <c r="I307">
        <v>151720.56</v>
      </c>
      <c r="J307" s="3">
        <v>1.0607</v>
      </c>
      <c r="K307">
        <v>19577</v>
      </c>
    </row>
    <row r="308" spans="1:11" x14ac:dyDescent="0.3">
      <c r="A308" t="s">
        <v>69</v>
      </c>
      <c r="B308" t="s">
        <v>816</v>
      </c>
      <c r="C308" t="s">
        <v>1226</v>
      </c>
      <c r="D308" s="2">
        <v>43504</v>
      </c>
      <c r="E308">
        <v>1.303229</v>
      </c>
      <c r="F308" s="2">
        <v>43700</v>
      </c>
      <c r="G308">
        <v>2.003603</v>
      </c>
      <c r="H308" s="3">
        <v>0.53739999999999999</v>
      </c>
      <c r="I308">
        <v>75078.320000000007</v>
      </c>
      <c r="J308" s="3">
        <v>0.53490000000000004</v>
      </c>
      <c r="K308">
        <v>107706</v>
      </c>
    </row>
    <row r="309" spans="1:11" x14ac:dyDescent="0.3">
      <c r="A309" t="s">
        <v>190</v>
      </c>
      <c r="B309" t="s">
        <v>747</v>
      </c>
      <c r="C309" t="s">
        <v>1226</v>
      </c>
      <c r="D309" s="2">
        <v>43504</v>
      </c>
      <c r="E309">
        <v>0.51951619999999998</v>
      </c>
      <c r="F309" s="2">
        <v>43700</v>
      </c>
      <c r="G309">
        <v>1.093243</v>
      </c>
      <c r="H309" s="3">
        <v>1.1043000000000001</v>
      </c>
      <c r="I309">
        <v>154591.51</v>
      </c>
      <c r="J309" s="3">
        <v>1.1012</v>
      </c>
      <c r="K309">
        <v>270211</v>
      </c>
    </row>
    <row r="310" spans="1:11" x14ac:dyDescent="0.3">
      <c r="A310" t="s">
        <v>206</v>
      </c>
      <c r="B310" t="s">
        <v>773</v>
      </c>
      <c r="C310" t="s">
        <v>1226</v>
      </c>
      <c r="D310" s="2">
        <v>43497</v>
      </c>
      <c r="E310">
        <v>0.64</v>
      </c>
      <c r="F310" s="2">
        <v>43700</v>
      </c>
      <c r="G310">
        <v>1.53</v>
      </c>
      <c r="H310" s="3">
        <v>1.3906000000000001</v>
      </c>
      <c r="I310">
        <v>193255.73</v>
      </c>
      <c r="J310" s="3">
        <v>1.3872</v>
      </c>
      <c r="K310">
        <v>217672</v>
      </c>
    </row>
    <row r="311" spans="1:11" x14ac:dyDescent="0.3">
      <c r="A311" t="s">
        <v>191</v>
      </c>
      <c r="B311" t="s">
        <v>748</v>
      </c>
      <c r="C311" t="s">
        <v>1226</v>
      </c>
      <c r="D311" s="2">
        <v>43490</v>
      </c>
      <c r="E311">
        <v>1.312581</v>
      </c>
      <c r="F311" s="2">
        <v>43700</v>
      </c>
      <c r="G311">
        <v>1.834943</v>
      </c>
      <c r="H311" s="3">
        <v>0.39800000000000002</v>
      </c>
      <c r="I311">
        <v>55097.48</v>
      </c>
      <c r="J311" s="3">
        <v>0.39560000000000001</v>
      </c>
      <c r="K311">
        <v>106117</v>
      </c>
    </row>
    <row r="312" spans="1:11" x14ac:dyDescent="0.3">
      <c r="A312" t="s">
        <v>260</v>
      </c>
      <c r="B312" t="s">
        <v>859</v>
      </c>
      <c r="C312" t="s">
        <v>1226</v>
      </c>
      <c r="D312" s="2">
        <v>43623</v>
      </c>
      <c r="E312">
        <v>0.52500000000000002</v>
      </c>
      <c r="F312" s="2">
        <v>43693</v>
      </c>
      <c r="G312">
        <v>0.39</v>
      </c>
      <c r="H312" s="3">
        <v>-0.2571</v>
      </c>
      <c r="I312">
        <v>-51649.599999999999</v>
      </c>
      <c r="J312" s="3">
        <v>-0.25890000000000002</v>
      </c>
      <c r="K312">
        <v>380014</v>
      </c>
    </row>
    <row r="313" spans="1:11" x14ac:dyDescent="0.3">
      <c r="A313" t="s">
        <v>52</v>
      </c>
      <c r="B313" t="s">
        <v>860</v>
      </c>
      <c r="C313" t="s">
        <v>1226</v>
      </c>
      <c r="D313" s="2">
        <v>43490</v>
      </c>
      <c r="E313">
        <v>13.447979999999999</v>
      </c>
      <c r="F313" s="2">
        <v>43693</v>
      </c>
      <c r="G313">
        <v>27.518519999999999</v>
      </c>
      <c r="H313" s="3">
        <v>1.0463</v>
      </c>
      <c r="I313">
        <v>145290.26</v>
      </c>
      <c r="J313" s="3">
        <v>1.0431999999999999</v>
      </c>
      <c r="K313">
        <v>10356</v>
      </c>
    </row>
    <row r="314" spans="1:11" x14ac:dyDescent="0.3">
      <c r="A314" t="s">
        <v>101</v>
      </c>
      <c r="B314" t="s">
        <v>779</v>
      </c>
      <c r="C314" t="s">
        <v>1226</v>
      </c>
      <c r="D314" s="2">
        <v>43504</v>
      </c>
      <c r="E314">
        <v>0.57106979999999996</v>
      </c>
      <c r="F314" s="2">
        <v>43658</v>
      </c>
      <c r="G314">
        <v>0.79071210000000003</v>
      </c>
      <c r="H314" s="3">
        <v>0.3846</v>
      </c>
      <c r="I314">
        <v>53667.32</v>
      </c>
      <c r="J314" s="3">
        <v>0.38219999999999998</v>
      </c>
      <c r="K314">
        <v>245864</v>
      </c>
    </row>
    <row r="315" spans="1:11" x14ac:dyDescent="0.3">
      <c r="A315" t="s">
        <v>211</v>
      </c>
      <c r="B315" t="s">
        <v>782</v>
      </c>
      <c r="C315" t="s">
        <v>1226</v>
      </c>
      <c r="D315" s="2">
        <v>43504</v>
      </c>
      <c r="E315">
        <v>1.6133090000000001</v>
      </c>
      <c r="F315" s="2">
        <v>43651</v>
      </c>
      <c r="G315">
        <v>2.3727819999999999</v>
      </c>
      <c r="H315" s="3">
        <v>0.4708</v>
      </c>
      <c r="I315">
        <v>65743.23</v>
      </c>
      <c r="J315" s="3">
        <v>0.46829999999999999</v>
      </c>
      <c r="K315">
        <v>87021</v>
      </c>
    </row>
    <row r="316" spans="1:11" x14ac:dyDescent="0.3">
      <c r="A316" t="s">
        <v>414</v>
      </c>
      <c r="B316" t="s">
        <v>828</v>
      </c>
      <c r="C316" t="s">
        <v>1226</v>
      </c>
      <c r="D316" s="2">
        <v>43490</v>
      </c>
      <c r="E316">
        <v>2.9479169999999999</v>
      </c>
      <c r="F316" s="2">
        <v>43630</v>
      </c>
      <c r="G316">
        <v>2.8398270000000001</v>
      </c>
      <c r="H316" s="3">
        <v>-3.6700000000000003E-2</v>
      </c>
      <c r="I316">
        <v>-5381.07</v>
      </c>
      <c r="J316" s="3">
        <v>-3.8600000000000002E-2</v>
      </c>
      <c r="K316">
        <v>47253</v>
      </c>
    </row>
    <row r="317" spans="1:11" x14ac:dyDescent="0.3">
      <c r="A317" t="s">
        <v>261</v>
      </c>
      <c r="B317" t="s">
        <v>861</v>
      </c>
      <c r="C317" t="s">
        <v>1226</v>
      </c>
      <c r="D317" s="2">
        <v>43546</v>
      </c>
      <c r="E317">
        <v>1.0979890000000001</v>
      </c>
      <c r="F317" s="2">
        <v>43630</v>
      </c>
      <c r="G317">
        <v>0.98464790000000002</v>
      </c>
      <c r="H317" s="3">
        <v>-0.1032</v>
      </c>
      <c r="I317">
        <v>-16784.8</v>
      </c>
      <c r="J317" s="3">
        <v>-0.1051</v>
      </c>
      <c r="K317">
        <v>145419</v>
      </c>
    </row>
    <row r="318" spans="1:11" x14ac:dyDescent="0.3">
      <c r="A318" t="s">
        <v>262</v>
      </c>
      <c r="B318" t="s">
        <v>862</v>
      </c>
      <c r="C318" t="s">
        <v>1226</v>
      </c>
      <c r="D318" s="2">
        <v>43588</v>
      </c>
      <c r="E318">
        <v>0.50102749999999996</v>
      </c>
      <c r="F318" s="2">
        <v>43623</v>
      </c>
      <c r="G318">
        <v>0.4916624</v>
      </c>
      <c r="H318" s="3">
        <v>-1.8700000000000001E-2</v>
      </c>
      <c r="I318">
        <v>-3781.14</v>
      </c>
      <c r="J318" s="3">
        <v>-2.07E-2</v>
      </c>
      <c r="K318">
        <v>365056</v>
      </c>
    </row>
    <row r="319" spans="1:11" x14ac:dyDescent="0.3">
      <c r="A319" t="s">
        <v>401</v>
      </c>
      <c r="B319" t="s">
        <v>765</v>
      </c>
      <c r="C319" t="s">
        <v>1226</v>
      </c>
      <c r="D319" s="2">
        <v>43490</v>
      </c>
      <c r="E319">
        <v>1.98</v>
      </c>
      <c r="F319" s="2">
        <v>43588</v>
      </c>
      <c r="G319">
        <v>3.41</v>
      </c>
      <c r="H319" s="3">
        <v>0.72219999999999995</v>
      </c>
      <c r="I319">
        <v>100197.1</v>
      </c>
      <c r="J319" s="3">
        <v>0.71950000000000003</v>
      </c>
      <c r="K319">
        <v>70333</v>
      </c>
    </row>
    <row r="320" spans="1:11" x14ac:dyDescent="0.3">
      <c r="A320" t="s">
        <v>263</v>
      </c>
      <c r="B320" t="s">
        <v>863</v>
      </c>
      <c r="C320" t="s">
        <v>1226</v>
      </c>
      <c r="D320" s="2">
        <v>43504</v>
      </c>
      <c r="E320">
        <v>0.74372709999999997</v>
      </c>
      <c r="F320" s="2">
        <v>43581</v>
      </c>
      <c r="G320">
        <v>0.58623190000000003</v>
      </c>
      <c r="H320" s="3">
        <v>-0.21179999999999999</v>
      </c>
      <c r="I320">
        <v>-29972.69</v>
      </c>
      <c r="J320" s="3">
        <v>-0.21360000000000001</v>
      </c>
      <c r="K320">
        <v>188715</v>
      </c>
    </row>
    <row r="321" spans="1:11" x14ac:dyDescent="0.3">
      <c r="A321" t="s">
        <v>426</v>
      </c>
      <c r="B321" t="s">
        <v>864</v>
      </c>
      <c r="C321" t="s">
        <v>1226</v>
      </c>
      <c r="D321" s="2">
        <v>43280</v>
      </c>
      <c r="E321">
        <v>1.012149</v>
      </c>
      <c r="F321" s="2">
        <v>43545</v>
      </c>
      <c r="G321">
        <v>1.1599999999999999</v>
      </c>
      <c r="H321" s="3">
        <v>0.14610000000000001</v>
      </c>
      <c r="I321">
        <v>20366.919999999998</v>
      </c>
      <c r="J321" s="3">
        <v>0.1439</v>
      </c>
      <c r="K321">
        <v>139807</v>
      </c>
    </row>
    <row r="322" spans="1:11" x14ac:dyDescent="0.3">
      <c r="A322" t="s">
        <v>243</v>
      </c>
      <c r="B322" t="s">
        <v>827</v>
      </c>
      <c r="C322" t="s">
        <v>1226</v>
      </c>
      <c r="D322" s="2">
        <v>43301</v>
      </c>
      <c r="E322">
        <v>1.39</v>
      </c>
      <c r="F322" s="2">
        <v>43511</v>
      </c>
      <c r="G322">
        <v>1.0449999999999999</v>
      </c>
      <c r="H322" s="3">
        <v>-0.2482</v>
      </c>
      <c r="I322">
        <v>-35009.29</v>
      </c>
      <c r="J322" s="3">
        <v>-0.25</v>
      </c>
      <c r="K322">
        <v>100765</v>
      </c>
    </row>
    <row r="323" spans="1:11" x14ac:dyDescent="0.3">
      <c r="A323" t="s">
        <v>427</v>
      </c>
      <c r="B323" t="s">
        <v>865</v>
      </c>
      <c r="C323" t="s">
        <v>1226</v>
      </c>
      <c r="D323" s="2">
        <v>43490</v>
      </c>
      <c r="E323">
        <v>5.3113720000000004</v>
      </c>
      <c r="F323" s="2">
        <v>43507</v>
      </c>
      <c r="G323">
        <v>5.3596570000000003</v>
      </c>
      <c r="H323" s="3">
        <v>9.1000000000000004E-3</v>
      </c>
      <c r="I323">
        <v>986.58</v>
      </c>
      <c r="J323" s="3">
        <v>7.1000000000000004E-3</v>
      </c>
      <c r="K323">
        <v>26229</v>
      </c>
    </row>
    <row r="324" spans="1:11" x14ac:dyDescent="0.3">
      <c r="A324" t="s">
        <v>264</v>
      </c>
      <c r="B324" t="s">
        <v>866</v>
      </c>
      <c r="C324" t="s">
        <v>1226</v>
      </c>
      <c r="D324" s="2">
        <v>43315</v>
      </c>
      <c r="E324">
        <v>5.1805880000000002</v>
      </c>
      <c r="F324" s="2">
        <v>43462</v>
      </c>
      <c r="G324">
        <v>3.668663</v>
      </c>
      <c r="H324" s="3">
        <v>-0.2918</v>
      </c>
      <c r="I324">
        <v>-40356.79</v>
      </c>
      <c r="J324" s="3">
        <v>-0.29360000000000003</v>
      </c>
      <c r="K324">
        <v>26537</v>
      </c>
    </row>
    <row r="325" spans="1:11" x14ac:dyDescent="0.3">
      <c r="A325" t="s">
        <v>428</v>
      </c>
      <c r="B325" t="s">
        <v>867</v>
      </c>
      <c r="C325" t="s">
        <v>1226</v>
      </c>
      <c r="D325" s="2">
        <v>43343</v>
      </c>
      <c r="E325">
        <v>6.7713070000000002</v>
      </c>
      <c r="F325" s="2">
        <v>43434</v>
      </c>
      <c r="G325">
        <v>7.3332800000000002</v>
      </c>
      <c r="H325" s="3">
        <v>8.3000000000000004E-2</v>
      </c>
      <c r="I325">
        <v>11602.21</v>
      </c>
      <c r="J325" s="3">
        <v>8.09E-2</v>
      </c>
      <c r="K325">
        <v>21177</v>
      </c>
    </row>
    <row r="326" spans="1:11" x14ac:dyDescent="0.3">
      <c r="A326" t="s">
        <v>265</v>
      </c>
      <c r="B326" t="s">
        <v>868</v>
      </c>
      <c r="C326" t="s">
        <v>1226</v>
      </c>
      <c r="D326" s="2">
        <v>43224</v>
      </c>
      <c r="E326">
        <v>1.2716430000000001</v>
      </c>
      <c r="F326" s="2">
        <v>43427</v>
      </c>
      <c r="G326">
        <v>1.339377</v>
      </c>
      <c r="H326" s="3">
        <v>5.33E-2</v>
      </c>
      <c r="I326">
        <v>6959.37</v>
      </c>
      <c r="J326" s="3">
        <v>5.1200000000000002E-2</v>
      </c>
      <c r="K326">
        <v>106865</v>
      </c>
    </row>
    <row r="327" spans="1:11" x14ac:dyDescent="0.3">
      <c r="A327" t="s">
        <v>138</v>
      </c>
      <c r="B327" t="s">
        <v>684</v>
      </c>
      <c r="C327" t="s">
        <v>1226</v>
      </c>
      <c r="D327" s="2">
        <v>43322</v>
      </c>
      <c r="E327">
        <v>1.473341</v>
      </c>
      <c r="F327" s="2">
        <v>43406</v>
      </c>
      <c r="G327">
        <v>1.823788</v>
      </c>
      <c r="H327" s="3">
        <v>0.2379</v>
      </c>
      <c r="I327">
        <v>32268.97</v>
      </c>
      <c r="J327" s="3">
        <v>0.2356</v>
      </c>
      <c r="K327">
        <v>92954</v>
      </c>
    </row>
    <row r="328" spans="1:11" x14ac:dyDescent="0.3">
      <c r="A328" t="s">
        <v>258</v>
      </c>
      <c r="B328" t="s">
        <v>856</v>
      </c>
      <c r="C328" t="s">
        <v>1226</v>
      </c>
      <c r="D328" s="2">
        <v>43231</v>
      </c>
      <c r="E328">
        <v>3.5878380000000001</v>
      </c>
      <c r="F328" s="2">
        <v>43406</v>
      </c>
      <c r="G328">
        <v>5.4386279999999996</v>
      </c>
      <c r="H328" s="3">
        <v>0.51590000000000003</v>
      </c>
      <c r="I328">
        <v>71244.94</v>
      </c>
      <c r="J328" s="3">
        <v>0.51329999999999998</v>
      </c>
      <c r="K328">
        <v>38683</v>
      </c>
    </row>
    <row r="329" spans="1:11" x14ac:dyDescent="0.3">
      <c r="A329" t="s">
        <v>179</v>
      </c>
      <c r="B329" t="s">
        <v>730</v>
      </c>
      <c r="C329" t="s">
        <v>1226</v>
      </c>
      <c r="D329" s="2">
        <v>43231</v>
      </c>
      <c r="E329">
        <v>1.9765999999999999</v>
      </c>
      <c r="F329" s="2">
        <v>43399</v>
      </c>
      <c r="G329">
        <v>2.7208869999999998</v>
      </c>
      <c r="H329" s="3">
        <v>0.3765</v>
      </c>
      <c r="I329">
        <v>51950.99</v>
      </c>
      <c r="J329" s="3">
        <v>0.37419999999999998</v>
      </c>
      <c r="K329">
        <v>70243</v>
      </c>
    </row>
    <row r="330" spans="1:11" x14ac:dyDescent="0.3">
      <c r="A330" t="s">
        <v>102</v>
      </c>
      <c r="B330" t="s">
        <v>771</v>
      </c>
      <c r="C330" t="s">
        <v>1226</v>
      </c>
      <c r="D330" s="2">
        <v>43343</v>
      </c>
      <c r="E330">
        <v>1.3959809999999999</v>
      </c>
      <c r="F330" s="2">
        <v>43392</v>
      </c>
      <c r="G330">
        <v>1.4437390000000001</v>
      </c>
      <c r="H330" s="3">
        <v>3.4200000000000001E-2</v>
      </c>
      <c r="I330">
        <v>4614.63</v>
      </c>
      <c r="J330" s="3">
        <v>3.2199999999999999E-2</v>
      </c>
      <c r="K330">
        <v>102734</v>
      </c>
    </row>
    <row r="331" spans="1:11" x14ac:dyDescent="0.3">
      <c r="A331" t="s">
        <v>266</v>
      </c>
      <c r="B331" t="s">
        <v>869</v>
      </c>
      <c r="C331" t="s">
        <v>1226</v>
      </c>
      <c r="D331" s="2">
        <v>43308</v>
      </c>
      <c r="E331">
        <v>0.53500000000000003</v>
      </c>
      <c r="F331" s="2">
        <v>43392</v>
      </c>
      <c r="G331">
        <v>0.42499999999999999</v>
      </c>
      <c r="H331" s="3">
        <v>-0.2056</v>
      </c>
      <c r="I331">
        <v>-29177.71</v>
      </c>
      <c r="J331" s="3">
        <v>-0.2074</v>
      </c>
      <c r="K331">
        <v>262957</v>
      </c>
    </row>
    <row r="332" spans="1:11" x14ac:dyDescent="0.3">
      <c r="A332" t="s">
        <v>199</v>
      </c>
      <c r="B332" t="s">
        <v>759</v>
      </c>
      <c r="C332" t="s">
        <v>1226</v>
      </c>
      <c r="D332" s="2">
        <v>43280</v>
      </c>
      <c r="E332">
        <v>0.81594230000000001</v>
      </c>
      <c r="F332" s="2">
        <v>43392</v>
      </c>
      <c r="G332">
        <v>0.87870709999999996</v>
      </c>
      <c r="H332" s="3">
        <v>7.6899999999999996E-2</v>
      </c>
      <c r="I332">
        <v>10590.11</v>
      </c>
      <c r="J332" s="3">
        <v>7.4800000000000005E-2</v>
      </c>
      <c r="K332">
        <v>173409</v>
      </c>
    </row>
    <row r="333" spans="1:11" x14ac:dyDescent="0.3">
      <c r="A333" t="s">
        <v>263</v>
      </c>
      <c r="B333" t="s">
        <v>863</v>
      </c>
      <c r="C333" t="s">
        <v>1226</v>
      </c>
      <c r="D333" s="2">
        <v>43259</v>
      </c>
      <c r="E333">
        <v>0.54685819999999996</v>
      </c>
      <c r="F333" s="2">
        <v>43392</v>
      </c>
      <c r="G333">
        <v>0.57748219999999995</v>
      </c>
      <c r="H333" s="3">
        <v>5.6000000000000001E-2</v>
      </c>
      <c r="I333">
        <v>7700.47</v>
      </c>
      <c r="J333" s="3">
        <v>5.3900000000000003E-2</v>
      </c>
      <c r="K333">
        <v>261036</v>
      </c>
    </row>
    <row r="334" spans="1:11" x14ac:dyDescent="0.3">
      <c r="A334" t="s">
        <v>166</v>
      </c>
      <c r="B334" t="s">
        <v>714</v>
      </c>
      <c r="C334" t="s">
        <v>1226</v>
      </c>
      <c r="D334" s="2">
        <v>43238</v>
      </c>
      <c r="E334">
        <v>1.7076169999999999</v>
      </c>
      <c r="F334" s="2">
        <v>43392</v>
      </c>
      <c r="G334">
        <v>2.019231</v>
      </c>
      <c r="H334" s="3">
        <v>0.1825</v>
      </c>
      <c r="I334">
        <v>25471.200000000001</v>
      </c>
      <c r="J334" s="3">
        <v>0.18029999999999999</v>
      </c>
      <c r="K334">
        <v>82729</v>
      </c>
    </row>
    <row r="335" spans="1:11" x14ac:dyDescent="0.3">
      <c r="A335" t="s">
        <v>109</v>
      </c>
      <c r="B335" t="s">
        <v>728</v>
      </c>
      <c r="C335" t="s">
        <v>1226</v>
      </c>
      <c r="D335" s="2">
        <v>43322</v>
      </c>
      <c r="E335">
        <v>1.644687</v>
      </c>
      <c r="F335" s="2">
        <v>43371</v>
      </c>
      <c r="G335">
        <v>1.5360290000000001</v>
      </c>
      <c r="H335" s="3">
        <v>-6.6100000000000006E-2</v>
      </c>
      <c r="I335">
        <v>-9313.7000000000007</v>
      </c>
      <c r="J335" s="3">
        <v>-6.8000000000000005E-2</v>
      </c>
      <c r="K335">
        <v>83278</v>
      </c>
    </row>
    <row r="336" spans="1:11" x14ac:dyDescent="0.3">
      <c r="A336" t="s">
        <v>205</v>
      </c>
      <c r="B336" t="s">
        <v>770</v>
      </c>
      <c r="C336" t="s">
        <v>1226</v>
      </c>
      <c r="D336" s="2">
        <v>43238</v>
      </c>
      <c r="E336">
        <v>9.1760920000000006</v>
      </c>
      <c r="F336" s="2">
        <v>43364</v>
      </c>
      <c r="G336">
        <v>7.9685519999999999</v>
      </c>
      <c r="H336" s="3">
        <v>-0.13159999999999999</v>
      </c>
      <c r="I336">
        <v>-18856.439999999999</v>
      </c>
      <c r="J336" s="3">
        <v>-0.13350000000000001</v>
      </c>
      <c r="K336">
        <v>15397</v>
      </c>
    </row>
    <row r="337" spans="1:11" x14ac:dyDescent="0.3">
      <c r="A337" t="s">
        <v>267</v>
      </c>
      <c r="B337" t="s">
        <v>870</v>
      </c>
      <c r="C337" t="s">
        <v>1226</v>
      </c>
      <c r="D337" s="2">
        <v>43224</v>
      </c>
      <c r="E337">
        <v>2.1584379999999999</v>
      </c>
      <c r="F337" s="2">
        <v>43357</v>
      </c>
      <c r="G337">
        <v>2.6091009999999999</v>
      </c>
      <c r="H337" s="3">
        <v>0.20880000000000001</v>
      </c>
      <c r="I337">
        <v>28067.78</v>
      </c>
      <c r="J337" s="3">
        <v>0.20660000000000001</v>
      </c>
      <c r="K337">
        <v>62947</v>
      </c>
    </row>
    <row r="338" spans="1:11" x14ac:dyDescent="0.3">
      <c r="A338" t="s">
        <v>144</v>
      </c>
      <c r="B338" t="s">
        <v>690</v>
      </c>
      <c r="C338" t="s">
        <v>1226</v>
      </c>
      <c r="D338" s="2">
        <v>42874</v>
      </c>
      <c r="E338">
        <v>1.1037699999999999</v>
      </c>
      <c r="F338" s="2">
        <v>43357</v>
      </c>
      <c r="G338">
        <v>2.1504650000000001</v>
      </c>
      <c r="H338" s="3">
        <v>0.94830000000000003</v>
      </c>
      <c r="I338">
        <v>110744.54</v>
      </c>
      <c r="J338" s="3">
        <v>0.94530000000000003</v>
      </c>
      <c r="K338">
        <v>106134</v>
      </c>
    </row>
    <row r="339" spans="1:11" x14ac:dyDescent="0.3">
      <c r="A339" t="s">
        <v>155</v>
      </c>
      <c r="B339" t="s">
        <v>703</v>
      </c>
      <c r="C339" t="s">
        <v>1226</v>
      </c>
      <c r="D339" s="2">
        <v>43224</v>
      </c>
      <c r="E339">
        <v>1.5280050000000001</v>
      </c>
      <c r="F339" s="2">
        <v>43329</v>
      </c>
      <c r="G339">
        <v>1.470272</v>
      </c>
      <c r="H339" s="3">
        <v>-3.78E-2</v>
      </c>
      <c r="I339">
        <v>-5400.65</v>
      </c>
      <c r="J339" s="3">
        <v>-3.9699999999999999E-2</v>
      </c>
      <c r="K339">
        <v>88927</v>
      </c>
    </row>
    <row r="340" spans="1:11" x14ac:dyDescent="0.3">
      <c r="A340" t="s">
        <v>190</v>
      </c>
      <c r="B340" t="s">
        <v>747</v>
      </c>
      <c r="C340" t="s">
        <v>1226</v>
      </c>
      <c r="D340" s="2">
        <v>43231</v>
      </c>
      <c r="E340">
        <v>0.52403370000000005</v>
      </c>
      <c r="F340" s="2">
        <v>43329</v>
      </c>
      <c r="G340">
        <v>0.44271820000000001</v>
      </c>
      <c r="H340" s="3">
        <v>-0.1552</v>
      </c>
      <c r="I340">
        <v>-21796.57</v>
      </c>
      <c r="J340" s="3">
        <v>-0.157</v>
      </c>
      <c r="K340">
        <v>264900</v>
      </c>
    </row>
    <row r="341" spans="1:11" x14ac:dyDescent="0.3">
      <c r="A341" t="s">
        <v>72</v>
      </c>
      <c r="B341" t="s">
        <v>871</v>
      </c>
      <c r="C341" t="s">
        <v>1226</v>
      </c>
      <c r="D341" s="2">
        <v>43231</v>
      </c>
      <c r="E341">
        <v>6.9348999999999998</v>
      </c>
      <c r="F341" s="2">
        <v>43322</v>
      </c>
      <c r="G341">
        <v>6.6557040000000001</v>
      </c>
      <c r="H341" s="3">
        <v>-4.0300000000000002E-2</v>
      </c>
      <c r="I341">
        <v>-5858.39</v>
      </c>
      <c r="J341" s="3">
        <v>-4.2200000000000001E-2</v>
      </c>
      <c r="K341">
        <v>20009</v>
      </c>
    </row>
    <row r="342" spans="1:11" x14ac:dyDescent="0.3">
      <c r="A342" t="s">
        <v>429</v>
      </c>
      <c r="B342" t="s">
        <v>872</v>
      </c>
      <c r="C342" t="s">
        <v>1226</v>
      </c>
      <c r="D342" s="2">
        <v>43224</v>
      </c>
      <c r="E342">
        <v>0.55000000000000004</v>
      </c>
      <c r="F342" s="2">
        <v>43315</v>
      </c>
      <c r="G342">
        <v>0.54500000000000004</v>
      </c>
      <c r="H342" s="3">
        <v>-9.1000000000000004E-3</v>
      </c>
      <c r="I342">
        <v>-1506.25</v>
      </c>
      <c r="J342" s="3">
        <v>-1.11E-2</v>
      </c>
      <c r="K342">
        <v>247128</v>
      </c>
    </row>
    <row r="343" spans="1:11" x14ac:dyDescent="0.3">
      <c r="A343" t="s">
        <v>430</v>
      </c>
      <c r="B343" t="s">
        <v>873</v>
      </c>
      <c r="C343" t="s">
        <v>1226</v>
      </c>
      <c r="D343" s="2">
        <v>43224</v>
      </c>
      <c r="E343">
        <v>1.4850000000000001</v>
      </c>
      <c r="F343" s="2">
        <v>43312</v>
      </c>
      <c r="G343">
        <v>1.7450000000000001</v>
      </c>
      <c r="H343" s="3">
        <v>0.17510000000000001</v>
      </c>
      <c r="I343">
        <v>23499.59</v>
      </c>
      <c r="J343" s="3">
        <v>0.1729</v>
      </c>
      <c r="K343">
        <v>91520</v>
      </c>
    </row>
    <row r="344" spans="1:11" x14ac:dyDescent="0.3">
      <c r="A344" t="s">
        <v>431</v>
      </c>
      <c r="B344" t="s">
        <v>874</v>
      </c>
      <c r="C344" t="s">
        <v>1226</v>
      </c>
      <c r="D344" s="2">
        <v>42706</v>
      </c>
      <c r="E344">
        <v>1.240013</v>
      </c>
      <c r="F344" s="2">
        <v>43308</v>
      </c>
      <c r="G344">
        <v>1.2533840000000001</v>
      </c>
      <c r="H344" s="3">
        <v>1.0800000000000001E-2</v>
      </c>
      <c r="I344">
        <v>1031.1199999999999</v>
      </c>
      <c r="J344" s="3">
        <v>8.8000000000000005E-3</v>
      </c>
      <c r="K344">
        <v>94793</v>
      </c>
    </row>
    <row r="345" spans="1:11" x14ac:dyDescent="0.3">
      <c r="A345" t="s">
        <v>211</v>
      </c>
      <c r="B345" t="s">
        <v>782</v>
      </c>
      <c r="C345" t="s">
        <v>1226</v>
      </c>
      <c r="D345" s="2">
        <v>42972</v>
      </c>
      <c r="E345">
        <v>1.132849</v>
      </c>
      <c r="F345" s="2">
        <v>43294</v>
      </c>
      <c r="G345">
        <v>1.177311</v>
      </c>
      <c r="H345" s="3">
        <v>3.9199999999999999E-2</v>
      </c>
      <c r="I345">
        <v>4347.5</v>
      </c>
      <c r="J345" s="3">
        <v>3.7199999999999997E-2</v>
      </c>
      <c r="K345">
        <v>103139</v>
      </c>
    </row>
    <row r="346" spans="1:11" x14ac:dyDescent="0.3">
      <c r="A346" t="s">
        <v>432</v>
      </c>
      <c r="B346" t="s">
        <v>875</v>
      </c>
      <c r="C346" t="s">
        <v>1226</v>
      </c>
      <c r="D346" s="2">
        <v>43231</v>
      </c>
      <c r="E346">
        <v>1.4950000000000001</v>
      </c>
      <c r="F346" s="2">
        <v>43287</v>
      </c>
      <c r="G346">
        <v>0.99</v>
      </c>
      <c r="H346" s="3">
        <v>-0.33779999999999999</v>
      </c>
      <c r="I346">
        <v>-47126.07</v>
      </c>
      <c r="J346" s="3">
        <v>-0.33950000000000002</v>
      </c>
      <c r="K346">
        <v>92862</v>
      </c>
    </row>
    <row r="347" spans="1:11" x14ac:dyDescent="0.3">
      <c r="A347" t="s">
        <v>226</v>
      </c>
      <c r="B347" t="s">
        <v>803</v>
      </c>
      <c r="C347" t="s">
        <v>1226</v>
      </c>
      <c r="D347" s="2">
        <v>43098</v>
      </c>
      <c r="E347">
        <v>3.2484649999999999</v>
      </c>
      <c r="F347" s="2">
        <v>43280</v>
      </c>
      <c r="G347">
        <v>2.7463869999999999</v>
      </c>
      <c r="H347" s="3">
        <v>-0.15459999999999999</v>
      </c>
      <c r="I347">
        <v>-21394.44</v>
      </c>
      <c r="J347" s="3">
        <v>-0.15640000000000001</v>
      </c>
      <c r="K347">
        <v>42109</v>
      </c>
    </row>
    <row r="348" spans="1:11" x14ac:dyDescent="0.3">
      <c r="A348" t="s">
        <v>26</v>
      </c>
      <c r="B348" t="s">
        <v>876</v>
      </c>
      <c r="C348" t="s">
        <v>1226</v>
      </c>
      <c r="D348" s="2">
        <v>43231</v>
      </c>
      <c r="E348">
        <v>2.5542699999999998</v>
      </c>
      <c r="F348" s="2">
        <v>43280</v>
      </c>
      <c r="G348">
        <v>2.494405</v>
      </c>
      <c r="H348" s="3">
        <v>-2.3400000000000001E-2</v>
      </c>
      <c r="I348">
        <v>-3526.82</v>
      </c>
      <c r="J348" s="3">
        <v>-2.5399999999999999E-2</v>
      </c>
      <c r="K348">
        <v>54331</v>
      </c>
    </row>
    <row r="349" spans="1:11" x14ac:dyDescent="0.3">
      <c r="A349" t="s">
        <v>433</v>
      </c>
      <c r="B349" t="s">
        <v>877</v>
      </c>
      <c r="C349" t="s">
        <v>1226</v>
      </c>
      <c r="D349" s="2">
        <v>43231</v>
      </c>
      <c r="E349">
        <v>1.7250000000000001</v>
      </c>
      <c r="F349" s="2">
        <v>43256</v>
      </c>
      <c r="G349">
        <v>1.74</v>
      </c>
      <c r="H349" s="3">
        <v>8.6999999999999994E-3</v>
      </c>
      <c r="I349">
        <v>928.52</v>
      </c>
      <c r="J349" s="3">
        <v>6.7000000000000002E-3</v>
      </c>
      <c r="K349">
        <v>80496</v>
      </c>
    </row>
    <row r="350" spans="1:11" x14ac:dyDescent="0.3">
      <c r="A350" t="s">
        <v>81</v>
      </c>
      <c r="B350" t="s">
        <v>878</v>
      </c>
      <c r="C350" t="s">
        <v>1226</v>
      </c>
      <c r="D350" s="2">
        <v>43231</v>
      </c>
      <c r="E350">
        <v>7.7288579999999998</v>
      </c>
      <c r="F350" s="2">
        <v>43252</v>
      </c>
      <c r="G350">
        <v>8.1705070000000006</v>
      </c>
      <c r="H350" s="3">
        <v>5.7099999999999998E-2</v>
      </c>
      <c r="I350">
        <v>7646.09</v>
      </c>
      <c r="J350" s="3">
        <v>5.5100000000000003E-2</v>
      </c>
      <c r="K350">
        <v>17959</v>
      </c>
    </row>
    <row r="351" spans="1:11" x14ac:dyDescent="0.3">
      <c r="A351" t="s">
        <v>251</v>
      </c>
      <c r="B351" t="s">
        <v>845</v>
      </c>
      <c r="C351" t="s">
        <v>1226</v>
      </c>
      <c r="D351" s="2">
        <v>42720</v>
      </c>
      <c r="E351">
        <v>0.79191940000000005</v>
      </c>
      <c r="F351" s="2">
        <v>43231</v>
      </c>
      <c r="G351">
        <v>0.91220619999999997</v>
      </c>
      <c r="H351" s="3">
        <v>0.15190000000000001</v>
      </c>
      <c r="I351">
        <v>17464.03</v>
      </c>
      <c r="J351" s="3">
        <v>0.1497</v>
      </c>
      <c r="K351">
        <v>147273</v>
      </c>
    </row>
    <row r="352" spans="1:11" x14ac:dyDescent="0.3">
      <c r="A352" t="s">
        <v>434</v>
      </c>
      <c r="B352" t="s">
        <v>879</v>
      </c>
      <c r="C352" t="s">
        <v>1226</v>
      </c>
      <c r="D352" s="2">
        <v>43084</v>
      </c>
      <c r="E352">
        <v>2.7988409999999999</v>
      </c>
      <c r="F352" s="2">
        <v>43231</v>
      </c>
      <c r="G352">
        <v>2.8483040000000002</v>
      </c>
      <c r="H352" s="3">
        <v>1.77E-2</v>
      </c>
      <c r="I352">
        <v>2039.28</v>
      </c>
      <c r="J352" s="3">
        <v>1.5699999999999999E-2</v>
      </c>
      <c r="K352">
        <v>46542</v>
      </c>
    </row>
    <row r="353" spans="1:11" x14ac:dyDescent="0.3">
      <c r="A353" t="s">
        <v>206</v>
      </c>
      <c r="B353" t="s">
        <v>773</v>
      </c>
      <c r="C353" t="s">
        <v>1226</v>
      </c>
      <c r="D353" s="2">
        <v>43105</v>
      </c>
      <c r="E353">
        <v>0.51</v>
      </c>
      <c r="F353" s="2">
        <v>43217</v>
      </c>
      <c r="G353">
        <v>0.505</v>
      </c>
      <c r="H353" s="3">
        <v>-9.7999999999999997E-3</v>
      </c>
      <c r="I353">
        <v>-1643.5</v>
      </c>
      <c r="J353" s="3">
        <v>-1.18E-2</v>
      </c>
      <c r="K353">
        <v>273234</v>
      </c>
    </row>
    <row r="354" spans="1:11" x14ac:dyDescent="0.3">
      <c r="A354" t="s">
        <v>133</v>
      </c>
      <c r="B354" t="s">
        <v>679</v>
      </c>
      <c r="C354" t="s">
        <v>1226</v>
      </c>
      <c r="D354" s="2">
        <v>42559</v>
      </c>
      <c r="E354">
        <v>1.359958</v>
      </c>
      <c r="F354" s="2">
        <v>43168</v>
      </c>
      <c r="G354">
        <v>2.4999880000000001</v>
      </c>
      <c r="H354" s="3">
        <v>0.83830000000000005</v>
      </c>
      <c r="I354">
        <v>88422.43</v>
      </c>
      <c r="J354" s="3">
        <v>0.83540000000000003</v>
      </c>
      <c r="K354">
        <v>77825</v>
      </c>
    </row>
    <row r="355" spans="1:11" x14ac:dyDescent="0.3">
      <c r="A355" t="s">
        <v>245</v>
      </c>
      <c r="B355" t="s">
        <v>833</v>
      </c>
      <c r="C355" t="s">
        <v>1226</v>
      </c>
      <c r="D355" s="2">
        <v>42972</v>
      </c>
      <c r="E355">
        <v>0.85808379999999995</v>
      </c>
      <c r="F355" s="2">
        <v>43168</v>
      </c>
      <c r="G355">
        <v>1.2804070000000001</v>
      </c>
      <c r="H355" s="3">
        <v>0.49220000000000003</v>
      </c>
      <c r="I355">
        <v>57219.91</v>
      </c>
      <c r="J355" s="3">
        <v>0.48970000000000002</v>
      </c>
      <c r="K355">
        <v>136178</v>
      </c>
    </row>
    <row r="356" spans="1:11" x14ac:dyDescent="0.3">
      <c r="A356" t="s">
        <v>109</v>
      </c>
      <c r="B356" t="s">
        <v>728</v>
      </c>
      <c r="C356" t="s">
        <v>1226</v>
      </c>
      <c r="D356" s="2">
        <v>42972</v>
      </c>
      <c r="E356">
        <v>1.773101</v>
      </c>
      <c r="F356" s="2">
        <v>43161</v>
      </c>
      <c r="G356">
        <v>1.5409679999999999</v>
      </c>
      <c r="H356" s="3">
        <v>-0.13089999999999999</v>
      </c>
      <c r="I356">
        <v>-15512.19</v>
      </c>
      <c r="J356" s="3">
        <v>-0.1328</v>
      </c>
      <c r="K356">
        <v>65884</v>
      </c>
    </row>
    <row r="357" spans="1:11" x14ac:dyDescent="0.3">
      <c r="A357" t="s">
        <v>81</v>
      </c>
      <c r="B357" t="s">
        <v>878</v>
      </c>
      <c r="C357" t="s">
        <v>1226</v>
      </c>
      <c r="D357" s="2">
        <v>42643</v>
      </c>
      <c r="E357">
        <v>4.3786259999999997</v>
      </c>
      <c r="F357" s="2">
        <v>43154</v>
      </c>
      <c r="G357">
        <v>6.3136200000000002</v>
      </c>
      <c r="H357" s="3">
        <v>0.44190000000000002</v>
      </c>
      <c r="I357">
        <v>53645.68</v>
      </c>
      <c r="J357" s="3">
        <v>0.4395</v>
      </c>
      <c r="K357">
        <v>27878</v>
      </c>
    </row>
    <row r="358" spans="1:11" x14ac:dyDescent="0.3">
      <c r="A358" t="s">
        <v>435</v>
      </c>
      <c r="B358" t="s">
        <v>880</v>
      </c>
      <c r="C358" t="s">
        <v>1226</v>
      </c>
      <c r="D358" s="2">
        <v>43098</v>
      </c>
      <c r="E358">
        <v>1.288713</v>
      </c>
      <c r="F358" s="2">
        <v>43154</v>
      </c>
      <c r="G358">
        <v>1.1911449999999999</v>
      </c>
      <c r="H358" s="3">
        <v>-7.5700000000000003E-2</v>
      </c>
      <c r="I358">
        <v>-10618.48</v>
      </c>
      <c r="J358" s="3">
        <v>-7.7600000000000002E-2</v>
      </c>
      <c r="K358">
        <v>106134</v>
      </c>
    </row>
    <row r="359" spans="1:11" x14ac:dyDescent="0.3">
      <c r="A359" t="s">
        <v>73</v>
      </c>
      <c r="B359" t="s">
        <v>881</v>
      </c>
      <c r="C359" t="s">
        <v>1226</v>
      </c>
      <c r="D359" s="2">
        <v>43140</v>
      </c>
      <c r="E359">
        <v>32.549999999999997</v>
      </c>
      <c r="F359" s="2">
        <v>43147</v>
      </c>
      <c r="G359">
        <v>31.76</v>
      </c>
      <c r="H359" s="3">
        <v>-2.4299999999999999E-2</v>
      </c>
      <c r="I359">
        <v>-3579.56</v>
      </c>
      <c r="J359" s="3">
        <v>-2.6200000000000001E-2</v>
      </c>
      <c r="K359">
        <v>4190</v>
      </c>
    </row>
    <row r="360" spans="1:11" x14ac:dyDescent="0.3">
      <c r="A360" t="s">
        <v>436</v>
      </c>
      <c r="B360" t="s">
        <v>882</v>
      </c>
      <c r="C360" t="s">
        <v>1226</v>
      </c>
      <c r="D360" s="2">
        <v>43021</v>
      </c>
      <c r="E360">
        <v>2.2622580000000001</v>
      </c>
      <c r="F360" s="2">
        <v>43147</v>
      </c>
      <c r="G360">
        <v>1.645278</v>
      </c>
      <c r="H360" s="3">
        <v>-0.2727</v>
      </c>
      <c r="I360">
        <v>-33767.589999999997</v>
      </c>
      <c r="J360" s="3">
        <v>-0.27450000000000002</v>
      </c>
      <c r="K360">
        <v>54386</v>
      </c>
    </row>
    <row r="361" spans="1:11" x14ac:dyDescent="0.3">
      <c r="A361" t="s">
        <v>437</v>
      </c>
      <c r="B361" t="s">
        <v>883</v>
      </c>
      <c r="C361" t="s">
        <v>1226</v>
      </c>
      <c r="D361" s="2">
        <v>43021</v>
      </c>
      <c r="E361">
        <v>4.7264569999999999</v>
      </c>
      <c r="F361" s="2">
        <v>43147</v>
      </c>
      <c r="G361">
        <v>4.0022419999999999</v>
      </c>
      <c r="H361" s="3">
        <v>-0.1532</v>
      </c>
      <c r="I361">
        <v>-19080.72</v>
      </c>
      <c r="J361" s="3">
        <v>-0.15509999999999999</v>
      </c>
      <c r="K361">
        <v>26033</v>
      </c>
    </row>
    <row r="362" spans="1:11" x14ac:dyDescent="0.3">
      <c r="A362" t="s">
        <v>438</v>
      </c>
      <c r="B362" t="s">
        <v>884</v>
      </c>
      <c r="C362" t="s">
        <v>1226</v>
      </c>
      <c r="D362" s="2">
        <v>43021</v>
      </c>
      <c r="E362">
        <v>1.01</v>
      </c>
      <c r="F362" s="2">
        <v>43147</v>
      </c>
      <c r="G362">
        <v>1.89</v>
      </c>
      <c r="H362" s="3">
        <v>0.87129999999999996</v>
      </c>
      <c r="I362">
        <v>106875.51</v>
      </c>
      <c r="J362" s="3">
        <v>0.86839999999999995</v>
      </c>
      <c r="K362">
        <v>121851</v>
      </c>
    </row>
    <row r="363" spans="1:11" x14ac:dyDescent="0.3">
      <c r="A363" t="s">
        <v>222</v>
      </c>
      <c r="B363" t="s">
        <v>798</v>
      </c>
      <c r="C363" t="s">
        <v>1226</v>
      </c>
      <c r="D363" s="2">
        <v>43021</v>
      </c>
      <c r="E363">
        <v>6.7672509999999999</v>
      </c>
      <c r="F363" s="2">
        <v>43147</v>
      </c>
      <c r="G363">
        <v>7.6695500000000001</v>
      </c>
      <c r="H363" s="3">
        <v>0.1333</v>
      </c>
      <c r="I363">
        <v>16147.55</v>
      </c>
      <c r="J363" s="3">
        <v>0.13120000000000001</v>
      </c>
      <c r="K363">
        <v>18187</v>
      </c>
    </row>
    <row r="364" spans="1:11" x14ac:dyDescent="0.3">
      <c r="A364" t="s">
        <v>77</v>
      </c>
      <c r="B364" t="s">
        <v>701</v>
      </c>
      <c r="C364" t="s">
        <v>1226</v>
      </c>
      <c r="D364" s="2">
        <v>42986</v>
      </c>
      <c r="E364">
        <v>4.0140940000000001</v>
      </c>
      <c r="F364" s="2">
        <v>43147</v>
      </c>
      <c r="G364">
        <v>7.2202109999999999</v>
      </c>
      <c r="H364" s="3">
        <v>0.79869999999999997</v>
      </c>
      <c r="I364">
        <v>93229.9</v>
      </c>
      <c r="J364" s="3">
        <v>0.79590000000000005</v>
      </c>
      <c r="K364">
        <v>29181</v>
      </c>
    </row>
    <row r="365" spans="1:11" x14ac:dyDescent="0.3">
      <c r="A365" t="s">
        <v>426</v>
      </c>
      <c r="B365" t="s">
        <v>864</v>
      </c>
      <c r="C365" t="s">
        <v>1226</v>
      </c>
      <c r="D365" s="2">
        <v>42972</v>
      </c>
      <c r="E365">
        <v>0.78670600000000002</v>
      </c>
      <c r="F365" s="2">
        <v>43140</v>
      </c>
      <c r="G365">
        <v>0.89031640000000001</v>
      </c>
      <c r="H365" s="3">
        <v>0.13170000000000001</v>
      </c>
      <c r="I365">
        <v>15137.62</v>
      </c>
      <c r="J365" s="3">
        <v>0.12959999999999999</v>
      </c>
      <c r="K365">
        <v>148505</v>
      </c>
    </row>
    <row r="366" spans="1:11" x14ac:dyDescent="0.3">
      <c r="A366" t="s">
        <v>70</v>
      </c>
      <c r="B366" t="s">
        <v>885</v>
      </c>
      <c r="C366" t="s">
        <v>1226</v>
      </c>
      <c r="D366" s="2">
        <v>43021</v>
      </c>
      <c r="E366">
        <v>0.66927939999999997</v>
      </c>
      <c r="F366" s="2">
        <v>43098</v>
      </c>
      <c r="G366">
        <v>0.98190330000000003</v>
      </c>
      <c r="H366" s="3">
        <v>0.46710000000000002</v>
      </c>
      <c r="I366">
        <v>57177.62</v>
      </c>
      <c r="J366" s="3">
        <v>0.46460000000000001</v>
      </c>
      <c r="K366">
        <v>183867</v>
      </c>
    </row>
    <row r="367" spans="1:11" x14ac:dyDescent="0.3">
      <c r="A367" t="s">
        <v>402</v>
      </c>
      <c r="B367" t="s">
        <v>767</v>
      </c>
      <c r="C367" t="s">
        <v>1226</v>
      </c>
      <c r="D367" s="2">
        <v>42985</v>
      </c>
      <c r="E367">
        <v>1.5570900000000001</v>
      </c>
      <c r="F367" s="2">
        <v>43091</v>
      </c>
      <c r="G367">
        <v>1.260783</v>
      </c>
      <c r="H367" s="3">
        <v>-0.1903</v>
      </c>
      <c r="I367">
        <v>-22518.12</v>
      </c>
      <c r="J367" s="3">
        <v>-0.19209999999999999</v>
      </c>
      <c r="K367">
        <v>75280</v>
      </c>
    </row>
    <row r="368" spans="1:11" x14ac:dyDescent="0.3">
      <c r="A368" t="s">
        <v>268</v>
      </c>
      <c r="B368" t="s">
        <v>886</v>
      </c>
      <c r="C368" t="s">
        <v>1226</v>
      </c>
      <c r="D368" s="2">
        <v>42972</v>
      </c>
      <c r="E368">
        <v>5.1027149999999999</v>
      </c>
      <c r="F368" s="2">
        <v>43091</v>
      </c>
      <c r="G368">
        <v>4.2915320000000001</v>
      </c>
      <c r="H368" s="3">
        <v>-0.159</v>
      </c>
      <c r="I368">
        <v>-18792.86</v>
      </c>
      <c r="J368" s="3">
        <v>-0.1608</v>
      </c>
      <c r="K368">
        <v>22902</v>
      </c>
    </row>
    <row r="369" spans="1:11" x14ac:dyDescent="0.3">
      <c r="A369" t="s">
        <v>160</v>
      </c>
      <c r="B369" t="s">
        <v>708</v>
      </c>
      <c r="C369" t="s">
        <v>1226</v>
      </c>
      <c r="D369" s="2">
        <v>42706</v>
      </c>
      <c r="E369">
        <v>1.413602</v>
      </c>
      <c r="F369" s="2">
        <v>43084</v>
      </c>
      <c r="G369">
        <v>1.6608080000000001</v>
      </c>
      <c r="H369" s="3">
        <v>0.1749</v>
      </c>
      <c r="I369">
        <v>20305.89</v>
      </c>
      <c r="J369" s="3">
        <v>0.17269999999999999</v>
      </c>
      <c r="K369">
        <v>83176</v>
      </c>
    </row>
    <row r="370" spans="1:11" x14ac:dyDescent="0.3">
      <c r="A370" t="s">
        <v>269</v>
      </c>
      <c r="B370" t="s">
        <v>887</v>
      </c>
      <c r="C370" t="s">
        <v>1226</v>
      </c>
      <c r="D370" s="2">
        <v>42972</v>
      </c>
      <c r="E370">
        <v>0.54582269999999999</v>
      </c>
      <c r="F370" s="2">
        <v>43014</v>
      </c>
      <c r="G370">
        <v>0.40702769999999999</v>
      </c>
      <c r="H370" s="3">
        <v>-0.25430000000000003</v>
      </c>
      <c r="I370">
        <v>-29926.44</v>
      </c>
      <c r="J370" s="3">
        <v>-0.25600000000000001</v>
      </c>
      <c r="K370">
        <v>214146</v>
      </c>
    </row>
    <row r="371" spans="1:11" x14ac:dyDescent="0.3">
      <c r="A371" t="s">
        <v>102</v>
      </c>
      <c r="B371" t="s">
        <v>771</v>
      </c>
      <c r="C371" t="s">
        <v>1226</v>
      </c>
      <c r="D371" s="2">
        <v>42972</v>
      </c>
      <c r="E371">
        <v>0.72003249999999996</v>
      </c>
      <c r="F371" s="2">
        <v>43007</v>
      </c>
      <c r="G371">
        <v>0.85595690000000002</v>
      </c>
      <c r="H371" s="3">
        <v>0.1888</v>
      </c>
      <c r="I371">
        <v>21807.18</v>
      </c>
      <c r="J371" s="3">
        <v>0.18659999999999999</v>
      </c>
      <c r="K371">
        <v>162318</v>
      </c>
    </row>
    <row r="372" spans="1:11" x14ac:dyDescent="0.3">
      <c r="A372" t="s">
        <v>270</v>
      </c>
      <c r="B372" t="s">
        <v>888</v>
      </c>
      <c r="C372" t="s">
        <v>1226</v>
      </c>
      <c r="D372" s="2">
        <v>42832</v>
      </c>
      <c r="E372">
        <v>2.355172</v>
      </c>
      <c r="F372" s="2">
        <v>43007</v>
      </c>
      <c r="G372">
        <v>2.5722710000000002</v>
      </c>
      <c r="H372" s="3">
        <v>9.2200000000000004E-2</v>
      </c>
      <c r="I372">
        <v>10473.42</v>
      </c>
      <c r="J372" s="3">
        <v>9.01E-2</v>
      </c>
      <c r="K372">
        <v>49363</v>
      </c>
    </row>
    <row r="373" spans="1:11" x14ac:dyDescent="0.3">
      <c r="A373" t="s">
        <v>53</v>
      </c>
      <c r="B373" t="s">
        <v>889</v>
      </c>
      <c r="C373" t="s">
        <v>1226</v>
      </c>
      <c r="D373" s="2">
        <v>42790</v>
      </c>
      <c r="E373">
        <v>13.213190000000001</v>
      </c>
      <c r="F373" s="2">
        <v>43007</v>
      </c>
      <c r="G373">
        <v>13.257820000000001</v>
      </c>
      <c r="H373" s="3">
        <v>3.3999999999999998E-3</v>
      </c>
      <c r="I373">
        <v>166.9</v>
      </c>
      <c r="J373" s="3">
        <v>1.4E-3</v>
      </c>
      <c r="K373">
        <v>9191</v>
      </c>
    </row>
    <row r="374" spans="1:11" x14ac:dyDescent="0.3">
      <c r="A374" t="s">
        <v>97</v>
      </c>
      <c r="B374" t="s">
        <v>890</v>
      </c>
      <c r="C374" t="s">
        <v>1226</v>
      </c>
      <c r="D374" s="2">
        <v>42986</v>
      </c>
      <c r="E374">
        <v>1.7753399999999999</v>
      </c>
      <c r="F374" s="2">
        <v>43007</v>
      </c>
      <c r="G374">
        <v>1.8246549999999999</v>
      </c>
      <c r="H374" s="3">
        <v>2.7799999999999998E-2</v>
      </c>
      <c r="I374">
        <v>3016.55</v>
      </c>
      <c r="J374" s="3">
        <v>2.5700000000000001E-2</v>
      </c>
      <c r="K374">
        <v>65986</v>
      </c>
    </row>
    <row r="375" spans="1:11" x14ac:dyDescent="0.3">
      <c r="A375" t="s">
        <v>439</v>
      </c>
      <c r="B375" t="s">
        <v>891</v>
      </c>
      <c r="C375" t="s">
        <v>1226</v>
      </c>
      <c r="D375" s="2">
        <v>42972</v>
      </c>
      <c r="E375">
        <v>1.26</v>
      </c>
      <c r="F375" s="2">
        <v>43000</v>
      </c>
      <c r="G375">
        <v>1.25</v>
      </c>
      <c r="H375" s="3">
        <v>-7.9000000000000008E-3</v>
      </c>
      <c r="I375">
        <v>-1160.6199999999999</v>
      </c>
      <c r="J375" s="3">
        <v>-9.9000000000000008E-3</v>
      </c>
      <c r="K375">
        <v>92775</v>
      </c>
    </row>
    <row r="376" spans="1:11" x14ac:dyDescent="0.3">
      <c r="A376" t="s">
        <v>108</v>
      </c>
      <c r="B376" t="s">
        <v>725</v>
      </c>
      <c r="C376" t="s">
        <v>1226</v>
      </c>
      <c r="D376" s="2">
        <v>42832</v>
      </c>
      <c r="E376">
        <v>1.026375</v>
      </c>
      <c r="F376" s="2">
        <v>42986</v>
      </c>
      <c r="G376">
        <v>1.0298860000000001</v>
      </c>
      <c r="H376" s="3">
        <v>3.3999999999999998E-3</v>
      </c>
      <c r="I376">
        <v>164.8</v>
      </c>
      <c r="J376" s="3">
        <v>1.4E-3</v>
      </c>
      <c r="K376">
        <v>113282</v>
      </c>
    </row>
    <row r="377" spans="1:11" x14ac:dyDescent="0.3">
      <c r="A377" t="s">
        <v>440</v>
      </c>
      <c r="B377" t="s">
        <v>892</v>
      </c>
      <c r="C377" t="s">
        <v>1226</v>
      </c>
      <c r="D377" s="2">
        <v>42818</v>
      </c>
      <c r="E377">
        <v>1.547067</v>
      </c>
      <c r="F377" s="2">
        <v>42985</v>
      </c>
      <c r="G377">
        <v>1.6932830000000001</v>
      </c>
      <c r="H377" s="3">
        <v>9.4500000000000001E-2</v>
      </c>
      <c r="I377">
        <v>10824.83</v>
      </c>
      <c r="J377" s="3">
        <v>9.2399999999999996E-2</v>
      </c>
      <c r="K377">
        <v>75711</v>
      </c>
    </row>
    <row r="378" spans="1:11" x14ac:dyDescent="0.3">
      <c r="A378" t="s">
        <v>409</v>
      </c>
      <c r="B378" t="s">
        <v>804</v>
      </c>
      <c r="C378" t="s">
        <v>1226</v>
      </c>
      <c r="D378" s="2">
        <v>42860</v>
      </c>
      <c r="E378">
        <v>4.9583339999999998</v>
      </c>
      <c r="F378" s="2">
        <v>42951</v>
      </c>
      <c r="G378">
        <v>4.8013669999999999</v>
      </c>
      <c r="H378" s="3">
        <v>-3.1699999999999999E-2</v>
      </c>
      <c r="I378">
        <v>-3951.26</v>
      </c>
      <c r="J378" s="3">
        <v>-3.3599999999999998E-2</v>
      </c>
      <c r="K378">
        <v>23699</v>
      </c>
    </row>
    <row r="379" spans="1:11" x14ac:dyDescent="0.3">
      <c r="A379" t="s">
        <v>271</v>
      </c>
      <c r="B379" t="s">
        <v>893</v>
      </c>
      <c r="C379" t="s">
        <v>1226</v>
      </c>
      <c r="D379" s="2">
        <v>42867</v>
      </c>
      <c r="E379">
        <v>0.54388890000000001</v>
      </c>
      <c r="F379" s="2">
        <v>42937</v>
      </c>
      <c r="G379">
        <v>0.53400000000000003</v>
      </c>
      <c r="H379" s="3">
        <v>-1.8200000000000001E-2</v>
      </c>
      <c r="I379">
        <v>-2344.25</v>
      </c>
      <c r="J379" s="3">
        <v>-2.0199999999999999E-2</v>
      </c>
      <c r="K379">
        <v>213759</v>
      </c>
    </row>
    <row r="380" spans="1:11" x14ac:dyDescent="0.3">
      <c r="A380" t="s">
        <v>441</v>
      </c>
      <c r="B380" t="s">
        <v>894</v>
      </c>
      <c r="C380" t="s">
        <v>1226</v>
      </c>
      <c r="D380" s="2">
        <v>42797</v>
      </c>
      <c r="E380">
        <v>3.7477999999999998</v>
      </c>
      <c r="F380" s="2">
        <v>42916</v>
      </c>
      <c r="G380">
        <v>3.646655</v>
      </c>
      <c r="H380" s="3">
        <v>-2.7E-2</v>
      </c>
      <c r="I380">
        <v>-3464.8</v>
      </c>
      <c r="J380" s="3">
        <v>-2.9000000000000001E-2</v>
      </c>
      <c r="K380">
        <v>31922</v>
      </c>
    </row>
    <row r="381" spans="1:11" x14ac:dyDescent="0.3">
      <c r="A381" t="s">
        <v>442</v>
      </c>
      <c r="B381" t="s">
        <v>895</v>
      </c>
      <c r="C381" t="s">
        <v>1226</v>
      </c>
      <c r="D381" s="2">
        <v>42825</v>
      </c>
      <c r="E381">
        <v>2.0699999999999998</v>
      </c>
      <c r="F381" s="2">
        <v>42902</v>
      </c>
      <c r="G381">
        <v>2.2599999999999998</v>
      </c>
      <c r="H381" s="3">
        <v>9.1800000000000007E-2</v>
      </c>
      <c r="I381">
        <v>10336.99</v>
      </c>
      <c r="J381" s="3">
        <v>8.9700000000000002E-2</v>
      </c>
      <c r="K381">
        <v>55674</v>
      </c>
    </row>
    <row r="382" spans="1:11" x14ac:dyDescent="0.3">
      <c r="A382" t="s">
        <v>205</v>
      </c>
      <c r="B382" t="s">
        <v>770</v>
      </c>
      <c r="C382" t="s">
        <v>1226</v>
      </c>
      <c r="D382" s="2">
        <v>42727</v>
      </c>
      <c r="E382">
        <v>2.965789</v>
      </c>
      <c r="F382" s="2">
        <v>42895</v>
      </c>
      <c r="G382">
        <v>2.9325450000000002</v>
      </c>
      <c r="H382" s="3">
        <v>-1.12E-2</v>
      </c>
      <c r="I382">
        <v>-1546.04</v>
      </c>
      <c r="J382" s="3">
        <v>-1.32E-2</v>
      </c>
      <c r="K382">
        <v>39498</v>
      </c>
    </row>
    <row r="383" spans="1:11" x14ac:dyDescent="0.3">
      <c r="A383" t="s">
        <v>135</v>
      </c>
      <c r="B383" t="s">
        <v>681</v>
      </c>
      <c r="C383" t="s">
        <v>1226</v>
      </c>
      <c r="D383" s="2">
        <v>41872</v>
      </c>
      <c r="E383">
        <v>1.6392040000000001</v>
      </c>
      <c r="F383" s="2">
        <v>42888</v>
      </c>
      <c r="G383">
        <v>3.910965</v>
      </c>
      <c r="H383" s="3">
        <v>1.3858999999999999</v>
      </c>
      <c r="I383">
        <v>121539.15</v>
      </c>
      <c r="J383" s="3">
        <v>1.3825000000000001</v>
      </c>
      <c r="K383">
        <v>53631</v>
      </c>
    </row>
    <row r="384" spans="1:11" x14ac:dyDescent="0.3">
      <c r="A384" t="s">
        <v>272</v>
      </c>
      <c r="B384" t="s">
        <v>896</v>
      </c>
      <c r="C384" t="s">
        <v>1226</v>
      </c>
      <c r="D384" s="2">
        <v>42440</v>
      </c>
      <c r="E384">
        <v>2.9296859999999998</v>
      </c>
      <c r="F384" s="2">
        <v>42881</v>
      </c>
      <c r="G384">
        <v>4.2688160000000002</v>
      </c>
      <c r="H384" s="3">
        <v>0.45710000000000001</v>
      </c>
      <c r="I384">
        <v>43206.53</v>
      </c>
      <c r="J384" s="3">
        <v>0.4546</v>
      </c>
      <c r="K384">
        <v>32439</v>
      </c>
    </row>
    <row r="385" spans="1:11" x14ac:dyDescent="0.3">
      <c r="A385" t="s">
        <v>97</v>
      </c>
      <c r="B385" t="s">
        <v>890</v>
      </c>
      <c r="C385" t="s">
        <v>1226</v>
      </c>
      <c r="D385" s="2">
        <v>42748</v>
      </c>
      <c r="E385">
        <v>0.81862900000000005</v>
      </c>
      <c r="F385" s="2">
        <v>42874</v>
      </c>
      <c r="G385">
        <v>0.78903999999999996</v>
      </c>
      <c r="H385" s="3">
        <v>-3.61E-2</v>
      </c>
      <c r="I385">
        <v>-4568.66</v>
      </c>
      <c r="J385" s="3">
        <v>-3.8100000000000002E-2</v>
      </c>
      <c r="K385">
        <v>146447</v>
      </c>
    </row>
    <row r="386" spans="1:11" x14ac:dyDescent="0.3">
      <c r="A386" t="s">
        <v>406</v>
      </c>
      <c r="B386" t="s">
        <v>789</v>
      </c>
      <c r="C386" t="s">
        <v>1226</v>
      </c>
      <c r="D386" s="2">
        <v>42748</v>
      </c>
      <c r="E386">
        <v>2.2752659999999998</v>
      </c>
      <c r="F386" s="2">
        <v>42867</v>
      </c>
      <c r="G386">
        <v>2.1615030000000002</v>
      </c>
      <c r="H386" s="3">
        <v>-0.05</v>
      </c>
      <c r="I386">
        <v>-6227.35</v>
      </c>
      <c r="J386" s="3">
        <v>-5.1900000000000002E-2</v>
      </c>
      <c r="K386">
        <v>52685</v>
      </c>
    </row>
    <row r="387" spans="1:11" x14ac:dyDescent="0.3">
      <c r="A387" t="s">
        <v>273</v>
      </c>
      <c r="B387" t="s">
        <v>897</v>
      </c>
      <c r="C387" t="s">
        <v>1226</v>
      </c>
      <c r="D387" s="2">
        <v>42748</v>
      </c>
      <c r="E387">
        <v>0.65487899999999999</v>
      </c>
      <c r="F387" s="2">
        <v>42860</v>
      </c>
      <c r="G387">
        <v>0.484041</v>
      </c>
      <c r="H387" s="3">
        <v>-0.26090000000000002</v>
      </c>
      <c r="I387">
        <v>-31476.94</v>
      </c>
      <c r="J387" s="3">
        <v>-0.2626</v>
      </c>
      <c r="K387">
        <v>183030</v>
      </c>
    </row>
    <row r="388" spans="1:11" x14ac:dyDescent="0.3">
      <c r="A388" t="s">
        <v>429</v>
      </c>
      <c r="B388" t="s">
        <v>872</v>
      </c>
      <c r="C388" t="s">
        <v>1226</v>
      </c>
      <c r="D388" s="2">
        <v>42748</v>
      </c>
      <c r="E388">
        <v>0.73</v>
      </c>
      <c r="F388" s="2">
        <v>42853</v>
      </c>
      <c r="G388">
        <v>0.49</v>
      </c>
      <c r="H388" s="3">
        <v>-0.32879999999999998</v>
      </c>
      <c r="I388">
        <v>-39618.46</v>
      </c>
      <c r="J388" s="3">
        <v>-0.33040000000000003</v>
      </c>
      <c r="K388">
        <v>164242</v>
      </c>
    </row>
    <row r="389" spans="1:11" x14ac:dyDescent="0.3">
      <c r="A389" t="s">
        <v>443</v>
      </c>
      <c r="B389" t="s">
        <v>898</v>
      </c>
      <c r="C389" t="s">
        <v>1226</v>
      </c>
      <c r="D389" s="2">
        <v>42657</v>
      </c>
      <c r="E389">
        <v>3.22</v>
      </c>
      <c r="F389" s="2">
        <v>42832</v>
      </c>
      <c r="G389">
        <v>3.25</v>
      </c>
      <c r="H389" s="3">
        <v>9.2999999999999992E-3</v>
      </c>
      <c r="I389">
        <v>899.93</v>
      </c>
      <c r="J389" s="3">
        <v>7.3000000000000001E-3</v>
      </c>
      <c r="K389">
        <v>38246</v>
      </c>
    </row>
    <row r="390" spans="1:11" x14ac:dyDescent="0.3">
      <c r="A390" t="s">
        <v>444</v>
      </c>
      <c r="B390" t="s">
        <v>899</v>
      </c>
      <c r="C390" t="s">
        <v>1226</v>
      </c>
      <c r="D390" s="2">
        <v>42727</v>
      </c>
      <c r="E390">
        <v>1.8609</v>
      </c>
      <c r="F390" s="2">
        <v>42828</v>
      </c>
      <c r="G390">
        <v>1.8998710000000001</v>
      </c>
      <c r="H390" s="3">
        <v>2.0899999999999998E-2</v>
      </c>
      <c r="I390">
        <v>2216.0300000000002</v>
      </c>
      <c r="J390" s="3">
        <v>1.89E-2</v>
      </c>
      <c r="K390">
        <v>62937</v>
      </c>
    </row>
    <row r="391" spans="1:11" x14ac:dyDescent="0.3">
      <c r="A391" t="s">
        <v>268</v>
      </c>
      <c r="B391" t="s">
        <v>886</v>
      </c>
      <c r="C391" t="s">
        <v>1226</v>
      </c>
      <c r="D391" s="2">
        <v>42706</v>
      </c>
      <c r="E391">
        <v>4.5533970000000004</v>
      </c>
      <c r="F391" s="2">
        <v>42825</v>
      </c>
      <c r="G391">
        <v>4.267684</v>
      </c>
      <c r="H391" s="3">
        <v>-6.2700000000000006E-2</v>
      </c>
      <c r="I391">
        <v>-7603.99</v>
      </c>
      <c r="J391" s="3">
        <v>-6.4699999999999994E-2</v>
      </c>
      <c r="K391">
        <v>25817</v>
      </c>
    </row>
    <row r="392" spans="1:11" x14ac:dyDescent="0.3">
      <c r="A392" t="s">
        <v>76</v>
      </c>
      <c r="B392" t="s">
        <v>900</v>
      </c>
      <c r="C392" t="s">
        <v>1226</v>
      </c>
      <c r="D392" s="2">
        <v>42769</v>
      </c>
      <c r="E392">
        <v>2.7733989999999999</v>
      </c>
      <c r="F392" s="2">
        <v>42811</v>
      </c>
      <c r="G392">
        <v>2.5118870000000002</v>
      </c>
      <c r="H392" s="3">
        <v>-9.4299999999999995E-2</v>
      </c>
      <c r="I392">
        <v>-11240.97</v>
      </c>
      <c r="J392" s="3">
        <v>-9.6199999999999994E-2</v>
      </c>
      <c r="K392">
        <v>42133</v>
      </c>
    </row>
    <row r="393" spans="1:11" x14ac:dyDescent="0.3">
      <c r="A393" t="s">
        <v>445</v>
      </c>
      <c r="B393" t="s">
        <v>901</v>
      </c>
      <c r="C393" t="s">
        <v>1226</v>
      </c>
      <c r="D393" s="2">
        <v>42727</v>
      </c>
      <c r="E393">
        <v>1.0197719999999999</v>
      </c>
      <c r="F393" s="2">
        <v>42797</v>
      </c>
      <c r="G393">
        <v>0.91697269999999997</v>
      </c>
      <c r="H393" s="3">
        <v>-0.1008</v>
      </c>
      <c r="I393">
        <v>-12029.98</v>
      </c>
      <c r="J393" s="3">
        <v>-0.1027</v>
      </c>
      <c r="K393">
        <v>114860</v>
      </c>
    </row>
    <row r="394" spans="1:11" x14ac:dyDescent="0.3">
      <c r="A394" t="s">
        <v>446</v>
      </c>
      <c r="B394" t="s">
        <v>902</v>
      </c>
      <c r="C394" t="s">
        <v>1226</v>
      </c>
      <c r="D394" s="2">
        <v>42713</v>
      </c>
      <c r="E394">
        <v>1.8138000000000001</v>
      </c>
      <c r="F394" s="2">
        <v>42790</v>
      </c>
      <c r="G394">
        <v>1.26966</v>
      </c>
      <c r="H394" s="3">
        <v>-0.3</v>
      </c>
      <c r="I394">
        <v>-35039.269999999997</v>
      </c>
      <c r="J394" s="3">
        <v>-0.30170000000000002</v>
      </c>
      <c r="K394">
        <v>64031</v>
      </c>
    </row>
    <row r="395" spans="1:11" x14ac:dyDescent="0.3">
      <c r="A395" t="s">
        <v>274</v>
      </c>
      <c r="B395" t="s">
        <v>903</v>
      </c>
      <c r="C395" t="s">
        <v>1226</v>
      </c>
      <c r="D395" s="2">
        <v>42706</v>
      </c>
      <c r="E395">
        <v>5.4376379999999997</v>
      </c>
      <c r="F395" s="2">
        <v>42790</v>
      </c>
      <c r="G395">
        <v>4.4836660000000004</v>
      </c>
      <c r="H395" s="3">
        <v>-0.1754</v>
      </c>
      <c r="I395">
        <v>-20839.37</v>
      </c>
      <c r="J395" s="3">
        <v>-0.17730000000000001</v>
      </c>
      <c r="K395">
        <v>21620</v>
      </c>
    </row>
    <row r="396" spans="1:11" x14ac:dyDescent="0.3">
      <c r="A396" t="s">
        <v>61</v>
      </c>
      <c r="B396" t="s">
        <v>904</v>
      </c>
      <c r="C396" t="s">
        <v>1226</v>
      </c>
      <c r="D396" s="2">
        <v>42650</v>
      </c>
      <c r="E396">
        <v>5.683141</v>
      </c>
      <c r="F396" s="2">
        <v>42769</v>
      </c>
      <c r="G396">
        <v>5.0342010000000004</v>
      </c>
      <c r="H396" s="3">
        <v>-0.1142</v>
      </c>
      <c r="I396">
        <v>-14369.32</v>
      </c>
      <c r="J396" s="3">
        <v>-0.11609999999999999</v>
      </c>
      <c r="K396">
        <v>21783</v>
      </c>
    </row>
    <row r="397" spans="1:11" x14ac:dyDescent="0.3">
      <c r="A397" t="s">
        <v>256</v>
      </c>
      <c r="B397" t="s">
        <v>853</v>
      </c>
      <c r="C397" t="s">
        <v>1226</v>
      </c>
      <c r="D397" s="2">
        <v>41199</v>
      </c>
      <c r="E397">
        <v>0.57388989999999995</v>
      </c>
      <c r="F397" s="2">
        <v>42713</v>
      </c>
      <c r="G397">
        <v>1.4865159999999999</v>
      </c>
      <c r="H397" s="3">
        <v>1.5902000000000001</v>
      </c>
      <c r="I397">
        <v>88816.58</v>
      </c>
      <c r="J397" s="3">
        <v>1.5867</v>
      </c>
      <c r="K397">
        <v>97540</v>
      </c>
    </row>
    <row r="398" spans="1:11" x14ac:dyDescent="0.3">
      <c r="A398" t="s">
        <v>275</v>
      </c>
      <c r="B398" t="s">
        <v>905</v>
      </c>
      <c r="C398" t="s">
        <v>1226</v>
      </c>
      <c r="D398" s="2">
        <v>42440</v>
      </c>
      <c r="E398">
        <v>1.142042</v>
      </c>
      <c r="F398" s="2">
        <v>42706</v>
      </c>
      <c r="G398">
        <v>1.243188</v>
      </c>
      <c r="H398" s="3">
        <v>8.8599999999999998E-2</v>
      </c>
      <c r="I398">
        <v>8220.9500000000007</v>
      </c>
      <c r="J398" s="3">
        <v>8.6499999999999994E-2</v>
      </c>
      <c r="K398">
        <v>83241</v>
      </c>
    </row>
    <row r="399" spans="1:11" x14ac:dyDescent="0.3">
      <c r="A399" t="s">
        <v>59</v>
      </c>
      <c r="B399" t="s">
        <v>848</v>
      </c>
      <c r="C399" t="s">
        <v>1226</v>
      </c>
      <c r="D399" s="2">
        <v>42643</v>
      </c>
      <c r="E399">
        <v>3</v>
      </c>
      <c r="F399" s="2">
        <v>42699</v>
      </c>
      <c r="G399">
        <v>2.25</v>
      </c>
      <c r="H399" s="3">
        <v>-0.25</v>
      </c>
      <c r="I399">
        <v>-30733.39</v>
      </c>
      <c r="J399" s="3">
        <v>-0.25180000000000002</v>
      </c>
      <c r="K399">
        <v>40693</v>
      </c>
    </row>
    <row r="400" spans="1:11" x14ac:dyDescent="0.3">
      <c r="A400" t="s">
        <v>447</v>
      </c>
      <c r="B400" t="s">
        <v>906</v>
      </c>
      <c r="C400" t="s">
        <v>1226</v>
      </c>
      <c r="D400" s="2">
        <v>42482</v>
      </c>
      <c r="E400">
        <v>1.149513</v>
      </c>
      <c r="F400" s="2">
        <v>42699</v>
      </c>
      <c r="G400">
        <v>1.845116</v>
      </c>
      <c r="H400" s="3">
        <v>0.60509999999999997</v>
      </c>
      <c r="I400">
        <v>57106.34</v>
      </c>
      <c r="J400" s="3">
        <v>0.60250000000000004</v>
      </c>
      <c r="K400">
        <v>82451</v>
      </c>
    </row>
    <row r="401" spans="1:11" x14ac:dyDescent="0.3">
      <c r="A401" t="s">
        <v>446</v>
      </c>
      <c r="B401" t="s">
        <v>902</v>
      </c>
      <c r="C401" t="s">
        <v>1226</v>
      </c>
      <c r="D401" s="2">
        <v>42657</v>
      </c>
      <c r="E401">
        <v>1.63242</v>
      </c>
      <c r="F401" s="2">
        <v>42685</v>
      </c>
      <c r="G401">
        <v>1.4510400000000001</v>
      </c>
      <c r="H401" s="3">
        <v>-0.1111</v>
      </c>
      <c r="I401">
        <v>-13914.82</v>
      </c>
      <c r="J401" s="3">
        <v>-0.113</v>
      </c>
      <c r="K401">
        <v>75434</v>
      </c>
    </row>
    <row r="402" spans="1:11" x14ac:dyDescent="0.3">
      <c r="A402" t="s">
        <v>118</v>
      </c>
      <c r="B402" t="s">
        <v>354</v>
      </c>
      <c r="C402" t="s">
        <v>1226</v>
      </c>
      <c r="D402" s="2">
        <v>42559</v>
      </c>
      <c r="E402">
        <v>0.69382949999999999</v>
      </c>
      <c r="F402" s="2">
        <v>42685</v>
      </c>
      <c r="G402">
        <v>0.98232759999999997</v>
      </c>
      <c r="H402" s="3">
        <v>0.4158</v>
      </c>
      <c r="I402">
        <v>43748.95</v>
      </c>
      <c r="J402" s="3">
        <v>0.41339999999999999</v>
      </c>
      <c r="K402">
        <v>152530</v>
      </c>
    </row>
    <row r="403" spans="1:11" x14ac:dyDescent="0.3">
      <c r="A403" t="s">
        <v>402</v>
      </c>
      <c r="B403" t="s">
        <v>767</v>
      </c>
      <c r="C403" t="s">
        <v>1226</v>
      </c>
      <c r="D403" s="2">
        <v>42559</v>
      </c>
      <c r="E403">
        <v>0.99305089999999996</v>
      </c>
      <c r="F403" s="2">
        <v>42685</v>
      </c>
      <c r="G403">
        <v>1.1530050000000001</v>
      </c>
      <c r="H403" s="3">
        <v>0.16109999999999999</v>
      </c>
      <c r="I403">
        <v>16820.759999999998</v>
      </c>
      <c r="J403" s="3">
        <v>0.15890000000000001</v>
      </c>
      <c r="K403">
        <v>106590</v>
      </c>
    </row>
    <row r="404" spans="1:11" x14ac:dyDescent="0.3">
      <c r="A404" t="s">
        <v>151</v>
      </c>
      <c r="B404" t="s">
        <v>698</v>
      </c>
      <c r="C404" t="s">
        <v>1226</v>
      </c>
      <c r="D404" s="2">
        <v>42440</v>
      </c>
      <c r="E404">
        <v>0.48747859999999998</v>
      </c>
      <c r="F404" s="2">
        <v>42685</v>
      </c>
      <c r="G404">
        <v>0.89357220000000004</v>
      </c>
      <c r="H404" s="3">
        <v>0.83299999999999996</v>
      </c>
      <c r="I404">
        <v>78879.289999999994</v>
      </c>
      <c r="J404" s="3">
        <v>0.83020000000000005</v>
      </c>
      <c r="K404">
        <v>194902</v>
      </c>
    </row>
    <row r="405" spans="1:11" x14ac:dyDescent="0.3">
      <c r="A405" t="s">
        <v>401</v>
      </c>
      <c r="B405" t="s">
        <v>765</v>
      </c>
      <c r="C405" t="s">
        <v>1226</v>
      </c>
      <c r="D405" s="2">
        <v>42650</v>
      </c>
      <c r="E405">
        <v>0.65</v>
      </c>
      <c r="F405" s="2">
        <v>42678</v>
      </c>
      <c r="G405">
        <v>0.8</v>
      </c>
      <c r="H405" s="3">
        <v>0.23080000000000001</v>
      </c>
      <c r="I405">
        <v>28295.66</v>
      </c>
      <c r="J405" s="3">
        <v>0.22850000000000001</v>
      </c>
      <c r="K405">
        <v>190479</v>
      </c>
    </row>
    <row r="406" spans="1:11" x14ac:dyDescent="0.3">
      <c r="A406" t="s">
        <v>276</v>
      </c>
      <c r="B406" t="s">
        <v>907</v>
      </c>
      <c r="C406" t="s">
        <v>1226</v>
      </c>
      <c r="D406" s="2">
        <v>42440</v>
      </c>
      <c r="E406">
        <v>1.1334979999999999</v>
      </c>
      <c r="F406" s="2">
        <v>42678</v>
      </c>
      <c r="G406">
        <v>1.285048</v>
      </c>
      <c r="H406" s="3">
        <v>0.13370000000000001</v>
      </c>
      <c r="I406">
        <v>12506.16</v>
      </c>
      <c r="J406" s="3">
        <v>0.13159999999999999</v>
      </c>
      <c r="K406">
        <v>83860</v>
      </c>
    </row>
    <row r="407" spans="1:11" x14ac:dyDescent="0.3">
      <c r="A407" t="s">
        <v>448</v>
      </c>
      <c r="B407" t="s">
        <v>908</v>
      </c>
      <c r="C407" t="s">
        <v>1226</v>
      </c>
      <c r="D407" s="2">
        <v>42510</v>
      </c>
      <c r="E407">
        <v>2.664288</v>
      </c>
      <c r="F407" s="2">
        <v>42664</v>
      </c>
      <c r="G407">
        <v>2.988534</v>
      </c>
      <c r="H407" s="3">
        <v>0.1217</v>
      </c>
      <c r="I407">
        <v>12012.56</v>
      </c>
      <c r="J407" s="3">
        <v>0.1196</v>
      </c>
      <c r="K407">
        <v>37705</v>
      </c>
    </row>
    <row r="408" spans="1:11" x14ac:dyDescent="0.3">
      <c r="A408" t="s">
        <v>449</v>
      </c>
      <c r="B408" t="s">
        <v>909</v>
      </c>
      <c r="C408" t="s">
        <v>1226</v>
      </c>
      <c r="D408" s="2">
        <v>42440</v>
      </c>
      <c r="E408">
        <v>0.64676880000000003</v>
      </c>
      <c r="F408" s="2">
        <v>42664</v>
      </c>
      <c r="G408">
        <v>0.53613730000000004</v>
      </c>
      <c r="H408" s="3">
        <v>-0.1711</v>
      </c>
      <c r="I408">
        <v>-16431.8</v>
      </c>
      <c r="J408" s="3">
        <v>-0.1729</v>
      </c>
      <c r="K408">
        <v>146956</v>
      </c>
    </row>
    <row r="409" spans="1:11" x14ac:dyDescent="0.3">
      <c r="A409" t="s">
        <v>95</v>
      </c>
      <c r="B409" t="s">
        <v>910</v>
      </c>
      <c r="C409" t="s">
        <v>1226</v>
      </c>
      <c r="D409" s="2">
        <v>42440</v>
      </c>
      <c r="E409">
        <v>0.54105320000000001</v>
      </c>
      <c r="F409" s="2">
        <v>42643</v>
      </c>
      <c r="G409">
        <v>1.8526499999999999</v>
      </c>
      <c r="H409" s="3">
        <v>2.4241999999999999</v>
      </c>
      <c r="I409">
        <v>230053.17</v>
      </c>
      <c r="J409" s="3">
        <v>2.4197000000000002</v>
      </c>
      <c r="K409">
        <v>175720</v>
      </c>
    </row>
    <row r="410" spans="1:11" x14ac:dyDescent="0.3">
      <c r="A410" t="s">
        <v>53</v>
      </c>
      <c r="B410" t="s">
        <v>889</v>
      </c>
      <c r="C410" t="s">
        <v>1226</v>
      </c>
      <c r="D410" s="2">
        <v>42369</v>
      </c>
      <c r="E410">
        <v>13.48301</v>
      </c>
      <c r="F410" s="2">
        <v>42643</v>
      </c>
      <c r="G410">
        <v>12.36285</v>
      </c>
      <c r="H410" s="3">
        <v>-8.3099999999999993E-2</v>
      </c>
      <c r="I410">
        <v>-8615.67</v>
      </c>
      <c r="J410" s="3">
        <v>-8.5000000000000006E-2</v>
      </c>
      <c r="K410">
        <v>7518</v>
      </c>
    </row>
    <row r="411" spans="1:11" x14ac:dyDescent="0.3">
      <c r="A411" t="s">
        <v>76</v>
      </c>
      <c r="B411" t="s">
        <v>900</v>
      </c>
      <c r="C411" t="s">
        <v>1226</v>
      </c>
      <c r="D411" s="2">
        <v>41950</v>
      </c>
      <c r="E411">
        <v>1.2274160000000001</v>
      </c>
      <c r="F411" s="2">
        <v>42643</v>
      </c>
      <c r="G411">
        <v>2.4499499999999999</v>
      </c>
      <c r="H411" s="3">
        <v>0.996</v>
      </c>
      <c r="I411">
        <v>85807.51</v>
      </c>
      <c r="J411" s="3">
        <v>0.99299999999999999</v>
      </c>
      <c r="K411">
        <v>70400</v>
      </c>
    </row>
    <row r="412" spans="1:11" x14ac:dyDescent="0.3">
      <c r="A412" t="s">
        <v>59</v>
      </c>
      <c r="B412" t="s">
        <v>848</v>
      </c>
      <c r="C412" t="s">
        <v>1226</v>
      </c>
      <c r="D412" s="2">
        <v>42615</v>
      </c>
      <c r="E412">
        <v>2.46</v>
      </c>
      <c r="F412" s="2">
        <v>42636</v>
      </c>
      <c r="G412">
        <v>2.4700000000000002</v>
      </c>
      <c r="H412" s="3">
        <v>4.1000000000000003E-3</v>
      </c>
      <c r="I412">
        <v>247.06</v>
      </c>
      <c r="J412" s="3">
        <v>2.0999999999999999E-3</v>
      </c>
      <c r="K412">
        <v>48729</v>
      </c>
    </row>
    <row r="413" spans="1:11" x14ac:dyDescent="0.3">
      <c r="A413" t="s">
        <v>267</v>
      </c>
      <c r="B413" t="s">
        <v>870</v>
      </c>
      <c r="C413" t="s">
        <v>1226</v>
      </c>
      <c r="D413" s="2">
        <v>42440</v>
      </c>
      <c r="E413">
        <v>2.4905059999999999</v>
      </c>
      <c r="F413" s="2">
        <v>42629</v>
      </c>
      <c r="G413">
        <v>1.58918</v>
      </c>
      <c r="H413" s="3">
        <v>-0.3619</v>
      </c>
      <c r="I413">
        <v>-34543.040000000001</v>
      </c>
      <c r="J413" s="3">
        <v>-0.36349999999999999</v>
      </c>
      <c r="K413">
        <v>38152</v>
      </c>
    </row>
    <row r="414" spans="1:11" x14ac:dyDescent="0.3">
      <c r="A414" t="s">
        <v>277</v>
      </c>
      <c r="B414" t="s">
        <v>911</v>
      </c>
      <c r="C414" t="s">
        <v>1226</v>
      </c>
      <c r="D414" s="2">
        <v>41859</v>
      </c>
      <c r="E414">
        <v>1.285436</v>
      </c>
      <c r="F414" s="2">
        <v>42614</v>
      </c>
      <c r="G414">
        <v>1.5430820000000001</v>
      </c>
      <c r="H414" s="3">
        <v>0.20039999999999999</v>
      </c>
      <c r="I414">
        <v>17165.78</v>
      </c>
      <c r="J414" s="3">
        <v>0.19819999999999999</v>
      </c>
      <c r="K414">
        <v>67365</v>
      </c>
    </row>
    <row r="415" spans="1:11" x14ac:dyDescent="0.3">
      <c r="A415" t="s">
        <v>450</v>
      </c>
      <c r="B415" t="s">
        <v>912</v>
      </c>
      <c r="C415" t="s">
        <v>1226</v>
      </c>
      <c r="D415" s="2">
        <v>42440</v>
      </c>
      <c r="E415">
        <v>0.69669250000000005</v>
      </c>
      <c r="F415" s="2">
        <v>42552</v>
      </c>
      <c r="G415">
        <v>0.74133249999999995</v>
      </c>
      <c r="H415" s="3">
        <v>6.4100000000000004E-2</v>
      </c>
      <c r="I415">
        <v>5896.12</v>
      </c>
      <c r="J415" s="3">
        <v>6.2E-2</v>
      </c>
      <c r="K415">
        <v>136478</v>
      </c>
    </row>
    <row r="416" spans="1:11" x14ac:dyDescent="0.3">
      <c r="A416" t="s">
        <v>451</v>
      </c>
      <c r="B416" t="s">
        <v>913</v>
      </c>
      <c r="C416" t="s">
        <v>1226</v>
      </c>
      <c r="D416" s="2">
        <v>42482</v>
      </c>
      <c r="E416">
        <v>2.1037499999999998</v>
      </c>
      <c r="F416" s="2">
        <v>42545</v>
      </c>
      <c r="G416">
        <v>2.3264999999999998</v>
      </c>
      <c r="H416" s="3">
        <v>0.10589999999999999</v>
      </c>
      <c r="I416">
        <v>9836.61</v>
      </c>
      <c r="J416" s="3">
        <v>0.1038</v>
      </c>
      <c r="K416">
        <v>45056</v>
      </c>
    </row>
    <row r="417" spans="1:11" x14ac:dyDescent="0.3">
      <c r="A417" t="s">
        <v>211</v>
      </c>
      <c r="B417" t="s">
        <v>782</v>
      </c>
      <c r="C417" t="s">
        <v>1226</v>
      </c>
      <c r="D417" s="2">
        <v>42482</v>
      </c>
      <c r="E417">
        <v>0.56766079999999997</v>
      </c>
      <c r="F417" s="2">
        <v>42545</v>
      </c>
      <c r="G417">
        <v>0.53729579999999999</v>
      </c>
      <c r="H417" s="3">
        <v>-5.3499999999999999E-2</v>
      </c>
      <c r="I417">
        <v>-5253.85</v>
      </c>
      <c r="J417" s="3">
        <v>-5.5399999999999998E-2</v>
      </c>
      <c r="K417">
        <v>166948</v>
      </c>
    </row>
    <row r="418" spans="1:11" x14ac:dyDescent="0.3">
      <c r="A418" t="s">
        <v>452</v>
      </c>
      <c r="B418" t="s">
        <v>914</v>
      </c>
      <c r="C418" t="s">
        <v>1226</v>
      </c>
      <c r="D418" s="2">
        <v>42440</v>
      </c>
      <c r="E418">
        <v>3.4</v>
      </c>
      <c r="F418" s="2">
        <v>42538</v>
      </c>
      <c r="G418">
        <v>2.14</v>
      </c>
      <c r="H418" s="3">
        <v>-0.37059999999999998</v>
      </c>
      <c r="I418">
        <v>-35370.58</v>
      </c>
      <c r="J418" s="3">
        <v>-0.37219999999999998</v>
      </c>
      <c r="K418">
        <v>27949</v>
      </c>
    </row>
    <row r="419" spans="1:11" x14ac:dyDescent="0.3">
      <c r="A419" t="s">
        <v>453</v>
      </c>
      <c r="B419" t="s">
        <v>915</v>
      </c>
      <c r="C419" t="s">
        <v>1226</v>
      </c>
      <c r="D419" s="2">
        <v>42440</v>
      </c>
      <c r="E419">
        <v>1.0461830000000001</v>
      </c>
      <c r="F419" s="2">
        <v>42510</v>
      </c>
      <c r="G419">
        <v>1.1921630000000001</v>
      </c>
      <c r="H419" s="3">
        <v>0.13950000000000001</v>
      </c>
      <c r="I419">
        <v>13067.7</v>
      </c>
      <c r="J419" s="3">
        <v>0.13739999999999999</v>
      </c>
      <c r="K419">
        <v>90911</v>
      </c>
    </row>
    <row r="420" spans="1:11" x14ac:dyDescent="0.3">
      <c r="A420" t="s">
        <v>454</v>
      </c>
      <c r="B420" t="s">
        <v>916</v>
      </c>
      <c r="C420" t="s">
        <v>1226</v>
      </c>
      <c r="D420" s="2">
        <v>42440</v>
      </c>
      <c r="E420">
        <v>0.94</v>
      </c>
      <c r="F420" s="2">
        <v>42468</v>
      </c>
      <c r="G420">
        <v>0.77</v>
      </c>
      <c r="H420" s="3">
        <v>-0.18090000000000001</v>
      </c>
      <c r="I420">
        <v>-17372.07</v>
      </c>
      <c r="J420" s="3">
        <v>-0.1827</v>
      </c>
      <c r="K420">
        <v>101171</v>
      </c>
    </row>
    <row r="421" spans="1:11" x14ac:dyDescent="0.3">
      <c r="A421" t="s">
        <v>85</v>
      </c>
      <c r="B421" t="s">
        <v>917</v>
      </c>
      <c r="C421" t="s">
        <v>1226</v>
      </c>
      <c r="D421" s="2">
        <v>42440</v>
      </c>
      <c r="E421">
        <v>0.75549129999999998</v>
      </c>
      <c r="F421" s="2">
        <v>42461</v>
      </c>
      <c r="G421">
        <v>0.73706470000000002</v>
      </c>
      <c r="H421" s="3">
        <v>-2.4400000000000002E-2</v>
      </c>
      <c r="I421">
        <v>-2507.1799999999998</v>
      </c>
      <c r="J421" s="3">
        <v>-2.64E-2</v>
      </c>
      <c r="K421">
        <v>125868</v>
      </c>
    </row>
    <row r="422" spans="1:11" x14ac:dyDescent="0.3">
      <c r="A422" t="s">
        <v>455</v>
      </c>
      <c r="B422" t="s">
        <v>918</v>
      </c>
      <c r="C422" t="s">
        <v>1226</v>
      </c>
      <c r="D422" s="2">
        <v>42335</v>
      </c>
      <c r="E422">
        <v>1.06</v>
      </c>
      <c r="F422" s="2">
        <v>42461</v>
      </c>
      <c r="G422">
        <v>0.91</v>
      </c>
      <c r="H422" s="3">
        <v>-0.14149999999999999</v>
      </c>
      <c r="I422">
        <v>-13982.3</v>
      </c>
      <c r="J422" s="3">
        <v>-0.1434</v>
      </c>
      <c r="K422">
        <v>92007</v>
      </c>
    </row>
    <row r="423" spans="1:11" x14ac:dyDescent="0.3">
      <c r="A423" t="s">
        <v>226</v>
      </c>
      <c r="B423" t="s">
        <v>803</v>
      </c>
      <c r="C423" t="s">
        <v>1226</v>
      </c>
      <c r="D423" s="2">
        <v>42369</v>
      </c>
      <c r="E423">
        <v>2.7697280000000002</v>
      </c>
      <c r="F423" s="2">
        <v>42419</v>
      </c>
      <c r="G423">
        <v>2.9263499999999998</v>
      </c>
      <c r="H423" s="3">
        <v>5.6500000000000002E-2</v>
      </c>
      <c r="I423">
        <v>5522.53</v>
      </c>
      <c r="J423" s="3">
        <v>5.45E-2</v>
      </c>
      <c r="K423">
        <v>36591</v>
      </c>
    </row>
    <row r="424" spans="1:11" x14ac:dyDescent="0.3">
      <c r="A424" t="s">
        <v>127</v>
      </c>
      <c r="B424" t="s">
        <v>380</v>
      </c>
      <c r="C424" t="s">
        <v>1226</v>
      </c>
      <c r="D424" s="2">
        <v>42335</v>
      </c>
      <c r="E424">
        <v>2.5855320000000002</v>
      </c>
      <c r="F424" s="2">
        <v>42419</v>
      </c>
      <c r="G424">
        <v>2.311769</v>
      </c>
      <c r="H424" s="3">
        <v>-0.10589999999999999</v>
      </c>
      <c r="I424">
        <v>-10513.02</v>
      </c>
      <c r="J424" s="3">
        <v>-0.10780000000000001</v>
      </c>
      <c r="K424">
        <v>37727</v>
      </c>
    </row>
    <row r="425" spans="1:11" x14ac:dyDescent="0.3">
      <c r="A425" t="s">
        <v>278</v>
      </c>
      <c r="B425" t="s">
        <v>919</v>
      </c>
      <c r="C425" t="s">
        <v>1226</v>
      </c>
      <c r="D425" s="2">
        <v>42223</v>
      </c>
      <c r="E425">
        <v>2.9194740000000001</v>
      </c>
      <c r="F425" s="2">
        <v>42419</v>
      </c>
      <c r="G425">
        <v>2.8422770000000002</v>
      </c>
      <c r="H425" s="3">
        <v>-2.64E-2</v>
      </c>
      <c r="I425">
        <v>-2735.48</v>
      </c>
      <c r="J425" s="3">
        <v>-2.8400000000000002E-2</v>
      </c>
      <c r="K425">
        <v>32974</v>
      </c>
    </row>
    <row r="426" spans="1:11" x14ac:dyDescent="0.3">
      <c r="A426" t="s">
        <v>268</v>
      </c>
      <c r="B426" t="s">
        <v>886</v>
      </c>
      <c r="C426" t="s">
        <v>1226</v>
      </c>
      <c r="D426" s="2">
        <v>41656</v>
      </c>
      <c r="E426">
        <v>1.3978429999999999</v>
      </c>
      <c r="F426" s="2">
        <v>42419</v>
      </c>
      <c r="G426">
        <v>3.5433870000000001</v>
      </c>
      <c r="H426" s="3">
        <v>1.5348999999999999</v>
      </c>
      <c r="I426">
        <v>121447.1</v>
      </c>
      <c r="J426" s="3">
        <v>1.5314000000000001</v>
      </c>
      <c r="K426">
        <v>56735</v>
      </c>
    </row>
    <row r="427" spans="1:11" x14ac:dyDescent="0.3">
      <c r="A427" t="s">
        <v>279</v>
      </c>
      <c r="B427" t="s">
        <v>920</v>
      </c>
      <c r="C427" t="s">
        <v>1226</v>
      </c>
      <c r="D427" s="2">
        <v>42335</v>
      </c>
      <c r="E427">
        <v>5.2424619999999997</v>
      </c>
      <c r="F427" s="2">
        <v>42412</v>
      </c>
      <c r="G427">
        <v>5.4025369999999997</v>
      </c>
      <c r="H427" s="3">
        <v>3.0499999999999999E-2</v>
      </c>
      <c r="I427">
        <v>2780.59</v>
      </c>
      <c r="J427" s="3">
        <v>2.8500000000000001E-2</v>
      </c>
      <c r="K427">
        <v>18608</v>
      </c>
    </row>
    <row r="428" spans="1:11" x14ac:dyDescent="0.3">
      <c r="A428" t="s">
        <v>456</v>
      </c>
      <c r="B428" t="s">
        <v>921</v>
      </c>
      <c r="C428" t="s">
        <v>1226</v>
      </c>
      <c r="D428" s="2">
        <v>42307</v>
      </c>
      <c r="E428">
        <v>4.71</v>
      </c>
      <c r="F428" s="2">
        <v>42412</v>
      </c>
      <c r="G428">
        <v>4.04</v>
      </c>
      <c r="H428" s="3">
        <v>-0.14230000000000001</v>
      </c>
      <c r="I428">
        <v>-14375.93</v>
      </c>
      <c r="J428" s="3">
        <v>-0.14410000000000001</v>
      </c>
      <c r="K428">
        <v>21180</v>
      </c>
    </row>
    <row r="429" spans="1:11" x14ac:dyDescent="0.3">
      <c r="A429" t="s">
        <v>457</v>
      </c>
      <c r="B429" t="s">
        <v>922</v>
      </c>
      <c r="C429" t="s">
        <v>1226</v>
      </c>
      <c r="D429" s="2">
        <v>42223</v>
      </c>
      <c r="E429">
        <v>0.88696589999999997</v>
      </c>
      <c r="F429" s="2">
        <v>42412</v>
      </c>
      <c r="G429">
        <v>1.210161</v>
      </c>
      <c r="H429" s="3">
        <v>0.3644</v>
      </c>
      <c r="I429">
        <v>34830.46</v>
      </c>
      <c r="J429" s="3">
        <v>0.36199999999999999</v>
      </c>
      <c r="K429">
        <v>108473</v>
      </c>
    </row>
    <row r="430" spans="1:11" x14ac:dyDescent="0.3">
      <c r="A430" t="s">
        <v>205</v>
      </c>
      <c r="B430" t="s">
        <v>770</v>
      </c>
      <c r="C430" t="s">
        <v>1226</v>
      </c>
      <c r="D430" s="2">
        <v>42369</v>
      </c>
      <c r="E430">
        <v>2.7226889999999999</v>
      </c>
      <c r="F430" s="2">
        <v>42405</v>
      </c>
      <c r="G430">
        <v>1.7455039999999999</v>
      </c>
      <c r="H430" s="3">
        <v>-0.3589</v>
      </c>
      <c r="I430">
        <v>-36546.949999999997</v>
      </c>
      <c r="J430" s="3">
        <v>-0.36049999999999999</v>
      </c>
      <c r="K430">
        <v>37230</v>
      </c>
    </row>
    <row r="431" spans="1:11" x14ac:dyDescent="0.3">
      <c r="A431" t="s">
        <v>458</v>
      </c>
      <c r="B431" t="s">
        <v>923</v>
      </c>
      <c r="C431" t="s">
        <v>1226</v>
      </c>
      <c r="D431" s="2">
        <v>42369</v>
      </c>
      <c r="E431">
        <v>3.150795</v>
      </c>
      <c r="F431" s="2">
        <v>42391</v>
      </c>
      <c r="G431">
        <v>2.974834</v>
      </c>
      <c r="H431" s="3">
        <v>-5.5800000000000002E-2</v>
      </c>
      <c r="I431">
        <v>-5859</v>
      </c>
      <c r="J431" s="3">
        <v>-5.7799999999999997E-2</v>
      </c>
      <c r="K431">
        <v>32177</v>
      </c>
    </row>
    <row r="432" spans="1:11" x14ac:dyDescent="0.3">
      <c r="A432" t="s">
        <v>109</v>
      </c>
      <c r="B432" t="s">
        <v>728</v>
      </c>
      <c r="C432" t="s">
        <v>1226</v>
      </c>
      <c r="D432" s="2">
        <v>42377</v>
      </c>
      <c r="E432">
        <v>1.0371900000000001</v>
      </c>
      <c r="F432" s="2">
        <v>42391</v>
      </c>
      <c r="G432">
        <v>0.89889799999999997</v>
      </c>
      <c r="H432" s="3">
        <v>-0.1333</v>
      </c>
      <c r="I432">
        <v>-13810.22</v>
      </c>
      <c r="J432" s="3">
        <v>-0.13519999999999999</v>
      </c>
      <c r="K432">
        <v>98484</v>
      </c>
    </row>
    <row r="433" spans="1:11" x14ac:dyDescent="0.3">
      <c r="A433" t="s">
        <v>280</v>
      </c>
      <c r="B433" t="s">
        <v>924</v>
      </c>
      <c r="C433" t="s">
        <v>1226</v>
      </c>
      <c r="D433" s="2">
        <v>42369</v>
      </c>
      <c r="E433">
        <v>3.802136</v>
      </c>
      <c r="F433" s="2">
        <v>42384</v>
      </c>
      <c r="G433">
        <v>3.64967</v>
      </c>
      <c r="H433" s="3">
        <v>-4.0099999999999997E-2</v>
      </c>
      <c r="I433">
        <v>-4262.93</v>
      </c>
      <c r="J433" s="3">
        <v>-4.2099999999999999E-2</v>
      </c>
      <c r="K433">
        <v>26657</v>
      </c>
    </row>
    <row r="434" spans="1:11" x14ac:dyDescent="0.3">
      <c r="A434" t="s">
        <v>405</v>
      </c>
      <c r="B434" t="s">
        <v>788</v>
      </c>
      <c r="C434" t="s">
        <v>1226</v>
      </c>
      <c r="D434" s="2">
        <v>42335</v>
      </c>
      <c r="E434">
        <v>1.637246</v>
      </c>
      <c r="F434" s="2">
        <v>42362</v>
      </c>
      <c r="G434">
        <v>1.5506610000000001</v>
      </c>
      <c r="H434" s="3">
        <v>-5.2900000000000003E-2</v>
      </c>
      <c r="I434">
        <v>-5347.05</v>
      </c>
      <c r="J434" s="3">
        <v>-5.4800000000000001E-2</v>
      </c>
      <c r="K434">
        <v>59562</v>
      </c>
    </row>
    <row r="435" spans="1:11" x14ac:dyDescent="0.3">
      <c r="A435" t="s">
        <v>459</v>
      </c>
      <c r="B435" t="s">
        <v>925</v>
      </c>
      <c r="C435" t="s">
        <v>1226</v>
      </c>
      <c r="D435" s="2">
        <v>42307</v>
      </c>
      <c r="E435">
        <v>0.92094799999999999</v>
      </c>
      <c r="F435" s="2">
        <v>42356</v>
      </c>
      <c r="G435">
        <v>0.74857799999999997</v>
      </c>
      <c r="H435" s="3">
        <v>-0.18720000000000001</v>
      </c>
      <c r="I435">
        <v>-18850.57</v>
      </c>
      <c r="J435" s="3">
        <v>-0.189</v>
      </c>
      <c r="K435">
        <v>108312</v>
      </c>
    </row>
    <row r="436" spans="1:11" x14ac:dyDescent="0.3">
      <c r="A436" t="s">
        <v>97</v>
      </c>
      <c r="B436" t="s">
        <v>890</v>
      </c>
      <c r="C436" t="s">
        <v>1226</v>
      </c>
      <c r="D436" s="2">
        <v>42342</v>
      </c>
      <c r="E436">
        <v>1.1835599999999999</v>
      </c>
      <c r="F436" s="2">
        <v>42349</v>
      </c>
      <c r="G436">
        <v>1.2328749999999999</v>
      </c>
      <c r="H436" s="3">
        <v>4.1700000000000001E-2</v>
      </c>
      <c r="I436">
        <v>3866.22</v>
      </c>
      <c r="J436" s="3">
        <v>3.9600000000000003E-2</v>
      </c>
      <c r="K436">
        <v>82438</v>
      </c>
    </row>
    <row r="437" spans="1:11" x14ac:dyDescent="0.3">
      <c r="A437" t="s">
        <v>281</v>
      </c>
      <c r="B437" t="s">
        <v>926</v>
      </c>
      <c r="C437" t="s">
        <v>1226</v>
      </c>
      <c r="D437" s="2">
        <v>42307</v>
      </c>
      <c r="E437">
        <v>8.5059769999999997</v>
      </c>
      <c r="F437" s="2">
        <v>42349</v>
      </c>
      <c r="G437">
        <v>7.8094000000000001</v>
      </c>
      <c r="H437" s="3">
        <v>-8.1900000000000001E-2</v>
      </c>
      <c r="I437">
        <v>-8362.26</v>
      </c>
      <c r="J437" s="3">
        <v>-8.3799999999999999E-2</v>
      </c>
      <c r="K437">
        <v>11730</v>
      </c>
    </row>
    <row r="438" spans="1:11" x14ac:dyDescent="0.3">
      <c r="A438" t="s">
        <v>441</v>
      </c>
      <c r="B438" t="s">
        <v>894</v>
      </c>
      <c r="C438" t="s">
        <v>1226</v>
      </c>
      <c r="D438" s="2">
        <v>42307</v>
      </c>
      <c r="E438">
        <v>4.15184</v>
      </c>
      <c r="F438" s="2">
        <v>42349</v>
      </c>
      <c r="G438">
        <v>3.4685160000000002</v>
      </c>
      <c r="H438" s="3">
        <v>-0.1646</v>
      </c>
      <c r="I438">
        <v>-16606.16</v>
      </c>
      <c r="J438" s="3">
        <v>-0.16639999999999999</v>
      </c>
      <c r="K438">
        <v>24034</v>
      </c>
    </row>
    <row r="439" spans="1:11" x14ac:dyDescent="0.3">
      <c r="A439" t="s">
        <v>435</v>
      </c>
      <c r="B439" t="s">
        <v>880</v>
      </c>
      <c r="C439" t="s">
        <v>1226</v>
      </c>
      <c r="D439" s="2">
        <v>42307</v>
      </c>
      <c r="E439">
        <v>0.84841829999999996</v>
      </c>
      <c r="F439" s="2">
        <v>42349</v>
      </c>
      <c r="G439">
        <v>0.85902350000000005</v>
      </c>
      <c r="H439" s="3">
        <v>1.2500000000000001E-2</v>
      </c>
      <c r="I439">
        <v>1046.6199999999999</v>
      </c>
      <c r="J439" s="3">
        <v>1.0500000000000001E-2</v>
      </c>
      <c r="K439">
        <v>117627</v>
      </c>
    </row>
    <row r="440" spans="1:11" x14ac:dyDescent="0.3">
      <c r="A440" t="s">
        <v>460</v>
      </c>
      <c r="B440" t="s">
        <v>927</v>
      </c>
      <c r="C440" t="s">
        <v>1226</v>
      </c>
      <c r="D440" s="2">
        <v>42335</v>
      </c>
      <c r="E440">
        <v>0.92</v>
      </c>
      <c r="F440" s="2">
        <v>42339</v>
      </c>
      <c r="G440">
        <v>0.91500000000000004</v>
      </c>
      <c r="H440" s="3">
        <v>-5.4000000000000003E-3</v>
      </c>
      <c r="I440">
        <v>-724.63</v>
      </c>
      <c r="J440" s="3">
        <v>-7.4000000000000003E-3</v>
      </c>
      <c r="K440">
        <v>106018</v>
      </c>
    </row>
    <row r="441" spans="1:11" x14ac:dyDescent="0.3">
      <c r="A441" t="s">
        <v>282</v>
      </c>
      <c r="B441" t="s">
        <v>928</v>
      </c>
      <c r="C441" t="s">
        <v>1226</v>
      </c>
      <c r="D441" s="2">
        <v>42223</v>
      </c>
      <c r="E441">
        <v>4.1735040000000003</v>
      </c>
      <c r="F441" s="2">
        <v>42328</v>
      </c>
      <c r="G441">
        <v>3.985277</v>
      </c>
      <c r="H441" s="3">
        <v>-4.5100000000000001E-2</v>
      </c>
      <c r="I441">
        <v>-4527.67</v>
      </c>
      <c r="J441" s="3">
        <v>-4.7100000000000003E-2</v>
      </c>
      <c r="K441">
        <v>23055</v>
      </c>
    </row>
    <row r="442" spans="1:11" x14ac:dyDescent="0.3">
      <c r="A442" t="s">
        <v>85</v>
      </c>
      <c r="B442" t="s">
        <v>917</v>
      </c>
      <c r="C442" t="s">
        <v>1226</v>
      </c>
      <c r="D442" s="2">
        <v>42307</v>
      </c>
      <c r="E442">
        <v>0.53437190000000001</v>
      </c>
      <c r="F442" s="2">
        <v>42321</v>
      </c>
      <c r="G442">
        <v>0.44223879999999999</v>
      </c>
      <c r="H442" s="3">
        <v>-0.1724</v>
      </c>
      <c r="I442">
        <v>-17390.47</v>
      </c>
      <c r="J442" s="3">
        <v>-0.17419999999999999</v>
      </c>
      <c r="K442">
        <v>186774</v>
      </c>
    </row>
    <row r="443" spans="1:11" x14ac:dyDescent="0.3">
      <c r="A443" t="s">
        <v>283</v>
      </c>
      <c r="B443" t="s">
        <v>929</v>
      </c>
      <c r="C443" t="s">
        <v>1226</v>
      </c>
      <c r="D443" s="2">
        <v>42307</v>
      </c>
      <c r="E443">
        <v>0.72542359999999995</v>
      </c>
      <c r="F443" s="2">
        <v>42321</v>
      </c>
      <c r="G443">
        <v>0.65633569999999997</v>
      </c>
      <c r="H443" s="3">
        <v>-9.5200000000000007E-2</v>
      </c>
      <c r="I443">
        <v>-9691.76</v>
      </c>
      <c r="J443" s="3">
        <v>-9.7100000000000006E-2</v>
      </c>
      <c r="K443">
        <v>137531</v>
      </c>
    </row>
    <row r="444" spans="1:11" x14ac:dyDescent="0.3">
      <c r="A444" t="s">
        <v>461</v>
      </c>
      <c r="B444" t="s">
        <v>930</v>
      </c>
      <c r="C444" t="s">
        <v>1226</v>
      </c>
      <c r="D444" s="2">
        <v>42223</v>
      </c>
      <c r="E444">
        <v>0.84478969999999998</v>
      </c>
      <c r="F444" s="2">
        <v>42317</v>
      </c>
      <c r="G444">
        <v>1.07</v>
      </c>
      <c r="H444" s="3">
        <v>0.2666</v>
      </c>
      <c r="I444">
        <v>25428.45</v>
      </c>
      <c r="J444" s="3">
        <v>0.26429999999999998</v>
      </c>
      <c r="K444">
        <v>113878</v>
      </c>
    </row>
    <row r="445" spans="1:11" x14ac:dyDescent="0.3">
      <c r="A445" t="s">
        <v>445</v>
      </c>
      <c r="B445" t="s">
        <v>901</v>
      </c>
      <c r="C445" t="s">
        <v>1226</v>
      </c>
      <c r="D445" s="2">
        <v>42006</v>
      </c>
      <c r="E445">
        <v>1.4784740000000001</v>
      </c>
      <c r="F445" s="2">
        <v>42314</v>
      </c>
      <c r="G445">
        <v>1.2384109999999999</v>
      </c>
      <c r="H445" s="3">
        <v>-0.16239999999999999</v>
      </c>
      <c r="I445">
        <v>-15029.53</v>
      </c>
      <c r="J445" s="3">
        <v>-0.16420000000000001</v>
      </c>
      <c r="K445">
        <v>61906</v>
      </c>
    </row>
    <row r="446" spans="1:11" x14ac:dyDescent="0.3">
      <c r="A446" t="s">
        <v>462</v>
      </c>
      <c r="B446" t="s">
        <v>931</v>
      </c>
      <c r="C446" t="s">
        <v>1226</v>
      </c>
      <c r="D446" s="2">
        <v>41845</v>
      </c>
      <c r="E446">
        <v>1.8554889999999999</v>
      </c>
      <c r="F446" s="2">
        <v>42311</v>
      </c>
      <c r="G446">
        <v>2.38</v>
      </c>
      <c r="H446" s="3">
        <v>0.28270000000000001</v>
      </c>
      <c r="I446">
        <v>24792.17</v>
      </c>
      <c r="J446" s="3">
        <v>0.28039999999999998</v>
      </c>
      <c r="K446">
        <v>47652</v>
      </c>
    </row>
    <row r="447" spans="1:11" x14ac:dyDescent="0.3">
      <c r="A447" t="s">
        <v>463</v>
      </c>
      <c r="B447" t="s">
        <v>932</v>
      </c>
      <c r="C447" t="s">
        <v>1226</v>
      </c>
      <c r="D447" s="2">
        <v>42223</v>
      </c>
      <c r="E447">
        <v>2.1604070000000002</v>
      </c>
      <c r="F447" s="2">
        <v>42272</v>
      </c>
      <c r="G447">
        <v>2.63</v>
      </c>
      <c r="H447" s="3">
        <v>0.21740000000000001</v>
      </c>
      <c r="I447">
        <v>20703.240000000002</v>
      </c>
      <c r="J447" s="3">
        <v>0.21510000000000001</v>
      </c>
      <c r="K447">
        <v>44542</v>
      </c>
    </row>
    <row r="448" spans="1:11" x14ac:dyDescent="0.3">
      <c r="A448" t="s">
        <v>464</v>
      </c>
      <c r="B448" t="s">
        <v>933</v>
      </c>
      <c r="C448" t="s">
        <v>1226</v>
      </c>
      <c r="D448" s="2">
        <v>41138</v>
      </c>
      <c r="E448">
        <v>2.1685989999999999</v>
      </c>
      <c r="F448" s="2">
        <v>42272</v>
      </c>
      <c r="G448">
        <v>3.2601490000000002</v>
      </c>
      <c r="H448" s="3">
        <v>0.50329999999999997</v>
      </c>
      <c r="I448">
        <v>25014.46</v>
      </c>
      <c r="J448" s="3">
        <v>0.50080000000000002</v>
      </c>
      <c r="K448">
        <v>23031</v>
      </c>
    </row>
    <row r="449" spans="1:11" x14ac:dyDescent="0.3">
      <c r="A449" t="s">
        <v>465</v>
      </c>
      <c r="B449" t="s">
        <v>934</v>
      </c>
      <c r="C449" t="s">
        <v>1226</v>
      </c>
      <c r="D449" s="2">
        <v>42223</v>
      </c>
      <c r="E449">
        <v>1.1000000000000001</v>
      </c>
      <c r="F449" s="2">
        <v>42244</v>
      </c>
      <c r="G449">
        <v>0.91000009999999998</v>
      </c>
      <c r="H449" s="3">
        <v>-0.17269999999999999</v>
      </c>
      <c r="I449">
        <v>-16802.22</v>
      </c>
      <c r="J449" s="3">
        <v>-0.17460000000000001</v>
      </c>
      <c r="K449">
        <v>87507</v>
      </c>
    </row>
    <row r="450" spans="1:11" x14ac:dyDescent="0.3">
      <c r="A450" t="s">
        <v>284</v>
      </c>
      <c r="B450" t="s">
        <v>935</v>
      </c>
      <c r="C450" t="s">
        <v>1226</v>
      </c>
      <c r="D450" s="2">
        <v>42223</v>
      </c>
      <c r="E450">
        <v>1.1163959999999999</v>
      </c>
      <c r="F450" s="2">
        <v>42244</v>
      </c>
      <c r="G450">
        <v>0.91601739999999998</v>
      </c>
      <c r="H450" s="3">
        <v>-0.17949999999999999</v>
      </c>
      <c r="I450">
        <v>-17448.84</v>
      </c>
      <c r="J450" s="3">
        <v>-0.18129999999999999</v>
      </c>
      <c r="K450">
        <v>86205</v>
      </c>
    </row>
    <row r="451" spans="1:11" x14ac:dyDescent="0.3">
      <c r="A451" t="s">
        <v>450</v>
      </c>
      <c r="B451" t="s">
        <v>912</v>
      </c>
      <c r="C451" t="s">
        <v>1226</v>
      </c>
      <c r="D451" s="2">
        <v>42223</v>
      </c>
      <c r="E451">
        <v>0.51532259999999996</v>
      </c>
      <c r="F451" s="2">
        <v>42237</v>
      </c>
      <c r="G451">
        <v>0.433417</v>
      </c>
      <c r="H451" s="3">
        <v>-0.15890000000000001</v>
      </c>
      <c r="I451">
        <v>-15466.17</v>
      </c>
      <c r="J451" s="3">
        <v>-0.1608</v>
      </c>
      <c r="K451">
        <v>186667</v>
      </c>
    </row>
    <row r="452" spans="1:11" x14ac:dyDescent="0.3">
      <c r="A452" t="s">
        <v>466</v>
      </c>
      <c r="B452" t="s">
        <v>936</v>
      </c>
      <c r="C452" t="s">
        <v>1226</v>
      </c>
      <c r="D452" s="2">
        <v>42006</v>
      </c>
      <c r="E452">
        <v>0.66650160000000003</v>
      </c>
      <c r="F452" s="2">
        <v>42188</v>
      </c>
      <c r="G452">
        <v>0.56170640000000005</v>
      </c>
      <c r="H452" s="3">
        <v>-0.15720000000000001</v>
      </c>
      <c r="I452">
        <v>-14560.83</v>
      </c>
      <c r="J452" s="3">
        <v>-0.15909999999999999</v>
      </c>
      <c r="K452">
        <v>137336</v>
      </c>
    </row>
    <row r="453" spans="1:11" x14ac:dyDescent="0.3">
      <c r="A453" t="s">
        <v>285</v>
      </c>
      <c r="B453" t="s">
        <v>937</v>
      </c>
      <c r="C453" t="s">
        <v>1226</v>
      </c>
      <c r="D453" s="2">
        <v>41753</v>
      </c>
      <c r="E453">
        <v>0.64454630000000002</v>
      </c>
      <c r="F453" s="2">
        <v>42188</v>
      </c>
      <c r="G453">
        <v>0.96088890000000005</v>
      </c>
      <c r="H453" s="3">
        <v>0.49080000000000001</v>
      </c>
      <c r="I453">
        <v>40095.94</v>
      </c>
      <c r="J453" s="3">
        <v>0.48830000000000001</v>
      </c>
      <c r="K453">
        <v>127395</v>
      </c>
    </row>
    <row r="454" spans="1:11" x14ac:dyDescent="0.3">
      <c r="A454" t="s">
        <v>467</v>
      </c>
      <c r="B454" t="s">
        <v>938</v>
      </c>
      <c r="C454" t="s">
        <v>1226</v>
      </c>
      <c r="D454" s="2">
        <v>42004</v>
      </c>
      <c r="E454">
        <v>3.3299880000000002</v>
      </c>
      <c r="F454" s="2">
        <v>42181</v>
      </c>
      <c r="G454">
        <v>3.8908290000000001</v>
      </c>
      <c r="H454" s="3">
        <v>0.16839999999999999</v>
      </c>
      <c r="I454">
        <v>15145.94</v>
      </c>
      <c r="J454" s="3">
        <v>0.1663</v>
      </c>
      <c r="K454">
        <v>27358</v>
      </c>
    </row>
    <row r="455" spans="1:11" x14ac:dyDescent="0.3">
      <c r="A455" t="s">
        <v>468</v>
      </c>
      <c r="B455" t="s">
        <v>939</v>
      </c>
      <c r="C455" t="s">
        <v>1226</v>
      </c>
      <c r="D455" s="2">
        <v>41957</v>
      </c>
      <c r="E455">
        <v>2.329526</v>
      </c>
      <c r="F455" s="2">
        <v>42174</v>
      </c>
      <c r="G455">
        <v>3.2586810000000002</v>
      </c>
      <c r="H455" s="3">
        <v>0.39889999999999998</v>
      </c>
      <c r="I455">
        <v>34608.82</v>
      </c>
      <c r="J455" s="3">
        <v>0.39650000000000002</v>
      </c>
      <c r="K455">
        <v>37473</v>
      </c>
    </row>
    <row r="456" spans="1:11" x14ac:dyDescent="0.3">
      <c r="A456" t="s">
        <v>286</v>
      </c>
      <c r="B456" t="s">
        <v>940</v>
      </c>
      <c r="C456" t="s">
        <v>1226</v>
      </c>
      <c r="D456" s="2">
        <v>41257</v>
      </c>
      <c r="E456">
        <v>1.673133</v>
      </c>
      <c r="F456" s="2">
        <v>42167</v>
      </c>
      <c r="G456">
        <v>5.5296909999999997</v>
      </c>
      <c r="H456" s="3">
        <v>2.3050000000000002</v>
      </c>
      <c r="I456">
        <v>133649.60999999999</v>
      </c>
      <c r="J456" s="3">
        <v>2.3007</v>
      </c>
      <c r="K456">
        <v>34720</v>
      </c>
    </row>
    <row r="457" spans="1:11" x14ac:dyDescent="0.3">
      <c r="A457" t="s">
        <v>220</v>
      </c>
      <c r="B457" t="s">
        <v>796</v>
      </c>
      <c r="C457" t="s">
        <v>1226</v>
      </c>
      <c r="D457" s="2">
        <v>42096</v>
      </c>
      <c r="E457">
        <v>1.37</v>
      </c>
      <c r="F457" s="2">
        <v>42146</v>
      </c>
      <c r="G457">
        <v>1.7</v>
      </c>
      <c r="H457" s="3">
        <v>0.2409</v>
      </c>
      <c r="I457">
        <v>23123.11</v>
      </c>
      <c r="J457" s="3">
        <v>0.23860000000000001</v>
      </c>
      <c r="K457">
        <v>70728</v>
      </c>
    </row>
    <row r="458" spans="1:11" x14ac:dyDescent="0.3">
      <c r="A458" t="s">
        <v>287</v>
      </c>
      <c r="B458" t="s">
        <v>941</v>
      </c>
      <c r="C458" t="s">
        <v>1226</v>
      </c>
      <c r="D458" s="2">
        <v>42034</v>
      </c>
      <c r="E458">
        <v>0.54555089999999995</v>
      </c>
      <c r="F458" s="2">
        <v>42139</v>
      </c>
      <c r="G458">
        <v>0.5698164</v>
      </c>
      <c r="H458" s="3">
        <v>4.4499999999999998E-2</v>
      </c>
      <c r="I458">
        <v>3781.78</v>
      </c>
      <c r="J458" s="3">
        <v>4.24E-2</v>
      </c>
      <c r="K458">
        <v>163359</v>
      </c>
    </row>
    <row r="459" spans="1:11" x14ac:dyDescent="0.3">
      <c r="A459" t="s">
        <v>469</v>
      </c>
      <c r="B459" t="s">
        <v>942</v>
      </c>
      <c r="C459" t="s">
        <v>1226</v>
      </c>
      <c r="D459" s="2">
        <v>41950</v>
      </c>
      <c r="E459">
        <v>2.2086399999999999</v>
      </c>
      <c r="F459" s="2">
        <v>42132</v>
      </c>
      <c r="G459">
        <v>2.33</v>
      </c>
      <c r="H459" s="3">
        <v>5.4899999999999997E-2</v>
      </c>
      <c r="I459">
        <v>4569.58</v>
      </c>
      <c r="J459" s="3">
        <v>5.2900000000000003E-2</v>
      </c>
      <c r="K459">
        <v>39116</v>
      </c>
    </row>
    <row r="460" spans="1:11" x14ac:dyDescent="0.3">
      <c r="A460" t="s">
        <v>264</v>
      </c>
      <c r="B460" t="s">
        <v>866</v>
      </c>
      <c r="C460" t="s">
        <v>1226</v>
      </c>
      <c r="D460" s="2">
        <v>41474</v>
      </c>
      <c r="E460">
        <v>4.7072260000000004</v>
      </c>
      <c r="F460" s="2">
        <v>42132</v>
      </c>
      <c r="G460">
        <v>7.7863049999999996</v>
      </c>
      <c r="H460" s="3">
        <v>0.65410000000000001</v>
      </c>
      <c r="I460">
        <v>46992.36</v>
      </c>
      <c r="J460" s="3">
        <v>0.65149999999999997</v>
      </c>
      <c r="K460">
        <v>15324</v>
      </c>
    </row>
    <row r="461" spans="1:11" x14ac:dyDescent="0.3">
      <c r="A461" t="s">
        <v>288</v>
      </c>
      <c r="B461" t="s">
        <v>943</v>
      </c>
      <c r="C461" t="s">
        <v>1226</v>
      </c>
      <c r="D461" s="2">
        <v>41691</v>
      </c>
      <c r="E461">
        <v>0.52606620000000004</v>
      </c>
      <c r="F461" s="2">
        <v>42118</v>
      </c>
      <c r="G461">
        <v>0.4386737</v>
      </c>
      <c r="H461" s="3">
        <v>-0.1661</v>
      </c>
      <c r="I461">
        <v>-13437.99</v>
      </c>
      <c r="J461" s="3">
        <v>-0.16800000000000001</v>
      </c>
      <c r="K461">
        <v>152087</v>
      </c>
    </row>
    <row r="462" spans="1:11" x14ac:dyDescent="0.3">
      <c r="A462" t="s">
        <v>118</v>
      </c>
      <c r="B462" t="s">
        <v>354</v>
      </c>
      <c r="C462" t="s">
        <v>1226</v>
      </c>
      <c r="D462" s="2">
        <v>42034</v>
      </c>
      <c r="E462">
        <v>0.96489329999999995</v>
      </c>
      <c r="F462" s="2">
        <v>42096</v>
      </c>
      <c r="G462">
        <v>0.77963459999999996</v>
      </c>
      <c r="H462" s="3">
        <v>-0.192</v>
      </c>
      <c r="I462">
        <v>-17273.86</v>
      </c>
      <c r="J462" s="3">
        <v>-0.1938</v>
      </c>
      <c r="K462">
        <v>92372</v>
      </c>
    </row>
    <row r="463" spans="1:11" x14ac:dyDescent="0.3">
      <c r="A463" t="s">
        <v>470</v>
      </c>
      <c r="B463" t="s">
        <v>944</v>
      </c>
      <c r="C463" t="s">
        <v>1226</v>
      </c>
      <c r="D463" s="2">
        <v>42013</v>
      </c>
      <c r="E463">
        <v>1.7478800000000001</v>
      </c>
      <c r="F463" s="2">
        <v>42027</v>
      </c>
      <c r="G463">
        <v>1.3038240000000001</v>
      </c>
      <c r="H463" s="3">
        <v>-0.25409999999999999</v>
      </c>
      <c r="I463">
        <v>-23683.74</v>
      </c>
      <c r="J463" s="3">
        <v>-0.25580000000000003</v>
      </c>
      <c r="K463">
        <v>52971</v>
      </c>
    </row>
    <row r="464" spans="1:11" x14ac:dyDescent="0.3">
      <c r="A464" t="s">
        <v>78</v>
      </c>
      <c r="B464" t="s">
        <v>945</v>
      </c>
      <c r="C464" t="s">
        <v>1226</v>
      </c>
      <c r="D464" s="2">
        <v>42006</v>
      </c>
      <c r="E464">
        <v>1.2749999999999999</v>
      </c>
      <c r="F464" s="2">
        <v>42027</v>
      </c>
      <c r="G464">
        <v>1.26</v>
      </c>
      <c r="H464" s="3">
        <v>-1.18E-2</v>
      </c>
      <c r="I464">
        <v>-1259</v>
      </c>
      <c r="J464" s="3">
        <v>-1.38E-2</v>
      </c>
      <c r="K464">
        <v>71799</v>
      </c>
    </row>
    <row r="465" spans="1:11" x14ac:dyDescent="0.3">
      <c r="A465" t="s">
        <v>289</v>
      </c>
      <c r="B465" t="s">
        <v>946</v>
      </c>
      <c r="C465" t="s">
        <v>1226</v>
      </c>
      <c r="D465" s="2">
        <v>41950</v>
      </c>
      <c r="E465">
        <v>1.838295</v>
      </c>
      <c r="F465" s="2">
        <v>41997</v>
      </c>
      <c r="G465">
        <v>1.6268910000000001</v>
      </c>
      <c r="H465" s="3">
        <v>-0.115</v>
      </c>
      <c r="I465">
        <v>-10101</v>
      </c>
      <c r="J465" s="3">
        <v>-0.1169</v>
      </c>
      <c r="K465">
        <v>47010</v>
      </c>
    </row>
    <row r="466" spans="1:11" x14ac:dyDescent="0.3">
      <c r="A466" t="s">
        <v>431</v>
      </c>
      <c r="B466" t="s">
        <v>874</v>
      </c>
      <c r="C466" t="s">
        <v>1226</v>
      </c>
      <c r="D466" s="2">
        <v>41474</v>
      </c>
      <c r="E466">
        <v>1.3081480000000001</v>
      </c>
      <c r="F466" s="2">
        <v>41992</v>
      </c>
      <c r="G466">
        <v>1.360744</v>
      </c>
      <c r="H466" s="3">
        <v>4.02E-2</v>
      </c>
      <c r="I466">
        <v>2752.93</v>
      </c>
      <c r="J466" s="3">
        <v>3.8199999999999998E-2</v>
      </c>
      <c r="K466">
        <v>55139</v>
      </c>
    </row>
    <row r="467" spans="1:11" x14ac:dyDescent="0.3">
      <c r="A467" t="s">
        <v>290</v>
      </c>
      <c r="B467" t="s">
        <v>947</v>
      </c>
      <c r="C467" t="s">
        <v>1226</v>
      </c>
      <c r="D467" s="2">
        <v>41796</v>
      </c>
      <c r="E467">
        <v>0.61042909999999995</v>
      </c>
      <c r="F467" s="2">
        <v>41991</v>
      </c>
      <c r="G467">
        <v>0.65819870000000003</v>
      </c>
      <c r="H467" s="3">
        <v>7.8299999999999995E-2</v>
      </c>
      <c r="I467">
        <v>6536.46</v>
      </c>
      <c r="J467" s="3">
        <v>7.6200000000000004E-2</v>
      </c>
      <c r="K467">
        <v>140566</v>
      </c>
    </row>
    <row r="468" spans="1:11" x14ac:dyDescent="0.3">
      <c r="A468" t="s">
        <v>74</v>
      </c>
      <c r="B468" t="s">
        <v>948</v>
      </c>
      <c r="C468" t="s">
        <v>1226</v>
      </c>
      <c r="D468" s="2">
        <v>41950</v>
      </c>
      <c r="E468">
        <v>1.9059219999999999</v>
      </c>
      <c r="F468" s="2">
        <v>41978</v>
      </c>
      <c r="G468">
        <v>1.853378</v>
      </c>
      <c r="H468" s="3">
        <v>-2.76E-2</v>
      </c>
      <c r="I468">
        <v>-2552.4</v>
      </c>
      <c r="J468" s="3">
        <v>-2.9499999999999998E-2</v>
      </c>
      <c r="K468">
        <v>45333</v>
      </c>
    </row>
    <row r="469" spans="1:11" x14ac:dyDescent="0.3">
      <c r="A469" t="s">
        <v>287</v>
      </c>
      <c r="B469" t="s">
        <v>941</v>
      </c>
      <c r="C469" t="s">
        <v>1226</v>
      </c>
      <c r="D469" s="2">
        <v>41957</v>
      </c>
      <c r="E469">
        <v>0.53534110000000001</v>
      </c>
      <c r="F469" s="2">
        <v>41971</v>
      </c>
      <c r="G469">
        <v>0.47978690000000002</v>
      </c>
      <c r="H469" s="3">
        <v>-0.1038</v>
      </c>
      <c r="I469">
        <v>-9223.57</v>
      </c>
      <c r="J469" s="3">
        <v>-0.1057</v>
      </c>
      <c r="K469">
        <v>163049</v>
      </c>
    </row>
    <row r="470" spans="1:11" x14ac:dyDescent="0.3">
      <c r="A470" t="s">
        <v>401</v>
      </c>
      <c r="B470" t="s">
        <v>765</v>
      </c>
      <c r="C470" t="s">
        <v>1226</v>
      </c>
      <c r="D470" s="2">
        <v>41950</v>
      </c>
      <c r="E470">
        <v>0.71</v>
      </c>
      <c r="F470" s="2">
        <v>41964</v>
      </c>
      <c r="G470">
        <v>0.74</v>
      </c>
      <c r="H470" s="3">
        <v>4.2299999999999997E-2</v>
      </c>
      <c r="I470">
        <v>3475.33</v>
      </c>
      <c r="J470" s="3">
        <v>4.02E-2</v>
      </c>
      <c r="K470">
        <v>121728</v>
      </c>
    </row>
    <row r="471" spans="1:11" x14ac:dyDescent="0.3">
      <c r="A471" t="s">
        <v>471</v>
      </c>
      <c r="B471" t="s">
        <v>949</v>
      </c>
      <c r="C471" t="s">
        <v>1226</v>
      </c>
      <c r="D471" s="2">
        <v>41873</v>
      </c>
      <c r="E471">
        <v>1.85521</v>
      </c>
      <c r="F471" s="2">
        <v>41953</v>
      </c>
      <c r="G471">
        <v>1.895</v>
      </c>
      <c r="H471" s="3">
        <v>2.1399999999999999E-2</v>
      </c>
      <c r="I471">
        <v>1703.42</v>
      </c>
      <c r="J471" s="3">
        <v>1.9400000000000001E-2</v>
      </c>
      <c r="K471">
        <v>47265</v>
      </c>
    </row>
    <row r="472" spans="1:11" x14ac:dyDescent="0.3">
      <c r="A472" t="s">
        <v>472</v>
      </c>
      <c r="B472" t="s">
        <v>950</v>
      </c>
      <c r="C472" t="s">
        <v>1226</v>
      </c>
      <c r="D472" s="2">
        <v>41894</v>
      </c>
      <c r="E472">
        <v>3.2250000000000001</v>
      </c>
      <c r="F472" s="2">
        <v>41936</v>
      </c>
      <c r="G472">
        <v>3.125</v>
      </c>
      <c r="H472" s="3">
        <v>-3.1E-2</v>
      </c>
      <c r="I472">
        <v>-2953.98</v>
      </c>
      <c r="J472" s="3">
        <v>-3.3000000000000002E-2</v>
      </c>
      <c r="K472">
        <v>27776</v>
      </c>
    </row>
    <row r="473" spans="1:11" x14ac:dyDescent="0.3">
      <c r="A473" t="s">
        <v>473</v>
      </c>
      <c r="B473" t="s">
        <v>951</v>
      </c>
      <c r="C473" t="s">
        <v>1226</v>
      </c>
      <c r="D473" s="2">
        <v>41873</v>
      </c>
      <c r="E473">
        <v>1.33</v>
      </c>
      <c r="F473" s="2">
        <v>41915</v>
      </c>
      <c r="G473">
        <v>0.83</v>
      </c>
      <c r="H473" s="3">
        <v>-0.37590000000000001</v>
      </c>
      <c r="I473">
        <v>-33104.400000000001</v>
      </c>
      <c r="J473" s="3">
        <v>-0.37759999999999999</v>
      </c>
      <c r="K473">
        <v>65924</v>
      </c>
    </row>
    <row r="474" spans="1:11" x14ac:dyDescent="0.3">
      <c r="A474" t="s">
        <v>474</v>
      </c>
      <c r="B474" t="s">
        <v>952</v>
      </c>
      <c r="C474" t="s">
        <v>1226</v>
      </c>
      <c r="D474" s="2">
        <v>41831</v>
      </c>
      <c r="E474">
        <v>1.736178</v>
      </c>
      <c r="F474" s="2">
        <v>41908</v>
      </c>
      <c r="G474">
        <v>1.2599689999999999</v>
      </c>
      <c r="H474" s="3">
        <v>-0.27429999999999999</v>
      </c>
      <c r="I474">
        <v>-24192.67</v>
      </c>
      <c r="J474" s="3">
        <v>-0.27600000000000002</v>
      </c>
      <c r="K474">
        <v>50485</v>
      </c>
    </row>
    <row r="475" spans="1:11" x14ac:dyDescent="0.3">
      <c r="A475" t="s">
        <v>475</v>
      </c>
      <c r="B475" t="s">
        <v>953</v>
      </c>
      <c r="C475" t="s">
        <v>1226</v>
      </c>
      <c r="D475" s="2">
        <v>41789</v>
      </c>
      <c r="E475">
        <v>2.9085869999999998</v>
      </c>
      <c r="F475" s="2">
        <v>41908</v>
      </c>
      <c r="G475">
        <v>2.6</v>
      </c>
      <c r="H475" s="3">
        <v>-0.1061</v>
      </c>
      <c r="I475">
        <v>-9091.5</v>
      </c>
      <c r="J475" s="3">
        <v>-0.108</v>
      </c>
      <c r="K475">
        <v>28945</v>
      </c>
    </row>
    <row r="476" spans="1:11" x14ac:dyDescent="0.3">
      <c r="A476" t="s">
        <v>476</v>
      </c>
      <c r="B476" t="s">
        <v>954</v>
      </c>
      <c r="C476" t="s">
        <v>1226</v>
      </c>
      <c r="D476" s="2">
        <v>41649</v>
      </c>
      <c r="E476">
        <v>1.0580510000000001</v>
      </c>
      <c r="F476" s="2">
        <v>41908</v>
      </c>
      <c r="G476">
        <v>1.8138019999999999</v>
      </c>
      <c r="H476" s="3">
        <v>0.71430000000000005</v>
      </c>
      <c r="I476">
        <v>58461.9</v>
      </c>
      <c r="J476" s="3">
        <v>0.71160000000000001</v>
      </c>
      <c r="K476">
        <v>77651</v>
      </c>
    </row>
    <row r="477" spans="1:11" x14ac:dyDescent="0.3">
      <c r="A477" t="s">
        <v>191</v>
      </c>
      <c r="B477" t="s">
        <v>748</v>
      </c>
      <c r="C477" t="s">
        <v>1226</v>
      </c>
      <c r="D477" s="2">
        <v>41873</v>
      </c>
      <c r="E477">
        <v>0.55878249999999996</v>
      </c>
      <c r="F477" s="2">
        <v>41908</v>
      </c>
      <c r="G477">
        <v>0.483016</v>
      </c>
      <c r="H477" s="3">
        <v>-0.1356</v>
      </c>
      <c r="I477">
        <v>-12054.37</v>
      </c>
      <c r="J477" s="3">
        <v>-0.13750000000000001</v>
      </c>
      <c r="K477">
        <v>156941</v>
      </c>
    </row>
    <row r="478" spans="1:11" x14ac:dyDescent="0.3">
      <c r="A478" t="s">
        <v>467</v>
      </c>
      <c r="B478" t="s">
        <v>938</v>
      </c>
      <c r="C478" t="s">
        <v>1226</v>
      </c>
      <c r="D478" s="2">
        <v>41821</v>
      </c>
      <c r="E478">
        <v>2.6095329999999999</v>
      </c>
      <c r="F478" s="2">
        <v>41894</v>
      </c>
      <c r="G478">
        <v>2.5242079999999998</v>
      </c>
      <c r="H478" s="3">
        <v>-3.27E-2</v>
      </c>
      <c r="I478">
        <v>-2989.93</v>
      </c>
      <c r="J478" s="3">
        <v>-3.4700000000000002E-2</v>
      </c>
      <c r="K478">
        <v>33053</v>
      </c>
    </row>
    <row r="479" spans="1:11" x14ac:dyDescent="0.3">
      <c r="A479" t="s">
        <v>477</v>
      </c>
      <c r="B479" t="s">
        <v>955</v>
      </c>
      <c r="C479" t="s">
        <v>1226</v>
      </c>
      <c r="D479" s="2">
        <v>41852</v>
      </c>
      <c r="E479">
        <v>3.8</v>
      </c>
      <c r="F479" s="2">
        <v>41866</v>
      </c>
      <c r="G479">
        <v>3.35</v>
      </c>
      <c r="H479" s="3">
        <v>-0.11840000000000001</v>
      </c>
      <c r="I479">
        <v>-10658.45</v>
      </c>
      <c r="J479" s="3">
        <v>-0.1203</v>
      </c>
      <c r="K479">
        <v>23315</v>
      </c>
    </row>
    <row r="480" spans="1:11" x14ac:dyDescent="0.3">
      <c r="A480" t="s">
        <v>461</v>
      </c>
      <c r="B480" t="s">
        <v>930</v>
      </c>
      <c r="C480" t="s">
        <v>1226</v>
      </c>
      <c r="D480" s="2">
        <v>41831</v>
      </c>
      <c r="E480">
        <v>0.72935680000000003</v>
      </c>
      <c r="F480" s="2">
        <v>41866</v>
      </c>
      <c r="G480">
        <v>0.6813728</v>
      </c>
      <c r="H480" s="3">
        <v>-6.5799999999999997E-2</v>
      </c>
      <c r="I480">
        <v>-5935.52</v>
      </c>
      <c r="J480" s="3">
        <v>-6.7699999999999996E-2</v>
      </c>
      <c r="K480">
        <v>120165</v>
      </c>
    </row>
    <row r="481" spans="1:11" x14ac:dyDescent="0.3">
      <c r="A481" t="s">
        <v>478</v>
      </c>
      <c r="B481" t="s">
        <v>956</v>
      </c>
      <c r="C481" t="s">
        <v>1226</v>
      </c>
      <c r="D481" s="2">
        <v>41691</v>
      </c>
      <c r="E481">
        <v>2.4553250000000002</v>
      </c>
      <c r="F481" s="2">
        <v>41866</v>
      </c>
      <c r="G481">
        <v>2.8677429999999999</v>
      </c>
      <c r="H481" s="3">
        <v>0.16800000000000001</v>
      </c>
      <c r="I481">
        <v>13266.41</v>
      </c>
      <c r="J481" s="3">
        <v>0.1658</v>
      </c>
      <c r="K481">
        <v>32588</v>
      </c>
    </row>
    <row r="482" spans="1:11" x14ac:dyDescent="0.3">
      <c r="A482" t="s">
        <v>188</v>
      </c>
      <c r="B482" t="s">
        <v>743</v>
      </c>
      <c r="C482" t="s">
        <v>1226</v>
      </c>
      <c r="D482" s="2">
        <v>41474</v>
      </c>
      <c r="E482">
        <v>0.6381019</v>
      </c>
      <c r="F482" s="2">
        <v>41866</v>
      </c>
      <c r="G482">
        <v>0.84306800000000004</v>
      </c>
      <c r="H482" s="3">
        <v>0.32119999999999999</v>
      </c>
      <c r="I482">
        <v>23006.21</v>
      </c>
      <c r="J482" s="3">
        <v>0.31890000000000002</v>
      </c>
      <c r="K482">
        <v>113061</v>
      </c>
    </row>
    <row r="483" spans="1:11" x14ac:dyDescent="0.3">
      <c r="A483" t="s">
        <v>282</v>
      </c>
      <c r="B483" t="s">
        <v>928</v>
      </c>
      <c r="C483" t="s">
        <v>1226</v>
      </c>
      <c r="D483" s="2">
        <v>41397</v>
      </c>
      <c r="E483">
        <v>1.9900009999999999</v>
      </c>
      <c r="F483" s="2">
        <v>41859</v>
      </c>
      <c r="G483">
        <v>2.837904</v>
      </c>
      <c r="H483" s="3">
        <v>0.42609999999999998</v>
      </c>
      <c r="I483">
        <v>30059</v>
      </c>
      <c r="J483" s="3">
        <v>0.42370000000000002</v>
      </c>
      <c r="K483">
        <v>35654</v>
      </c>
    </row>
    <row r="484" spans="1:11" x14ac:dyDescent="0.3">
      <c r="A484" t="s">
        <v>427</v>
      </c>
      <c r="B484" t="s">
        <v>865</v>
      </c>
      <c r="C484" t="s">
        <v>1226</v>
      </c>
      <c r="D484" s="2">
        <v>41481</v>
      </c>
      <c r="E484">
        <v>4.697845</v>
      </c>
      <c r="F484" s="2">
        <v>41852</v>
      </c>
      <c r="G484">
        <v>8.6918279999999992</v>
      </c>
      <c r="H484" s="3">
        <v>0.85019999999999996</v>
      </c>
      <c r="I484">
        <v>61623.6</v>
      </c>
      <c r="J484" s="3">
        <v>0.84730000000000005</v>
      </c>
      <c r="K484">
        <v>15481</v>
      </c>
    </row>
    <row r="485" spans="1:11" x14ac:dyDescent="0.3">
      <c r="A485" t="s">
        <v>291</v>
      </c>
      <c r="B485" t="s">
        <v>957</v>
      </c>
      <c r="C485" t="s">
        <v>1226</v>
      </c>
      <c r="D485" s="2">
        <v>41656</v>
      </c>
      <c r="E485">
        <v>0.56521650000000001</v>
      </c>
      <c r="F485" s="2">
        <v>41845</v>
      </c>
      <c r="G485">
        <v>0.49477450000000001</v>
      </c>
      <c r="H485" s="3">
        <v>-0.1246</v>
      </c>
      <c r="I485">
        <v>-10033.66</v>
      </c>
      <c r="J485" s="3">
        <v>-0.1265</v>
      </c>
      <c r="K485">
        <v>140327</v>
      </c>
    </row>
    <row r="486" spans="1:11" x14ac:dyDescent="0.3">
      <c r="A486" t="s">
        <v>479</v>
      </c>
      <c r="B486" t="s">
        <v>958</v>
      </c>
      <c r="C486" t="s">
        <v>1226</v>
      </c>
      <c r="D486" s="2">
        <v>41481</v>
      </c>
      <c r="E486">
        <v>1.8641129999999999</v>
      </c>
      <c r="F486" s="2">
        <v>41824</v>
      </c>
      <c r="G486">
        <v>2.8417469999999998</v>
      </c>
      <c r="H486" s="3">
        <v>0.52439999999999998</v>
      </c>
      <c r="I486">
        <v>37970.47</v>
      </c>
      <c r="J486" s="3">
        <v>0.52190000000000003</v>
      </c>
      <c r="K486">
        <v>39027</v>
      </c>
    </row>
    <row r="487" spans="1:11" x14ac:dyDescent="0.3">
      <c r="A487" t="s">
        <v>292</v>
      </c>
      <c r="B487" t="s">
        <v>959</v>
      </c>
      <c r="C487" t="s">
        <v>1226</v>
      </c>
      <c r="D487" s="2">
        <v>41656</v>
      </c>
      <c r="E487">
        <v>0.99190520000000004</v>
      </c>
      <c r="F487" s="2">
        <v>41817</v>
      </c>
      <c r="G487">
        <v>1.1549309999999999</v>
      </c>
      <c r="H487" s="3">
        <v>0.16439999999999999</v>
      </c>
      <c r="I487">
        <v>12861.79</v>
      </c>
      <c r="J487" s="3">
        <v>0.16220000000000001</v>
      </c>
      <c r="K487">
        <v>79947</v>
      </c>
    </row>
    <row r="488" spans="1:11" x14ac:dyDescent="0.3">
      <c r="A488" t="s">
        <v>480</v>
      </c>
      <c r="B488" t="s">
        <v>960</v>
      </c>
      <c r="C488" t="s">
        <v>1226</v>
      </c>
      <c r="D488" s="2">
        <v>41746</v>
      </c>
      <c r="E488">
        <v>0.77608759999999999</v>
      </c>
      <c r="F488" s="2">
        <v>41810</v>
      </c>
      <c r="G488">
        <v>0.78555200000000003</v>
      </c>
      <c r="H488" s="3">
        <v>1.2200000000000001E-2</v>
      </c>
      <c r="I488">
        <v>839.45</v>
      </c>
      <c r="J488" s="3">
        <v>1.0200000000000001E-2</v>
      </c>
      <c r="K488">
        <v>106222</v>
      </c>
    </row>
    <row r="489" spans="1:11" x14ac:dyDescent="0.3">
      <c r="A489" t="s">
        <v>454</v>
      </c>
      <c r="B489" t="s">
        <v>916</v>
      </c>
      <c r="C489" t="s">
        <v>1226</v>
      </c>
      <c r="D489" s="2">
        <v>41691</v>
      </c>
      <c r="E489">
        <v>1.0885830000000001</v>
      </c>
      <c r="F489" s="2">
        <v>41796</v>
      </c>
      <c r="G489">
        <v>0.72905109999999995</v>
      </c>
      <c r="H489" s="3">
        <v>-0.33029999999999998</v>
      </c>
      <c r="I489">
        <v>-26555.58</v>
      </c>
      <c r="J489" s="3">
        <v>-0.33189999999999997</v>
      </c>
      <c r="K489">
        <v>73490</v>
      </c>
    </row>
    <row r="490" spans="1:11" x14ac:dyDescent="0.3">
      <c r="A490" t="s">
        <v>90</v>
      </c>
      <c r="B490" t="s">
        <v>691</v>
      </c>
      <c r="C490" t="s">
        <v>1226</v>
      </c>
      <c r="D490" s="2">
        <v>41551</v>
      </c>
      <c r="E490">
        <v>3.3918940000000002</v>
      </c>
      <c r="F490" s="2">
        <v>41782</v>
      </c>
      <c r="G490">
        <v>3.8769469999999999</v>
      </c>
      <c r="H490" s="3">
        <v>0.14299999999999999</v>
      </c>
      <c r="I490">
        <v>11195.92</v>
      </c>
      <c r="J490" s="3">
        <v>0.1409</v>
      </c>
      <c r="K490">
        <v>23433</v>
      </c>
    </row>
    <row r="491" spans="1:11" x14ac:dyDescent="0.3">
      <c r="A491" t="s">
        <v>472</v>
      </c>
      <c r="B491" t="s">
        <v>950</v>
      </c>
      <c r="C491" t="s">
        <v>1226</v>
      </c>
      <c r="D491" s="2">
        <v>41663</v>
      </c>
      <c r="E491">
        <v>2.8162250000000002</v>
      </c>
      <c r="F491" s="2">
        <v>41753</v>
      </c>
      <c r="G491">
        <v>2.35</v>
      </c>
      <c r="H491" s="3">
        <v>-0.16550000000000001</v>
      </c>
      <c r="I491">
        <v>-13394.11</v>
      </c>
      <c r="J491" s="3">
        <v>-0.16739999999999999</v>
      </c>
      <c r="K491">
        <v>28414</v>
      </c>
    </row>
    <row r="492" spans="1:11" x14ac:dyDescent="0.3">
      <c r="A492" t="s">
        <v>481</v>
      </c>
      <c r="B492" t="s">
        <v>961</v>
      </c>
      <c r="C492" t="s">
        <v>1226</v>
      </c>
      <c r="D492" s="2">
        <v>41334</v>
      </c>
      <c r="E492">
        <v>0.52855870000000005</v>
      </c>
      <c r="F492" s="2">
        <v>41746</v>
      </c>
      <c r="G492">
        <v>0.68570299999999995</v>
      </c>
      <c r="H492" s="3">
        <v>0.29730000000000001</v>
      </c>
      <c r="I492">
        <v>20562.03</v>
      </c>
      <c r="J492" s="3">
        <v>0.29499999999999998</v>
      </c>
      <c r="K492">
        <v>131867</v>
      </c>
    </row>
    <row r="493" spans="1:11" x14ac:dyDescent="0.3">
      <c r="A493" t="s">
        <v>293</v>
      </c>
      <c r="B493" t="s">
        <v>962</v>
      </c>
      <c r="C493" t="s">
        <v>1226</v>
      </c>
      <c r="D493" s="2">
        <v>41663</v>
      </c>
      <c r="E493">
        <v>1.040322</v>
      </c>
      <c r="F493" s="2">
        <v>41684</v>
      </c>
      <c r="G493">
        <v>0.90343790000000002</v>
      </c>
      <c r="H493" s="3">
        <v>-0.13159999999999999</v>
      </c>
      <c r="I493">
        <v>-10677.39</v>
      </c>
      <c r="J493" s="3">
        <v>-0.13339999999999999</v>
      </c>
      <c r="K493">
        <v>76911</v>
      </c>
    </row>
    <row r="494" spans="1:11" x14ac:dyDescent="0.3">
      <c r="A494" t="s">
        <v>482</v>
      </c>
      <c r="B494" t="s">
        <v>963</v>
      </c>
      <c r="C494" t="s">
        <v>1226</v>
      </c>
      <c r="D494" s="2">
        <v>41663</v>
      </c>
      <c r="E494">
        <v>0.94</v>
      </c>
      <c r="F494" s="2">
        <v>41677</v>
      </c>
      <c r="G494">
        <v>0.875</v>
      </c>
      <c r="H494" s="3">
        <v>-6.9099999999999995E-2</v>
      </c>
      <c r="I494">
        <v>-5688.36</v>
      </c>
      <c r="J494" s="3">
        <v>-7.1099999999999997E-2</v>
      </c>
      <c r="K494">
        <v>85136</v>
      </c>
    </row>
    <row r="495" spans="1:11" x14ac:dyDescent="0.3">
      <c r="A495" t="s">
        <v>483</v>
      </c>
      <c r="B495" t="s">
        <v>964</v>
      </c>
      <c r="C495" t="s">
        <v>1226</v>
      </c>
      <c r="D495" s="2">
        <v>41481</v>
      </c>
      <c r="E495">
        <v>1.7428250000000001</v>
      </c>
      <c r="F495" s="2">
        <v>41677</v>
      </c>
      <c r="G495">
        <v>2.1909800000000001</v>
      </c>
      <c r="H495" s="3">
        <v>0.2571</v>
      </c>
      <c r="I495">
        <v>18541.349999999999</v>
      </c>
      <c r="J495" s="3">
        <v>0.25490000000000002</v>
      </c>
      <c r="K495">
        <v>41739</v>
      </c>
    </row>
    <row r="496" spans="1:11" x14ac:dyDescent="0.3">
      <c r="A496" t="s">
        <v>484</v>
      </c>
      <c r="B496" t="s">
        <v>965</v>
      </c>
      <c r="C496" t="s">
        <v>1226</v>
      </c>
      <c r="D496" s="2">
        <v>41481</v>
      </c>
      <c r="E496">
        <v>3.4</v>
      </c>
      <c r="F496" s="2">
        <v>41656</v>
      </c>
      <c r="G496">
        <v>0.73</v>
      </c>
      <c r="H496" s="3">
        <v>-0.7853</v>
      </c>
      <c r="I496">
        <v>-57207.66</v>
      </c>
      <c r="J496" s="3">
        <v>-0.78649999999999998</v>
      </c>
      <c r="K496">
        <v>21393</v>
      </c>
    </row>
    <row r="497" spans="1:11" x14ac:dyDescent="0.3">
      <c r="A497" t="s">
        <v>255</v>
      </c>
      <c r="B497" t="s">
        <v>852</v>
      </c>
      <c r="C497" t="s">
        <v>1226</v>
      </c>
      <c r="D497" s="2">
        <v>41397</v>
      </c>
      <c r="E497">
        <v>1.2832699999999999</v>
      </c>
      <c r="F497" s="2">
        <v>41628</v>
      </c>
      <c r="G497">
        <v>1.9409179999999999</v>
      </c>
      <c r="H497" s="3">
        <v>0.51249999999999996</v>
      </c>
      <c r="I497">
        <v>36179.82</v>
      </c>
      <c r="J497" s="3">
        <v>0.51</v>
      </c>
      <c r="K497">
        <v>55285</v>
      </c>
    </row>
    <row r="498" spans="1:11" x14ac:dyDescent="0.3">
      <c r="A498" t="s">
        <v>258</v>
      </c>
      <c r="B498" t="s">
        <v>856</v>
      </c>
      <c r="C498" t="s">
        <v>1226</v>
      </c>
      <c r="D498" s="2">
        <v>41572</v>
      </c>
      <c r="E498">
        <v>1.5591539999999999</v>
      </c>
      <c r="F498" s="2">
        <v>41628</v>
      </c>
      <c r="G498">
        <v>1.3585989999999999</v>
      </c>
      <c r="H498" s="3">
        <v>-0.12859999999999999</v>
      </c>
      <c r="I498">
        <v>-10399.09</v>
      </c>
      <c r="J498" s="3">
        <v>-0.1305</v>
      </c>
      <c r="K498">
        <v>51108</v>
      </c>
    </row>
    <row r="499" spans="1:11" x14ac:dyDescent="0.3">
      <c r="A499" t="s">
        <v>485</v>
      </c>
      <c r="B499" t="s">
        <v>966</v>
      </c>
      <c r="C499" t="s">
        <v>1226</v>
      </c>
      <c r="D499" s="2">
        <v>41544</v>
      </c>
      <c r="E499">
        <v>0.63144769999999995</v>
      </c>
      <c r="F499" s="2">
        <v>41628</v>
      </c>
      <c r="G499">
        <v>0.62709300000000001</v>
      </c>
      <c r="H499" s="3">
        <v>-6.8999999999999999E-3</v>
      </c>
      <c r="I499">
        <v>-694.26</v>
      </c>
      <c r="J499" s="3">
        <v>-8.8999999999999999E-3</v>
      </c>
      <c r="K499">
        <v>123682</v>
      </c>
    </row>
    <row r="500" spans="1:11" x14ac:dyDescent="0.3">
      <c r="A500" t="s">
        <v>486</v>
      </c>
      <c r="B500" t="s">
        <v>967</v>
      </c>
      <c r="C500" t="s">
        <v>1226</v>
      </c>
      <c r="D500" s="2">
        <v>41481</v>
      </c>
      <c r="E500">
        <v>1.815523</v>
      </c>
      <c r="F500" s="2">
        <v>41621</v>
      </c>
      <c r="G500">
        <v>1.8092379999999999</v>
      </c>
      <c r="H500" s="3">
        <v>-3.5000000000000001E-3</v>
      </c>
      <c r="I500">
        <v>-397.13</v>
      </c>
      <c r="J500" s="3">
        <v>-5.4999999999999997E-3</v>
      </c>
      <c r="K500">
        <v>40075</v>
      </c>
    </row>
    <row r="501" spans="1:11" x14ac:dyDescent="0.3">
      <c r="A501" t="s">
        <v>174</v>
      </c>
      <c r="B501" t="s">
        <v>723</v>
      </c>
      <c r="C501" t="s">
        <v>1226</v>
      </c>
      <c r="D501" s="2">
        <v>41361</v>
      </c>
      <c r="E501">
        <v>7.8114080000000001</v>
      </c>
      <c r="F501" s="2">
        <v>41621</v>
      </c>
      <c r="G501">
        <v>11.193669999999999</v>
      </c>
      <c r="H501" s="3">
        <v>0.433</v>
      </c>
      <c r="I501">
        <v>29667.29</v>
      </c>
      <c r="J501" s="3">
        <v>0.43059999999999998</v>
      </c>
      <c r="K501">
        <v>8821</v>
      </c>
    </row>
    <row r="502" spans="1:11" x14ac:dyDescent="0.3">
      <c r="A502" t="s">
        <v>414</v>
      </c>
      <c r="B502" t="s">
        <v>828</v>
      </c>
      <c r="C502" t="s">
        <v>1226</v>
      </c>
      <c r="D502" s="2">
        <v>41138</v>
      </c>
      <c r="E502">
        <v>2.3825980000000002</v>
      </c>
      <c r="F502" s="2">
        <v>41621</v>
      </c>
      <c r="G502">
        <v>5.5391690000000002</v>
      </c>
      <c r="H502" s="3">
        <v>1.3248</v>
      </c>
      <c r="I502">
        <v>65986.240000000005</v>
      </c>
      <c r="J502" s="3">
        <v>1.3214999999999999</v>
      </c>
      <c r="K502">
        <v>20957</v>
      </c>
    </row>
    <row r="503" spans="1:11" x14ac:dyDescent="0.3">
      <c r="A503" t="s">
        <v>487</v>
      </c>
      <c r="B503" t="s">
        <v>968</v>
      </c>
      <c r="C503" t="s">
        <v>1226</v>
      </c>
      <c r="D503" s="2">
        <v>41033</v>
      </c>
      <c r="E503">
        <v>1.287976</v>
      </c>
      <c r="F503" s="2">
        <v>41572</v>
      </c>
      <c r="G503">
        <v>1.7823910000000001</v>
      </c>
      <c r="H503" s="3">
        <v>0.38390000000000002</v>
      </c>
      <c r="I503">
        <v>20098.939999999999</v>
      </c>
      <c r="J503" s="3">
        <v>0.38150000000000001</v>
      </c>
      <c r="K503">
        <v>40906</v>
      </c>
    </row>
    <row r="504" spans="1:11" x14ac:dyDescent="0.3">
      <c r="A504" t="s">
        <v>450</v>
      </c>
      <c r="B504" t="s">
        <v>912</v>
      </c>
      <c r="C504" t="s">
        <v>1226</v>
      </c>
      <c r="D504" s="2">
        <v>41481</v>
      </c>
      <c r="E504">
        <v>1.0068760000000001</v>
      </c>
      <c r="F504" s="2">
        <v>41551</v>
      </c>
      <c r="G504">
        <v>0.99841179999999996</v>
      </c>
      <c r="H504" s="3">
        <v>-8.3999999999999995E-3</v>
      </c>
      <c r="I504">
        <v>-756.18</v>
      </c>
      <c r="J504" s="3">
        <v>-1.04E-2</v>
      </c>
      <c r="K504">
        <v>72227</v>
      </c>
    </row>
    <row r="505" spans="1:11" x14ac:dyDescent="0.3">
      <c r="A505" t="s">
        <v>488</v>
      </c>
      <c r="B505" t="s">
        <v>969</v>
      </c>
      <c r="C505" t="s">
        <v>1226</v>
      </c>
      <c r="D505" s="2">
        <v>41481</v>
      </c>
      <c r="E505">
        <v>0.505</v>
      </c>
      <c r="F505" s="2">
        <v>41544</v>
      </c>
      <c r="G505">
        <v>0.52</v>
      </c>
      <c r="H505" s="3">
        <v>2.9700000000000001E-2</v>
      </c>
      <c r="I505">
        <v>2012.32</v>
      </c>
      <c r="J505" s="3">
        <v>2.7699999999999999E-2</v>
      </c>
      <c r="K505">
        <v>143994</v>
      </c>
    </row>
    <row r="506" spans="1:11" x14ac:dyDescent="0.3">
      <c r="A506" t="s">
        <v>79</v>
      </c>
      <c r="B506" t="s">
        <v>970</v>
      </c>
      <c r="C506" t="s">
        <v>1226</v>
      </c>
      <c r="D506" s="2">
        <v>41145</v>
      </c>
      <c r="E506">
        <v>0.56495550000000005</v>
      </c>
      <c r="F506" s="2">
        <v>41460</v>
      </c>
      <c r="G506">
        <v>1.334711</v>
      </c>
      <c r="H506" s="3">
        <v>1.3625</v>
      </c>
      <c r="I506">
        <v>69418.77</v>
      </c>
      <c r="J506" s="3">
        <v>1.3591</v>
      </c>
      <c r="K506">
        <v>90406</v>
      </c>
    </row>
    <row r="507" spans="1:11" x14ac:dyDescent="0.3">
      <c r="A507" t="s">
        <v>191</v>
      </c>
      <c r="B507" t="s">
        <v>748</v>
      </c>
      <c r="C507" t="s">
        <v>1226</v>
      </c>
      <c r="D507" s="2">
        <v>41124</v>
      </c>
      <c r="E507">
        <v>0.64065729999999999</v>
      </c>
      <c r="F507" s="2">
        <v>41453</v>
      </c>
      <c r="G507">
        <v>0.63421780000000005</v>
      </c>
      <c r="H507" s="3">
        <v>-1.01E-2</v>
      </c>
      <c r="I507">
        <v>-595.71</v>
      </c>
      <c r="J507" s="3">
        <v>-1.2E-2</v>
      </c>
      <c r="K507">
        <v>77221</v>
      </c>
    </row>
    <row r="508" spans="1:11" x14ac:dyDescent="0.3">
      <c r="A508" t="s">
        <v>489</v>
      </c>
      <c r="B508" t="s">
        <v>971</v>
      </c>
      <c r="C508" t="s">
        <v>1226</v>
      </c>
      <c r="D508" s="2">
        <v>41418</v>
      </c>
      <c r="E508">
        <v>6.6406729999999996</v>
      </c>
      <c r="F508" s="2">
        <v>41439</v>
      </c>
      <c r="G508">
        <v>5.4768429999999997</v>
      </c>
      <c r="H508" s="3">
        <v>-0.17530000000000001</v>
      </c>
      <c r="I508">
        <v>-12948.36</v>
      </c>
      <c r="J508" s="3">
        <v>-0.17710000000000001</v>
      </c>
      <c r="K508">
        <v>11011</v>
      </c>
    </row>
    <row r="509" spans="1:11" x14ac:dyDescent="0.3">
      <c r="A509" t="s">
        <v>133</v>
      </c>
      <c r="B509" t="s">
        <v>679</v>
      </c>
      <c r="C509" t="s">
        <v>1226</v>
      </c>
      <c r="D509" s="2">
        <v>40578</v>
      </c>
      <c r="E509">
        <v>1.0022150000000001</v>
      </c>
      <c r="F509" s="2">
        <v>41439</v>
      </c>
      <c r="G509">
        <v>1.4878830000000001</v>
      </c>
      <c r="H509" s="3">
        <v>0.48459999999999998</v>
      </c>
      <c r="I509">
        <v>22338.28</v>
      </c>
      <c r="J509" s="3">
        <v>0.48209999999999997</v>
      </c>
      <c r="K509">
        <v>46232</v>
      </c>
    </row>
    <row r="510" spans="1:11" x14ac:dyDescent="0.3">
      <c r="A510" t="s">
        <v>265</v>
      </c>
      <c r="B510" t="s">
        <v>868</v>
      </c>
      <c r="C510" t="s">
        <v>1226</v>
      </c>
      <c r="D510" s="2">
        <v>41397</v>
      </c>
      <c r="E510">
        <v>0.99018050000000002</v>
      </c>
      <c r="F510" s="2">
        <v>41425</v>
      </c>
      <c r="G510">
        <v>0.75501260000000003</v>
      </c>
      <c r="H510" s="3">
        <v>-0.23749999999999999</v>
      </c>
      <c r="I510">
        <v>-16977.669999999998</v>
      </c>
      <c r="J510" s="3">
        <v>-0.23930000000000001</v>
      </c>
      <c r="K510">
        <v>71662</v>
      </c>
    </row>
    <row r="511" spans="1:11" x14ac:dyDescent="0.3">
      <c r="A511" t="s">
        <v>490</v>
      </c>
      <c r="B511" t="s">
        <v>972</v>
      </c>
      <c r="C511" t="s">
        <v>1226</v>
      </c>
      <c r="D511" s="2">
        <v>41383</v>
      </c>
      <c r="E511">
        <v>1.89333</v>
      </c>
      <c r="F511" s="2">
        <v>41425</v>
      </c>
      <c r="G511">
        <v>1.995924</v>
      </c>
      <c r="H511" s="3">
        <v>5.4199999999999998E-2</v>
      </c>
      <c r="I511">
        <v>3710.61</v>
      </c>
      <c r="J511" s="3">
        <v>5.21E-2</v>
      </c>
      <c r="K511">
        <v>37593</v>
      </c>
    </row>
    <row r="512" spans="1:11" x14ac:dyDescent="0.3">
      <c r="A512" t="s">
        <v>294</v>
      </c>
      <c r="B512" t="s">
        <v>973</v>
      </c>
      <c r="C512" t="s">
        <v>1226</v>
      </c>
      <c r="D512" s="2">
        <v>41361</v>
      </c>
      <c r="E512">
        <v>2.1965889999999999</v>
      </c>
      <c r="F512" s="2">
        <v>41425</v>
      </c>
      <c r="G512">
        <v>2.2030880000000002</v>
      </c>
      <c r="H512" s="3">
        <v>3.0000000000000001E-3</v>
      </c>
      <c r="I512">
        <v>65.849999999999994</v>
      </c>
      <c r="J512" s="3">
        <v>1E-3</v>
      </c>
      <c r="K512">
        <v>31366</v>
      </c>
    </row>
    <row r="513" spans="1:11" x14ac:dyDescent="0.3">
      <c r="A513" t="s">
        <v>295</v>
      </c>
      <c r="B513" t="s">
        <v>974</v>
      </c>
      <c r="C513" t="s">
        <v>1226</v>
      </c>
      <c r="D513" s="2">
        <v>41271</v>
      </c>
      <c r="E513">
        <v>2.3177050000000001</v>
      </c>
      <c r="F513" s="2">
        <v>41425</v>
      </c>
      <c r="G513">
        <v>2.0983350000000001</v>
      </c>
      <c r="H513" s="3">
        <v>-9.4600000000000004E-2</v>
      </c>
      <c r="I513">
        <v>-5763.39</v>
      </c>
      <c r="J513" s="3">
        <v>-9.6600000000000005E-2</v>
      </c>
      <c r="K513">
        <v>25754</v>
      </c>
    </row>
    <row r="514" spans="1:11" x14ac:dyDescent="0.3">
      <c r="A514" t="s">
        <v>457</v>
      </c>
      <c r="B514" t="s">
        <v>922</v>
      </c>
      <c r="C514" t="s">
        <v>1226</v>
      </c>
      <c r="D514" s="2">
        <v>41131</v>
      </c>
      <c r="E514">
        <v>0.52745649999999999</v>
      </c>
      <c r="F514" s="2">
        <v>41425</v>
      </c>
      <c r="G514">
        <v>0.7905818</v>
      </c>
      <c r="H514" s="3">
        <v>0.49890000000000001</v>
      </c>
      <c r="I514">
        <v>24631.35</v>
      </c>
      <c r="J514" s="3">
        <v>0.49640000000000001</v>
      </c>
      <c r="K514">
        <v>94082</v>
      </c>
    </row>
    <row r="515" spans="1:11" x14ac:dyDescent="0.3">
      <c r="A515" t="s">
        <v>469</v>
      </c>
      <c r="B515" t="s">
        <v>942</v>
      </c>
      <c r="C515" t="s">
        <v>1226</v>
      </c>
      <c r="D515" s="2">
        <v>41124</v>
      </c>
      <c r="E515">
        <v>1.056651</v>
      </c>
      <c r="F515" s="2">
        <v>41425</v>
      </c>
      <c r="G515">
        <v>1.6926639999999999</v>
      </c>
      <c r="H515" s="3">
        <v>0.60189999999999999</v>
      </c>
      <c r="I515">
        <v>29646.240000000002</v>
      </c>
      <c r="J515" s="3">
        <v>0.59930000000000005</v>
      </c>
      <c r="K515">
        <v>46815</v>
      </c>
    </row>
    <row r="516" spans="1:11" x14ac:dyDescent="0.3">
      <c r="A516" t="s">
        <v>296</v>
      </c>
      <c r="B516" t="s">
        <v>975</v>
      </c>
      <c r="C516" t="s">
        <v>1226</v>
      </c>
      <c r="D516" s="2">
        <v>41117</v>
      </c>
      <c r="E516">
        <v>0.51900639999999998</v>
      </c>
      <c r="F516" s="2">
        <v>41425</v>
      </c>
      <c r="G516">
        <v>0.72275509999999998</v>
      </c>
      <c r="H516" s="3">
        <v>0.3926</v>
      </c>
      <c r="I516">
        <v>19275.43</v>
      </c>
      <c r="J516" s="3">
        <v>0.39019999999999999</v>
      </c>
      <c r="K516">
        <v>95184</v>
      </c>
    </row>
    <row r="517" spans="1:11" x14ac:dyDescent="0.3">
      <c r="A517" t="s">
        <v>297</v>
      </c>
      <c r="B517" t="s">
        <v>976</v>
      </c>
      <c r="C517" t="s">
        <v>1226</v>
      </c>
      <c r="D517" s="2">
        <v>41271</v>
      </c>
      <c r="E517">
        <v>0.93147990000000003</v>
      </c>
      <c r="F517" s="2">
        <v>41411</v>
      </c>
      <c r="G517">
        <v>1.040705</v>
      </c>
      <c r="H517" s="3">
        <v>0.1173</v>
      </c>
      <c r="I517">
        <v>6872.34</v>
      </c>
      <c r="J517" s="3">
        <v>0.11509999999999999</v>
      </c>
      <c r="K517">
        <v>64076</v>
      </c>
    </row>
    <row r="518" spans="1:11" x14ac:dyDescent="0.3">
      <c r="A518" t="s">
        <v>265</v>
      </c>
      <c r="B518" t="s">
        <v>868</v>
      </c>
      <c r="C518" t="s">
        <v>1226</v>
      </c>
      <c r="D518" s="2">
        <v>41355</v>
      </c>
      <c r="E518">
        <v>0.91591699999999998</v>
      </c>
      <c r="F518" s="2">
        <v>41390</v>
      </c>
      <c r="G518">
        <v>0.81689889999999998</v>
      </c>
      <c r="H518" s="3">
        <v>-0.1081</v>
      </c>
      <c r="I518">
        <v>-7661</v>
      </c>
      <c r="J518" s="3">
        <v>-0.11</v>
      </c>
      <c r="K518">
        <v>76039</v>
      </c>
    </row>
    <row r="519" spans="1:11" x14ac:dyDescent="0.3">
      <c r="A519" t="s">
        <v>298</v>
      </c>
      <c r="B519" t="s">
        <v>977</v>
      </c>
      <c r="C519" t="s">
        <v>1226</v>
      </c>
      <c r="D519" s="2">
        <v>41271</v>
      </c>
      <c r="E519">
        <v>0.87289919999999999</v>
      </c>
      <c r="F519" s="2">
        <v>41390</v>
      </c>
      <c r="G519">
        <v>0.92788510000000002</v>
      </c>
      <c r="H519" s="3">
        <v>6.3E-2</v>
      </c>
      <c r="I519">
        <v>3636.21</v>
      </c>
      <c r="J519" s="3">
        <v>6.0900000000000003E-2</v>
      </c>
      <c r="K519">
        <v>68369</v>
      </c>
    </row>
    <row r="520" spans="1:11" x14ac:dyDescent="0.3">
      <c r="A520" t="s">
        <v>491</v>
      </c>
      <c r="B520" t="s">
        <v>978</v>
      </c>
      <c r="C520" t="s">
        <v>1226</v>
      </c>
      <c r="D520" s="2">
        <v>40865</v>
      </c>
      <c r="E520">
        <v>0.71701389999999998</v>
      </c>
      <c r="F520" s="2">
        <v>41390</v>
      </c>
      <c r="G520">
        <v>1.039347</v>
      </c>
      <c r="H520" s="3">
        <v>0.44950000000000001</v>
      </c>
      <c r="I520">
        <v>21548.53</v>
      </c>
      <c r="J520" s="3">
        <v>0.4471</v>
      </c>
      <c r="K520">
        <v>67218</v>
      </c>
    </row>
    <row r="521" spans="1:11" x14ac:dyDescent="0.3">
      <c r="A521" t="s">
        <v>299</v>
      </c>
      <c r="B521" t="s">
        <v>979</v>
      </c>
      <c r="C521" t="s">
        <v>1226</v>
      </c>
      <c r="D521" s="2">
        <v>41222</v>
      </c>
      <c r="E521">
        <v>0.4961026</v>
      </c>
      <c r="F521" s="2">
        <v>41376</v>
      </c>
      <c r="G521">
        <v>0.80901590000000001</v>
      </c>
      <c r="H521" s="3">
        <v>0.63070000000000004</v>
      </c>
      <c r="I521">
        <v>35685.68</v>
      </c>
      <c r="J521" s="3">
        <v>0.62809999999999999</v>
      </c>
      <c r="K521">
        <v>114521</v>
      </c>
    </row>
    <row r="522" spans="1:11" x14ac:dyDescent="0.3">
      <c r="A522" t="s">
        <v>88</v>
      </c>
      <c r="B522" t="s">
        <v>980</v>
      </c>
      <c r="C522" t="s">
        <v>1226</v>
      </c>
      <c r="D522" s="2">
        <v>41138</v>
      </c>
      <c r="E522">
        <v>1.2528269999999999</v>
      </c>
      <c r="F522" s="2">
        <v>41361</v>
      </c>
      <c r="G522">
        <v>3.6424509999999999</v>
      </c>
      <c r="H522" s="3">
        <v>1.9074</v>
      </c>
      <c r="I522">
        <v>95081.52</v>
      </c>
      <c r="J522" s="3">
        <v>1.9035</v>
      </c>
      <c r="K522">
        <v>39871</v>
      </c>
    </row>
    <row r="523" spans="1:11" x14ac:dyDescent="0.3">
      <c r="A523" t="s">
        <v>300</v>
      </c>
      <c r="B523" t="s">
        <v>981</v>
      </c>
      <c r="C523" t="s">
        <v>1226</v>
      </c>
      <c r="D523" s="2">
        <v>41250</v>
      </c>
      <c r="E523">
        <v>0.86585749999999995</v>
      </c>
      <c r="F523" s="2">
        <v>41355</v>
      </c>
      <c r="G523">
        <v>0.64137599999999995</v>
      </c>
      <c r="H523" s="3">
        <v>-0.25929999999999997</v>
      </c>
      <c r="I523">
        <v>-15012.43</v>
      </c>
      <c r="J523" s="3">
        <v>-0.26100000000000001</v>
      </c>
      <c r="K523">
        <v>66430</v>
      </c>
    </row>
    <row r="524" spans="1:11" x14ac:dyDescent="0.3">
      <c r="A524" t="s">
        <v>131</v>
      </c>
      <c r="B524" t="s">
        <v>395</v>
      </c>
      <c r="C524" t="s">
        <v>1226</v>
      </c>
      <c r="D524" s="2">
        <v>41278</v>
      </c>
      <c r="E524">
        <v>1.8438479999999999</v>
      </c>
      <c r="F524" s="2">
        <v>41334</v>
      </c>
      <c r="G524">
        <v>1.8491310000000001</v>
      </c>
      <c r="H524" s="3">
        <v>2.8999999999999998E-3</v>
      </c>
      <c r="I524">
        <v>52.44</v>
      </c>
      <c r="J524" s="3">
        <v>8.9999999999999998E-4</v>
      </c>
      <c r="K524">
        <v>32979</v>
      </c>
    </row>
    <row r="525" spans="1:11" x14ac:dyDescent="0.3">
      <c r="A525" t="s">
        <v>492</v>
      </c>
      <c r="B525" t="s">
        <v>982</v>
      </c>
      <c r="C525" t="s">
        <v>1226</v>
      </c>
      <c r="D525" s="2">
        <v>40886</v>
      </c>
      <c r="E525">
        <v>2.2955390000000002</v>
      </c>
      <c r="F525" s="2">
        <v>41278</v>
      </c>
      <c r="G525">
        <v>3.9233609999999999</v>
      </c>
      <c r="H525" s="3">
        <v>0.70909999999999995</v>
      </c>
      <c r="I525">
        <v>33797.449999999997</v>
      </c>
      <c r="J525" s="3">
        <v>0.70640000000000003</v>
      </c>
      <c r="K525">
        <v>20842</v>
      </c>
    </row>
    <row r="526" spans="1:11" x14ac:dyDescent="0.3">
      <c r="A526" t="s">
        <v>78</v>
      </c>
      <c r="B526" t="s">
        <v>945</v>
      </c>
      <c r="C526" t="s">
        <v>1226</v>
      </c>
      <c r="D526" s="2">
        <v>41229</v>
      </c>
      <c r="E526">
        <v>0.56000000000000005</v>
      </c>
      <c r="F526" s="2">
        <v>41257</v>
      </c>
      <c r="G526">
        <v>0.48499999999999999</v>
      </c>
      <c r="H526" s="3">
        <v>-0.13389999999999999</v>
      </c>
      <c r="I526">
        <v>-7829.9</v>
      </c>
      <c r="J526" s="3">
        <v>-0.1358</v>
      </c>
      <c r="K526">
        <v>102964</v>
      </c>
    </row>
    <row r="527" spans="1:11" x14ac:dyDescent="0.3">
      <c r="A527" t="s">
        <v>493</v>
      </c>
      <c r="B527" t="s">
        <v>983</v>
      </c>
      <c r="C527" t="s">
        <v>1226</v>
      </c>
      <c r="D527" s="2">
        <v>41180</v>
      </c>
      <c r="E527">
        <v>0.55157009999999995</v>
      </c>
      <c r="F527" s="2">
        <v>41243</v>
      </c>
      <c r="G527">
        <v>0.41367759999999998</v>
      </c>
      <c r="H527" s="3">
        <v>-0.25</v>
      </c>
      <c r="I527">
        <v>-13616.67</v>
      </c>
      <c r="J527" s="3">
        <v>-0.25169999999999998</v>
      </c>
      <c r="K527">
        <v>98062</v>
      </c>
    </row>
    <row r="528" spans="1:11" x14ac:dyDescent="0.3">
      <c r="A528" t="s">
        <v>91</v>
      </c>
      <c r="B528" t="s">
        <v>984</v>
      </c>
      <c r="C528" t="s">
        <v>1226</v>
      </c>
      <c r="D528" s="2">
        <v>41138</v>
      </c>
      <c r="E528">
        <v>0.71609959999999995</v>
      </c>
      <c r="F528" s="2">
        <v>41243</v>
      </c>
      <c r="G528">
        <v>1.1584650000000001</v>
      </c>
      <c r="H528" s="3">
        <v>0.61770000000000003</v>
      </c>
      <c r="I528">
        <v>30717.63</v>
      </c>
      <c r="J528" s="3">
        <v>0.61509999999999998</v>
      </c>
      <c r="K528">
        <v>69735</v>
      </c>
    </row>
    <row r="529" spans="1:11" x14ac:dyDescent="0.3">
      <c r="A529" t="s">
        <v>83</v>
      </c>
      <c r="B529" t="s">
        <v>985</v>
      </c>
      <c r="C529" t="s">
        <v>1226</v>
      </c>
      <c r="D529" s="2">
        <v>41138</v>
      </c>
      <c r="E529">
        <v>1.8984749999999999</v>
      </c>
      <c r="F529" s="2">
        <v>41243</v>
      </c>
      <c r="G529">
        <v>1.8913740000000001</v>
      </c>
      <c r="H529" s="3">
        <v>-3.7000000000000002E-3</v>
      </c>
      <c r="I529">
        <v>-286.49</v>
      </c>
      <c r="J529" s="3">
        <v>-5.7000000000000002E-3</v>
      </c>
      <c r="K529">
        <v>26306</v>
      </c>
    </row>
    <row r="530" spans="1:11" x14ac:dyDescent="0.3">
      <c r="A530" t="s">
        <v>268</v>
      </c>
      <c r="B530" t="s">
        <v>886</v>
      </c>
      <c r="C530" t="s">
        <v>1226</v>
      </c>
      <c r="D530" s="2">
        <v>41117</v>
      </c>
      <c r="E530">
        <v>0.77645529999999996</v>
      </c>
      <c r="F530" s="2">
        <v>41236</v>
      </c>
      <c r="G530">
        <v>0.79602989999999996</v>
      </c>
      <c r="H530" s="3">
        <v>2.52E-2</v>
      </c>
      <c r="I530">
        <v>1145.1300000000001</v>
      </c>
      <c r="J530" s="3">
        <v>2.3199999999999998E-2</v>
      </c>
      <c r="K530">
        <v>63611</v>
      </c>
    </row>
    <row r="531" spans="1:11" x14ac:dyDescent="0.3">
      <c r="A531" t="s">
        <v>494</v>
      </c>
      <c r="B531" t="s">
        <v>986</v>
      </c>
      <c r="C531" t="s">
        <v>1226</v>
      </c>
      <c r="D531" s="2">
        <v>41194</v>
      </c>
      <c r="E531">
        <v>0.54138459999999999</v>
      </c>
      <c r="F531" s="2">
        <v>41229</v>
      </c>
      <c r="G531">
        <v>0.4534975</v>
      </c>
      <c r="H531" s="3">
        <v>-0.1623</v>
      </c>
      <c r="I531">
        <v>-9142.31</v>
      </c>
      <c r="J531" s="3">
        <v>-0.16420000000000001</v>
      </c>
      <c r="K531">
        <v>102859</v>
      </c>
    </row>
    <row r="532" spans="1:11" x14ac:dyDescent="0.3">
      <c r="A532" t="s">
        <v>495</v>
      </c>
      <c r="B532" t="s">
        <v>987</v>
      </c>
      <c r="C532" t="s">
        <v>1226</v>
      </c>
      <c r="D532" s="2">
        <v>41124</v>
      </c>
      <c r="E532">
        <v>1.965805</v>
      </c>
      <c r="F532" s="2">
        <v>41229</v>
      </c>
      <c r="G532">
        <v>1.7850410000000001</v>
      </c>
      <c r="H532" s="3">
        <v>-9.1999999999999998E-2</v>
      </c>
      <c r="I532">
        <v>-4642.58</v>
      </c>
      <c r="J532" s="3">
        <v>-9.3899999999999997E-2</v>
      </c>
      <c r="K532">
        <v>25161</v>
      </c>
    </row>
    <row r="533" spans="1:11" x14ac:dyDescent="0.3">
      <c r="A533" t="s">
        <v>496</v>
      </c>
      <c r="B533" t="s">
        <v>988</v>
      </c>
      <c r="C533" t="s">
        <v>1226</v>
      </c>
      <c r="D533" s="2">
        <v>40851</v>
      </c>
      <c r="E533">
        <v>1.01746</v>
      </c>
      <c r="F533" s="2">
        <v>41211</v>
      </c>
      <c r="G533">
        <v>1.26</v>
      </c>
      <c r="H533" s="3">
        <v>0.2384</v>
      </c>
      <c r="I533">
        <v>11241.88</v>
      </c>
      <c r="J533" s="3">
        <v>0.2361</v>
      </c>
      <c r="K533">
        <v>46790</v>
      </c>
    </row>
    <row r="534" spans="1:11" x14ac:dyDescent="0.3">
      <c r="A534" t="s">
        <v>497</v>
      </c>
      <c r="B534" t="s">
        <v>989</v>
      </c>
      <c r="C534" t="s">
        <v>1226</v>
      </c>
      <c r="D534" s="2">
        <v>40935</v>
      </c>
      <c r="E534">
        <v>0.57999999999999996</v>
      </c>
      <c r="F534" s="2">
        <v>41197</v>
      </c>
      <c r="G534">
        <v>0.79500000000000004</v>
      </c>
      <c r="H534" s="3">
        <v>0.37069999999999997</v>
      </c>
      <c r="I534">
        <v>17085.3</v>
      </c>
      <c r="J534" s="3">
        <v>0.36830000000000002</v>
      </c>
      <c r="K534">
        <v>79978</v>
      </c>
    </row>
    <row r="535" spans="1:11" x14ac:dyDescent="0.3">
      <c r="A535" t="s">
        <v>498</v>
      </c>
      <c r="B535" t="s">
        <v>990</v>
      </c>
      <c r="C535" t="s">
        <v>1226</v>
      </c>
      <c r="D535" s="2">
        <v>41117</v>
      </c>
      <c r="E535">
        <v>1.02</v>
      </c>
      <c r="F535" s="2">
        <v>41191</v>
      </c>
      <c r="G535">
        <v>1.0449999999999999</v>
      </c>
      <c r="H535" s="3">
        <v>2.4500000000000001E-2</v>
      </c>
      <c r="I535">
        <v>1110.67</v>
      </c>
      <c r="J535" s="3">
        <v>2.2499999999999999E-2</v>
      </c>
      <c r="K535">
        <v>48427</v>
      </c>
    </row>
    <row r="536" spans="1:11" x14ac:dyDescent="0.3">
      <c r="A536" t="s">
        <v>499</v>
      </c>
      <c r="B536" t="s">
        <v>991</v>
      </c>
      <c r="C536" t="s">
        <v>1226</v>
      </c>
      <c r="D536" s="2">
        <v>41145</v>
      </c>
      <c r="E536">
        <v>0.51</v>
      </c>
      <c r="F536" s="2">
        <v>41178</v>
      </c>
      <c r="G536">
        <v>0.51500000000000001</v>
      </c>
      <c r="H536" s="3">
        <v>9.7999999999999997E-3</v>
      </c>
      <c r="I536">
        <v>398.13</v>
      </c>
      <c r="J536" s="3">
        <v>7.7999999999999996E-3</v>
      </c>
      <c r="K536">
        <v>100158</v>
      </c>
    </row>
    <row r="537" spans="1:11" x14ac:dyDescent="0.3">
      <c r="A537" t="s">
        <v>500</v>
      </c>
      <c r="B537" t="s">
        <v>992</v>
      </c>
      <c r="C537" t="s">
        <v>1226</v>
      </c>
      <c r="D537" s="2">
        <v>41124</v>
      </c>
      <c r="E537">
        <v>0.77500000000000002</v>
      </c>
      <c r="F537" s="2">
        <v>41143</v>
      </c>
      <c r="G537">
        <v>0.78</v>
      </c>
      <c r="H537" s="3">
        <v>6.4999999999999997E-3</v>
      </c>
      <c r="I537">
        <v>219.93</v>
      </c>
      <c r="J537" s="3">
        <v>4.4000000000000003E-3</v>
      </c>
      <c r="K537">
        <v>63841</v>
      </c>
    </row>
    <row r="538" spans="1:11" x14ac:dyDescent="0.3">
      <c r="A538" t="s">
        <v>465</v>
      </c>
      <c r="B538" t="s">
        <v>934</v>
      </c>
      <c r="C538" t="s">
        <v>1226</v>
      </c>
      <c r="D538" s="2">
        <v>41026</v>
      </c>
      <c r="E538">
        <v>0.81491740000000001</v>
      </c>
      <c r="F538" s="2">
        <v>41117</v>
      </c>
      <c r="G538">
        <v>0.73620379999999996</v>
      </c>
      <c r="H538" s="3">
        <v>-9.6600000000000005E-2</v>
      </c>
      <c r="I538">
        <v>-5188.2299999999996</v>
      </c>
      <c r="J538" s="3">
        <v>-9.8500000000000004E-2</v>
      </c>
      <c r="K538">
        <v>64639</v>
      </c>
    </row>
    <row r="539" spans="1:11" x14ac:dyDescent="0.3">
      <c r="A539" t="s">
        <v>301</v>
      </c>
      <c r="B539" t="s">
        <v>993</v>
      </c>
      <c r="C539" t="s">
        <v>1226</v>
      </c>
      <c r="D539" s="2">
        <v>41039</v>
      </c>
      <c r="E539">
        <v>0.54516830000000005</v>
      </c>
      <c r="F539" s="2">
        <v>41054</v>
      </c>
      <c r="G539">
        <v>0.51680700000000002</v>
      </c>
      <c r="H539" s="3">
        <v>-5.1999999999999998E-2</v>
      </c>
      <c r="I539">
        <v>-2854.62</v>
      </c>
      <c r="J539" s="3">
        <v>-5.3999999999999999E-2</v>
      </c>
      <c r="K539">
        <v>97019</v>
      </c>
    </row>
    <row r="540" spans="1:11" x14ac:dyDescent="0.3">
      <c r="A540" t="s">
        <v>172</v>
      </c>
      <c r="B540" t="s">
        <v>720</v>
      </c>
      <c r="C540" t="s">
        <v>1226</v>
      </c>
      <c r="D540" s="2">
        <v>40970</v>
      </c>
      <c r="E540">
        <v>2.86755</v>
      </c>
      <c r="F540" s="2">
        <v>41054</v>
      </c>
      <c r="G540">
        <v>2.564727</v>
      </c>
      <c r="H540" s="3">
        <v>-0.1056</v>
      </c>
      <c r="I540">
        <v>-5445.33</v>
      </c>
      <c r="J540" s="3">
        <v>-0.1075</v>
      </c>
      <c r="K540">
        <v>17665</v>
      </c>
    </row>
    <row r="541" spans="1:11" x14ac:dyDescent="0.3">
      <c r="A541" t="s">
        <v>88</v>
      </c>
      <c r="B541" t="s">
        <v>980</v>
      </c>
      <c r="C541" t="s">
        <v>1226</v>
      </c>
      <c r="D541" s="2">
        <v>40935</v>
      </c>
      <c r="E541">
        <v>0.75686030000000004</v>
      </c>
      <c r="F541" s="2">
        <v>41054</v>
      </c>
      <c r="G541">
        <v>0.92004509999999995</v>
      </c>
      <c r="H541" s="3">
        <v>0.21560000000000001</v>
      </c>
      <c r="I541">
        <v>9900.43</v>
      </c>
      <c r="J541" s="3">
        <v>0.21340000000000001</v>
      </c>
      <c r="K541">
        <v>61300</v>
      </c>
    </row>
    <row r="542" spans="1:11" x14ac:dyDescent="0.3">
      <c r="A542" t="s">
        <v>501</v>
      </c>
      <c r="B542" t="s">
        <v>994</v>
      </c>
      <c r="C542" t="s">
        <v>1226</v>
      </c>
      <c r="D542" s="2">
        <v>40928</v>
      </c>
      <c r="E542">
        <v>1.5635060000000001</v>
      </c>
      <c r="F542" s="2">
        <v>41054</v>
      </c>
      <c r="G542">
        <v>1.7100919999999999</v>
      </c>
      <c r="H542" s="3">
        <v>9.3799999999999994E-2</v>
      </c>
      <c r="I542">
        <v>4220.6899999999996</v>
      </c>
      <c r="J542" s="3">
        <v>9.1700000000000004E-2</v>
      </c>
      <c r="K542">
        <v>29451</v>
      </c>
    </row>
    <row r="543" spans="1:11" x14ac:dyDescent="0.3">
      <c r="A543" t="s">
        <v>502</v>
      </c>
      <c r="B543" t="s">
        <v>995</v>
      </c>
      <c r="C543" t="s">
        <v>1226</v>
      </c>
      <c r="D543" s="2">
        <v>40886</v>
      </c>
      <c r="E543">
        <v>1.439516</v>
      </c>
      <c r="F543" s="2">
        <v>41054</v>
      </c>
      <c r="G543">
        <v>1.4795659999999999</v>
      </c>
      <c r="H543" s="3">
        <v>2.7799999999999998E-2</v>
      </c>
      <c r="I543">
        <v>1234.01</v>
      </c>
      <c r="J543" s="3">
        <v>2.58E-2</v>
      </c>
      <c r="K543">
        <v>33234</v>
      </c>
    </row>
    <row r="544" spans="1:11" x14ac:dyDescent="0.3">
      <c r="A544" t="s">
        <v>469</v>
      </c>
      <c r="B544" t="s">
        <v>942</v>
      </c>
      <c r="C544" t="s">
        <v>1226</v>
      </c>
      <c r="D544" s="2">
        <v>40886</v>
      </c>
      <c r="E544">
        <v>0.77337889999999998</v>
      </c>
      <c r="F544" s="2">
        <v>41054</v>
      </c>
      <c r="G544">
        <v>0.90827060000000004</v>
      </c>
      <c r="H544" s="3">
        <v>0.1744</v>
      </c>
      <c r="I544">
        <v>8241.84</v>
      </c>
      <c r="J544" s="3">
        <v>0.17219999999999999</v>
      </c>
      <c r="K544">
        <v>61871</v>
      </c>
    </row>
    <row r="545" spans="1:11" x14ac:dyDescent="0.3">
      <c r="A545" t="s">
        <v>503</v>
      </c>
      <c r="B545" t="s">
        <v>996</v>
      </c>
      <c r="C545" t="s">
        <v>1226</v>
      </c>
      <c r="D545" s="2">
        <v>40935</v>
      </c>
      <c r="E545">
        <v>2.4171290000000001</v>
      </c>
      <c r="F545" s="2">
        <v>41047</v>
      </c>
      <c r="G545">
        <v>3.3349540000000002</v>
      </c>
      <c r="H545" s="3">
        <v>0.37969999999999998</v>
      </c>
      <c r="I545">
        <v>17504.5</v>
      </c>
      <c r="J545" s="3">
        <v>0.37730000000000002</v>
      </c>
      <c r="K545">
        <v>19192</v>
      </c>
    </row>
    <row r="546" spans="1:11" x14ac:dyDescent="0.3">
      <c r="A546" t="s">
        <v>504</v>
      </c>
      <c r="B546" t="s">
        <v>997</v>
      </c>
      <c r="C546" t="s">
        <v>1226</v>
      </c>
      <c r="D546" s="2">
        <v>40886</v>
      </c>
      <c r="E546">
        <v>0.79071999999999998</v>
      </c>
      <c r="F546" s="2">
        <v>41047</v>
      </c>
      <c r="G546">
        <v>1.176196</v>
      </c>
      <c r="H546" s="3">
        <v>0.48749999999999999</v>
      </c>
      <c r="I546">
        <v>23212.27</v>
      </c>
      <c r="J546" s="3">
        <v>0.48499999999999999</v>
      </c>
      <c r="K546">
        <v>60526</v>
      </c>
    </row>
    <row r="547" spans="1:11" x14ac:dyDescent="0.3">
      <c r="A547" t="s">
        <v>83</v>
      </c>
      <c r="B547" t="s">
        <v>985</v>
      </c>
      <c r="C547" t="s">
        <v>1226</v>
      </c>
      <c r="D547" s="2">
        <v>40851</v>
      </c>
      <c r="E547">
        <v>1.1687240000000001</v>
      </c>
      <c r="F547" s="2">
        <v>41047</v>
      </c>
      <c r="G547">
        <v>1.562287</v>
      </c>
      <c r="H547" s="3">
        <v>0.3367</v>
      </c>
      <c r="I547">
        <v>15918.59</v>
      </c>
      <c r="J547" s="3">
        <v>0.33439999999999998</v>
      </c>
      <c r="K547">
        <v>40730</v>
      </c>
    </row>
    <row r="548" spans="1:11" x14ac:dyDescent="0.3">
      <c r="A548" t="s">
        <v>505</v>
      </c>
      <c r="B548" t="s">
        <v>998</v>
      </c>
      <c r="C548" t="s">
        <v>1226</v>
      </c>
      <c r="D548" s="2">
        <v>40851</v>
      </c>
      <c r="E548">
        <v>1.685203</v>
      </c>
      <c r="F548" s="2">
        <v>41047</v>
      </c>
      <c r="G548">
        <v>1.8611690000000001</v>
      </c>
      <c r="H548" s="3">
        <v>0.10440000000000001</v>
      </c>
      <c r="I548">
        <v>4871.72</v>
      </c>
      <c r="J548" s="3">
        <v>0.1023</v>
      </c>
      <c r="K548">
        <v>28255</v>
      </c>
    </row>
    <row r="549" spans="1:11" x14ac:dyDescent="0.3">
      <c r="A549" t="s">
        <v>293</v>
      </c>
      <c r="B549" t="s">
        <v>962</v>
      </c>
      <c r="C549" t="s">
        <v>1226</v>
      </c>
      <c r="D549" s="2">
        <v>40984</v>
      </c>
      <c r="E549">
        <v>3.4429090000000002</v>
      </c>
      <c r="F549" s="2">
        <v>41044</v>
      </c>
      <c r="G549">
        <v>2.4476589999999998</v>
      </c>
      <c r="H549" s="3">
        <v>-0.28910000000000002</v>
      </c>
      <c r="I549">
        <v>-14653.69</v>
      </c>
      <c r="J549" s="3">
        <v>-0.2908</v>
      </c>
      <c r="K549">
        <v>14637</v>
      </c>
    </row>
    <row r="550" spans="1:11" x14ac:dyDescent="0.3">
      <c r="A550" t="s">
        <v>302</v>
      </c>
      <c r="B550" t="s">
        <v>999</v>
      </c>
      <c r="C550" t="s">
        <v>1226</v>
      </c>
      <c r="D550" s="2">
        <v>40928</v>
      </c>
      <c r="E550">
        <v>7.9938500000000001</v>
      </c>
      <c r="F550" s="2">
        <v>41044</v>
      </c>
      <c r="G550">
        <v>6.9135999999999997</v>
      </c>
      <c r="H550" s="3">
        <v>-0.1351</v>
      </c>
      <c r="I550">
        <v>-6308.11</v>
      </c>
      <c r="J550" s="3">
        <v>-0.13700000000000001</v>
      </c>
      <c r="K550">
        <v>5760</v>
      </c>
    </row>
    <row r="551" spans="1:11" x14ac:dyDescent="0.3">
      <c r="A551" t="s">
        <v>483</v>
      </c>
      <c r="B551" t="s">
        <v>964</v>
      </c>
      <c r="C551" t="s">
        <v>1226</v>
      </c>
      <c r="D551" s="2">
        <v>40942</v>
      </c>
      <c r="E551">
        <v>1.8673120000000001</v>
      </c>
      <c r="F551" s="2">
        <v>41033</v>
      </c>
      <c r="G551">
        <v>1.4938499999999999</v>
      </c>
      <c r="H551" s="3">
        <v>-0.2</v>
      </c>
      <c r="I551">
        <v>-9379.51</v>
      </c>
      <c r="J551" s="3">
        <v>-0.20180000000000001</v>
      </c>
      <c r="K551">
        <v>24891</v>
      </c>
    </row>
    <row r="552" spans="1:11" x14ac:dyDescent="0.3">
      <c r="A552" t="s">
        <v>473</v>
      </c>
      <c r="B552" t="s">
        <v>951</v>
      </c>
      <c r="C552" t="s">
        <v>1226</v>
      </c>
      <c r="D552" s="2">
        <v>40935</v>
      </c>
      <c r="E552">
        <v>1.56</v>
      </c>
      <c r="F552" s="2">
        <v>41026</v>
      </c>
      <c r="G552">
        <v>1.405</v>
      </c>
      <c r="H552" s="3">
        <v>-9.9400000000000002E-2</v>
      </c>
      <c r="I552">
        <v>-4698.3500000000004</v>
      </c>
      <c r="J552" s="3">
        <v>-0.1013</v>
      </c>
      <c r="K552">
        <v>29743</v>
      </c>
    </row>
    <row r="553" spans="1:11" x14ac:dyDescent="0.3">
      <c r="A553" t="s">
        <v>406</v>
      </c>
      <c r="B553" t="s">
        <v>789</v>
      </c>
      <c r="C553" t="s">
        <v>1226</v>
      </c>
      <c r="D553" s="2">
        <v>40928</v>
      </c>
      <c r="E553">
        <v>5.9722030000000004</v>
      </c>
      <c r="F553" s="2">
        <v>41026</v>
      </c>
      <c r="G553">
        <v>8.3462460000000007</v>
      </c>
      <c r="H553" s="3">
        <v>0.39750000000000002</v>
      </c>
      <c r="I553">
        <v>18195.87</v>
      </c>
      <c r="J553" s="3">
        <v>0.39510000000000001</v>
      </c>
      <c r="K553">
        <v>7711</v>
      </c>
    </row>
    <row r="554" spans="1:11" x14ac:dyDescent="0.3">
      <c r="A554" t="s">
        <v>506</v>
      </c>
      <c r="B554" t="s">
        <v>1000</v>
      </c>
      <c r="C554" t="s">
        <v>1226</v>
      </c>
      <c r="D554" s="2">
        <v>40928</v>
      </c>
      <c r="E554">
        <v>6.4691729999999996</v>
      </c>
      <c r="F554" s="2">
        <v>41011</v>
      </c>
      <c r="G554">
        <v>5.5768740000000001</v>
      </c>
      <c r="H554" s="3">
        <v>-0.13789999999999999</v>
      </c>
      <c r="I554">
        <v>-6438.94</v>
      </c>
      <c r="J554" s="3">
        <v>-0.13980000000000001</v>
      </c>
      <c r="K554">
        <v>7120</v>
      </c>
    </row>
    <row r="555" spans="1:11" x14ac:dyDescent="0.3">
      <c r="A555" t="s">
        <v>507</v>
      </c>
      <c r="B555" t="s">
        <v>1001</v>
      </c>
      <c r="C555" t="s">
        <v>1226</v>
      </c>
      <c r="D555" s="2">
        <v>40885</v>
      </c>
      <c r="E555">
        <v>8.6770910000000008</v>
      </c>
      <c r="F555" s="2">
        <v>40984</v>
      </c>
      <c r="G555">
        <v>6.9306859999999997</v>
      </c>
      <c r="H555" s="3">
        <v>-0.20130000000000001</v>
      </c>
      <c r="I555">
        <v>-9726.31</v>
      </c>
      <c r="J555" s="3">
        <v>-0.2031</v>
      </c>
      <c r="K555">
        <v>5520</v>
      </c>
    </row>
    <row r="556" spans="1:11" x14ac:dyDescent="0.3">
      <c r="A556" t="s">
        <v>508</v>
      </c>
      <c r="B556" t="s">
        <v>1002</v>
      </c>
      <c r="C556" t="s">
        <v>1226</v>
      </c>
      <c r="D556" s="2">
        <v>40865</v>
      </c>
      <c r="E556">
        <v>4.41</v>
      </c>
      <c r="F556" s="2">
        <v>40969</v>
      </c>
      <c r="G556">
        <v>4.41</v>
      </c>
      <c r="H556" s="3">
        <v>0</v>
      </c>
      <c r="I556">
        <v>-96.38</v>
      </c>
      <c r="J556" s="3">
        <v>-2E-3</v>
      </c>
      <c r="K556">
        <v>10927</v>
      </c>
    </row>
    <row r="557" spans="1:11" x14ac:dyDescent="0.3">
      <c r="A557" t="s">
        <v>303</v>
      </c>
      <c r="B557" t="s">
        <v>1003</v>
      </c>
      <c r="C557" t="s">
        <v>1226</v>
      </c>
      <c r="D557" s="2">
        <v>40606</v>
      </c>
      <c r="E557">
        <v>0.59831990000000002</v>
      </c>
      <c r="F557" s="2">
        <v>40942</v>
      </c>
      <c r="G557">
        <v>0.59831990000000002</v>
      </c>
      <c r="H557" s="3">
        <v>0</v>
      </c>
      <c r="I557">
        <v>-99.8</v>
      </c>
      <c r="J557" s="3">
        <v>-2E-3</v>
      </c>
      <c r="K557">
        <v>83399</v>
      </c>
    </row>
    <row r="558" spans="1:11" x14ac:dyDescent="0.3">
      <c r="A558" t="s">
        <v>406</v>
      </c>
      <c r="B558" t="s">
        <v>789</v>
      </c>
      <c r="C558" t="s">
        <v>1226</v>
      </c>
      <c r="D558" s="2">
        <v>40851</v>
      </c>
      <c r="E558">
        <v>3.8578199999999998</v>
      </c>
      <c r="F558" s="2">
        <v>40907</v>
      </c>
      <c r="G558">
        <v>4.5997089999999998</v>
      </c>
      <c r="H558" s="3">
        <v>0.1923</v>
      </c>
      <c r="I558">
        <v>9053.48</v>
      </c>
      <c r="J558" s="3">
        <v>0.19009999999999999</v>
      </c>
      <c r="K558">
        <v>12344</v>
      </c>
    </row>
    <row r="559" spans="1:11" x14ac:dyDescent="0.3">
      <c r="A559" t="s">
        <v>509</v>
      </c>
      <c r="B559" t="s">
        <v>1004</v>
      </c>
      <c r="C559" t="s">
        <v>1226</v>
      </c>
      <c r="D559" s="2">
        <v>40886</v>
      </c>
      <c r="E559">
        <v>6.6068429999999996</v>
      </c>
      <c r="F559" s="2">
        <v>40907</v>
      </c>
      <c r="G559">
        <v>5.91716</v>
      </c>
      <c r="H559" s="3">
        <v>-0.10440000000000001</v>
      </c>
      <c r="I559">
        <v>-5086.09</v>
      </c>
      <c r="J559" s="3">
        <v>-0.10630000000000001</v>
      </c>
      <c r="K559">
        <v>7243</v>
      </c>
    </row>
    <row r="560" spans="1:11" x14ac:dyDescent="0.3">
      <c r="A560" t="s">
        <v>429</v>
      </c>
      <c r="B560" t="s">
        <v>872</v>
      </c>
      <c r="C560" t="s">
        <v>1226</v>
      </c>
      <c r="D560" s="2">
        <v>40851</v>
      </c>
      <c r="E560">
        <v>3.32</v>
      </c>
      <c r="F560" s="2">
        <v>40900</v>
      </c>
      <c r="G560">
        <v>3.17</v>
      </c>
      <c r="H560" s="3">
        <v>-4.5199999999999997E-2</v>
      </c>
      <c r="I560">
        <v>-2245.0100000000002</v>
      </c>
      <c r="J560" s="3">
        <v>-4.7100000000000003E-2</v>
      </c>
      <c r="K560">
        <v>14346</v>
      </c>
    </row>
    <row r="561" spans="1:11" x14ac:dyDescent="0.3">
      <c r="A561" t="s">
        <v>510</v>
      </c>
      <c r="B561" t="s">
        <v>1005</v>
      </c>
      <c r="C561" t="s">
        <v>1226</v>
      </c>
      <c r="D561" s="2">
        <v>40893</v>
      </c>
      <c r="E561">
        <v>0.61</v>
      </c>
      <c r="F561" s="2">
        <v>40900</v>
      </c>
      <c r="G561">
        <v>0.55000000000000004</v>
      </c>
      <c r="H561" s="3">
        <v>-9.8400000000000001E-2</v>
      </c>
      <c r="I561">
        <v>-4826.4399999999996</v>
      </c>
      <c r="J561" s="3">
        <v>-0.1003</v>
      </c>
      <c r="K561">
        <v>78915</v>
      </c>
    </row>
    <row r="562" spans="1:11" x14ac:dyDescent="0.3">
      <c r="A562" t="s">
        <v>304</v>
      </c>
      <c r="B562" t="s">
        <v>1006</v>
      </c>
      <c r="C562" t="s">
        <v>1226</v>
      </c>
      <c r="D562" s="2">
        <v>40886</v>
      </c>
      <c r="E562">
        <v>1.154598</v>
      </c>
      <c r="F562" s="2">
        <v>40900</v>
      </c>
      <c r="G562">
        <v>0.97696749999999999</v>
      </c>
      <c r="H562" s="3">
        <v>-0.15379999999999999</v>
      </c>
      <c r="I562">
        <v>-7447.72</v>
      </c>
      <c r="J562" s="3">
        <v>-0.15570000000000001</v>
      </c>
      <c r="K562">
        <v>41431</v>
      </c>
    </row>
    <row r="563" spans="1:11" x14ac:dyDescent="0.3">
      <c r="A563" t="s">
        <v>453</v>
      </c>
      <c r="B563" t="s">
        <v>915</v>
      </c>
      <c r="C563" t="s">
        <v>1226</v>
      </c>
      <c r="D563" s="2">
        <v>40858</v>
      </c>
      <c r="E563">
        <v>0.76723969999999997</v>
      </c>
      <c r="F563" s="2">
        <v>40900</v>
      </c>
      <c r="G563">
        <v>0.7482955</v>
      </c>
      <c r="H563" s="3">
        <v>-2.47E-2</v>
      </c>
      <c r="I563">
        <v>-1271.8800000000001</v>
      </c>
      <c r="J563" s="3">
        <v>-2.6700000000000002E-2</v>
      </c>
      <c r="K563">
        <v>62165</v>
      </c>
    </row>
    <row r="564" spans="1:11" x14ac:dyDescent="0.3">
      <c r="A564" t="s">
        <v>511</v>
      </c>
      <c r="B564" t="s">
        <v>1007</v>
      </c>
      <c r="C564" t="s">
        <v>1226</v>
      </c>
      <c r="D564" s="2">
        <v>40851</v>
      </c>
      <c r="E564">
        <v>0.54</v>
      </c>
      <c r="F564" s="2">
        <v>40900</v>
      </c>
      <c r="G564">
        <v>0.48</v>
      </c>
      <c r="H564" s="3">
        <v>-0.1111</v>
      </c>
      <c r="I564">
        <v>-5380.13</v>
      </c>
      <c r="J564" s="3">
        <v>-0.113</v>
      </c>
      <c r="K564">
        <v>88170</v>
      </c>
    </row>
    <row r="565" spans="1:11" x14ac:dyDescent="0.3">
      <c r="A565" t="s">
        <v>512</v>
      </c>
      <c r="B565" t="s">
        <v>1008</v>
      </c>
      <c r="C565" t="s">
        <v>1226</v>
      </c>
      <c r="D565" s="2">
        <v>40872</v>
      </c>
      <c r="E565">
        <v>1.1405069999999999</v>
      </c>
      <c r="F565" s="2">
        <v>40879</v>
      </c>
      <c r="G565">
        <v>1.026456</v>
      </c>
      <c r="H565" s="3">
        <v>-0.1</v>
      </c>
      <c r="I565">
        <v>-4927.99</v>
      </c>
      <c r="J565" s="3">
        <v>-0.1019</v>
      </c>
      <c r="K565">
        <v>42403</v>
      </c>
    </row>
    <row r="566" spans="1:11" x14ac:dyDescent="0.3">
      <c r="A566" t="s">
        <v>451</v>
      </c>
      <c r="B566" t="s">
        <v>913</v>
      </c>
      <c r="C566" t="s">
        <v>1226</v>
      </c>
      <c r="D566" s="2">
        <v>40872</v>
      </c>
      <c r="E566">
        <v>1.5442610000000001</v>
      </c>
      <c r="F566" s="2">
        <v>40879</v>
      </c>
      <c r="G566">
        <v>1.4855119999999999</v>
      </c>
      <c r="H566" s="3">
        <v>-3.7999999999999999E-2</v>
      </c>
      <c r="I566">
        <v>-1934.85</v>
      </c>
      <c r="J566" s="3">
        <v>-0.04</v>
      </c>
      <c r="K566">
        <v>31319</v>
      </c>
    </row>
    <row r="567" spans="1:11" x14ac:dyDescent="0.3">
      <c r="A567" t="s">
        <v>504</v>
      </c>
      <c r="B567" t="s">
        <v>997</v>
      </c>
      <c r="C567" t="s">
        <v>1226</v>
      </c>
      <c r="D567" s="2">
        <v>40865</v>
      </c>
      <c r="E567">
        <v>0.65728600000000004</v>
      </c>
      <c r="F567" s="2">
        <v>40879</v>
      </c>
      <c r="G567">
        <v>0.64246000000000003</v>
      </c>
      <c r="H567" s="3">
        <v>-2.2599999999999999E-2</v>
      </c>
      <c r="I567">
        <v>-1182.57</v>
      </c>
      <c r="J567" s="3">
        <v>-2.4500000000000001E-2</v>
      </c>
      <c r="K567">
        <v>73334</v>
      </c>
    </row>
    <row r="568" spans="1:11" x14ac:dyDescent="0.3">
      <c r="A568" t="s">
        <v>305</v>
      </c>
      <c r="B568" t="s">
        <v>1009</v>
      </c>
      <c r="C568" t="s">
        <v>1226</v>
      </c>
      <c r="D568" s="2">
        <v>40858</v>
      </c>
      <c r="E568">
        <v>0.77671000000000001</v>
      </c>
      <c r="F568" s="2">
        <v>40879</v>
      </c>
      <c r="G568">
        <v>0.72577809999999998</v>
      </c>
      <c r="H568" s="3">
        <v>-6.5600000000000006E-2</v>
      </c>
      <c r="I568">
        <v>-3219.2</v>
      </c>
      <c r="J568" s="3">
        <v>-6.7500000000000004E-2</v>
      </c>
      <c r="K568">
        <v>61395</v>
      </c>
    </row>
    <row r="569" spans="1:11" x14ac:dyDescent="0.3">
      <c r="A569" t="s">
        <v>253</v>
      </c>
      <c r="B569" t="s">
        <v>847</v>
      </c>
      <c r="C569" t="s">
        <v>1226</v>
      </c>
      <c r="D569" s="2">
        <v>40858</v>
      </c>
      <c r="E569">
        <v>0.77185899999999996</v>
      </c>
      <c r="F569" s="2">
        <v>40879</v>
      </c>
      <c r="G569">
        <v>0.73255250000000005</v>
      </c>
      <c r="H569" s="3">
        <v>-5.0900000000000001E-2</v>
      </c>
      <c r="I569">
        <v>-2521.58</v>
      </c>
      <c r="J569" s="3">
        <v>-5.2900000000000003E-2</v>
      </c>
      <c r="K569">
        <v>61787</v>
      </c>
    </row>
    <row r="570" spans="1:11" x14ac:dyDescent="0.3">
      <c r="A570" t="s">
        <v>513</v>
      </c>
      <c r="B570" t="s">
        <v>1010</v>
      </c>
      <c r="C570" t="s">
        <v>1226</v>
      </c>
      <c r="D570" s="2">
        <v>40872</v>
      </c>
      <c r="E570">
        <v>1.4</v>
      </c>
      <c r="F570" s="2">
        <v>40875</v>
      </c>
      <c r="G570">
        <v>1.395</v>
      </c>
      <c r="H570" s="3">
        <v>-3.5999999999999999E-3</v>
      </c>
      <c r="I570">
        <v>-269.32</v>
      </c>
      <c r="J570" s="3">
        <v>-5.5999999999999999E-3</v>
      </c>
      <c r="K570">
        <v>34550</v>
      </c>
    </row>
    <row r="571" spans="1:11" x14ac:dyDescent="0.3">
      <c r="A571" t="s">
        <v>514</v>
      </c>
      <c r="B571" t="s">
        <v>1011</v>
      </c>
      <c r="C571" t="s">
        <v>1226</v>
      </c>
      <c r="D571" s="2">
        <v>40851</v>
      </c>
      <c r="E571">
        <v>1.79</v>
      </c>
      <c r="F571" s="2">
        <v>40862</v>
      </c>
      <c r="G571">
        <v>1.8</v>
      </c>
      <c r="H571" s="3">
        <v>5.5999999999999999E-3</v>
      </c>
      <c r="I571">
        <v>170.54</v>
      </c>
      <c r="J571" s="3">
        <v>3.5999999999999999E-3</v>
      </c>
      <c r="K571">
        <v>26606</v>
      </c>
    </row>
    <row r="572" spans="1:11" x14ac:dyDescent="0.3">
      <c r="A572" t="s">
        <v>54</v>
      </c>
      <c r="B572" t="s">
        <v>1012</v>
      </c>
      <c r="C572" t="s">
        <v>1226</v>
      </c>
      <c r="D572" s="2">
        <v>40431</v>
      </c>
      <c r="E572">
        <v>2.6977799999999998</v>
      </c>
      <c r="F572" s="2">
        <v>40774</v>
      </c>
      <c r="G572">
        <v>2.7614960000000002</v>
      </c>
      <c r="H572" s="3">
        <v>2.3599999999999999E-2</v>
      </c>
      <c r="I572">
        <v>829.4</v>
      </c>
      <c r="J572" s="3">
        <v>2.1600000000000001E-2</v>
      </c>
      <c r="K572">
        <v>14237</v>
      </c>
    </row>
    <row r="573" spans="1:11" x14ac:dyDescent="0.3">
      <c r="A573" t="s">
        <v>172</v>
      </c>
      <c r="B573" t="s">
        <v>720</v>
      </c>
      <c r="C573" t="s">
        <v>1226</v>
      </c>
      <c r="D573" s="2">
        <v>40410</v>
      </c>
      <c r="E573">
        <v>2.1276199999999998</v>
      </c>
      <c r="F573" s="2">
        <v>40767</v>
      </c>
      <c r="G573">
        <v>2.1957719999999998</v>
      </c>
      <c r="H573" s="3">
        <v>3.2000000000000001E-2</v>
      </c>
      <c r="I573">
        <v>1070.6600000000001</v>
      </c>
      <c r="J573" s="3">
        <v>0.03</v>
      </c>
      <c r="K573">
        <v>16774</v>
      </c>
    </row>
    <row r="574" spans="1:11" x14ac:dyDescent="0.3">
      <c r="A574" t="s">
        <v>155</v>
      </c>
      <c r="B574" t="s">
        <v>703</v>
      </c>
      <c r="C574" t="s">
        <v>1226</v>
      </c>
      <c r="D574" s="2">
        <v>40431</v>
      </c>
      <c r="E574">
        <v>0.78017510000000001</v>
      </c>
      <c r="F574" s="2">
        <v>40767</v>
      </c>
      <c r="G574">
        <v>0.94067029999999996</v>
      </c>
      <c r="H574" s="3">
        <v>0.20569999999999999</v>
      </c>
      <c r="I574">
        <v>7815.35</v>
      </c>
      <c r="J574" s="3">
        <v>0.20349999999999999</v>
      </c>
      <c r="K574">
        <v>49223</v>
      </c>
    </row>
    <row r="575" spans="1:11" x14ac:dyDescent="0.3">
      <c r="A575" t="s">
        <v>515</v>
      </c>
      <c r="B575" t="s">
        <v>1013</v>
      </c>
      <c r="C575" t="s">
        <v>1226</v>
      </c>
      <c r="D575" s="2">
        <v>40641</v>
      </c>
      <c r="E575">
        <v>1.27515</v>
      </c>
      <c r="F575" s="2">
        <v>40718</v>
      </c>
      <c r="G575">
        <v>1.135024</v>
      </c>
      <c r="H575" s="3">
        <v>-0.1099</v>
      </c>
      <c r="I575">
        <v>-5640.73</v>
      </c>
      <c r="J575" s="3">
        <v>-0.1118</v>
      </c>
      <c r="K575">
        <v>39574</v>
      </c>
    </row>
    <row r="576" spans="1:11" x14ac:dyDescent="0.3">
      <c r="A576" t="s">
        <v>516</v>
      </c>
      <c r="B576" t="s">
        <v>1014</v>
      </c>
      <c r="C576" t="s">
        <v>1226</v>
      </c>
      <c r="D576" s="2">
        <v>40641</v>
      </c>
      <c r="E576">
        <v>0.63</v>
      </c>
      <c r="F576" s="2">
        <v>40714</v>
      </c>
      <c r="G576">
        <v>0.69499999999999995</v>
      </c>
      <c r="H576" s="3">
        <v>0.1032</v>
      </c>
      <c r="I576">
        <v>5099.41</v>
      </c>
      <c r="J576" s="3">
        <v>0.1011</v>
      </c>
      <c r="K576">
        <v>80085</v>
      </c>
    </row>
    <row r="577" spans="1:11" x14ac:dyDescent="0.3">
      <c r="A577" t="s">
        <v>306</v>
      </c>
      <c r="B577" t="s">
        <v>1015</v>
      </c>
      <c r="C577" t="s">
        <v>1226</v>
      </c>
      <c r="D577" s="2">
        <v>40641</v>
      </c>
      <c r="E577">
        <v>5.3571859999999996</v>
      </c>
      <c r="F577" s="2">
        <v>40711</v>
      </c>
      <c r="G577">
        <v>6.6667199999999998</v>
      </c>
      <c r="H577" s="3">
        <v>0.24440000000000001</v>
      </c>
      <c r="I577">
        <v>12223.84</v>
      </c>
      <c r="J577" s="3">
        <v>0.2422</v>
      </c>
      <c r="K577">
        <v>9421</v>
      </c>
    </row>
    <row r="578" spans="1:11" x14ac:dyDescent="0.3">
      <c r="A578" t="s">
        <v>88</v>
      </c>
      <c r="B578" t="s">
        <v>980</v>
      </c>
      <c r="C578" t="s">
        <v>1226</v>
      </c>
      <c r="D578" s="2">
        <v>40529</v>
      </c>
      <c r="E578">
        <v>0.7186534</v>
      </c>
      <c r="F578" s="2">
        <v>40711</v>
      </c>
      <c r="G578">
        <v>0.67553419999999997</v>
      </c>
      <c r="H578" s="3">
        <v>-0.06</v>
      </c>
      <c r="I578">
        <v>-2874.63</v>
      </c>
      <c r="J578" s="3">
        <v>-6.1899999999999997E-2</v>
      </c>
      <c r="K578">
        <v>64579</v>
      </c>
    </row>
    <row r="579" spans="1:11" x14ac:dyDescent="0.3">
      <c r="A579" t="s">
        <v>93</v>
      </c>
      <c r="B579" t="s">
        <v>742</v>
      </c>
      <c r="C579" t="s">
        <v>1226</v>
      </c>
      <c r="D579" s="2">
        <v>40403</v>
      </c>
      <c r="E579">
        <v>2.5413869999999998</v>
      </c>
      <c r="F579" s="2">
        <v>40711</v>
      </c>
      <c r="G579">
        <v>4.4227299999999996</v>
      </c>
      <c r="H579" s="3">
        <v>0.74029999999999996</v>
      </c>
      <c r="I579">
        <v>26685.53</v>
      </c>
      <c r="J579" s="3">
        <v>0.73750000000000004</v>
      </c>
      <c r="K579">
        <v>14237</v>
      </c>
    </row>
    <row r="580" spans="1:11" x14ac:dyDescent="0.3">
      <c r="A580" t="s">
        <v>301</v>
      </c>
      <c r="B580" t="s">
        <v>993</v>
      </c>
      <c r="C580" t="s">
        <v>1226</v>
      </c>
      <c r="D580" s="2">
        <v>40025</v>
      </c>
      <c r="E580">
        <v>0.95894409999999997</v>
      </c>
      <c r="F580" s="2">
        <v>40704</v>
      </c>
      <c r="G580">
        <v>1.037355</v>
      </c>
      <c r="H580" s="3">
        <v>8.1799999999999998E-2</v>
      </c>
      <c r="I580">
        <v>2460.2399999999998</v>
      </c>
      <c r="J580" s="3">
        <v>7.9699999999999993E-2</v>
      </c>
      <c r="K580">
        <v>32196</v>
      </c>
    </row>
    <row r="581" spans="1:11" x14ac:dyDescent="0.3">
      <c r="A581" t="s">
        <v>82</v>
      </c>
      <c r="B581" t="s">
        <v>1016</v>
      </c>
      <c r="C581" t="s">
        <v>1226</v>
      </c>
      <c r="D581" s="2">
        <v>40403</v>
      </c>
      <c r="E581">
        <v>3.7447750000000002</v>
      </c>
      <c r="F581" s="2">
        <v>40704</v>
      </c>
      <c r="G581">
        <v>5.7520800000000003</v>
      </c>
      <c r="H581" s="3">
        <v>0.53600000000000003</v>
      </c>
      <c r="I581">
        <v>19292.830000000002</v>
      </c>
      <c r="J581" s="3">
        <v>0.53349999999999997</v>
      </c>
      <c r="K581">
        <v>9657</v>
      </c>
    </row>
    <row r="582" spans="1:11" x14ac:dyDescent="0.3">
      <c r="A582" t="s">
        <v>514</v>
      </c>
      <c r="B582" t="s">
        <v>1011</v>
      </c>
      <c r="C582" t="s">
        <v>1226</v>
      </c>
      <c r="D582" s="2">
        <v>40641</v>
      </c>
      <c r="E582">
        <v>1.68</v>
      </c>
      <c r="F582" s="2">
        <v>40690</v>
      </c>
      <c r="G582">
        <v>1.5</v>
      </c>
      <c r="H582" s="3">
        <v>-0.1071</v>
      </c>
      <c r="I582">
        <v>-5501.63</v>
      </c>
      <c r="J582" s="3">
        <v>-0.109</v>
      </c>
      <c r="K582">
        <v>30034</v>
      </c>
    </row>
    <row r="583" spans="1:11" x14ac:dyDescent="0.3">
      <c r="A583" t="s">
        <v>307</v>
      </c>
      <c r="B583" t="s">
        <v>1017</v>
      </c>
      <c r="C583" t="s">
        <v>1226</v>
      </c>
      <c r="D583" s="2">
        <v>40641</v>
      </c>
      <c r="E583">
        <v>1.405</v>
      </c>
      <c r="F583" s="2">
        <v>40683</v>
      </c>
      <c r="G583">
        <v>1.27</v>
      </c>
      <c r="H583" s="3">
        <v>-9.6100000000000005E-2</v>
      </c>
      <c r="I583">
        <v>-4946.25</v>
      </c>
      <c r="J583" s="3">
        <v>-9.8000000000000004E-2</v>
      </c>
      <c r="K583">
        <v>35927</v>
      </c>
    </row>
    <row r="584" spans="1:11" x14ac:dyDescent="0.3">
      <c r="A584" t="s">
        <v>450</v>
      </c>
      <c r="B584" t="s">
        <v>912</v>
      </c>
      <c r="C584" t="s">
        <v>1226</v>
      </c>
      <c r="D584" s="2">
        <v>40515</v>
      </c>
      <c r="E584">
        <v>0.49786999999999998</v>
      </c>
      <c r="F584" s="2">
        <v>40683</v>
      </c>
      <c r="G584">
        <v>0.53902870000000003</v>
      </c>
      <c r="H584" s="3">
        <v>8.2699999999999996E-2</v>
      </c>
      <c r="I584">
        <v>3621.19</v>
      </c>
      <c r="J584" s="3">
        <v>8.0600000000000005E-2</v>
      </c>
      <c r="K584">
        <v>90255</v>
      </c>
    </row>
    <row r="585" spans="1:11" x14ac:dyDescent="0.3">
      <c r="A585" t="s">
        <v>517</v>
      </c>
      <c r="B585" t="s">
        <v>1018</v>
      </c>
      <c r="C585" t="s">
        <v>1226</v>
      </c>
      <c r="D585" s="2">
        <v>40648</v>
      </c>
      <c r="E585">
        <v>2.41</v>
      </c>
      <c r="F585" s="2">
        <v>40669</v>
      </c>
      <c r="G585">
        <v>2.2000000000000002</v>
      </c>
      <c r="H585" s="3">
        <v>-8.7099999999999997E-2</v>
      </c>
      <c r="I585">
        <v>-4650.8100000000004</v>
      </c>
      <c r="J585" s="3">
        <v>-8.8999999999999996E-2</v>
      </c>
      <c r="K585">
        <v>21671</v>
      </c>
    </row>
    <row r="586" spans="1:11" x14ac:dyDescent="0.3">
      <c r="A586" t="s">
        <v>194</v>
      </c>
      <c r="B586" t="s">
        <v>752</v>
      </c>
      <c r="C586" t="s">
        <v>1226</v>
      </c>
      <c r="D586" s="2">
        <v>40641</v>
      </c>
      <c r="E586">
        <v>1.576092</v>
      </c>
      <c r="F586" s="2">
        <v>40669</v>
      </c>
      <c r="G586">
        <v>1.7337009999999999</v>
      </c>
      <c r="H586" s="3">
        <v>0.1</v>
      </c>
      <c r="I586">
        <v>4942.2</v>
      </c>
      <c r="J586" s="3">
        <v>9.7900000000000001E-2</v>
      </c>
      <c r="K586">
        <v>32030</v>
      </c>
    </row>
    <row r="587" spans="1:11" x14ac:dyDescent="0.3">
      <c r="A587" t="s">
        <v>308</v>
      </c>
      <c r="B587" t="s">
        <v>1019</v>
      </c>
      <c r="C587" t="s">
        <v>1226</v>
      </c>
      <c r="D587" s="2">
        <v>40641</v>
      </c>
      <c r="E587">
        <v>8.3120399999999997</v>
      </c>
      <c r="F587" s="2">
        <v>40669</v>
      </c>
      <c r="G587">
        <v>7.4724389999999996</v>
      </c>
      <c r="H587" s="3">
        <v>-0.10100000000000001</v>
      </c>
      <c r="I587">
        <v>-5194.75</v>
      </c>
      <c r="J587" s="3">
        <v>-0.10290000000000001</v>
      </c>
      <c r="K587">
        <v>6073</v>
      </c>
    </row>
    <row r="588" spans="1:11" x14ac:dyDescent="0.3">
      <c r="A588" t="s">
        <v>309</v>
      </c>
      <c r="B588" t="s">
        <v>1020</v>
      </c>
      <c r="C588" t="s">
        <v>1226</v>
      </c>
      <c r="D588" s="2">
        <v>40606</v>
      </c>
      <c r="E588">
        <v>3.6759110000000002</v>
      </c>
      <c r="F588" s="2">
        <v>40669</v>
      </c>
      <c r="G588">
        <v>4.395111</v>
      </c>
      <c r="H588" s="3">
        <v>0.19570000000000001</v>
      </c>
      <c r="I588">
        <v>9654.2900000000009</v>
      </c>
      <c r="J588" s="3">
        <v>0.19350000000000001</v>
      </c>
      <c r="K588">
        <v>13576</v>
      </c>
    </row>
    <row r="589" spans="1:11" x14ac:dyDescent="0.3">
      <c r="A589" t="s">
        <v>518</v>
      </c>
      <c r="B589" t="s">
        <v>1021</v>
      </c>
      <c r="C589" t="s">
        <v>1226</v>
      </c>
      <c r="D589" s="2">
        <v>40431</v>
      </c>
      <c r="E589">
        <v>3.4454940000000001</v>
      </c>
      <c r="F589" s="2">
        <v>40669</v>
      </c>
      <c r="G589">
        <v>5.5661449999999997</v>
      </c>
      <c r="H589" s="3">
        <v>0.61550000000000005</v>
      </c>
      <c r="I589">
        <v>23549</v>
      </c>
      <c r="J589" s="3">
        <v>0.6129</v>
      </c>
      <c r="K589">
        <v>11152</v>
      </c>
    </row>
    <row r="590" spans="1:11" x14ac:dyDescent="0.3">
      <c r="A590" t="s">
        <v>519</v>
      </c>
      <c r="B590" t="s">
        <v>1022</v>
      </c>
      <c r="C590" t="s">
        <v>1226</v>
      </c>
      <c r="D590" s="2">
        <v>40641</v>
      </c>
      <c r="E590">
        <v>1.99</v>
      </c>
      <c r="F590" s="2">
        <v>40648</v>
      </c>
      <c r="G590">
        <v>2.08</v>
      </c>
      <c r="H590" s="3">
        <v>4.5199999999999997E-2</v>
      </c>
      <c r="I590">
        <v>2179.1799999999998</v>
      </c>
      <c r="J590" s="3">
        <v>4.3200000000000002E-2</v>
      </c>
      <c r="K590">
        <v>25360</v>
      </c>
    </row>
    <row r="591" spans="1:11" x14ac:dyDescent="0.3">
      <c r="A591" t="s">
        <v>310</v>
      </c>
      <c r="B591" t="s">
        <v>1023</v>
      </c>
      <c r="C591" t="s">
        <v>1226</v>
      </c>
      <c r="D591" s="2">
        <v>40585</v>
      </c>
      <c r="E591">
        <v>2.2949999999999999</v>
      </c>
      <c r="F591" s="2">
        <v>40627</v>
      </c>
      <c r="G591">
        <v>2.6349999999999998</v>
      </c>
      <c r="H591" s="3">
        <v>0.14810000000000001</v>
      </c>
      <c r="I591">
        <v>7050.54</v>
      </c>
      <c r="J591" s="3">
        <v>0.14599999999999999</v>
      </c>
      <c r="K591">
        <v>21042</v>
      </c>
    </row>
    <row r="592" spans="1:11" x14ac:dyDescent="0.3">
      <c r="A592" t="s">
        <v>311</v>
      </c>
      <c r="B592" t="s">
        <v>1024</v>
      </c>
      <c r="C592" t="s">
        <v>1226</v>
      </c>
      <c r="D592" s="2">
        <v>40529</v>
      </c>
      <c r="E592">
        <v>0.64842</v>
      </c>
      <c r="F592" s="2">
        <v>40627</v>
      </c>
      <c r="G592">
        <v>0.58101000000000003</v>
      </c>
      <c r="H592" s="3">
        <v>-0.104</v>
      </c>
      <c r="I592">
        <v>-4913.21</v>
      </c>
      <c r="J592" s="3">
        <v>-0.10589999999999999</v>
      </c>
      <c r="K592">
        <v>71580</v>
      </c>
    </row>
    <row r="593" spans="1:11" x14ac:dyDescent="0.3">
      <c r="A593" t="s">
        <v>520</v>
      </c>
      <c r="B593" t="s">
        <v>1025</v>
      </c>
      <c r="C593" t="s">
        <v>1226</v>
      </c>
      <c r="D593" s="2">
        <v>40431</v>
      </c>
      <c r="E593">
        <v>0.87744370000000005</v>
      </c>
      <c r="F593" s="2">
        <v>40627</v>
      </c>
      <c r="G593">
        <v>0.93344559999999999</v>
      </c>
      <c r="H593" s="3">
        <v>6.3799999999999996E-2</v>
      </c>
      <c r="I593">
        <v>2372.65</v>
      </c>
      <c r="J593" s="3">
        <v>6.1800000000000001E-2</v>
      </c>
      <c r="K593">
        <v>43783</v>
      </c>
    </row>
    <row r="594" spans="1:11" x14ac:dyDescent="0.3">
      <c r="A594" t="s">
        <v>288</v>
      </c>
      <c r="B594" t="s">
        <v>943</v>
      </c>
      <c r="C594" t="s">
        <v>1226</v>
      </c>
      <c r="D594" s="2">
        <v>40578</v>
      </c>
      <c r="E594">
        <v>0.60222659999999995</v>
      </c>
      <c r="F594" s="2">
        <v>40620</v>
      </c>
      <c r="G594">
        <v>0.67771459999999994</v>
      </c>
      <c r="H594" s="3">
        <v>0.12529999999999999</v>
      </c>
      <c r="I594">
        <v>5710.09</v>
      </c>
      <c r="J594" s="3">
        <v>0.1232</v>
      </c>
      <c r="K594">
        <v>76947</v>
      </c>
    </row>
    <row r="595" spans="1:11" x14ac:dyDescent="0.3">
      <c r="A595" t="s">
        <v>312</v>
      </c>
      <c r="B595" t="s">
        <v>1026</v>
      </c>
      <c r="C595" t="s">
        <v>1226</v>
      </c>
      <c r="D595" s="2">
        <v>40571</v>
      </c>
      <c r="E595">
        <v>3.5</v>
      </c>
      <c r="F595" s="2">
        <v>40620</v>
      </c>
      <c r="G595">
        <v>3.1</v>
      </c>
      <c r="H595" s="3">
        <v>-0.1143</v>
      </c>
      <c r="I595">
        <v>-5461.04</v>
      </c>
      <c r="J595" s="3">
        <v>-0.1162</v>
      </c>
      <c r="K595">
        <v>13431</v>
      </c>
    </row>
    <row r="596" spans="1:11" x14ac:dyDescent="0.3">
      <c r="A596" t="s">
        <v>493</v>
      </c>
      <c r="B596" t="s">
        <v>983</v>
      </c>
      <c r="C596" t="s">
        <v>1226</v>
      </c>
      <c r="D596" s="2">
        <v>40487</v>
      </c>
      <c r="E596">
        <v>0.54202130000000004</v>
      </c>
      <c r="F596" s="2">
        <v>40620</v>
      </c>
      <c r="G596">
        <v>0.48167900000000002</v>
      </c>
      <c r="H596" s="3">
        <v>-0.1113</v>
      </c>
      <c r="I596">
        <v>-4993.72</v>
      </c>
      <c r="J596" s="3">
        <v>-0.1132</v>
      </c>
      <c r="K596">
        <v>81376</v>
      </c>
    </row>
    <row r="597" spans="1:11" x14ac:dyDescent="0.3">
      <c r="A597" t="s">
        <v>521</v>
      </c>
      <c r="B597" t="s">
        <v>1027</v>
      </c>
      <c r="C597" t="s">
        <v>1226</v>
      </c>
      <c r="D597" s="2">
        <v>40431</v>
      </c>
      <c r="E597">
        <v>1.572454</v>
      </c>
      <c r="F597" s="2">
        <v>40620</v>
      </c>
      <c r="G597">
        <v>2.7302339999999998</v>
      </c>
      <c r="H597" s="3">
        <v>0.73629999999999995</v>
      </c>
      <c r="I597">
        <v>28172.53</v>
      </c>
      <c r="J597" s="3">
        <v>0.73360000000000003</v>
      </c>
      <c r="K597">
        <v>24424</v>
      </c>
    </row>
    <row r="598" spans="1:11" x14ac:dyDescent="0.3">
      <c r="A598" t="s">
        <v>464</v>
      </c>
      <c r="B598" t="s">
        <v>933</v>
      </c>
      <c r="C598" t="s">
        <v>1226</v>
      </c>
      <c r="D598" s="2">
        <v>40403</v>
      </c>
      <c r="E598">
        <v>1.6645829999999999</v>
      </c>
      <c r="F598" s="2">
        <v>40620</v>
      </c>
      <c r="G598">
        <v>2.2371509999999999</v>
      </c>
      <c r="H598" s="3">
        <v>0.34399999999999997</v>
      </c>
      <c r="I598">
        <v>12359.96</v>
      </c>
      <c r="J598" s="3">
        <v>0.34160000000000001</v>
      </c>
      <c r="K598">
        <v>21735</v>
      </c>
    </row>
    <row r="599" spans="1:11" x14ac:dyDescent="0.3">
      <c r="A599" t="s">
        <v>522</v>
      </c>
      <c r="B599" t="s">
        <v>1028</v>
      </c>
      <c r="C599" t="s">
        <v>1226</v>
      </c>
      <c r="D599" s="2">
        <v>39906</v>
      </c>
      <c r="E599">
        <v>0.6156256</v>
      </c>
      <c r="F599" s="2">
        <v>40613</v>
      </c>
      <c r="G599">
        <v>0.70126929999999998</v>
      </c>
      <c r="H599" s="3">
        <v>0.1391</v>
      </c>
      <c r="I599">
        <v>3142.44</v>
      </c>
      <c r="J599" s="3">
        <v>0.13700000000000001</v>
      </c>
      <c r="K599">
        <v>37265</v>
      </c>
    </row>
    <row r="600" spans="1:11" x14ac:dyDescent="0.3">
      <c r="A600" t="s">
        <v>523</v>
      </c>
      <c r="B600" t="s">
        <v>1029</v>
      </c>
      <c r="C600" t="s">
        <v>1226</v>
      </c>
      <c r="D600" s="2">
        <v>40515</v>
      </c>
      <c r="E600">
        <v>2.95</v>
      </c>
      <c r="F600" s="2">
        <v>40606</v>
      </c>
      <c r="G600">
        <v>2.6</v>
      </c>
      <c r="H600" s="3">
        <v>-0.1186</v>
      </c>
      <c r="I600">
        <v>-5416.09</v>
      </c>
      <c r="J600" s="3">
        <v>-0.1205</v>
      </c>
      <c r="K600">
        <v>15233</v>
      </c>
    </row>
    <row r="601" spans="1:11" x14ac:dyDescent="0.3">
      <c r="A601" t="s">
        <v>524</v>
      </c>
      <c r="B601" t="s">
        <v>1030</v>
      </c>
      <c r="C601" t="s">
        <v>1226</v>
      </c>
      <c r="D601" s="2">
        <v>40431</v>
      </c>
      <c r="E601">
        <v>1.0852250000000001</v>
      </c>
      <c r="F601" s="2">
        <v>40606</v>
      </c>
      <c r="G601">
        <v>1.1968479999999999</v>
      </c>
      <c r="H601" s="3">
        <v>0.10290000000000001</v>
      </c>
      <c r="I601">
        <v>3870.34</v>
      </c>
      <c r="J601" s="3">
        <v>0.1008</v>
      </c>
      <c r="K601">
        <v>35397</v>
      </c>
    </row>
    <row r="602" spans="1:11" x14ac:dyDescent="0.3">
      <c r="A602" t="s">
        <v>78</v>
      </c>
      <c r="B602" t="s">
        <v>945</v>
      </c>
      <c r="C602" t="s">
        <v>1226</v>
      </c>
      <c r="D602" s="2">
        <v>40410</v>
      </c>
      <c r="E602">
        <v>0.65</v>
      </c>
      <c r="F602" s="2">
        <v>40585</v>
      </c>
      <c r="G602">
        <v>0.78</v>
      </c>
      <c r="H602" s="3">
        <v>0.2</v>
      </c>
      <c r="I602">
        <v>7058.75</v>
      </c>
      <c r="J602" s="3">
        <v>0.1978</v>
      </c>
      <c r="K602">
        <v>54902</v>
      </c>
    </row>
    <row r="603" spans="1:11" x14ac:dyDescent="0.3">
      <c r="A603" t="s">
        <v>525</v>
      </c>
      <c r="B603" t="s">
        <v>1031</v>
      </c>
      <c r="C603" t="s">
        <v>1226</v>
      </c>
      <c r="D603" s="2">
        <v>40501</v>
      </c>
      <c r="E603">
        <v>0.65500000000000003</v>
      </c>
      <c r="F603" s="2">
        <v>40578</v>
      </c>
      <c r="G603">
        <v>0.505</v>
      </c>
      <c r="H603" s="3">
        <v>-0.22900000000000001</v>
      </c>
      <c r="I603">
        <v>-10420.67</v>
      </c>
      <c r="J603" s="3">
        <v>-0.23080000000000001</v>
      </c>
      <c r="K603">
        <v>68938</v>
      </c>
    </row>
    <row r="604" spans="1:11" x14ac:dyDescent="0.3">
      <c r="A604" t="s">
        <v>429</v>
      </c>
      <c r="B604" t="s">
        <v>872</v>
      </c>
      <c r="C604" t="s">
        <v>1226</v>
      </c>
      <c r="D604" s="2">
        <v>40431</v>
      </c>
      <c r="E604">
        <v>2.3199999999999998</v>
      </c>
      <c r="F604" s="2">
        <v>40578</v>
      </c>
      <c r="G604">
        <v>1.91</v>
      </c>
      <c r="H604" s="3">
        <v>-0.1767</v>
      </c>
      <c r="I604">
        <v>-6860.89</v>
      </c>
      <c r="J604" s="3">
        <v>-0.17849999999999999</v>
      </c>
      <c r="K604">
        <v>16563</v>
      </c>
    </row>
    <row r="605" spans="1:11" x14ac:dyDescent="0.3">
      <c r="A605" t="s">
        <v>526</v>
      </c>
      <c r="B605" t="s">
        <v>1032</v>
      </c>
      <c r="C605" t="s">
        <v>1226</v>
      </c>
      <c r="D605" s="2">
        <v>40522</v>
      </c>
      <c r="E605">
        <v>0.92851499999999998</v>
      </c>
      <c r="F605" s="2">
        <v>40571</v>
      </c>
      <c r="G605">
        <v>0.73612</v>
      </c>
      <c r="H605" s="3">
        <v>-0.2072</v>
      </c>
      <c r="I605">
        <v>-9635.84</v>
      </c>
      <c r="J605" s="3">
        <v>-0.20899999999999999</v>
      </c>
      <c r="K605">
        <v>49654</v>
      </c>
    </row>
    <row r="606" spans="1:11" x14ac:dyDescent="0.3">
      <c r="A606" t="s">
        <v>527</v>
      </c>
      <c r="B606" t="s">
        <v>1033</v>
      </c>
      <c r="C606" t="s">
        <v>1226</v>
      </c>
      <c r="D606" s="2">
        <v>40431</v>
      </c>
      <c r="E606">
        <v>2.8777520000000001</v>
      </c>
      <c r="F606" s="2">
        <v>40527</v>
      </c>
      <c r="G606">
        <v>3.8301289999999999</v>
      </c>
      <c r="H606" s="3">
        <v>0.33090000000000003</v>
      </c>
      <c r="I606">
        <v>12625.63</v>
      </c>
      <c r="J606" s="3">
        <v>0.3286</v>
      </c>
      <c r="K606">
        <v>13351</v>
      </c>
    </row>
    <row r="607" spans="1:11" x14ac:dyDescent="0.3">
      <c r="A607" t="s">
        <v>80</v>
      </c>
      <c r="B607" t="s">
        <v>1034</v>
      </c>
      <c r="C607" t="s">
        <v>1226</v>
      </c>
      <c r="D607" s="2">
        <v>40410</v>
      </c>
      <c r="E607">
        <v>0.79163919999999999</v>
      </c>
      <c r="F607" s="2">
        <v>40522</v>
      </c>
      <c r="G607">
        <v>1.5188010000000001</v>
      </c>
      <c r="H607" s="3">
        <v>0.91859999999999997</v>
      </c>
      <c r="I607">
        <v>32671.95</v>
      </c>
      <c r="J607" s="3">
        <v>0.91559999999999997</v>
      </c>
      <c r="K607">
        <v>45074</v>
      </c>
    </row>
    <row r="608" spans="1:11" x14ac:dyDescent="0.3">
      <c r="A608" t="s">
        <v>528</v>
      </c>
      <c r="B608" t="s">
        <v>1035</v>
      </c>
      <c r="C608" t="s">
        <v>1226</v>
      </c>
      <c r="D608" s="2">
        <v>40403</v>
      </c>
      <c r="E608">
        <v>4.0199999999999996</v>
      </c>
      <c r="F608" s="2">
        <v>40519</v>
      </c>
      <c r="G608">
        <v>6.58</v>
      </c>
      <c r="H608" s="3">
        <v>0.63680000000000003</v>
      </c>
      <c r="I608">
        <v>22942.05</v>
      </c>
      <c r="J608" s="3">
        <v>0.63419999999999999</v>
      </c>
      <c r="K608">
        <v>8999</v>
      </c>
    </row>
    <row r="609" spans="1:11" x14ac:dyDescent="0.3">
      <c r="A609" t="s">
        <v>313</v>
      </c>
      <c r="B609" t="s">
        <v>1036</v>
      </c>
      <c r="C609" t="s">
        <v>1226</v>
      </c>
      <c r="D609" s="2">
        <v>40403</v>
      </c>
      <c r="E609">
        <v>1.591577</v>
      </c>
      <c r="F609" s="2">
        <v>40508</v>
      </c>
      <c r="G609">
        <v>4.6550630000000002</v>
      </c>
      <c r="H609" s="3">
        <v>1.9248000000000001</v>
      </c>
      <c r="I609">
        <v>69509.39</v>
      </c>
      <c r="J609" s="3">
        <v>1.9209000000000001</v>
      </c>
      <c r="K609">
        <v>22736</v>
      </c>
    </row>
    <row r="610" spans="1:11" x14ac:dyDescent="0.3">
      <c r="A610" t="s">
        <v>529</v>
      </c>
      <c r="B610" t="s">
        <v>1037</v>
      </c>
      <c r="C610" t="s">
        <v>1226</v>
      </c>
      <c r="D610" s="2">
        <v>40403</v>
      </c>
      <c r="E610">
        <v>1.6617550000000001</v>
      </c>
      <c r="F610" s="2">
        <v>40500</v>
      </c>
      <c r="G610">
        <v>1.77</v>
      </c>
      <c r="H610" s="3">
        <v>6.5100000000000005E-2</v>
      </c>
      <c r="I610">
        <v>2280.9499999999998</v>
      </c>
      <c r="J610" s="3">
        <v>6.3100000000000003E-2</v>
      </c>
      <c r="K610">
        <v>21762</v>
      </c>
    </row>
    <row r="611" spans="1:11" x14ac:dyDescent="0.3">
      <c r="A611" t="s">
        <v>530</v>
      </c>
      <c r="B611" t="s">
        <v>1038</v>
      </c>
      <c r="C611" t="s">
        <v>1226</v>
      </c>
      <c r="D611" s="2">
        <v>40403</v>
      </c>
      <c r="E611">
        <v>1.1903999999999999</v>
      </c>
      <c r="F611" s="2">
        <v>40483</v>
      </c>
      <c r="G611">
        <v>1.21</v>
      </c>
      <c r="H611" s="3">
        <v>1.6500000000000001E-2</v>
      </c>
      <c r="I611">
        <v>522.64</v>
      </c>
      <c r="J611" s="3">
        <v>1.44E-2</v>
      </c>
      <c r="K611">
        <v>30387</v>
      </c>
    </row>
    <row r="612" spans="1:11" x14ac:dyDescent="0.3">
      <c r="A612" t="s">
        <v>531</v>
      </c>
      <c r="B612" t="s">
        <v>1039</v>
      </c>
      <c r="C612" t="s">
        <v>1226</v>
      </c>
      <c r="D612" s="2">
        <v>40401</v>
      </c>
      <c r="E612">
        <v>0.92</v>
      </c>
      <c r="F612" s="2">
        <v>40427</v>
      </c>
      <c r="G612">
        <v>0.91500000000000004</v>
      </c>
      <c r="H612" s="3">
        <v>-5.4000000000000003E-3</v>
      </c>
      <c r="I612">
        <v>-268.92</v>
      </c>
      <c r="J612" s="3">
        <v>-7.4000000000000003E-3</v>
      </c>
      <c r="K612">
        <v>39344</v>
      </c>
    </row>
    <row r="613" spans="1:11" x14ac:dyDescent="0.3">
      <c r="A613" t="s">
        <v>532</v>
      </c>
      <c r="B613" t="s">
        <v>1040</v>
      </c>
      <c r="C613" t="s">
        <v>1226</v>
      </c>
      <c r="D613" s="2">
        <v>40403</v>
      </c>
      <c r="E613">
        <v>2.38104</v>
      </c>
      <c r="F613" s="2">
        <v>40417</v>
      </c>
      <c r="G613">
        <v>2.0238839999999998</v>
      </c>
      <c r="H613" s="3">
        <v>-0.15</v>
      </c>
      <c r="I613">
        <v>-5490.66</v>
      </c>
      <c r="J613" s="3">
        <v>-0.15179999999999999</v>
      </c>
      <c r="K613">
        <v>15186</v>
      </c>
    </row>
    <row r="614" spans="1:11" x14ac:dyDescent="0.3">
      <c r="A614" t="s">
        <v>314</v>
      </c>
      <c r="B614" t="s">
        <v>1041</v>
      </c>
      <c r="C614" t="s">
        <v>1226</v>
      </c>
      <c r="D614" s="2">
        <v>40403</v>
      </c>
      <c r="E614">
        <v>4.0355340000000002</v>
      </c>
      <c r="F614" s="2">
        <v>40417</v>
      </c>
      <c r="G614">
        <v>3.5855790000000001</v>
      </c>
      <c r="H614" s="3">
        <v>-0.1115</v>
      </c>
      <c r="I614">
        <v>-4100.8</v>
      </c>
      <c r="J614" s="3">
        <v>-0.1134</v>
      </c>
      <c r="K614">
        <v>8962</v>
      </c>
    </row>
    <row r="615" spans="1:11" x14ac:dyDescent="0.3">
      <c r="A615" t="s">
        <v>533</v>
      </c>
      <c r="B615" t="s">
        <v>1042</v>
      </c>
      <c r="C615" t="s">
        <v>1226</v>
      </c>
      <c r="D615" s="2">
        <v>40256</v>
      </c>
      <c r="E615">
        <v>1.647716</v>
      </c>
      <c r="F615" s="2">
        <v>40368</v>
      </c>
      <c r="G615">
        <v>1.2710950000000001</v>
      </c>
      <c r="H615" s="3">
        <v>-0.2286</v>
      </c>
      <c r="I615">
        <v>-9289.24</v>
      </c>
      <c r="J615" s="3">
        <v>-0.2303</v>
      </c>
      <c r="K615">
        <v>24475</v>
      </c>
    </row>
    <row r="616" spans="1:11" x14ac:dyDescent="0.3">
      <c r="A616" t="s">
        <v>478</v>
      </c>
      <c r="B616" t="s">
        <v>956</v>
      </c>
      <c r="C616" t="s">
        <v>1226</v>
      </c>
      <c r="D616" s="2">
        <v>40249</v>
      </c>
      <c r="E616">
        <v>2.4649160000000001</v>
      </c>
      <c r="F616" s="2">
        <v>40368</v>
      </c>
      <c r="G616">
        <v>3.1171120000000001</v>
      </c>
      <c r="H616" s="3">
        <v>0.2646</v>
      </c>
      <c r="I616">
        <v>10348.41</v>
      </c>
      <c r="J616" s="3">
        <v>0.26229999999999998</v>
      </c>
      <c r="K616">
        <v>16004</v>
      </c>
    </row>
    <row r="617" spans="1:11" x14ac:dyDescent="0.3">
      <c r="A617" t="s">
        <v>534</v>
      </c>
      <c r="B617" t="s">
        <v>1043</v>
      </c>
      <c r="C617" t="s">
        <v>1226</v>
      </c>
      <c r="D617" s="2">
        <v>40256</v>
      </c>
      <c r="E617">
        <v>1.531639</v>
      </c>
      <c r="F617" s="2">
        <v>40326</v>
      </c>
      <c r="G617">
        <v>1.5100150000000001</v>
      </c>
      <c r="H617" s="3">
        <v>-1.41E-2</v>
      </c>
      <c r="I617">
        <v>-649.20000000000005</v>
      </c>
      <c r="J617" s="3">
        <v>-1.61E-2</v>
      </c>
      <c r="K617">
        <v>26320</v>
      </c>
    </row>
    <row r="618" spans="1:11" x14ac:dyDescent="0.3">
      <c r="A618" t="s">
        <v>492</v>
      </c>
      <c r="B618" t="s">
        <v>982</v>
      </c>
      <c r="C618" t="s">
        <v>1226</v>
      </c>
      <c r="D618" s="2">
        <v>40256</v>
      </c>
      <c r="E618">
        <v>1.812916</v>
      </c>
      <c r="F618" s="2">
        <v>40326</v>
      </c>
      <c r="G618">
        <v>1.9123589999999999</v>
      </c>
      <c r="H618" s="3">
        <v>5.4899999999999997E-2</v>
      </c>
      <c r="I618">
        <v>2128.7600000000002</v>
      </c>
      <c r="J618" s="3">
        <v>5.28E-2</v>
      </c>
      <c r="K618">
        <v>22240</v>
      </c>
    </row>
    <row r="619" spans="1:11" x14ac:dyDescent="0.3">
      <c r="A619" t="s">
        <v>160</v>
      </c>
      <c r="B619" t="s">
        <v>708</v>
      </c>
      <c r="C619" t="s">
        <v>1226</v>
      </c>
      <c r="D619" s="2">
        <v>40256</v>
      </c>
      <c r="E619">
        <v>0.75988250000000002</v>
      </c>
      <c r="F619" s="2">
        <v>40326</v>
      </c>
      <c r="G619">
        <v>0.68982239999999995</v>
      </c>
      <c r="H619" s="3">
        <v>-9.2200000000000004E-2</v>
      </c>
      <c r="I619">
        <v>-3795.53</v>
      </c>
      <c r="J619" s="3">
        <v>-9.4100000000000003E-2</v>
      </c>
      <c r="K619">
        <v>53077</v>
      </c>
    </row>
    <row r="620" spans="1:11" x14ac:dyDescent="0.3">
      <c r="A620" t="s">
        <v>528</v>
      </c>
      <c r="B620" t="s">
        <v>1035</v>
      </c>
      <c r="C620" t="s">
        <v>1226</v>
      </c>
      <c r="D620" s="2">
        <v>40249</v>
      </c>
      <c r="E620">
        <v>2.75</v>
      </c>
      <c r="F620" s="2">
        <v>40326</v>
      </c>
      <c r="G620">
        <v>3.06</v>
      </c>
      <c r="H620" s="3">
        <v>0.11269999999999999</v>
      </c>
      <c r="I620">
        <v>4362.3900000000003</v>
      </c>
      <c r="J620" s="3">
        <v>0.1106</v>
      </c>
      <c r="K620">
        <v>14341</v>
      </c>
    </row>
    <row r="621" spans="1:11" x14ac:dyDescent="0.3">
      <c r="A621" t="s">
        <v>535</v>
      </c>
      <c r="B621" t="s">
        <v>1044</v>
      </c>
      <c r="C621" t="s">
        <v>1226</v>
      </c>
      <c r="D621" s="2">
        <v>40249</v>
      </c>
      <c r="E621">
        <v>1.084579</v>
      </c>
      <c r="F621" s="2">
        <v>40326</v>
      </c>
      <c r="G621">
        <v>0.88738320000000004</v>
      </c>
      <c r="H621" s="3">
        <v>-0.18179999999999999</v>
      </c>
      <c r="I621">
        <v>-7242.74</v>
      </c>
      <c r="J621" s="3">
        <v>-0.18360000000000001</v>
      </c>
      <c r="K621">
        <v>36365</v>
      </c>
    </row>
    <row r="622" spans="1:11" x14ac:dyDescent="0.3">
      <c r="A622" t="s">
        <v>64</v>
      </c>
      <c r="B622" t="s">
        <v>776</v>
      </c>
      <c r="C622" t="s">
        <v>1226</v>
      </c>
      <c r="D622" s="2">
        <v>40263</v>
      </c>
      <c r="E622">
        <v>1.89933</v>
      </c>
      <c r="F622" s="2">
        <v>40312</v>
      </c>
      <c r="G622">
        <v>1.7175910000000001</v>
      </c>
      <c r="H622" s="3">
        <v>-9.5699999999999993E-2</v>
      </c>
      <c r="I622">
        <v>-3898.96</v>
      </c>
      <c r="J622" s="3">
        <v>-9.7600000000000006E-2</v>
      </c>
      <c r="K622">
        <v>21035</v>
      </c>
    </row>
    <row r="623" spans="1:11" x14ac:dyDescent="0.3">
      <c r="A623" t="s">
        <v>465</v>
      </c>
      <c r="B623" t="s">
        <v>934</v>
      </c>
      <c r="C623" t="s">
        <v>1226</v>
      </c>
      <c r="D623" s="2">
        <v>40263</v>
      </c>
      <c r="E623">
        <v>1.0395540000000001</v>
      </c>
      <c r="F623" s="2">
        <v>40312</v>
      </c>
      <c r="G623">
        <v>1.0032559999999999</v>
      </c>
      <c r="H623" s="3">
        <v>-3.49E-2</v>
      </c>
      <c r="I623">
        <v>-1473.67</v>
      </c>
      <c r="J623" s="3">
        <v>-3.6900000000000002E-2</v>
      </c>
      <c r="K623">
        <v>38436</v>
      </c>
    </row>
    <row r="624" spans="1:11" x14ac:dyDescent="0.3">
      <c r="A624" t="s">
        <v>536</v>
      </c>
      <c r="B624" t="s">
        <v>1045</v>
      </c>
      <c r="C624" t="s">
        <v>1226</v>
      </c>
      <c r="D624" s="2">
        <v>40263</v>
      </c>
      <c r="E624">
        <v>3.6452559999999998</v>
      </c>
      <c r="F624" s="2">
        <v>40312</v>
      </c>
      <c r="G624">
        <v>3.2633719999999999</v>
      </c>
      <c r="H624" s="3">
        <v>-0.1048</v>
      </c>
      <c r="I624">
        <v>-4262.33</v>
      </c>
      <c r="J624" s="3">
        <v>-0.1067</v>
      </c>
      <c r="K624">
        <v>10963</v>
      </c>
    </row>
    <row r="625" spans="1:11" x14ac:dyDescent="0.3">
      <c r="A625" t="s">
        <v>509</v>
      </c>
      <c r="B625" t="s">
        <v>1004</v>
      </c>
      <c r="C625" t="s">
        <v>1226</v>
      </c>
      <c r="D625" s="2">
        <v>40256</v>
      </c>
      <c r="E625">
        <v>4.9673759999999998</v>
      </c>
      <c r="F625" s="2">
        <v>40312</v>
      </c>
      <c r="G625">
        <v>4.4782169999999999</v>
      </c>
      <c r="H625" s="3">
        <v>-9.8500000000000004E-2</v>
      </c>
      <c r="I625">
        <v>-4045.68</v>
      </c>
      <c r="J625" s="3">
        <v>-0.1004</v>
      </c>
      <c r="K625">
        <v>8114</v>
      </c>
    </row>
    <row r="626" spans="1:11" x14ac:dyDescent="0.3">
      <c r="A626" t="s">
        <v>98</v>
      </c>
      <c r="B626" t="s">
        <v>1046</v>
      </c>
      <c r="C626" t="s">
        <v>1226</v>
      </c>
      <c r="D626" s="2">
        <v>40256</v>
      </c>
      <c r="E626">
        <v>1.1843710000000001</v>
      </c>
      <c r="F626" s="2">
        <v>40312</v>
      </c>
      <c r="G626">
        <v>1.0081180000000001</v>
      </c>
      <c r="H626" s="3">
        <v>-0.14879999999999999</v>
      </c>
      <c r="I626">
        <v>-6074.28</v>
      </c>
      <c r="J626" s="3">
        <v>-0.1507</v>
      </c>
      <c r="K626">
        <v>34040</v>
      </c>
    </row>
    <row r="627" spans="1:11" x14ac:dyDescent="0.3">
      <c r="A627" t="s">
        <v>83</v>
      </c>
      <c r="B627" t="s">
        <v>985</v>
      </c>
      <c r="C627" t="s">
        <v>1226</v>
      </c>
      <c r="D627" s="2">
        <v>40256</v>
      </c>
      <c r="E627">
        <v>1.1136839999999999</v>
      </c>
      <c r="F627" s="2">
        <v>40312</v>
      </c>
      <c r="G627">
        <v>0.92878680000000002</v>
      </c>
      <c r="H627" s="3">
        <v>-0.16600000000000001</v>
      </c>
      <c r="I627">
        <v>-6768.71</v>
      </c>
      <c r="J627" s="3">
        <v>-0.16789999999999999</v>
      </c>
      <c r="K627">
        <v>36208</v>
      </c>
    </row>
    <row r="628" spans="1:11" x14ac:dyDescent="0.3">
      <c r="A628" t="s">
        <v>537</v>
      </c>
      <c r="B628" t="s">
        <v>1047</v>
      </c>
      <c r="C628" t="s">
        <v>1226</v>
      </c>
      <c r="D628" s="2">
        <v>40249</v>
      </c>
      <c r="E628">
        <v>1.87</v>
      </c>
      <c r="F628" s="2">
        <v>40312</v>
      </c>
      <c r="G628">
        <v>1.93</v>
      </c>
      <c r="H628" s="3">
        <v>3.2099999999999997E-2</v>
      </c>
      <c r="I628">
        <v>1185.43</v>
      </c>
      <c r="J628" s="3">
        <v>3.0099999999999998E-2</v>
      </c>
      <c r="K628">
        <v>21093</v>
      </c>
    </row>
    <row r="629" spans="1:11" x14ac:dyDescent="0.3">
      <c r="A629" t="s">
        <v>538</v>
      </c>
      <c r="B629" t="s">
        <v>1048</v>
      </c>
      <c r="C629" t="s">
        <v>1226</v>
      </c>
      <c r="D629" s="2">
        <v>40200</v>
      </c>
      <c r="E629">
        <v>1.630485</v>
      </c>
      <c r="F629" s="2">
        <v>40312</v>
      </c>
      <c r="G629">
        <v>1.528929</v>
      </c>
      <c r="H629" s="3">
        <v>-6.2300000000000001E-2</v>
      </c>
      <c r="I629">
        <v>-2807.11</v>
      </c>
      <c r="J629" s="3">
        <v>-6.4199999999999993E-2</v>
      </c>
      <c r="K629">
        <v>26807</v>
      </c>
    </row>
    <row r="630" spans="1:11" x14ac:dyDescent="0.3">
      <c r="A630" t="s">
        <v>315</v>
      </c>
      <c r="B630" t="s">
        <v>1049</v>
      </c>
      <c r="C630" t="s">
        <v>1226</v>
      </c>
      <c r="D630" s="2">
        <v>39912</v>
      </c>
      <c r="E630">
        <v>1.5094030000000001</v>
      </c>
      <c r="F630" s="2">
        <v>40312</v>
      </c>
      <c r="G630">
        <v>2.589912</v>
      </c>
      <c r="H630" s="3">
        <v>0.71589999999999998</v>
      </c>
      <c r="I630">
        <v>16261.32</v>
      </c>
      <c r="J630" s="3">
        <v>0.71309999999999996</v>
      </c>
      <c r="K630">
        <v>15107</v>
      </c>
    </row>
    <row r="631" spans="1:11" x14ac:dyDescent="0.3">
      <c r="A631" t="s">
        <v>539</v>
      </c>
      <c r="B631" t="s">
        <v>1050</v>
      </c>
      <c r="C631" t="s">
        <v>1226</v>
      </c>
      <c r="D631" s="2">
        <v>39906</v>
      </c>
      <c r="E631">
        <v>1.27</v>
      </c>
      <c r="F631" s="2">
        <v>40312</v>
      </c>
      <c r="G631">
        <v>2.67</v>
      </c>
      <c r="H631" s="3">
        <v>1.1024</v>
      </c>
      <c r="I631">
        <v>25235.18</v>
      </c>
      <c r="J631" s="3">
        <v>1.0992999999999999</v>
      </c>
      <c r="K631">
        <v>18076</v>
      </c>
    </row>
    <row r="632" spans="1:11" x14ac:dyDescent="0.3">
      <c r="A632" t="s">
        <v>540</v>
      </c>
      <c r="B632" t="s">
        <v>1051</v>
      </c>
      <c r="C632" t="s">
        <v>1226</v>
      </c>
      <c r="D632" s="2">
        <v>40263</v>
      </c>
      <c r="E632">
        <v>6.11</v>
      </c>
      <c r="F632" s="2">
        <v>40305</v>
      </c>
      <c r="G632">
        <v>4.71</v>
      </c>
      <c r="H632" s="3">
        <v>-0.2291</v>
      </c>
      <c r="I632">
        <v>-9226.76</v>
      </c>
      <c r="J632" s="3">
        <v>-0.23089999999999999</v>
      </c>
      <c r="K632">
        <v>6540</v>
      </c>
    </row>
    <row r="633" spans="1:11" x14ac:dyDescent="0.3">
      <c r="A633" t="s">
        <v>541</v>
      </c>
      <c r="B633" t="s">
        <v>1052</v>
      </c>
      <c r="C633" t="s">
        <v>1226</v>
      </c>
      <c r="D633" s="2">
        <v>40004</v>
      </c>
      <c r="E633">
        <v>2.0203790000000001</v>
      </c>
      <c r="F633" s="2">
        <v>40242</v>
      </c>
      <c r="G633">
        <v>2.1551779999999998</v>
      </c>
      <c r="H633" s="3">
        <v>6.6699999999999995E-2</v>
      </c>
      <c r="I633">
        <v>1842.18</v>
      </c>
      <c r="J633" s="3">
        <v>6.4699999999999994E-2</v>
      </c>
      <c r="K633">
        <v>14103</v>
      </c>
    </row>
    <row r="634" spans="1:11" x14ac:dyDescent="0.3">
      <c r="A634" t="s">
        <v>542</v>
      </c>
      <c r="B634" t="s">
        <v>1053</v>
      </c>
      <c r="C634" t="s">
        <v>1226</v>
      </c>
      <c r="D634" s="2">
        <v>40158</v>
      </c>
      <c r="E634">
        <v>0.7870743</v>
      </c>
      <c r="F634" s="2">
        <v>40228</v>
      </c>
      <c r="G634">
        <v>0.73261750000000003</v>
      </c>
      <c r="H634" s="3">
        <v>-6.9199999999999998E-2</v>
      </c>
      <c r="I634">
        <v>-3066.9</v>
      </c>
      <c r="J634" s="3">
        <v>-7.1099999999999997E-2</v>
      </c>
      <c r="K634">
        <v>54789</v>
      </c>
    </row>
    <row r="635" spans="1:11" x14ac:dyDescent="0.3">
      <c r="A635" t="s">
        <v>533</v>
      </c>
      <c r="B635" t="s">
        <v>1042</v>
      </c>
      <c r="C635" t="s">
        <v>1226</v>
      </c>
      <c r="D635" s="2">
        <v>40207</v>
      </c>
      <c r="E635">
        <v>1.3887890000000001</v>
      </c>
      <c r="F635" s="2">
        <v>40221</v>
      </c>
      <c r="G635">
        <v>1.257172</v>
      </c>
      <c r="H635" s="3">
        <v>-9.4799999999999995E-2</v>
      </c>
      <c r="I635">
        <v>-3974.18</v>
      </c>
      <c r="J635" s="3">
        <v>-9.6699999999999994E-2</v>
      </c>
      <c r="K635">
        <v>29600</v>
      </c>
    </row>
    <row r="636" spans="1:11" x14ac:dyDescent="0.3">
      <c r="A636" t="s">
        <v>316</v>
      </c>
      <c r="B636" t="s">
        <v>1054</v>
      </c>
      <c r="C636" t="s">
        <v>1226</v>
      </c>
      <c r="D636" s="2">
        <v>40193</v>
      </c>
      <c r="E636">
        <v>1.6707419999999999</v>
      </c>
      <c r="F636" s="2">
        <v>40221</v>
      </c>
      <c r="G636">
        <v>1.633197</v>
      </c>
      <c r="H636" s="3">
        <v>-2.2499999999999999E-2</v>
      </c>
      <c r="I636">
        <v>-1050.8</v>
      </c>
      <c r="J636" s="3">
        <v>-2.4400000000000002E-2</v>
      </c>
      <c r="K636">
        <v>25724</v>
      </c>
    </row>
    <row r="637" spans="1:11" x14ac:dyDescent="0.3">
      <c r="A637" t="s">
        <v>543</v>
      </c>
      <c r="B637" t="s">
        <v>1055</v>
      </c>
      <c r="C637" t="s">
        <v>1226</v>
      </c>
      <c r="D637" s="2">
        <v>39912</v>
      </c>
      <c r="E637">
        <v>0.50561869999999998</v>
      </c>
      <c r="F637" s="2">
        <v>40221</v>
      </c>
      <c r="G637">
        <v>1.258313</v>
      </c>
      <c r="H637" s="3">
        <v>1.4886999999999999</v>
      </c>
      <c r="I637">
        <v>33883.480000000003</v>
      </c>
      <c r="J637" s="3">
        <v>1.4852000000000001</v>
      </c>
      <c r="K637">
        <v>45122</v>
      </c>
    </row>
    <row r="638" spans="1:11" x14ac:dyDescent="0.3">
      <c r="A638" t="s">
        <v>544</v>
      </c>
      <c r="B638" t="s">
        <v>1056</v>
      </c>
      <c r="C638" t="s">
        <v>1226</v>
      </c>
      <c r="D638" s="2">
        <v>40158</v>
      </c>
      <c r="E638">
        <v>5.75</v>
      </c>
      <c r="F638" s="2">
        <v>40218</v>
      </c>
      <c r="G638">
        <v>5.28</v>
      </c>
      <c r="H638" s="3">
        <v>-8.1699999999999995E-2</v>
      </c>
      <c r="I638">
        <v>-3606.76</v>
      </c>
      <c r="J638" s="3">
        <v>-8.3699999999999997E-2</v>
      </c>
      <c r="K638">
        <v>7498</v>
      </c>
    </row>
    <row r="639" spans="1:11" x14ac:dyDescent="0.3">
      <c r="A639" t="s">
        <v>302</v>
      </c>
      <c r="B639" t="s">
        <v>999</v>
      </c>
      <c r="C639" t="s">
        <v>1226</v>
      </c>
      <c r="D639" s="2">
        <v>40200</v>
      </c>
      <c r="E639">
        <v>7.4326169999999996</v>
      </c>
      <c r="F639" s="2">
        <v>40214</v>
      </c>
      <c r="G639">
        <v>6.0427780000000002</v>
      </c>
      <c r="H639" s="3">
        <v>-0.187</v>
      </c>
      <c r="I639">
        <v>-8251.49</v>
      </c>
      <c r="J639" s="3">
        <v>-0.1888</v>
      </c>
      <c r="K639">
        <v>5880</v>
      </c>
    </row>
    <row r="640" spans="1:11" x14ac:dyDescent="0.3">
      <c r="A640" t="s">
        <v>317</v>
      </c>
      <c r="B640" t="s">
        <v>1057</v>
      </c>
      <c r="C640" t="s">
        <v>1226</v>
      </c>
      <c r="D640" s="2">
        <v>40193</v>
      </c>
      <c r="E640">
        <v>1.9016409999999999</v>
      </c>
      <c r="F640" s="2">
        <v>40214</v>
      </c>
      <c r="G640">
        <v>1.442307</v>
      </c>
      <c r="H640" s="3">
        <v>-0.24149999999999999</v>
      </c>
      <c r="I640">
        <v>-10457.91</v>
      </c>
      <c r="J640" s="3">
        <v>-0.24329999999999999</v>
      </c>
      <c r="K640">
        <v>22603</v>
      </c>
    </row>
    <row r="641" spans="1:11" x14ac:dyDescent="0.3">
      <c r="A641" t="s">
        <v>537</v>
      </c>
      <c r="B641" t="s">
        <v>1047</v>
      </c>
      <c r="C641" t="s">
        <v>1226</v>
      </c>
      <c r="D641" s="2">
        <v>40193</v>
      </c>
      <c r="E641">
        <v>1.7196199999999999</v>
      </c>
      <c r="F641" s="2">
        <v>40214</v>
      </c>
      <c r="G641">
        <v>1.4413</v>
      </c>
      <c r="H641" s="3">
        <v>-0.1618</v>
      </c>
      <c r="I641">
        <v>-7036.46</v>
      </c>
      <c r="J641" s="3">
        <v>-0.16370000000000001</v>
      </c>
      <c r="K641">
        <v>24998</v>
      </c>
    </row>
    <row r="642" spans="1:11" x14ac:dyDescent="0.3">
      <c r="A642" t="s">
        <v>102</v>
      </c>
      <c r="B642" t="s">
        <v>771</v>
      </c>
      <c r="C642" t="s">
        <v>1226</v>
      </c>
      <c r="D642" s="2">
        <v>40186</v>
      </c>
      <c r="E642">
        <v>1.0743020000000001</v>
      </c>
      <c r="F642" s="2">
        <v>40214</v>
      </c>
      <c r="G642">
        <v>0.92927159999999998</v>
      </c>
      <c r="H642" s="3">
        <v>-0.13500000000000001</v>
      </c>
      <c r="I642">
        <v>-5799.46</v>
      </c>
      <c r="J642" s="3">
        <v>-0.13689999999999999</v>
      </c>
      <c r="K642">
        <v>39443</v>
      </c>
    </row>
    <row r="643" spans="1:11" x14ac:dyDescent="0.3">
      <c r="A643" t="s">
        <v>545</v>
      </c>
      <c r="B643" t="s">
        <v>1058</v>
      </c>
      <c r="C643" t="s">
        <v>1226</v>
      </c>
      <c r="D643" s="2">
        <v>40158</v>
      </c>
      <c r="E643">
        <v>0.57089900000000005</v>
      </c>
      <c r="F643" s="2">
        <v>40214</v>
      </c>
      <c r="G643">
        <v>0.55218089999999997</v>
      </c>
      <c r="H643" s="3">
        <v>-3.2800000000000003E-2</v>
      </c>
      <c r="I643">
        <v>-1498.84</v>
      </c>
      <c r="J643" s="3">
        <v>-3.4799999999999998E-2</v>
      </c>
      <c r="K643">
        <v>75542</v>
      </c>
    </row>
    <row r="644" spans="1:11" x14ac:dyDescent="0.3">
      <c r="A644" t="s">
        <v>546</v>
      </c>
      <c r="B644" t="s">
        <v>1059</v>
      </c>
      <c r="C644" t="s">
        <v>1226</v>
      </c>
      <c r="D644" s="2">
        <v>39997</v>
      </c>
      <c r="E644">
        <v>3.041979</v>
      </c>
      <c r="F644" s="2">
        <v>40214</v>
      </c>
      <c r="G644">
        <v>5.5979580000000002</v>
      </c>
      <c r="H644" s="3">
        <v>0.84019999999999995</v>
      </c>
      <c r="I644">
        <v>23868.57</v>
      </c>
      <c r="J644" s="3">
        <v>0.83740000000000003</v>
      </c>
      <c r="K644">
        <v>9370</v>
      </c>
    </row>
    <row r="645" spans="1:11" x14ac:dyDescent="0.3">
      <c r="A645" t="s">
        <v>318</v>
      </c>
      <c r="B645" t="s">
        <v>1060</v>
      </c>
      <c r="C645" t="s">
        <v>1226</v>
      </c>
      <c r="D645" s="2">
        <v>39912</v>
      </c>
      <c r="E645">
        <v>1.8181290000000001</v>
      </c>
      <c r="F645" s="2">
        <v>40214</v>
      </c>
      <c r="G645">
        <v>2.4749400000000001</v>
      </c>
      <c r="H645" s="3">
        <v>0.36130000000000001</v>
      </c>
      <c r="I645">
        <v>8186.49</v>
      </c>
      <c r="J645" s="3">
        <v>0.3589</v>
      </c>
      <c r="K645">
        <v>12546</v>
      </c>
    </row>
    <row r="646" spans="1:11" x14ac:dyDescent="0.3">
      <c r="A646" t="s">
        <v>93</v>
      </c>
      <c r="B646" t="s">
        <v>742</v>
      </c>
      <c r="C646" t="s">
        <v>1226</v>
      </c>
      <c r="D646" s="2">
        <v>39906</v>
      </c>
      <c r="E646">
        <v>1.1417299999999999</v>
      </c>
      <c r="F646" s="2">
        <v>40214</v>
      </c>
      <c r="G646">
        <v>1.3573010000000001</v>
      </c>
      <c r="H646" s="3">
        <v>0.1888</v>
      </c>
      <c r="I646">
        <v>4282.53</v>
      </c>
      <c r="J646" s="3">
        <v>0.18659999999999999</v>
      </c>
      <c r="K646">
        <v>20099</v>
      </c>
    </row>
    <row r="647" spans="1:11" x14ac:dyDescent="0.3">
      <c r="A647" t="s">
        <v>547</v>
      </c>
      <c r="B647" t="s">
        <v>1061</v>
      </c>
      <c r="C647" t="s">
        <v>1226</v>
      </c>
      <c r="D647" s="2">
        <v>40178</v>
      </c>
      <c r="E647">
        <v>0.98</v>
      </c>
      <c r="F647" s="2">
        <v>40205</v>
      </c>
      <c r="G647">
        <v>1.04</v>
      </c>
      <c r="H647" s="3">
        <v>6.1199999999999997E-2</v>
      </c>
      <c r="I647">
        <v>2473.66</v>
      </c>
      <c r="J647" s="3">
        <v>5.9200000000000003E-2</v>
      </c>
      <c r="K647">
        <v>42664</v>
      </c>
    </row>
    <row r="648" spans="1:11" x14ac:dyDescent="0.3">
      <c r="A648" t="s">
        <v>537</v>
      </c>
      <c r="B648" t="s">
        <v>1047</v>
      </c>
      <c r="C648" t="s">
        <v>1226</v>
      </c>
      <c r="D648" s="2">
        <v>40158</v>
      </c>
      <c r="E648">
        <v>1.38663</v>
      </c>
      <c r="F648" s="2">
        <v>40171</v>
      </c>
      <c r="G648">
        <v>1.26735</v>
      </c>
      <c r="H648" s="3">
        <v>-8.5999999999999993E-2</v>
      </c>
      <c r="I648">
        <v>-3792.76</v>
      </c>
      <c r="J648" s="3">
        <v>-8.7900000000000006E-2</v>
      </c>
      <c r="K648">
        <v>31105</v>
      </c>
    </row>
    <row r="649" spans="1:11" x14ac:dyDescent="0.3">
      <c r="A649" t="s">
        <v>548</v>
      </c>
      <c r="B649" t="s">
        <v>1062</v>
      </c>
      <c r="C649" t="s">
        <v>1226</v>
      </c>
      <c r="D649" s="2">
        <v>39912</v>
      </c>
      <c r="E649">
        <v>6.0716749999999999</v>
      </c>
      <c r="F649" s="2">
        <v>40171</v>
      </c>
      <c r="G649">
        <v>12.83234</v>
      </c>
      <c r="H649" s="3">
        <v>1.1134999999999999</v>
      </c>
      <c r="I649">
        <v>25328.799999999999</v>
      </c>
      <c r="J649" s="3">
        <v>1.1104000000000001</v>
      </c>
      <c r="K649">
        <v>3757</v>
      </c>
    </row>
    <row r="650" spans="1:11" x14ac:dyDescent="0.3">
      <c r="A650" t="s">
        <v>549</v>
      </c>
      <c r="B650" t="s">
        <v>1063</v>
      </c>
      <c r="C650" t="s">
        <v>1226</v>
      </c>
      <c r="D650" s="2">
        <v>39912</v>
      </c>
      <c r="E650">
        <v>1.546854</v>
      </c>
      <c r="F650" s="2">
        <v>40165</v>
      </c>
      <c r="G650">
        <v>2.3875350000000002</v>
      </c>
      <c r="H650" s="3">
        <v>0.54349999999999998</v>
      </c>
      <c r="I650">
        <v>12342.01</v>
      </c>
      <c r="J650" s="3">
        <v>0.54090000000000005</v>
      </c>
      <c r="K650">
        <v>14750</v>
      </c>
    </row>
    <row r="651" spans="1:11" x14ac:dyDescent="0.3">
      <c r="A651" t="s">
        <v>550</v>
      </c>
      <c r="B651" t="s">
        <v>1064</v>
      </c>
      <c r="C651" t="s">
        <v>1226</v>
      </c>
      <c r="D651" s="2">
        <v>39912</v>
      </c>
      <c r="E651">
        <v>0.63446780000000003</v>
      </c>
      <c r="F651" s="2">
        <v>40165</v>
      </c>
      <c r="G651">
        <v>2.62</v>
      </c>
      <c r="H651" s="3">
        <v>3.1294</v>
      </c>
      <c r="I651">
        <v>71300.55</v>
      </c>
      <c r="J651" s="3">
        <v>3.1242999999999999</v>
      </c>
      <c r="K651">
        <v>35969</v>
      </c>
    </row>
    <row r="652" spans="1:11" x14ac:dyDescent="0.3">
      <c r="A652" t="s">
        <v>434</v>
      </c>
      <c r="B652" t="s">
        <v>879</v>
      </c>
      <c r="C652" t="s">
        <v>1226</v>
      </c>
      <c r="D652" s="2">
        <v>39906</v>
      </c>
      <c r="E652">
        <v>1.0227409999999999</v>
      </c>
      <c r="F652" s="2">
        <v>40165</v>
      </c>
      <c r="G652">
        <v>1.6619550000000001</v>
      </c>
      <c r="H652" s="3">
        <v>0.625</v>
      </c>
      <c r="I652">
        <v>14276.72</v>
      </c>
      <c r="J652" s="3">
        <v>0.62239999999999995</v>
      </c>
      <c r="K652">
        <v>22429</v>
      </c>
    </row>
    <row r="653" spans="1:11" x14ac:dyDescent="0.3">
      <c r="A653" t="s">
        <v>535</v>
      </c>
      <c r="B653" t="s">
        <v>1044</v>
      </c>
      <c r="C653" t="s">
        <v>1226</v>
      </c>
      <c r="D653" s="2">
        <v>40018</v>
      </c>
      <c r="E653">
        <v>0.58560679999999998</v>
      </c>
      <c r="F653" s="2">
        <v>40158</v>
      </c>
      <c r="G653">
        <v>0.8380841</v>
      </c>
      <c r="H653" s="3">
        <v>0.43109999999999998</v>
      </c>
      <c r="I653">
        <v>12500.96</v>
      </c>
      <c r="J653" s="3">
        <v>0.42870000000000003</v>
      </c>
      <c r="K653">
        <v>49794</v>
      </c>
    </row>
    <row r="654" spans="1:11" x14ac:dyDescent="0.3">
      <c r="A654" t="s">
        <v>551</v>
      </c>
      <c r="B654" t="s">
        <v>1065</v>
      </c>
      <c r="C654" t="s">
        <v>1226</v>
      </c>
      <c r="D654" s="2">
        <v>40025</v>
      </c>
      <c r="E654">
        <v>0.79</v>
      </c>
      <c r="F654" s="2">
        <v>40151</v>
      </c>
      <c r="G654">
        <v>1.075</v>
      </c>
      <c r="H654" s="3">
        <v>0.36080000000000001</v>
      </c>
      <c r="I654">
        <v>11064.07</v>
      </c>
      <c r="J654" s="3">
        <v>0.3584</v>
      </c>
      <c r="K654">
        <v>39077</v>
      </c>
    </row>
    <row r="655" spans="1:11" x14ac:dyDescent="0.3">
      <c r="A655" t="s">
        <v>471</v>
      </c>
      <c r="B655" t="s">
        <v>949</v>
      </c>
      <c r="C655" t="s">
        <v>1226</v>
      </c>
      <c r="D655" s="2">
        <v>40025</v>
      </c>
      <c r="E655">
        <v>1.9477139999999999</v>
      </c>
      <c r="F655" s="2">
        <v>40151</v>
      </c>
      <c r="G655">
        <v>2.7023030000000001</v>
      </c>
      <c r="H655" s="3">
        <v>0.38740000000000002</v>
      </c>
      <c r="I655">
        <v>11888.78</v>
      </c>
      <c r="J655" s="3">
        <v>0.38500000000000001</v>
      </c>
      <c r="K655">
        <v>15853</v>
      </c>
    </row>
    <row r="656" spans="1:11" x14ac:dyDescent="0.3">
      <c r="A656" t="s">
        <v>552</v>
      </c>
      <c r="B656" t="s">
        <v>1066</v>
      </c>
      <c r="C656" t="s">
        <v>1226</v>
      </c>
      <c r="D656" s="2">
        <v>39906</v>
      </c>
      <c r="E656">
        <v>1.193689</v>
      </c>
      <c r="F656" s="2">
        <v>40151</v>
      </c>
      <c r="G656">
        <v>1.763404</v>
      </c>
      <c r="H656" s="3">
        <v>0.4773</v>
      </c>
      <c r="I656">
        <v>10894.22</v>
      </c>
      <c r="J656" s="3">
        <v>0.4748</v>
      </c>
      <c r="K656">
        <v>19222</v>
      </c>
    </row>
    <row r="657" spans="1:11" x14ac:dyDescent="0.3">
      <c r="A657" t="s">
        <v>506</v>
      </c>
      <c r="B657" t="s">
        <v>1000</v>
      </c>
      <c r="C657" t="s">
        <v>1226</v>
      </c>
      <c r="D657" s="2">
        <v>39906</v>
      </c>
      <c r="E657">
        <v>2.0399509999999998</v>
      </c>
      <c r="F657" s="2">
        <v>40151</v>
      </c>
      <c r="G657">
        <v>3.3461240000000001</v>
      </c>
      <c r="H657" s="3">
        <v>0.64029999999999998</v>
      </c>
      <c r="I657">
        <v>14636.45</v>
      </c>
      <c r="J657" s="3">
        <v>0.63770000000000004</v>
      </c>
      <c r="K657">
        <v>11252</v>
      </c>
    </row>
    <row r="658" spans="1:11" x14ac:dyDescent="0.3">
      <c r="A658" t="s">
        <v>540</v>
      </c>
      <c r="B658" t="s">
        <v>1051</v>
      </c>
      <c r="C658" t="s">
        <v>1226</v>
      </c>
      <c r="D658" s="2">
        <v>39906</v>
      </c>
      <c r="E658">
        <v>1.9</v>
      </c>
      <c r="F658" s="2">
        <v>40151</v>
      </c>
      <c r="G658">
        <v>4.3600000000000003</v>
      </c>
      <c r="H658" s="3">
        <v>1.2947</v>
      </c>
      <c r="I658">
        <v>29648.54</v>
      </c>
      <c r="J658" s="3">
        <v>1.2914000000000001</v>
      </c>
      <c r="K658">
        <v>12083</v>
      </c>
    </row>
    <row r="659" spans="1:11" x14ac:dyDescent="0.3">
      <c r="A659" t="s">
        <v>492</v>
      </c>
      <c r="B659" t="s">
        <v>982</v>
      </c>
      <c r="C659" t="s">
        <v>1226</v>
      </c>
      <c r="D659" s="2">
        <v>39906</v>
      </c>
      <c r="E659">
        <v>1.121356</v>
      </c>
      <c r="F659" s="2">
        <v>40130</v>
      </c>
      <c r="G659">
        <v>1.3100149999999999</v>
      </c>
      <c r="H659" s="3">
        <v>0.16819999999999999</v>
      </c>
      <c r="I659">
        <v>3810.22</v>
      </c>
      <c r="J659" s="3">
        <v>0.1661</v>
      </c>
      <c r="K659">
        <v>20460</v>
      </c>
    </row>
    <row r="660" spans="1:11" x14ac:dyDescent="0.3">
      <c r="A660" t="s">
        <v>319</v>
      </c>
      <c r="B660" t="s">
        <v>1067</v>
      </c>
      <c r="C660" t="s">
        <v>1226</v>
      </c>
      <c r="D660" s="2">
        <v>39912</v>
      </c>
      <c r="E660">
        <v>11.1</v>
      </c>
      <c r="F660" s="2">
        <v>40011</v>
      </c>
      <c r="G660">
        <v>10.45</v>
      </c>
      <c r="H660" s="3">
        <v>-5.8599999999999999E-2</v>
      </c>
      <c r="I660">
        <v>-1379.36</v>
      </c>
      <c r="J660" s="3">
        <v>-6.0499999999999998E-2</v>
      </c>
      <c r="K660">
        <v>2054</v>
      </c>
    </row>
    <row r="661" spans="1:11" x14ac:dyDescent="0.3">
      <c r="A661" t="s">
        <v>494</v>
      </c>
      <c r="B661" t="s">
        <v>986</v>
      </c>
      <c r="C661" t="s">
        <v>1226</v>
      </c>
      <c r="D661" s="2">
        <v>39906</v>
      </c>
      <c r="E661">
        <v>0.64721010000000001</v>
      </c>
      <c r="F661" s="2">
        <v>40011</v>
      </c>
      <c r="G661">
        <v>0.68409779999999998</v>
      </c>
      <c r="H661" s="3">
        <v>5.7000000000000002E-2</v>
      </c>
      <c r="I661">
        <v>1260.83</v>
      </c>
      <c r="J661" s="3">
        <v>5.4899999999999997E-2</v>
      </c>
      <c r="K661">
        <v>35460</v>
      </c>
    </row>
    <row r="662" spans="1:11" x14ac:dyDescent="0.3">
      <c r="A662" t="s">
        <v>449</v>
      </c>
      <c r="B662" t="s">
        <v>909</v>
      </c>
      <c r="C662" t="s">
        <v>1226</v>
      </c>
      <c r="D662" s="2">
        <v>39906</v>
      </c>
      <c r="E662">
        <v>1.308354</v>
      </c>
      <c r="F662" s="2">
        <v>40011</v>
      </c>
      <c r="G662">
        <v>1.794314</v>
      </c>
      <c r="H662" s="3">
        <v>0.37140000000000001</v>
      </c>
      <c r="I662">
        <v>8473.66</v>
      </c>
      <c r="J662" s="3">
        <v>0.36909999999999998</v>
      </c>
      <c r="K662">
        <v>17549</v>
      </c>
    </row>
    <row r="663" spans="1:11" x14ac:dyDescent="0.3">
      <c r="A663" t="s">
        <v>553</v>
      </c>
      <c r="B663" t="s">
        <v>1068</v>
      </c>
      <c r="C663" t="s">
        <v>1226</v>
      </c>
      <c r="D663" s="2">
        <v>39906</v>
      </c>
      <c r="E663">
        <v>4.4711999999999996</v>
      </c>
      <c r="F663" s="2">
        <v>39997</v>
      </c>
      <c r="G663">
        <v>6.55776</v>
      </c>
      <c r="H663" s="3">
        <v>0.4667</v>
      </c>
      <c r="I663">
        <v>10657.85</v>
      </c>
      <c r="J663" s="3">
        <v>0.4642</v>
      </c>
      <c r="K663">
        <v>5135</v>
      </c>
    </row>
    <row r="664" spans="1:11" x14ac:dyDescent="0.3">
      <c r="A664" t="s">
        <v>440</v>
      </c>
      <c r="B664" t="s">
        <v>892</v>
      </c>
      <c r="C664" t="s">
        <v>1226</v>
      </c>
      <c r="D664" s="2">
        <v>39912</v>
      </c>
      <c r="E664">
        <v>1.8008409999999999</v>
      </c>
      <c r="F664" s="2">
        <v>39997</v>
      </c>
      <c r="G664">
        <v>2.5932110000000002</v>
      </c>
      <c r="H664" s="3">
        <v>0.44</v>
      </c>
      <c r="I664">
        <v>9978.93</v>
      </c>
      <c r="J664" s="3">
        <v>0.43759999999999999</v>
      </c>
      <c r="K664">
        <v>12664</v>
      </c>
    </row>
    <row r="665" spans="1:11" x14ac:dyDescent="0.3">
      <c r="A665" t="s">
        <v>554</v>
      </c>
      <c r="B665" t="s">
        <v>1069</v>
      </c>
      <c r="C665" t="s">
        <v>1226</v>
      </c>
      <c r="D665" s="2">
        <v>39912</v>
      </c>
      <c r="E665">
        <v>1.2409570000000001</v>
      </c>
      <c r="F665" s="2">
        <v>39997</v>
      </c>
      <c r="G665">
        <v>1.051164</v>
      </c>
      <c r="H665" s="3">
        <v>-0.15290000000000001</v>
      </c>
      <c r="I665">
        <v>-3532.06</v>
      </c>
      <c r="J665" s="3">
        <v>-0.15479999999999999</v>
      </c>
      <c r="K665">
        <v>18388</v>
      </c>
    </row>
    <row r="666" spans="1:11" x14ac:dyDescent="0.3">
      <c r="A666" t="s">
        <v>555</v>
      </c>
      <c r="B666" t="s">
        <v>1070</v>
      </c>
      <c r="C666" t="s">
        <v>1226</v>
      </c>
      <c r="D666" s="2">
        <v>39906</v>
      </c>
      <c r="E666">
        <v>1.395</v>
      </c>
      <c r="F666" s="2">
        <v>39995</v>
      </c>
      <c r="G666">
        <v>1.4</v>
      </c>
      <c r="H666" s="3">
        <v>3.5999999999999999E-3</v>
      </c>
      <c r="I666">
        <v>36.28</v>
      </c>
      <c r="J666" s="3">
        <v>1.6000000000000001E-3</v>
      </c>
      <c r="K666">
        <v>16453</v>
      </c>
    </row>
    <row r="667" spans="1:11" x14ac:dyDescent="0.3">
      <c r="A667" t="s">
        <v>320</v>
      </c>
      <c r="B667" t="s">
        <v>1071</v>
      </c>
      <c r="C667" t="s">
        <v>1226</v>
      </c>
      <c r="D667" s="2">
        <v>37099</v>
      </c>
      <c r="E667">
        <v>1.5149790000000001</v>
      </c>
      <c r="F667" s="2">
        <v>39738</v>
      </c>
      <c r="G667">
        <v>3.1475520000000001</v>
      </c>
      <c r="H667" s="3">
        <v>1.0775999999999999</v>
      </c>
      <c r="I667">
        <v>5510.48</v>
      </c>
      <c r="J667" s="3">
        <v>1.0745</v>
      </c>
      <c r="K667">
        <v>3385</v>
      </c>
    </row>
    <row r="668" spans="1:11" x14ac:dyDescent="0.3">
      <c r="A668" t="s">
        <v>321</v>
      </c>
      <c r="B668" t="s">
        <v>1072</v>
      </c>
      <c r="C668" t="s">
        <v>1226</v>
      </c>
      <c r="D668" s="2">
        <v>37743</v>
      </c>
      <c r="E668">
        <v>0.98396620000000001</v>
      </c>
      <c r="F668" s="2">
        <v>39738</v>
      </c>
      <c r="G668">
        <v>1.379723</v>
      </c>
      <c r="H668" s="3">
        <v>0.4022</v>
      </c>
      <c r="I668">
        <v>2345.41</v>
      </c>
      <c r="J668" s="3">
        <v>0.39979999999999999</v>
      </c>
      <c r="K668">
        <v>5962</v>
      </c>
    </row>
    <row r="669" spans="1:11" x14ac:dyDescent="0.3">
      <c r="A669" t="s">
        <v>556</v>
      </c>
      <c r="B669" t="s">
        <v>1073</v>
      </c>
      <c r="C669" t="s">
        <v>1226</v>
      </c>
      <c r="D669" s="2">
        <v>39577</v>
      </c>
      <c r="E669">
        <v>6.27</v>
      </c>
      <c r="F669" s="2">
        <v>39716</v>
      </c>
      <c r="G669">
        <v>6.4</v>
      </c>
      <c r="H669" s="3">
        <v>2.07E-2</v>
      </c>
      <c r="I669">
        <v>422.15</v>
      </c>
      <c r="J669" s="3">
        <v>1.8700000000000001E-2</v>
      </c>
      <c r="K669">
        <v>3598</v>
      </c>
    </row>
    <row r="670" spans="1:11" x14ac:dyDescent="0.3">
      <c r="A670" t="s">
        <v>557</v>
      </c>
      <c r="B670" t="s">
        <v>1074</v>
      </c>
      <c r="C670" t="s">
        <v>1226</v>
      </c>
      <c r="D670" s="2">
        <v>39430</v>
      </c>
      <c r="E670">
        <v>1.77</v>
      </c>
      <c r="F670" s="2">
        <v>39668</v>
      </c>
      <c r="G670">
        <v>1.875</v>
      </c>
      <c r="H670" s="3">
        <v>5.9299999999999999E-2</v>
      </c>
      <c r="I670">
        <v>1388.56</v>
      </c>
      <c r="J670" s="3">
        <v>5.7299999999999997E-2</v>
      </c>
      <c r="K670">
        <v>13700</v>
      </c>
    </row>
    <row r="671" spans="1:11" x14ac:dyDescent="0.3">
      <c r="A671" t="s">
        <v>75</v>
      </c>
      <c r="B671" t="s">
        <v>1075</v>
      </c>
      <c r="C671" t="s">
        <v>1226</v>
      </c>
      <c r="D671" s="2">
        <v>39423</v>
      </c>
      <c r="E671">
        <v>2.1192739999999999</v>
      </c>
      <c r="F671" s="2">
        <v>39654</v>
      </c>
      <c r="G671">
        <v>1.9780679999999999</v>
      </c>
      <c r="H671" s="3">
        <v>-6.6600000000000006E-2</v>
      </c>
      <c r="I671">
        <v>-1656.89</v>
      </c>
      <c r="J671" s="3">
        <v>-6.8599999999999994E-2</v>
      </c>
      <c r="K671">
        <v>11403</v>
      </c>
    </row>
    <row r="672" spans="1:11" x14ac:dyDescent="0.3">
      <c r="A672" t="s">
        <v>558</v>
      </c>
      <c r="B672" t="s">
        <v>1076</v>
      </c>
      <c r="C672" t="s">
        <v>1226</v>
      </c>
      <c r="D672" s="2">
        <v>39570</v>
      </c>
      <c r="E672">
        <v>1.1696850000000001</v>
      </c>
      <c r="F672" s="2">
        <v>39647</v>
      </c>
      <c r="G672">
        <v>1.1568780000000001</v>
      </c>
      <c r="H672" s="3">
        <v>-1.09E-2</v>
      </c>
      <c r="I672">
        <v>-292.77</v>
      </c>
      <c r="J672" s="3">
        <v>-1.29E-2</v>
      </c>
      <c r="K672">
        <v>19346</v>
      </c>
    </row>
    <row r="673" spans="1:11" x14ac:dyDescent="0.3">
      <c r="A673" t="s">
        <v>559</v>
      </c>
      <c r="B673" t="s">
        <v>1077</v>
      </c>
      <c r="C673" t="s">
        <v>1226</v>
      </c>
      <c r="D673" s="2">
        <v>39570</v>
      </c>
      <c r="E673">
        <v>1.713392</v>
      </c>
      <c r="F673" s="2">
        <v>39646</v>
      </c>
      <c r="G673">
        <v>1.6539680000000001</v>
      </c>
      <c r="H673" s="3">
        <v>-3.4700000000000002E-2</v>
      </c>
      <c r="I673">
        <v>-829.22</v>
      </c>
      <c r="J673" s="3">
        <v>-3.6600000000000001E-2</v>
      </c>
      <c r="K673">
        <v>13206</v>
      </c>
    </row>
    <row r="674" spans="1:11" x14ac:dyDescent="0.3">
      <c r="A674" t="s">
        <v>64</v>
      </c>
      <c r="B674" t="s">
        <v>776</v>
      </c>
      <c r="C674" t="s">
        <v>1226</v>
      </c>
      <c r="D674" s="2">
        <v>39570</v>
      </c>
      <c r="E674">
        <v>1.2106220000000001</v>
      </c>
      <c r="F674" s="2">
        <v>39640</v>
      </c>
      <c r="G674">
        <v>1.337105</v>
      </c>
      <c r="H674" s="3">
        <v>0.1045</v>
      </c>
      <c r="I674">
        <v>2316.85</v>
      </c>
      <c r="J674" s="3">
        <v>0.1024</v>
      </c>
      <c r="K674">
        <v>18694</v>
      </c>
    </row>
    <row r="675" spans="1:11" x14ac:dyDescent="0.3">
      <c r="A675" t="s">
        <v>145</v>
      </c>
      <c r="B675" t="s">
        <v>692</v>
      </c>
      <c r="C675" t="s">
        <v>1226</v>
      </c>
      <c r="D675" s="2">
        <v>39584</v>
      </c>
      <c r="E675">
        <v>7.01</v>
      </c>
      <c r="F675" s="2">
        <v>39640</v>
      </c>
      <c r="G675">
        <v>7.04</v>
      </c>
      <c r="H675" s="3">
        <v>4.3E-3</v>
      </c>
      <c r="I675">
        <v>53.18</v>
      </c>
      <c r="J675" s="3">
        <v>2.3E-3</v>
      </c>
      <c r="K675">
        <v>3334</v>
      </c>
    </row>
    <row r="676" spans="1:11" x14ac:dyDescent="0.3">
      <c r="A676" t="s">
        <v>214</v>
      </c>
      <c r="B676" t="s">
        <v>786</v>
      </c>
      <c r="C676" t="s">
        <v>1226</v>
      </c>
      <c r="D676" s="2">
        <v>39570</v>
      </c>
      <c r="E676">
        <v>0.67496970000000001</v>
      </c>
      <c r="F676" s="2">
        <v>39640</v>
      </c>
      <c r="G676">
        <v>0.58658089999999996</v>
      </c>
      <c r="H676" s="3">
        <v>-0.13100000000000001</v>
      </c>
      <c r="I676">
        <v>-3004.81</v>
      </c>
      <c r="J676" s="3">
        <v>-0.1328</v>
      </c>
      <c r="K676">
        <v>33517</v>
      </c>
    </row>
    <row r="677" spans="1:11" x14ac:dyDescent="0.3">
      <c r="A677" t="s">
        <v>560</v>
      </c>
      <c r="B677" t="s">
        <v>1078</v>
      </c>
      <c r="C677" t="s">
        <v>1226</v>
      </c>
      <c r="D677" s="2">
        <v>39577</v>
      </c>
      <c r="E677">
        <v>4.9675200000000004</v>
      </c>
      <c r="F677" s="2">
        <v>39633</v>
      </c>
      <c r="G677">
        <v>6.0840290000000001</v>
      </c>
      <c r="H677" s="3">
        <v>0.2248</v>
      </c>
      <c r="I677">
        <v>5020.99</v>
      </c>
      <c r="J677" s="3">
        <v>0.2225</v>
      </c>
      <c r="K677">
        <v>4542</v>
      </c>
    </row>
    <row r="678" spans="1:11" x14ac:dyDescent="0.3">
      <c r="A678" t="s">
        <v>298</v>
      </c>
      <c r="B678" t="s">
        <v>977</v>
      </c>
      <c r="C678" t="s">
        <v>1226</v>
      </c>
      <c r="D678" s="2">
        <v>39577</v>
      </c>
      <c r="E678">
        <v>3.3683420000000002</v>
      </c>
      <c r="F678" s="2">
        <v>39626</v>
      </c>
      <c r="G678">
        <v>4.0234810000000003</v>
      </c>
      <c r="H678" s="3">
        <v>0.19450000000000001</v>
      </c>
      <c r="I678">
        <v>4336.67</v>
      </c>
      <c r="J678" s="3">
        <v>0.1923</v>
      </c>
      <c r="K678">
        <v>6695</v>
      </c>
    </row>
    <row r="679" spans="1:11" x14ac:dyDescent="0.3">
      <c r="A679" t="s">
        <v>188</v>
      </c>
      <c r="B679" t="s">
        <v>743</v>
      </c>
      <c r="C679" t="s">
        <v>1226</v>
      </c>
      <c r="D679" s="2">
        <v>39584</v>
      </c>
      <c r="E679">
        <v>1.5337000000000001</v>
      </c>
      <c r="F679" s="2">
        <v>39626</v>
      </c>
      <c r="G679">
        <v>1.44106</v>
      </c>
      <c r="H679" s="3">
        <v>-6.0400000000000002E-2</v>
      </c>
      <c r="I679">
        <v>-1457.46</v>
      </c>
      <c r="J679" s="3">
        <v>-6.2300000000000001E-2</v>
      </c>
      <c r="K679">
        <v>15243</v>
      </c>
    </row>
    <row r="680" spans="1:11" x14ac:dyDescent="0.3">
      <c r="A680" t="s">
        <v>470</v>
      </c>
      <c r="B680" t="s">
        <v>944</v>
      </c>
      <c r="C680" t="s">
        <v>1226</v>
      </c>
      <c r="D680" s="2">
        <v>39584</v>
      </c>
      <c r="E680">
        <v>4.1571199999999999</v>
      </c>
      <c r="F680" s="2">
        <v>39619</v>
      </c>
      <c r="G680">
        <v>3.4012799999999999</v>
      </c>
      <c r="H680" s="3">
        <v>-0.18179999999999999</v>
      </c>
      <c r="I680">
        <v>-4291.83</v>
      </c>
      <c r="J680" s="3">
        <v>-0.18360000000000001</v>
      </c>
      <c r="K680">
        <v>5622</v>
      </c>
    </row>
    <row r="681" spans="1:11" x14ac:dyDescent="0.3">
      <c r="A681" t="s">
        <v>561</v>
      </c>
      <c r="B681" t="s">
        <v>1079</v>
      </c>
      <c r="C681" t="s">
        <v>1226</v>
      </c>
      <c r="D681" s="2">
        <v>39577</v>
      </c>
      <c r="E681">
        <v>0.54</v>
      </c>
      <c r="F681" s="2">
        <v>39619</v>
      </c>
      <c r="G681">
        <v>0.81</v>
      </c>
      <c r="H681" s="3">
        <v>0.5</v>
      </c>
      <c r="I681">
        <v>11218.29</v>
      </c>
      <c r="J681" s="3">
        <v>0.4975</v>
      </c>
      <c r="K681">
        <v>41758</v>
      </c>
    </row>
    <row r="682" spans="1:11" x14ac:dyDescent="0.3">
      <c r="A682" t="s">
        <v>562</v>
      </c>
      <c r="B682" t="s">
        <v>1080</v>
      </c>
      <c r="C682" t="s">
        <v>1226</v>
      </c>
      <c r="D682" s="2">
        <v>39577</v>
      </c>
      <c r="E682">
        <v>13.576499999999999</v>
      </c>
      <c r="F682" s="2">
        <v>39619</v>
      </c>
      <c r="G682">
        <v>17.843399999999999</v>
      </c>
      <c r="H682" s="3">
        <v>0.31430000000000002</v>
      </c>
      <c r="I682">
        <v>7035.13</v>
      </c>
      <c r="J682" s="3">
        <v>0.312</v>
      </c>
      <c r="K682">
        <v>1661</v>
      </c>
    </row>
    <row r="683" spans="1:11" x14ac:dyDescent="0.3">
      <c r="A683" t="s">
        <v>563</v>
      </c>
      <c r="B683" t="s">
        <v>1081</v>
      </c>
      <c r="C683" t="s">
        <v>1226</v>
      </c>
      <c r="D683" s="2">
        <v>39577</v>
      </c>
      <c r="E683">
        <v>2.3588969999999998</v>
      </c>
      <c r="F683" s="2">
        <v>39619</v>
      </c>
      <c r="G683">
        <v>2.0790519999999999</v>
      </c>
      <c r="H683" s="3">
        <v>-0.1186</v>
      </c>
      <c r="I683">
        <v>-2718.31</v>
      </c>
      <c r="J683" s="3">
        <v>-0.1205</v>
      </c>
      <c r="K683">
        <v>9562</v>
      </c>
    </row>
    <row r="684" spans="1:11" x14ac:dyDescent="0.3">
      <c r="A684" t="s">
        <v>94</v>
      </c>
      <c r="B684" t="s">
        <v>1082</v>
      </c>
      <c r="C684" t="s">
        <v>1226</v>
      </c>
      <c r="D684" s="2">
        <v>39577</v>
      </c>
      <c r="E684">
        <v>1.2190099999999999</v>
      </c>
      <c r="F684" s="2">
        <v>39619</v>
      </c>
      <c r="G684">
        <v>1.1111740000000001</v>
      </c>
      <c r="H684" s="3">
        <v>-8.8499999999999995E-2</v>
      </c>
      <c r="I684">
        <v>-2039.07</v>
      </c>
      <c r="J684" s="3">
        <v>-9.0399999999999994E-2</v>
      </c>
      <c r="K684">
        <v>18509</v>
      </c>
    </row>
    <row r="685" spans="1:11" x14ac:dyDescent="0.3">
      <c r="A685" t="s">
        <v>322</v>
      </c>
      <c r="B685" t="s">
        <v>1083</v>
      </c>
      <c r="C685" t="s">
        <v>1226</v>
      </c>
      <c r="D685" s="2">
        <v>39577</v>
      </c>
      <c r="E685">
        <v>1.5147470000000001</v>
      </c>
      <c r="F685" s="2">
        <v>39619</v>
      </c>
      <c r="G685">
        <v>1.877319</v>
      </c>
      <c r="H685" s="3">
        <v>0.2394</v>
      </c>
      <c r="I685">
        <v>5351.06</v>
      </c>
      <c r="J685" s="3">
        <v>0.23710000000000001</v>
      </c>
      <c r="K685">
        <v>14898</v>
      </c>
    </row>
    <row r="686" spans="1:11" x14ac:dyDescent="0.3">
      <c r="A686" t="s">
        <v>564</v>
      </c>
      <c r="B686" t="s">
        <v>1084</v>
      </c>
      <c r="C686" t="s">
        <v>1226</v>
      </c>
      <c r="D686" s="2">
        <v>39570</v>
      </c>
      <c r="E686">
        <v>9.5478629999999995</v>
      </c>
      <c r="F686" s="2">
        <v>39619</v>
      </c>
      <c r="G686">
        <v>10.781689999999999</v>
      </c>
      <c r="H686" s="3">
        <v>0.12920000000000001</v>
      </c>
      <c r="I686">
        <v>2874.78</v>
      </c>
      <c r="J686" s="3">
        <v>0.12709999999999999</v>
      </c>
      <c r="K686">
        <v>2369</v>
      </c>
    </row>
    <row r="687" spans="1:11" x14ac:dyDescent="0.3">
      <c r="A687" t="s">
        <v>565</v>
      </c>
      <c r="B687" t="s">
        <v>1085</v>
      </c>
      <c r="C687" t="s">
        <v>1226</v>
      </c>
      <c r="D687" s="2">
        <v>39577</v>
      </c>
      <c r="E687">
        <v>3.1902180000000002</v>
      </c>
      <c r="F687" s="2">
        <v>39612</v>
      </c>
      <c r="G687">
        <v>3.3348179999999998</v>
      </c>
      <c r="H687" s="3">
        <v>4.53E-2</v>
      </c>
      <c r="I687">
        <v>976.33</v>
      </c>
      <c r="J687" s="3">
        <v>4.3299999999999998E-2</v>
      </c>
      <c r="K687">
        <v>7071</v>
      </c>
    </row>
    <row r="688" spans="1:11" x14ac:dyDescent="0.3">
      <c r="A688" t="s">
        <v>52</v>
      </c>
      <c r="B688" t="s">
        <v>860</v>
      </c>
      <c r="C688" t="s">
        <v>1226</v>
      </c>
      <c r="D688" s="2">
        <v>39101</v>
      </c>
      <c r="E688">
        <v>1.084549</v>
      </c>
      <c r="F688" s="2">
        <v>39534</v>
      </c>
      <c r="G688">
        <v>0.84998450000000003</v>
      </c>
      <c r="H688" s="3">
        <v>-0.21629999999999999</v>
      </c>
      <c r="I688">
        <v>-3836.49</v>
      </c>
      <c r="J688" s="3">
        <v>-0.21809999999999999</v>
      </c>
      <c r="K688">
        <v>16222</v>
      </c>
    </row>
    <row r="689" spans="1:11" x14ac:dyDescent="0.3">
      <c r="A689" t="s">
        <v>323</v>
      </c>
      <c r="B689" t="s">
        <v>1086</v>
      </c>
      <c r="C689" t="s">
        <v>1226</v>
      </c>
      <c r="D689" s="2">
        <v>37728</v>
      </c>
      <c r="E689">
        <v>1.345486</v>
      </c>
      <c r="F689" s="2">
        <v>39521</v>
      </c>
      <c r="G689">
        <v>2.499123</v>
      </c>
      <c r="H689" s="3">
        <v>0.85740000000000005</v>
      </c>
      <c r="I689">
        <v>4997</v>
      </c>
      <c r="J689" s="3">
        <v>0.85460000000000003</v>
      </c>
      <c r="K689">
        <v>4346</v>
      </c>
    </row>
    <row r="690" spans="1:11" x14ac:dyDescent="0.3">
      <c r="A690" t="s">
        <v>538</v>
      </c>
      <c r="B690" t="s">
        <v>1048</v>
      </c>
      <c r="C690" t="s">
        <v>1226</v>
      </c>
      <c r="D690" s="2">
        <v>39339</v>
      </c>
      <c r="E690">
        <v>1.7369060000000001</v>
      </c>
      <c r="F690" s="2">
        <v>39479</v>
      </c>
      <c r="G690">
        <v>1.7271129999999999</v>
      </c>
      <c r="H690" s="3">
        <v>-5.5999999999999999E-3</v>
      </c>
      <c r="I690">
        <v>-159.47</v>
      </c>
      <c r="J690" s="3">
        <v>-7.6E-3</v>
      </c>
      <c r="K690">
        <v>12029</v>
      </c>
    </row>
    <row r="691" spans="1:11" x14ac:dyDescent="0.3">
      <c r="A691" t="s">
        <v>303</v>
      </c>
      <c r="B691" t="s">
        <v>1003</v>
      </c>
      <c r="C691" t="s">
        <v>1226</v>
      </c>
      <c r="D691" s="2">
        <v>39332</v>
      </c>
      <c r="E691">
        <v>0.61900129999999998</v>
      </c>
      <c r="F691" s="2">
        <v>39479</v>
      </c>
      <c r="G691">
        <v>0.42186940000000001</v>
      </c>
      <c r="H691" s="3">
        <v>-0.31850000000000001</v>
      </c>
      <c r="I691">
        <v>-6723.61</v>
      </c>
      <c r="J691" s="3">
        <v>-0.3201</v>
      </c>
      <c r="K691">
        <v>33928</v>
      </c>
    </row>
    <row r="692" spans="1:11" x14ac:dyDescent="0.3">
      <c r="A692" t="s">
        <v>502</v>
      </c>
      <c r="B692" t="s">
        <v>995</v>
      </c>
      <c r="C692" t="s">
        <v>1226</v>
      </c>
      <c r="D692" s="2">
        <v>38695</v>
      </c>
      <c r="E692">
        <v>1.8088679999999999</v>
      </c>
      <c r="F692" s="2">
        <v>39479</v>
      </c>
      <c r="G692">
        <v>2.3216109999999999</v>
      </c>
      <c r="H692" s="3">
        <v>0.28349999999999997</v>
      </c>
      <c r="I692">
        <v>3429.57</v>
      </c>
      <c r="J692" s="3">
        <v>0.28120000000000001</v>
      </c>
      <c r="K692">
        <v>6743</v>
      </c>
    </row>
    <row r="693" spans="1:11" x14ac:dyDescent="0.3">
      <c r="A693" t="s">
        <v>243</v>
      </c>
      <c r="B693" t="s">
        <v>827</v>
      </c>
      <c r="C693" t="s">
        <v>1226</v>
      </c>
      <c r="D693" s="2">
        <v>39423</v>
      </c>
      <c r="E693">
        <v>3.0951810000000002</v>
      </c>
      <c r="F693" s="2">
        <v>39479</v>
      </c>
      <c r="G693">
        <v>2.838775</v>
      </c>
      <c r="H693" s="3">
        <v>-8.2799999999999999E-2</v>
      </c>
      <c r="I693">
        <v>-2048.61</v>
      </c>
      <c r="J693" s="3">
        <v>-8.48E-2</v>
      </c>
      <c r="K693">
        <v>7809</v>
      </c>
    </row>
    <row r="694" spans="1:11" x14ac:dyDescent="0.3">
      <c r="A694" t="s">
        <v>492</v>
      </c>
      <c r="B694" t="s">
        <v>982</v>
      </c>
      <c r="C694" t="s">
        <v>1226</v>
      </c>
      <c r="D694" s="2">
        <v>39423</v>
      </c>
      <c r="E694">
        <v>1.411772</v>
      </c>
      <c r="F694" s="2">
        <v>39472</v>
      </c>
      <c r="G694">
        <v>1.522499</v>
      </c>
      <c r="H694" s="3">
        <v>7.8399999999999997E-2</v>
      </c>
      <c r="I694">
        <v>1845.63</v>
      </c>
      <c r="J694" s="3">
        <v>7.6399999999999996E-2</v>
      </c>
      <c r="K694">
        <v>17122</v>
      </c>
    </row>
    <row r="695" spans="1:11" x14ac:dyDescent="0.3">
      <c r="A695" t="s">
        <v>566</v>
      </c>
      <c r="B695" t="s">
        <v>1087</v>
      </c>
      <c r="C695" t="s">
        <v>1226</v>
      </c>
      <c r="D695" s="2">
        <v>39346</v>
      </c>
      <c r="E695">
        <v>2.2993670000000002</v>
      </c>
      <c r="F695" s="2">
        <v>39472</v>
      </c>
      <c r="G695">
        <v>1.6695610000000001</v>
      </c>
      <c r="H695" s="3">
        <v>-0.27389999999999998</v>
      </c>
      <c r="I695">
        <v>-5804.74</v>
      </c>
      <c r="J695" s="3">
        <v>-0.27560000000000001</v>
      </c>
      <c r="K695">
        <v>9159</v>
      </c>
    </row>
    <row r="696" spans="1:11" x14ac:dyDescent="0.3">
      <c r="A696" t="s">
        <v>96</v>
      </c>
      <c r="B696" t="s">
        <v>384</v>
      </c>
      <c r="C696" t="s">
        <v>1226</v>
      </c>
      <c r="D696" s="2">
        <v>39339</v>
      </c>
      <c r="E696">
        <v>4.3971559999999998</v>
      </c>
      <c r="F696" s="2">
        <v>39472</v>
      </c>
      <c r="G696">
        <v>4.4064329999999998</v>
      </c>
      <c r="H696" s="3">
        <v>2.0999999999999999E-3</v>
      </c>
      <c r="I696">
        <v>2.25</v>
      </c>
      <c r="J696" s="3">
        <v>1E-4</v>
      </c>
      <c r="K696">
        <v>4751</v>
      </c>
    </row>
    <row r="697" spans="1:11" x14ac:dyDescent="0.3">
      <c r="A697" t="s">
        <v>318</v>
      </c>
      <c r="B697" t="s">
        <v>1060</v>
      </c>
      <c r="C697" t="s">
        <v>1226</v>
      </c>
      <c r="D697" s="2">
        <v>39332</v>
      </c>
      <c r="E697">
        <v>3.9218280000000001</v>
      </c>
      <c r="F697" s="2">
        <v>39472</v>
      </c>
      <c r="G697">
        <v>3.3126120000000001</v>
      </c>
      <c r="H697" s="3">
        <v>-0.15529999999999999</v>
      </c>
      <c r="I697">
        <v>-3300.48</v>
      </c>
      <c r="J697" s="3">
        <v>-0.15720000000000001</v>
      </c>
      <c r="K697">
        <v>5354</v>
      </c>
    </row>
    <row r="698" spans="1:11" x14ac:dyDescent="0.3">
      <c r="A698" t="s">
        <v>567</v>
      </c>
      <c r="B698" t="s">
        <v>1088</v>
      </c>
      <c r="C698" t="s">
        <v>1226</v>
      </c>
      <c r="D698" s="2">
        <v>39332</v>
      </c>
      <c r="E698">
        <v>1.51</v>
      </c>
      <c r="F698" s="2">
        <v>39472</v>
      </c>
      <c r="G698">
        <v>1.46</v>
      </c>
      <c r="H698" s="3">
        <v>-3.3099999999999997E-2</v>
      </c>
      <c r="I698">
        <v>-736.76</v>
      </c>
      <c r="J698" s="3">
        <v>-3.5099999999999999E-2</v>
      </c>
      <c r="K698">
        <v>13909</v>
      </c>
    </row>
    <row r="699" spans="1:11" x14ac:dyDescent="0.3">
      <c r="A699" t="s">
        <v>440</v>
      </c>
      <c r="B699" t="s">
        <v>892</v>
      </c>
      <c r="C699" t="s">
        <v>1226</v>
      </c>
      <c r="D699" s="2">
        <v>39332</v>
      </c>
      <c r="E699">
        <v>3.8602409999999998</v>
      </c>
      <c r="F699" s="2">
        <v>39472</v>
      </c>
      <c r="G699">
        <v>3.7829000000000002</v>
      </c>
      <c r="H699" s="3">
        <v>-0.02</v>
      </c>
      <c r="I699">
        <v>-462.4</v>
      </c>
      <c r="J699" s="3">
        <v>-2.1999999999999999E-2</v>
      </c>
      <c r="K699">
        <v>5441</v>
      </c>
    </row>
    <row r="700" spans="1:11" x14ac:dyDescent="0.3">
      <c r="A700" t="s">
        <v>500</v>
      </c>
      <c r="B700" t="s">
        <v>992</v>
      </c>
      <c r="C700" t="s">
        <v>1226</v>
      </c>
      <c r="D700" s="2">
        <v>38912</v>
      </c>
      <c r="E700">
        <v>1.2344889999999999</v>
      </c>
      <c r="F700" s="2">
        <v>39472</v>
      </c>
      <c r="G700">
        <v>2.0769090000000001</v>
      </c>
      <c r="H700" s="3">
        <v>0.68240000000000001</v>
      </c>
      <c r="I700">
        <v>9518.85</v>
      </c>
      <c r="J700" s="3">
        <v>0.67969999999999997</v>
      </c>
      <c r="K700">
        <v>11344</v>
      </c>
    </row>
    <row r="701" spans="1:11" x14ac:dyDescent="0.3">
      <c r="A701" t="s">
        <v>92</v>
      </c>
      <c r="B701" t="s">
        <v>1089</v>
      </c>
      <c r="C701" t="s">
        <v>1226</v>
      </c>
      <c r="D701" s="2">
        <v>38177</v>
      </c>
      <c r="E701">
        <v>0.60112719999999997</v>
      </c>
      <c r="F701" s="2">
        <v>39465</v>
      </c>
      <c r="G701">
        <v>0.98672459999999995</v>
      </c>
      <c r="H701" s="3">
        <v>0.64149999999999996</v>
      </c>
      <c r="I701">
        <v>5590.41</v>
      </c>
      <c r="J701" s="3">
        <v>0.63880000000000003</v>
      </c>
      <c r="K701">
        <v>14558</v>
      </c>
    </row>
    <row r="702" spans="1:11" x14ac:dyDescent="0.3">
      <c r="A702" t="s">
        <v>568</v>
      </c>
      <c r="B702" t="s">
        <v>1090</v>
      </c>
      <c r="C702" t="s">
        <v>1226</v>
      </c>
      <c r="D702" s="2">
        <v>39430</v>
      </c>
      <c r="E702">
        <v>6.5526720000000003</v>
      </c>
      <c r="F702" s="2">
        <v>39458</v>
      </c>
      <c r="G702">
        <v>6.01776</v>
      </c>
      <c r="H702" s="3">
        <v>-8.1600000000000006E-2</v>
      </c>
      <c r="I702">
        <v>-2026.23</v>
      </c>
      <c r="J702" s="3">
        <v>-8.3599999999999994E-2</v>
      </c>
      <c r="K702">
        <v>3701</v>
      </c>
    </row>
    <row r="703" spans="1:11" x14ac:dyDescent="0.3">
      <c r="A703" t="s">
        <v>569</v>
      </c>
      <c r="B703" t="s">
        <v>1091</v>
      </c>
      <c r="C703" t="s">
        <v>1226</v>
      </c>
      <c r="D703" s="2">
        <v>39430</v>
      </c>
      <c r="E703">
        <v>11.09136</v>
      </c>
      <c r="F703" s="2">
        <v>39444</v>
      </c>
      <c r="G703">
        <v>9.3583350000000003</v>
      </c>
      <c r="H703" s="3">
        <v>-0.15629999999999999</v>
      </c>
      <c r="I703">
        <v>-3833.11</v>
      </c>
      <c r="J703" s="3">
        <v>-0.15809999999999999</v>
      </c>
      <c r="K703">
        <v>2186</v>
      </c>
    </row>
    <row r="704" spans="1:11" x14ac:dyDescent="0.3">
      <c r="A704" t="s">
        <v>491</v>
      </c>
      <c r="B704" t="s">
        <v>978</v>
      </c>
      <c r="C704" t="s">
        <v>1226</v>
      </c>
      <c r="D704" s="2">
        <v>39388</v>
      </c>
      <c r="E704">
        <v>0.5598187</v>
      </c>
      <c r="F704" s="2">
        <v>39444</v>
      </c>
      <c r="G704">
        <v>0.69341459999999999</v>
      </c>
      <c r="H704" s="3">
        <v>0.23860000000000001</v>
      </c>
      <c r="I704">
        <v>5750.55</v>
      </c>
      <c r="J704" s="3">
        <v>0.2364</v>
      </c>
      <c r="K704">
        <v>43452</v>
      </c>
    </row>
    <row r="705" spans="1:11" x14ac:dyDescent="0.3">
      <c r="A705" t="s">
        <v>570</v>
      </c>
      <c r="B705" t="s">
        <v>1092</v>
      </c>
      <c r="C705" t="s">
        <v>1226</v>
      </c>
      <c r="D705" s="2">
        <v>39353</v>
      </c>
      <c r="E705">
        <v>2</v>
      </c>
      <c r="F705" s="2">
        <v>39416</v>
      </c>
      <c r="G705">
        <v>2.37</v>
      </c>
      <c r="H705" s="3">
        <v>0.185</v>
      </c>
      <c r="I705">
        <v>3927.23</v>
      </c>
      <c r="J705" s="3">
        <v>0.18279999999999999</v>
      </c>
      <c r="K705">
        <v>10741</v>
      </c>
    </row>
    <row r="706" spans="1:11" x14ac:dyDescent="0.3">
      <c r="A706" t="s">
        <v>324</v>
      </c>
      <c r="B706" t="s">
        <v>1093</v>
      </c>
      <c r="C706" t="s">
        <v>1226</v>
      </c>
      <c r="D706" s="2">
        <v>39346</v>
      </c>
      <c r="E706">
        <v>6.1848910000000004</v>
      </c>
      <c r="F706" s="2">
        <v>39416</v>
      </c>
      <c r="G706">
        <v>6.1830080000000001</v>
      </c>
      <c r="H706" s="3">
        <v>-2.9999999999999997E-4</v>
      </c>
      <c r="I706">
        <v>-48.52</v>
      </c>
      <c r="J706" s="3">
        <v>-2.3E-3</v>
      </c>
      <c r="K706">
        <v>3405</v>
      </c>
    </row>
    <row r="707" spans="1:11" x14ac:dyDescent="0.3">
      <c r="A707" t="s">
        <v>571</v>
      </c>
      <c r="B707" t="s">
        <v>1094</v>
      </c>
      <c r="C707" t="s">
        <v>1226</v>
      </c>
      <c r="D707" s="2">
        <v>39339</v>
      </c>
      <c r="E707">
        <v>2.921713</v>
      </c>
      <c r="F707" s="2">
        <v>39416</v>
      </c>
      <c r="G707">
        <v>4.3871209999999996</v>
      </c>
      <c r="H707" s="3">
        <v>0.50160000000000005</v>
      </c>
      <c r="I707">
        <v>10428.33</v>
      </c>
      <c r="J707" s="3">
        <v>0.49909999999999999</v>
      </c>
      <c r="K707">
        <v>7152</v>
      </c>
    </row>
    <row r="708" spans="1:11" x14ac:dyDescent="0.3">
      <c r="A708" t="s">
        <v>503</v>
      </c>
      <c r="B708" t="s">
        <v>996</v>
      </c>
      <c r="C708" t="s">
        <v>1226</v>
      </c>
      <c r="D708" s="2">
        <v>39339</v>
      </c>
      <c r="E708">
        <v>7.7362820000000001</v>
      </c>
      <c r="F708" s="2">
        <v>39416</v>
      </c>
      <c r="G708">
        <v>10.68069</v>
      </c>
      <c r="H708" s="3">
        <v>0.38059999999999999</v>
      </c>
      <c r="I708">
        <v>7903.1</v>
      </c>
      <c r="J708" s="3">
        <v>0.37819999999999998</v>
      </c>
      <c r="K708">
        <v>2701</v>
      </c>
    </row>
    <row r="709" spans="1:11" x14ac:dyDescent="0.3">
      <c r="A709" t="s">
        <v>572</v>
      </c>
      <c r="B709" t="s">
        <v>1095</v>
      </c>
      <c r="C709" t="s">
        <v>1226</v>
      </c>
      <c r="D709" s="2">
        <v>39339</v>
      </c>
      <c r="E709">
        <v>2.5565989999999998</v>
      </c>
      <c r="F709" s="2">
        <v>39416</v>
      </c>
      <c r="G709">
        <v>3.2205219999999999</v>
      </c>
      <c r="H709" s="3">
        <v>0.25969999999999999</v>
      </c>
      <c r="I709">
        <v>5380.34</v>
      </c>
      <c r="J709" s="3">
        <v>0.25740000000000002</v>
      </c>
      <c r="K709">
        <v>8175</v>
      </c>
    </row>
    <row r="710" spans="1:11" x14ac:dyDescent="0.3">
      <c r="A710" t="s">
        <v>569</v>
      </c>
      <c r="B710" t="s">
        <v>1091</v>
      </c>
      <c r="C710" t="s">
        <v>1226</v>
      </c>
      <c r="D710" s="2">
        <v>39339</v>
      </c>
      <c r="E710">
        <v>3.9611999999999998</v>
      </c>
      <c r="F710" s="2">
        <v>39416</v>
      </c>
      <c r="G710">
        <v>9.3484320000000007</v>
      </c>
      <c r="H710" s="3">
        <v>1.36</v>
      </c>
      <c r="I710">
        <v>28352.799999999999</v>
      </c>
      <c r="J710" s="3">
        <v>1.3566</v>
      </c>
      <c r="K710">
        <v>5276</v>
      </c>
    </row>
    <row r="711" spans="1:11" x14ac:dyDescent="0.3">
      <c r="A711" t="s">
        <v>99</v>
      </c>
      <c r="B711" t="s">
        <v>1096</v>
      </c>
      <c r="C711" t="s">
        <v>1226</v>
      </c>
      <c r="D711" s="2">
        <v>39332</v>
      </c>
      <c r="E711">
        <v>0.81391570000000002</v>
      </c>
      <c r="F711" s="2">
        <v>39388</v>
      </c>
      <c r="G711">
        <v>0.91636879999999998</v>
      </c>
      <c r="H711" s="3">
        <v>0.12590000000000001</v>
      </c>
      <c r="I711">
        <v>2599.66</v>
      </c>
      <c r="J711" s="3">
        <v>0.12379999999999999</v>
      </c>
      <c r="K711">
        <v>25810</v>
      </c>
    </row>
    <row r="712" spans="1:11" x14ac:dyDescent="0.3">
      <c r="A712" t="s">
        <v>325</v>
      </c>
      <c r="B712" t="s">
        <v>1097</v>
      </c>
      <c r="C712" t="s">
        <v>1226</v>
      </c>
      <c r="D712" s="2">
        <v>38625</v>
      </c>
      <c r="E712">
        <v>1.2892779999999999</v>
      </c>
      <c r="F712" s="2">
        <v>39318</v>
      </c>
      <c r="G712">
        <v>3.6391209999999998</v>
      </c>
      <c r="H712" s="3">
        <v>1.8226</v>
      </c>
      <c r="I712">
        <v>22086.75</v>
      </c>
      <c r="J712" s="3">
        <v>1.8188</v>
      </c>
      <c r="K712">
        <v>9419</v>
      </c>
    </row>
    <row r="713" spans="1:11" x14ac:dyDescent="0.3">
      <c r="A713" t="s">
        <v>573</v>
      </c>
      <c r="B713" t="s">
        <v>1098</v>
      </c>
      <c r="C713" t="s">
        <v>1226</v>
      </c>
      <c r="D713" s="2">
        <v>38954</v>
      </c>
      <c r="E713">
        <v>2.2513960000000002</v>
      </c>
      <c r="F713" s="2">
        <v>39318</v>
      </c>
      <c r="G713">
        <v>4.1159470000000002</v>
      </c>
      <c r="H713" s="3">
        <v>0.82820000000000005</v>
      </c>
      <c r="I713">
        <v>11883.08</v>
      </c>
      <c r="J713" s="3">
        <v>0.82530000000000003</v>
      </c>
      <c r="K713">
        <v>6395</v>
      </c>
    </row>
    <row r="714" spans="1:11" x14ac:dyDescent="0.3">
      <c r="A714" t="s">
        <v>497</v>
      </c>
      <c r="B714" t="s">
        <v>989</v>
      </c>
      <c r="C714" t="s">
        <v>1226</v>
      </c>
      <c r="D714" s="2">
        <v>38912</v>
      </c>
      <c r="E714">
        <v>0.54548140000000001</v>
      </c>
      <c r="F714" s="2">
        <v>39318</v>
      </c>
      <c r="G714">
        <v>0.79795099999999997</v>
      </c>
      <c r="H714" s="3">
        <v>0.46279999999999999</v>
      </c>
      <c r="I714">
        <v>6447.92</v>
      </c>
      <c r="J714" s="3">
        <v>0.46039999999999998</v>
      </c>
      <c r="K714">
        <v>25676</v>
      </c>
    </row>
    <row r="715" spans="1:11" x14ac:dyDescent="0.3">
      <c r="A715" t="s">
        <v>574</v>
      </c>
      <c r="B715" t="s">
        <v>1099</v>
      </c>
      <c r="C715" t="s">
        <v>1226</v>
      </c>
      <c r="D715" s="2">
        <v>38912</v>
      </c>
      <c r="E715">
        <v>11.44223</v>
      </c>
      <c r="F715" s="2">
        <v>39311</v>
      </c>
      <c r="G715">
        <v>25.702449999999999</v>
      </c>
      <c r="H715" s="3">
        <v>1.2463</v>
      </c>
      <c r="I715">
        <v>17394.82</v>
      </c>
      <c r="J715" s="3">
        <v>1.2430000000000001</v>
      </c>
      <c r="K715">
        <v>1223</v>
      </c>
    </row>
    <row r="716" spans="1:11" x14ac:dyDescent="0.3">
      <c r="A716" t="s">
        <v>503</v>
      </c>
      <c r="B716" t="s">
        <v>996</v>
      </c>
      <c r="C716" t="s">
        <v>1226</v>
      </c>
      <c r="D716" s="2">
        <v>39171</v>
      </c>
      <c r="E716">
        <v>5.157019</v>
      </c>
      <c r="F716" s="2">
        <v>39304</v>
      </c>
      <c r="G716">
        <v>6.410914</v>
      </c>
      <c r="H716" s="3">
        <v>0.24310000000000001</v>
      </c>
      <c r="I716">
        <v>4604.0600000000004</v>
      </c>
      <c r="J716" s="3">
        <v>0.2409</v>
      </c>
      <c r="K716">
        <v>3706</v>
      </c>
    </row>
    <row r="717" spans="1:11" x14ac:dyDescent="0.3">
      <c r="A717" t="s">
        <v>564</v>
      </c>
      <c r="B717" t="s">
        <v>1084</v>
      </c>
      <c r="C717" t="s">
        <v>1226</v>
      </c>
      <c r="D717" s="2">
        <v>39143</v>
      </c>
      <c r="E717">
        <v>2.3999130000000002</v>
      </c>
      <c r="F717" s="2">
        <v>39304</v>
      </c>
      <c r="G717">
        <v>2.9477199999999999</v>
      </c>
      <c r="H717" s="3">
        <v>0.2283</v>
      </c>
      <c r="I717">
        <v>4357.03</v>
      </c>
      <c r="J717" s="3">
        <v>0.22600000000000001</v>
      </c>
      <c r="K717">
        <v>8032</v>
      </c>
    </row>
    <row r="718" spans="1:11" x14ac:dyDescent="0.3">
      <c r="A718" t="s">
        <v>326</v>
      </c>
      <c r="B718" t="s">
        <v>1100</v>
      </c>
      <c r="C718" t="s">
        <v>1226</v>
      </c>
      <c r="D718" s="2">
        <v>38667</v>
      </c>
      <c r="E718">
        <v>0.62716689999999997</v>
      </c>
      <c r="F718" s="2">
        <v>39304</v>
      </c>
      <c r="G718">
        <v>0.92676449999999999</v>
      </c>
      <c r="H718" s="3">
        <v>0.47770000000000001</v>
      </c>
      <c r="I718">
        <v>5682.2</v>
      </c>
      <c r="J718" s="3">
        <v>0.47520000000000001</v>
      </c>
      <c r="K718">
        <v>19065</v>
      </c>
    </row>
    <row r="719" spans="1:11" x14ac:dyDescent="0.3">
      <c r="A719" t="s">
        <v>524</v>
      </c>
      <c r="B719" t="s">
        <v>1030</v>
      </c>
      <c r="C719" t="s">
        <v>1226</v>
      </c>
      <c r="D719" s="2">
        <v>39255</v>
      </c>
      <c r="E719">
        <v>1.3882220000000001</v>
      </c>
      <c r="F719" s="2">
        <v>39297</v>
      </c>
      <c r="G719">
        <v>1.754923</v>
      </c>
      <c r="H719" s="3">
        <v>0.26419999999999999</v>
      </c>
      <c r="I719">
        <v>5396.29</v>
      </c>
      <c r="J719" s="3">
        <v>0.26190000000000002</v>
      </c>
      <c r="K719">
        <v>14843</v>
      </c>
    </row>
    <row r="720" spans="1:11" x14ac:dyDescent="0.3">
      <c r="A720" t="s">
        <v>568</v>
      </c>
      <c r="B720" t="s">
        <v>1090</v>
      </c>
      <c r="C720" t="s">
        <v>1226</v>
      </c>
      <c r="D720" s="2">
        <v>39177</v>
      </c>
      <c r="E720">
        <v>4.4798879999999999</v>
      </c>
      <c r="F720" s="2">
        <v>39297</v>
      </c>
      <c r="G720">
        <v>4.9479360000000003</v>
      </c>
      <c r="H720" s="3">
        <v>0.1045</v>
      </c>
      <c r="I720">
        <v>1962.89</v>
      </c>
      <c r="J720" s="3">
        <v>0.1024</v>
      </c>
      <c r="K720">
        <v>4280</v>
      </c>
    </row>
    <row r="721" spans="1:11" x14ac:dyDescent="0.3">
      <c r="A721" t="s">
        <v>214</v>
      </c>
      <c r="B721" t="s">
        <v>786</v>
      </c>
      <c r="C721" t="s">
        <v>1226</v>
      </c>
      <c r="D721" s="2">
        <v>39157</v>
      </c>
      <c r="E721">
        <v>0.54640409999999995</v>
      </c>
      <c r="F721" s="2">
        <v>39297</v>
      </c>
      <c r="G721">
        <v>0.60265150000000001</v>
      </c>
      <c r="H721" s="3">
        <v>0.10290000000000001</v>
      </c>
      <c r="I721">
        <v>1929.32</v>
      </c>
      <c r="J721" s="3">
        <v>0.1008</v>
      </c>
      <c r="K721">
        <v>35016</v>
      </c>
    </row>
    <row r="722" spans="1:11" x14ac:dyDescent="0.3">
      <c r="A722" t="s">
        <v>492</v>
      </c>
      <c r="B722" t="s">
        <v>982</v>
      </c>
      <c r="C722" t="s">
        <v>1226</v>
      </c>
      <c r="D722" s="2">
        <v>39038</v>
      </c>
      <c r="E722">
        <v>0.64007289999999994</v>
      </c>
      <c r="F722" s="2">
        <v>39297</v>
      </c>
      <c r="G722">
        <v>1.171462</v>
      </c>
      <c r="H722" s="3">
        <v>0.83020000000000005</v>
      </c>
      <c r="I722">
        <v>13415.79</v>
      </c>
      <c r="J722" s="3">
        <v>0.82740000000000002</v>
      </c>
      <c r="K722">
        <v>25333</v>
      </c>
    </row>
    <row r="723" spans="1:11" x14ac:dyDescent="0.3">
      <c r="A723" t="s">
        <v>97</v>
      </c>
      <c r="B723" t="s">
        <v>890</v>
      </c>
      <c r="C723" t="s">
        <v>1226</v>
      </c>
      <c r="D723" s="2">
        <v>39177</v>
      </c>
      <c r="E723">
        <v>6.6575249999999997</v>
      </c>
      <c r="F723" s="2">
        <v>39295</v>
      </c>
      <c r="G723">
        <v>9.0616310000000002</v>
      </c>
      <c r="H723" s="3">
        <v>0.36109999999999998</v>
      </c>
      <c r="I723">
        <v>6876.16</v>
      </c>
      <c r="J723" s="3">
        <v>0.35870000000000002</v>
      </c>
      <c r="K723">
        <v>2879</v>
      </c>
    </row>
    <row r="724" spans="1:11" x14ac:dyDescent="0.3">
      <c r="A724" t="s">
        <v>575</v>
      </c>
      <c r="B724" t="s">
        <v>1101</v>
      </c>
      <c r="C724" t="s">
        <v>1226</v>
      </c>
      <c r="D724" s="2">
        <v>38772</v>
      </c>
      <c r="E724">
        <v>1.336967</v>
      </c>
      <c r="F724" s="2">
        <v>39262</v>
      </c>
      <c r="G724">
        <v>1.755422</v>
      </c>
      <c r="H724" s="3">
        <v>0.313</v>
      </c>
      <c r="I724">
        <v>4078.86</v>
      </c>
      <c r="J724" s="3">
        <v>0.31069999999999998</v>
      </c>
      <c r="K724">
        <v>9820</v>
      </c>
    </row>
    <row r="725" spans="1:11" x14ac:dyDescent="0.3">
      <c r="A725" t="s">
        <v>576</v>
      </c>
      <c r="B725" t="s">
        <v>1102</v>
      </c>
      <c r="C725" t="s">
        <v>1226</v>
      </c>
      <c r="D725" s="2">
        <v>39171</v>
      </c>
      <c r="E725">
        <v>2.8943970000000001</v>
      </c>
      <c r="F725" s="2">
        <v>39255</v>
      </c>
      <c r="G725">
        <v>1.9326509999999999</v>
      </c>
      <c r="H725" s="3">
        <v>-0.33229999999999998</v>
      </c>
      <c r="I725">
        <v>-6382.28</v>
      </c>
      <c r="J725" s="3">
        <v>-0.33389999999999997</v>
      </c>
      <c r="K725">
        <v>6603</v>
      </c>
    </row>
    <row r="726" spans="1:11" x14ac:dyDescent="0.3">
      <c r="A726" t="s">
        <v>103</v>
      </c>
      <c r="B726" t="s">
        <v>763</v>
      </c>
      <c r="C726" t="s">
        <v>1226</v>
      </c>
      <c r="D726" s="2">
        <v>38541</v>
      </c>
      <c r="E726">
        <v>1.178696</v>
      </c>
      <c r="F726" s="2">
        <v>39177</v>
      </c>
      <c r="G726">
        <v>4.035507</v>
      </c>
      <c r="H726" s="3">
        <v>2.4237000000000002</v>
      </c>
      <c r="I726">
        <v>26271.759999999998</v>
      </c>
      <c r="J726" s="3">
        <v>2.4192999999999998</v>
      </c>
      <c r="K726">
        <v>9213</v>
      </c>
    </row>
    <row r="727" spans="1:11" x14ac:dyDescent="0.3">
      <c r="A727" t="s">
        <v>131</v>
      </c>
      <c r="B727" t="s">
        <v>395</v>
      </c>
      <c r="C727" t="s">
        <v>1226</v>
      </c>
      <c r="D727" s="2">
        <v>38534</v>
      </c>
      <c r="E727">
        <v>1.094608</v>
      </c>
      <c r="F727" s="2">
        <v>39171</v>
      </c>
      <c r="G727">
        <v>2.011441</v>
      </c>
      <c r="H727" s="3">
        <v>0.83760000000000001</v>
      </c>
      <c r="I727">
        <v>9012.09</v>
      </c>
      <c r="J727" s="3">
        <v>0.83479999999999999</v>
      </c>
      <c r="K727">
        <v>9863</v>
      </c>
    </row>
    <row r="728" spans="1:11" x14ac:dyDescent="0.3">
      <c r="A728" t="s">
        <v>577</v>
      </c>
      <c r="B728" t="s">
        <v>1103</v>
      </c>
      <c r="C728" t="s">
        <v>1226</v>
      </c>
      <c r="D728" s="2">
        <v>38562</v>
      </c>
      <c r="E728">
        <v>0.71317929999999996</v>
      </c>
      <c r="F728" s="2">
        <v>39164</v>
      </c>
      <c r="G728">
        <v>0.91674849999999997</v>
      </c>
      <c r="H728" s="3">
        <v>0.28539999999999999</v>
      </c>
      <c r="I728">
        <v>3113.3</v>
      </c>
      <c r="J728" s="3">
        <v>0.28320000000000001</v>
      </c>
      <c r="K728">
        <v>15417</v>
      </c>
    </row>
    <row r="729" spans="1:11" x14ac:dyDescent="0.3">
      <c r="A729" t="s">
        <v>578</v>
      </c>
      <c r="B729" t="s">
        <v>1104</v>
      </c>
      <c r="C729" t="s">
        <v>1226</v>
      </c>
      <c r="D729" s="2">
        <v>38779</v>
      </c>
      <c r="E729">
        <v>3.2727439999999999</v>
      </c>
      <c r="F729" s="2">
        <v>39157</v>
      </c>
      <c r="G729">
        <v>4.25</v>
      </c>
      <c r="H729" s="3">
        <v>0.29859999999999998</v>
      </c>
      <c r="I729">
        <v>3986.57</v>
      </c>
      <c r="J729" s="3">
        <v>0.29630000000000001</v>
      </c>
      <c r="K729">
        <v>4111</v>
      </c>
    </row>
    <row r="730" spans="1:11" x14ac:dyDescent="0.3">
      <c r="A730" t="s">
        <v>327</v>
      </c>
      <c r="B730" t="s">
        <v>1105</v>
      </c>
      <c r="C730" t="s">
        <v>1226</v>
      </c>
      <c r="D730" s="2">
        <v>38121</v>
      </c>
      <c r="E730">
        <v>0.76285400000000003</v>
      </c>
      <c r="F730" s="2">
        <v>39143</v>
      </c>
      <c r="G730">
        <v>1.7015210000000001</v>
      </c>
      <c r="H730" s="3">
        <v>1.2304999999999999</v>
      </c>
      <c r="I730">
        <v>10762.59</v>
      </c>
      <c r="J730" s="3">
        <v>1.2272000000000001</v>
      </c>
      <c r="K730">
        <v>11496</v>
      </c>
    </row>
    <row r="731" spans="1:11" x14ac:dyDescent="0.3">
      <c r="A731" t="s">
        <v>579</v>
      </c>
      <c r="B731" t="s">
        <v>1106</v>
      </c>
      <c r="C731" t="s">
        <v>1226</v>
      </c>
      <c r="D731" s="2">
        <v>38555</v>
      </c>
      <c r="E731">
        <v>1.483446</v>
      </c>
      <c r="F731" s="2">
        <v>39094</v>
      </c>
      <c r="G731">
        <v>2.6942759999999999</v>
      </c>
      <c r="H731" s="3">
        <v>0.81620000000000004</v>
      </c>
      <c r="I731">
        <v>8852</v>
      </c>
      <c r="J731" s="3">
        <v>0.81340000000000001</v>
      </c>
      <c r="K731">
        <v>7336</v>
      </c>
    </row>
    <row r="732" spans="1:11" x14ac:dyDescent="0.3">
      <c r="A732" t="s">
        <v>580</v>
      </c>
      <c r="B732" t="s">
        <v>1107</v>
      </c>
      <c r="C732" t="s">
        <v>1226</v>
      </c>
      <c r="D732" s="2">
        <v>38954</v>
      </c>
      <c r="E732">
        <v>2.8332670000000002</v>
      </c>
      <c r="F732" s="2">
        <v>39035</v>
      </c>
      <c r="G732">
        <v>2.99</v>
      </c>
      <c r="H732" s="3">
        <v>5.5300000000000002E-2</v>
      </c>
      <c r="I732">
        <v>766.77</v>
      </c>
      <c r="J732" s="3">
        <v>5.33E-2</v>
      </c>
      <c r="K732">
        <v>5081</v>
      </c>
    </row>
    <row r="733" spans="1:11" x14ac:dyDescent="0.3">
      <c r="A733" t="s">
        <v>67</v>
      </c>
      <c r="B733" t="s">
        <v>1108</v>
      </c>
      <c r="C733" t="s">
        <v>1226</v>
      </c>
      <c r="D733" s="2">
        <v>38954</v>
      </c>
      <c r="E733">
        <v>0.55617059999999996</v>
      </c>
      <c r="F733" s="2">
        <v>38989</v>
      </c>
      <c r="G733">
        <v>0.51917670000000005</v>
      </c>
      <c r="H733" s="3">
        <v>-6.6500000000000004E-2</v>
      </c>
      <c r="I733">
        <v>-985.73</v>
      </c>
      <c r="J733" s="3">
        <v>-6.8400000000000002E-2</v>
      </c>
      <c r="K733">
        <v>25893</v>
      </c>
    </row>
    <row r="734" spans="1:11" x14ac:dyDescent="0.3">
      <c r="A734" t="s">
        <v>513</v>
      </c>
      <c r="B734" t="s">
        <v>1010</v>
      </c>
      <c r="C734" t="s">
        <v>1226</v>
      </c>
      <c r="D734" s="2">
        <v>38674</v>
      </c>
      <c r="E734">
        <v>1.3117239999999999</v>
      </c>
      <c r="F734" s="2">
        <v>38891</v>
      </c>
      <c r="G734">
        <v>1.5677509999999999</v>
      </c>
      <c r="H734" s="3">
        <v>0.19520000000000001</v>
      </c>
      <c r="I734">
        <v>2309.21</v>
      </c>
      <c r="J734" s="3">
        <v>0.193</v>
      </c>
      <c r="K734">
        <v>9122</v>
      </c>
    </row>
    <row r="735" spans="1:11" x14ac:dyDescent="0.3">
      <c r="A735" t="s">
        <v>581</v>
      </c>
      <c r="B735" t="s">
        <v>1109</v>
      </c>
      <c r="C735" t="s">
        <v>1226</v>
      </c>
      <c r="D735" s="2">
        <v>38667</v>
      </c>
      <c r="E735">
        <v>0.66907190000000005</v>
      </c>
      <c r="F735" s="2">
        <v>38884</v>
      </c>
      <c r="G735">
        <v>0.71499999999999997</v>
      </c>
      <c r="H735" s="3">
        <v>6.8599999999999994E-2</v>
      </c>
      <c r="I735">
        <v>796.14</v>
      </c>
      <c r="J735" s="3">
        <v>6.6600000000000006E-2</v>
      </c>
      <c r="K735">
        <v>17873</v>
      </c>
    </row>
    <row r="736" spans="1:11" x14ac:dyDescent="0.3">
      <c r="A736" t="s">
        <v>582</v>
      </c>
      <c r="B736" t="s">
        <v>1110</v>
      </c>
      <c r="C736" t="s">
        <v>1226</v>
      </c>
      <c r="D736" s="2">
        <v>38575</v>
      </c>
      <c r="E736">
        <v>0.64157160000000002</v>
      </c>
      <c r="F736" s="2">
        <v>38884</v>
      </c>
      <c r="G736">
        <v>0.84885659999999996</v>
      </c>
      <c r="H736" s="3">
        <v>0.3231</v>
      </c>
      <c r="I736">
        <v>3596.26</v>
      </c>
      <c r="J736" s="3">
        <v>0.32079999999999997</v>
      </c>
      <c r="K736">
        <v>17475</v>
      </c>
    </row>
    <row r="737" spans="1:11" x14ac:dyDescent="0.3">
      <c r="A737" t="s">
        <v>583</v>
      </c>
      <c r="B737" t="s">
        <v>1111</v>
      </c>
      <c r="C737" t="s">
        <v>1226</v>
      </c>
      <c r="D737" s="2">
        <v>38527</v>
      </c>
      <c r="E737">
        <v>1.781576</v>
      </c>
      <c r="F737" s="2">
        <v>38877</v>
      </c>
      <c r="G737">
        <v>2.2349709999999998</v>
      </c>
      <c r="H737" s="3">
        <v>0.2545</v>
      </c>
      <c r="I737">
        <v>2752.44</v>
      </c>
      <c r="J737" s="3">
        <v>0.25219999999999998</v>
      </c>
      <c r="K737">
        <v>6125</v>
      </c>
    </row>
    <row r="738" spans="1:11" x14ac:dyDescent="0.3">
      <c r="A738" t="s">
        <v>584</v>
      </c>
      <c r="B738" t="s">
        <v>1112</v>
      </c>
      <c r="C738" t="s">
        <v>1226</v>
      </c>
      <c r="D738" s="2">
        <v>38751</v>
      </c>
      <c r="E738">
        <v>0.63</v>
      </c>
      <c r="F738" s="2">
        <v>38870</v>
      </c>
      <c r="G738">
        <v>0.39</v>
      </c>
      <c r="H738" s="3">
        <v>-0.38100000000000001</v>
      </c>
      <c r="I738">
        <v>-5004.78</v>
      </c>
      <c r="J738" s="3">
        <v>-0.3826</v>
      </c>
      <c r="K738">
        <v>20765</v>
      </c>
    </row>
    <row r="739" spans="1:11" x14ac:dyDescent="0.3">
      <c r="A739" t="s">
        <v>145</v>
      </c>
      <c r="B739" t="s">
        <v>692</v>
      </c>
      <c r="C739" t="s">
        <v>1226</v>
      </c>
      <c r="D739" s="2">
        <v>38695</v>
      </c>
      <c r="E739">
        <v>2.2200000000000002</v>
      </c>
      <c r="F739" s="2">
        <v>38870</v>
      </c>
      <c r="G739">
        <v>3.25</v>
      </c>
      <c r="H739" s="3">
        <v>0.46400000000000002</v>
      </c>
      <c r="I739">
        <v>5629.79</v>
      </c>
      <c r="J739" s="3">
        <v>0.46150000000000002</v>
      </c>
      <c r="K739">
        <v>5495</v>
      </c>
    </row>
    <row r="740" spans="1:11" x14ac:dyDescent="0.3">
      <c r="A740" t="s">
        <v>431</v>
      </c>
      <c r="B740" t="s">
        <v>874</v>
      </c>
      <c r="C740" t="s">
        <v>1226</v>
      </c>
      <c r="D740" s="2">
        <v>38562</v>
      </c>
      <c r="E740">
        <v>0.6817396</v>
      </c>
      <c r="F740" s="2">
        <v>38779</v>
      </c>
      <c r="G740">
        <v>0.40273999999999999</v>
      </c>
      <c r="H740" s="3">
        <v>-0.40920000000000001</v>
      </c>
      <c r="I740">
        <v>-4516.92</v>
      </c>
      <c r="J740" s="3">
        <v>-0.4108</v>
      </c>
      <c r="K740">
        <v>16127</v>
      </c>
    </row>
    <row r="741" spans="1:11" x14ac:dyDescent="0.3">
      <c r="A741" t="s">
        <v>461</v>
      </c>
      <c r="B741" t="s">
        <v>930</v>
      </c>
      <c r="C741" t="s">
        <v>1226</v>
      </c>
      <c r="D741" s="2">
        <v>38513</v>
      </c>
      <c r="E741">
        <v>2.3128669999999998</v>
      </c>
      <c r="F741" s="2">
        <v>38772</v>
      </c>
      <c r="G741">
        <v>2.7352249999999998</v>
      </c>
      <c r="H741" s="3">
        <v>0.18260000000000001</v>
      </c>
      <c r="I741">
        <v>1954.68</v>
      </c>
      <c r="J741" s="3">
        <v>0.1804</v>
      </c>
      <c r="K741">
        <v>4684</v>
      </c>
    </row>
    <row r="742" spans="1:11" x14ac:dyDescent="0.3">
      <c r="A742" t="s">
        <v>585</v>
      </c>
      <c r="B742" t="s">
        <v>1113</v>
      </c>
      <c r="C742" t="s">
        <v>1226</v>
      </c>
      <c r="D742" s="2">
        <v>38527</v>
      </c>
      <c r="E742">
        <v>0.70623029999999998</v>
      </c>
      <c r="F742" s="2">
        <v>38751</v>
      </c>
      <c r="G742">
        <v>0.81952939999999996</v>
      </c>
      <c r="H742" s="3">
        <v>0.16039999999999999</v>
      </c>
      <c r="I742">
        <v>1727.46</v>
      </c>
      <c r="J742" s="3">
        <v>0.1583</v>
      </c>
      <c r="K742">
        <v>15455</v>
      </c>
    </row>
    <row r="743" spans="1:11" x14ac:dyDescent="0.3">
      <c r="A743" t="s">
        <v>501</v>
      </c>
      <c r="B743" t="s">
        <v>994</v>
      </c>
      <c r="C743" t="s">
        <v>1226</v>
      </c>
      <c r="D743" s="2">
        <v>38674</v>
      </c>
      <c r="E743">
        <v>2.7917420000000002</v>
      </c>
      <c r="F743" s="2">
        <v>38723</v>
      </c>
      <c r="G743">
        <v>2.3628439999999999</v>
      </c>
      <c r="H743" s="3">
        <v>-0.15359999999999999</v>
      </c>
      <c r="I743">
        <v>-1859.92</v>
      </c>
      <c r="J743" s="3">
        <v>-0.1555</v>
      </c>
      <c r="K743">
        <v>4285</v>
      </c>
    </row>
    <row r="744" spans="1:11" x14ac:dyDescent="0.3">
      <c r="A744" t="s">
        <v>586</v>
      </c>
      <c r="B744" t="s">
        <v>1114</v>
      </c>
      <c r="C744" t="s">
        <v>1226</v>
      </c>
      <c r="D744" s="2">
        <v>37735</v>
      </c>
      <c r="E744">
        <v>1.436599</v>
      </c>
      <c r="F744" s="2">
        <v>38695</v>
      </c>
      <c r="G744">
        <v>5.0539360000000002</v>
      </c>
      <c r="H744" s="3">
        <v>2.5179999999999998</v>
      </c>
      <c r="I744">
        <v>14797.25</v>
      </c>
      <c r="J744" s="3">
        <v>2.5135000000000001</v>
      </c>
      <c r="K744">
        <v>4098</v>
      </c>
    </row>
    <row r="745" spans="1:11" x14ac:dyDescent="0.3">
      <c r="A745" t="s">
        <v>188</v>
      </c>
      <c r="B745" t="s">
        <v>743</v>
      </c>
      <c r="C745" t="s">
        <v>1226</v>
      </c>
      <c r="D745" s="2">
        <v>38142</v>
      </c>
      <c r="E745">
        <v>0.51613560000000003</v>
      </c>
      <c r="F745" s="2">
        <v>38653</v>
      </c>
      <c r="G745">
        <v>1.1003259999999999</v>
      </c>
      <c r="H745" s="3">
        <v>1.1318999999999999</v>
      </c>
      <c r="I745">
        <v>9758.7000000000007</v>
      </c>
      <c r="J745" s="3">
        <v>1.1287</v>
      </c>
      <c r="K745">
        <v>16751</v>
      </c>
    </row>
    <row r="746" spans="1:11" x14ac:dyDescent="0.3">
      <c r="A746" t="s">
        <v>581</v>
      </c>
      <c r="B746" t="s">
        <v>1109</v>
      </c>
      <c r="C746" t="s">
        <v>1226</v>
      </c>
      <c r="D746" s="2">
        <v>38639</v>
      </c>
      <c r="E746">
        <v>0.53132179999999996</v>
      </c>
      <c r="F746" s="2">
        <v>38646</v>
      </c>
      <c r="G746">
        <v>0.49196459999999997</v>
      </c>
      <c r="H746" s="3">
        <v>-7.4099999999999999E-2</v>
      </c>
      <c r="I746">
        <v>-905.13</v>
      </c>
      <c r="J746" s="3">
        <v>-7.5999999999999998E-2</v>
      </c>
      <c r="K746">
        <v>22415</v>
      </c>
    </row>
    <row r="747" spans="1:11" x14ac:dyDescent="0.3">
      <c r="A747" t="s">
        <v>328</v>
      </c>
      <c r="B747" t="s">
        <v>1115</v>
      </c>
      <c r="C747" t="s">
        <v>1226</v>
      </c>
      <c r="D747" s="2">
        <v>38569</v>
      </c>
      <c r="E747">
        <v>0.50131990000000004</v>
      </c>
      <c r="F747" s="2">
        <v>38646</v>
      </c>
      <c r="G747">
        <v>0.46123429999999999</v>
      </c>
      <c r="H747" s="3">
        <v>-0.08</v>
      </c>
      <c r="I747">
        <v>-917.8</v>
      </c>
      <c r="J747" s="3">
        <v>-8.1900000000000001E-2</v>
      </c>
      <c r="K747">
        <v>22359</v>
      </c>
    </row>
    <row r="748" spans="1:11" x14ac:dyDescent="0.3">
      <c r="A748" t="s">
        <v>587</v>
      </c>
      <c r="B748" t="s">
        <v>1116</v>
      </c>
      <c r="C748" t="s">
        <v>1226</v>
      </c>
      <c r="D748" s="2">
        <v>38555</v>
      </c>
      <c r="E748">
        <v>0.76</v>
      </c>
      <c r="F748" s="2">
        <v>38646</v>
      </c>
      <c r="G748">
        <v>0.87</v>
      </c>
      <c r="H748" s="3">
        <v>0.1447</v>
      </c>
      <c r="I748">
        <v>1552.08</v>
      </c>
      <c r="J748" s="3">
        <v>0.1426</v>
      </c>
      <c r="K748">
        <v>14322</v>
      </c>
    </row>
    <row r="749" spans="1:11" x14ac:dyDescent="0.3">
      <c r="A749" t="s">
        <v>502</v>
      </c>
      <c r="B749" t="s">
        <v>995</v>
      </c>
      <c r="C749" t="s">
        <v>1226</v>
      </c>
      <c r="D749" s="2">
        <v>38541</v>
      </c>
      <c r="E749">
        <v>1.6814830000000001</v>
      </c>
      <c r="F749" s="2">
        <v>38639</v>
      </c>
      <c r="G749">
        <v>1.5693839999999999</v>
      </c>
      <c r="H749" s="3">
        <v>-6.6699999999999995E-2</v>
      </c>
      <c r="I749">
        <v>-744.81</v>
      </c>
      <c r="J749" s="3">
        <v>-6.8599999999999994E-2</v>
      </c>
      <c r="K749">
        <v>6457</v>
      </c>
    </row>
    <row r="750" spans="1:11" x14ac:dyDescent="0.3">
      <c r="A750" t="s">
        <v>575</v>
      </c>
      <c r="B750" t="s">
        <v>1101</v>
      </c>
      <c r="C750" t="s">
        <v>1226</v>
      </c>
      <c r="D750" s="2">
        <v>37792</v>
      </c>
      <c r="E750">
        <v>0.70087630000000001</v>
      </c>
      <c r="F750" s="2">
        <v>38625</v>
      </c>
      <c r="G750">
        <v>1.1554789999999999</v>
      </c>
      <c r="H750" s="3">
        <v>0.64859999999999995</v>
      </c>
      <c r="I750">
        <v>4110.4799999999996</v>
      </c>
      <c r="J750" s="3">
        <v>0.64600000000000002</v>
      </c>
      <c r="K750">
        <v>9079</v>
      </c>
    </row>
    <row r="751" spans="1:11" x14ac:dyDescent="0.3">
      <c r="A751" t="s">
        <v>588</v>
      </c>
      <c r="B751" t="s">
        <v>1117</v>
      </c>
      <c r="C751" t="s">
        <v>1226</v>
      </c>
      <c r="D751" s="2">
        <v>38415</v>
      </c>
      <c r="E751">
        <v>0.95470569999999999</v>
      </c>
      <c r="F751" s="2">
        <v>38548</v>
      </c>
      <c r="G751">
        <v>0.78632040000000003</v>
      </c>
      <c r="H751" s="3">
        <v>-0.1764</v>
      </c>
      <c r="I751">
        <v>-2024.5</v>
      </c>
      <c r="J751" s="3">
        <v>-0.1782</v>
      </c>
      <c r="K751">
        <v>11900</v>
      </c>
    </row>
    <row r="752" spans="1:11" x14ac:dyDescent="0.3">
      <c r="A752" t="s">
        <v>501</v>
      </c>
      <c r="B752" t="s">
        <v>994</v>
      </c>
      <c r="C752" t="s">
        <v>1226</v>
      </c>
      <c r="D752" s="2">
        <v>38163</v>
      </c>
      <c r="E752">
        <v>1.91055</v>
      </c>
      <c r="F752" s="2">
        <v>38506</v>
      </c>
      <c r="G752">
        <v>2.3472469999999999</v>
      </c>
      <c r="H752" s="3">
        <v>0.2286</v>
      </c>
      <c r="I752">
        <v>1926.08</v>
      </c>
      <c r="J752" s="3">
        <v>0.2263</v>
      </c>
      <c r="K752">
        <v>4454</v>
      </c>
    </row>
    <row r="753" spans="1:11" x14ac:dyDescent="0.3">
      <c r="A753" t="s">
        <v>589</v>
      </c>
      <c r="B753" t="s">
        <v>1118</v>
      </c>
      <c r="C753" t="s">
        <v>1226</v>
      </c>
      <c r="D753" s="2">
        <v>38093</v>
      </c>
      <c r="E753">
        <v>0.9875003</v>
      </c>
      <c r="F753" s="2">
        <v>38499</v>
      </c>
      <c r="G753">
        <v>1.6331169999999999</v>
      </c>
      <c r="H753" s="3">
        <v>0.65380000000000005</v>
      </c>
      <c r="I753">
        <v>5916.85</v>
      </c>
      <c r="J753" s="3">
        <v>0.65110000000000001</v>
      </c>
      <c r="K753">
        <v>9202</v>
      </c>
    </row>
    <row r="754" spans="1:11" x14ac:dyDescent="0.3">
      <c r="A754" t="s">
        <v>329</v>
      </c>
      <c r="B754" t="s">
        <v>1119</v>
      </c>
      <c r="C754" t="s">
        <v>1226</v>
      </c>
      <c r="D754" s="2">
        <v>37967</v>
      </c>
      <c r="E754">
        <v>1.4243030000000001</v>
      </c>
      <c r="F754" s="2">
        <v>38485</v>
      </c>
      <c r="G754">
        <v>1.315347</v>
      </c>
      <c r="H754" s="3">
        <v>-7.6499999999999999E-2</v>
      </c>
      <c r="I754">
        <v>-660.01</v>
      </c>
      <c r="J754" s="3">
        <v>-7.8399999999999997E-2</v>
      </c>
      <c r="K754">
        <v>5909</v>
      </c>
    </row>
    <row r="755" spans="1:11" x14ac:dyDescent="0.3">
      <c r="A755" t="s">
        <v>590</v>
      </c>
      <c r="B755" t="s">
        <v>1120</v>
      </c>
      <c r="C755" t="s">
        <v>1226</v>
      </c>
      <c r="D755" s="2">
        <v>37400</v>
      </c>
      <c r="E755">
        <v>1.8413440000000001</v>
      </c>
      <c r="F755" s="2">
        <v>38485</v>
      </c>
      <c r="G755">
        <v>2.771766</v>
      </c>
      <c r="H755" s="3">
        <v>0.50529999999999997</v>
      </c>
      <c r="I755">
        <v>3018.14</v>
      </c>
      <c r="J755" s="3">
        <v>0.50280000000000002</v>
      </c>
      <c r="K755">
        <v>3260</v>
      </c>
    </row>
    <row r="756" spans="1:11" x14ac:dyDescent="0.3">
      <c r="A756" t="s">
        <v>440</v>
      </c>
      <c r="B756" t="s">
        <v>892</v>
      </c>
      <c r="C756" t="s">
        <v>1226</v>
      </c>
      <c r="D756" s="2">
        <v>38149</v>
      </c>
      <c r="E756">
        <v>0.62389930000000005</v>
      </c>
      <c r="F756" s="2">
        <v>38478</v>
      </c>
      <c r="G756">
        <v>0.78525990000000001</v>
      </c>
      <c r="H756" s="3">
        <v>0.2586</v>
      </c>
      <c r="I756">
        <v>2208.13</v>
      </c>
      <c r="J756" s="3">
        <v>0.25640000000000002</v>
      </c>
      <c r="K756">
        <v>13805</v>
      </c>
    </row>
    <row r="757" spans="1:11" x14ac:dyDescent="0.3">
      <c r="A757" t="s">
        <v>330</v>
      </c>
      <c r="B757" t="s">
        <v>1121</v>
      </c>
      <c r="C757" t="s">
        <v>1226</v>
      </c>
      <c r="D757" s="2">
        <v>38373</v>
      </c>
      <c r="E757">
        <v>0.51</v>
      </c>
      <c r="F757" s="2">
        <v>38464</v>
      </c>
      <c r="G757">
        <v>0.98999990000000004</v>
      </c>
      <c r="H757" s="3">
        <v>0.94120000000000004</v>
      </c>
      <c r="I757">
        <v>10322.68</v>
      </c>
      <c r="J757" s="3">
        <v>0.93820000000000003</v>
      </c>
      <c r="K757">
        <v>21573</v>
      </c>
    </row>
    <row r="758" spans="1:11" x14ac:dyDescent="0.3">
      <c r="A758" t="s">
        <v>591</v>
      </c>
      <c r="B758" t="s">
        <v>1122</v>
      </c>
      <c r="C758" t="s">
        <v>1226</v>
      </c>
      <c r="D758" s="2">
        <v>38268</v>
      </c>
      <c r="E758">
        <v>1.2833060000000001</v>
      </c>
      <c r="F758" s="2">
        <v>38464</v>
      </c>
      <c r="G758">
        <v>1.3937889999999999</v>
      </c>
      <c r="H758" s="3">
        <v>8.6099999999999996E-2</v>
      </c>
      <c r="I758">
        <v>800.67</v>
      </c>
      <c r="J758" s="3">
        <v>8.4000000000000005E-2</v>
      </c>
      <c r="K758">
        <v>7427</v>
      </c>
    </row>
    <row r="759" spans="1:11" x14ac:dyDescent="0.3">
      <c r="A759" t="s">
        <v>243</v>
      </c>
      <c r="B759" t="s">
        <v>827</v>
      </c>
      <c r="C759" t="s">
        <v>1226</v>
      </c>
      <c r="D759" s="2">
        <v>38184</v>
      </c>
      <c r="E759">
        <v>1.008203</v>
      </c>
      <c r="F759" s="2">
        <v>38464</v>
      </c>
      <c r="G759">
        <v>1.226739</v>
      </c>
      <c r="H759" s="3">
        <v>0.21679999999999999</v>
      </c>
      <c r="I759">
        <v>1883.77</v>
      </c>
      <c r="J759" s="3">
        <v>0.2145</v>
      </c>
      <c r="K759">
        <v>8709</v>
      </c>
    </row>
    <row r="760" spans="1:11" x14ac:dyDescent="0.3">
      <c r="A760" t="s">
        <v>592</v>
      </c>
      <c r="B760" t="s">
        <v>1123</v>
      </c>
      <c r="C760" t="s">
        <v>1226</v>
      </c>
      <c r="D760" s="2">
        <v>38114</v>
      </c>
      <c r="E760">
        <v>1.2857909999999999</v>
      </c>
      <c r="F760" s="2">
        <v>38457</v>
      </c>
      <c r="G760">
        <v>2.1220880000000002</v>
      </c>
      <c r="H760" s="3">
        <v>0.65039999999999998</v>
      </c>
      <c r="I760">
        <v>5625.33</v>
      </c>
      <c r="J760" s="3">
        <v>0.64780000000000004</v>
      </c>
      <c r="K760">
        <v>6754</v>
      </c>
    </row>
    <row r="761" spans="1:11" x14ac:dyDescent="0.3">
      <c r="A761" t="s">
        <v>593</v>
      </c>
      <c r="B761" t="s">
        <v>1124</v>
      </c>
      <c r="C761" t="s">
        <v>1226</v>
      </c>
      <c r="D761" s="2">
        <v>38184</v>
      </c>
      <c r="E761">
        <v>1.538459</v>
      </c>
      <c r="F761" s="2">
        <v>38450</v>
      </c>
      <c r="G761">
        <v>1.560324</v>
      </c>
      <c r="H761" s="3">
        <v>1.4200000000000001E-2</v>
      </c>
      <c r="I761">
        <v>107.1</v>
      </c>
      <c r="J761" s="3">
        <v>1.2200000000000001E-2</v>
      </c>
      <c r="K761">
        <v>5707</v>
      </c>
    </row>
    <row r="762" spans="1:11" x14ac:dyDescent="0.3">
      <c r="A762" t="s">
        <v>297</v>
      </c>
      <c r="B762" t="s">
        <v>976</v>
      </c>
      <c r="C762" t="s">
        <v>1226</v>
      </c>
      <c r="D762" s="2">
        <v>37728</v>
      </c>
      <c r="E762">
        <v>0.64395539999999996</v>
      </c>
      <c r="F762" s="2">
        <v>38415</v>
      </c>
      <c r="G762">
        <v>1.2581199999999999</v>
      </c>
      <c r="H762" s="3">
        <v>0.95369999999999999</v>
      </c>
      <c r="I762">
        <v>5560.57</v>
      </c>
      <c r="J762" s="3">
        <v>0.95079999999999998</v>
      </c>
      <c r="K762">
        <v>9082</v>
      </c>
    </row>
    <row r="763" spans="1:11" x14ac:dyDescent="0.3">
      <c r="A763" t="s">
        <v>594</v>
      </c>
      <c r="B763" t="s">
        <v>1125</v>
      </c>
      <c r="C763" t="s">
        <v>1226</v>
      </c>
      <c r="D763" s="2">
        <v>38268</v>
      </c>
      <c r="E763">
        <v>0.54</v>
      </c>
      <c r="F763" s="2">
        <v>38356</v>
      </c>
      <c r="G763">
        <v>0.63</v>
      </c>
      <c r="H763" s="3">
        <v>0.16669999999999999</v>
      </c>
      <c r="I763">
        <v>1568.2</v>
      </c>
      <c r="J763" s="3">
        <v>0.16450000000000001</v>
      </c>
      <c r="K763">
        <v>17654</v>
      </c>
    </row>
    <row r="764" spans="1:11" x14ac:dyDescent="0.3">
      <c r="A764" t="s">
        <v>595</v>
      </c>
      <c r="B764" t="s">
        <v>1126</v>
      </c>
      <c r="C764" t="s">
        <v>1226</v>
      </c>
      <c r="D764" s="2">
        <v>38156</v>
      </c>
      <c r="E764">
        <v>1.2753779999999999</v>
      </c>
      <c r="F764" s="2">
        <v>38275</v>
      </c>
      <c r="G764">
        <v>1.282897</v>
      </c>
      <c r="H764" s="3">
        <v>5.8999999999999999E-3</v>
      </c>
      <c r="I764">
        <v>33.58</v>
      </c>
      <c r="J764" s="3">
        <v>3.8999999999999998E-3</v>
      </c>
      <c r="K764">
        <v>6769</v>
      </c>
    </row>
    <row r="765" spans="1:11" x14ac:dyDescent="0.3">
      <c r="A765" t="s">
        <v>596</v>
      </c>
      <c r="B765" t="s">
        <v>1127</v>
      </c>
      <c r="C765" t="s">
        <v>1226</v>
      </c>
      <c r="D765" s="2">
        <v>38205</v>
      </c>
      <c r="E765">
        <v>1.2277549999999999</v>
      </c>
      <c r="F765" s="2">
        <v>38268</v>
      </c>
      <c r="G765">
        <v>1.479787</v>
      </c>
      <c r="H765" s="3">
        <v>0.20530000000000001</v>
      </c>
      <c r="I765">
        <v>1897.86</v>
      </c>
      <c r="J765" s="3">
        <v>0.2031</v>
      </c>
      <c r="K765">
        <v>7612</v>
      </c>
    </row>
    <row r="766" spans="1:11" x14ac:dyDescent="0.3">
      <c r="A766" t="s">
        <v>597</v>
      </c>
      <c r="B766" t="s">
        <v>1128</v>
      </c>
      <c r="C766" t="s">
        <v>1226</v>
      </c>
      <c r="D766" s="2">
        <v>38085</v>
      </c>
      <c r="E766">
        <v>0.63534380000000001</v>
      </c>
      <c r="F766" s="2">
        <v>38202</v>
      </c>
      <c r="G766">
        <v>0.73731250000000004</v>
      </c>
      <c r="H766" s="3">
        <v>0.1605</v>
      </c>
      <c r="I766">
        <v>1438.83</v>
      </c>
      <c r="J766" s="3">
        <v>0.1583</v>
      </c>
      <c r="K766">
        <v>14303</v>
      </c>
    </row>
    <row r="767" spans="1:11" x14ac:dyDescent="0.3">
      <c r="A767" t="s">
        <v>257</v>
      </c>
      <c r="B767" t="s">
        <v>855</v>
      </c>
      <c r="C767" t="s">
        <v>1226</v>
      </c>
      <c r="D767" s="2">
        <v>38093</v>
      </c>
      <c r="E767">
        <v>1.5114259999999999</v>
      </c>
      <c r="F767" s="2">
        <v>38163</v>
      </c>
      <c r="G767">
        <v>1.2774399999999999</v>
      </c>
      <c r="H767" s="3">
        <v>-0.15479999999999999</v>
      </c>
      <c r="I767">
        <v>-1423.25</v>
      </c>
      <c r="J767" s="3">
        <v>-0.15670000000000001</v>
      </c>
      <c r="K767">
        <v>6011</v>
      </c>
    </row>
    <row r="768" spans="1:11" x14ac:dyDescent="0.3">
      <c r="A768" t="s">
        <v>598</v>
      </c>
      <c r="B768" t="s">
        <v>1129</v>
      </c>
      <c r="C768" t="s">
        <v>1226</v>
      </c>
      <c r="D768" s="2">
        <v>38051</v>
      </c>
      <c r="E768">
        <v>4.1527919999999998</v>
      </c>
      <c r="F768" s="2">
        <v>38163</v>
      </c>
      <c r="G768">
        <v>2.64</v>
      </c>
      <c r="H768" s="3">
        <v>-0.36430000000000001</v>
      </c>
      <c r="I768">
        <v>-3239.75</v>
      </c>
      <c r="J768" s="3">
        <v>-0.3659</v>
      </c>
      <c r="K768">
        <v>2132</v>
      </c>
    </row>
    <row r="769" spans="1:11" x14ac:dyDescent="0.3">
      <c r="A769" t="s">
        <v>331</v>
      </c>
      <c r="B769" t="s">
        <v>1130</v>
      </c>
      <c r="C769" t="s">
        <v>1226</v>
      </c>
      <c r="D769" s="2">
        <v>37792</v>
      </c>
      <c r="E769">
        <v>0.52807999999999999</v>
      </c>
      <c r="F769" s="2">
        <v>38163</v>
      </c>
      <c r="G769">
        <v>0.70021060000000002</v>
      </c>
      <c r="H769" s="3">
        <v>0.32600000000000001</v>
      </c>
      <c r="I769">
        <v>2059.54</v>
      </c>
      <c r="J769" s="3">
        <v>0.3236</v>
      </c>
      <c r="K769">
        <v>12051</v>
      </c>
    </row>
    <row r="770" spans="1:11" x14ac:dyDescent="0.3">
      <c r="A770" t="s">
        <v>599</v>
      </c>
      <c r="B770" t="s">
        <v>1131</v>
      </c>
      <c r="C770" t="s">
        <v>1226</v>
      </c>
      <c r="D770" s="2">
        <v>37638</v>
      </c>
      <c r="E770">
        <v>1.3332900000000001</v>
      </c>
      <c r="F770" s="2">
        <v>38163</v>
      </c>
      <c r="G770">
        <v>2.9783439999999999</v>
      </c>
      <c r="H770" s="3">
        <v>1.2338</v>
      </c>
      <c r="I770">
        <v>7414.51</v>
      </c>
      <c r="J770" s="3">
        <v>1.2305999999999999</v>
      </c>
      <c r="K770">
        <v>4519</v>
      </c>
    </row>
    <row r="771" spans="1:11" x14ac:dyDescent="0.3">
      <c r="A771" t="s">
        <v>332</v>
      </c>
      <c r="B771" t="s">
        <v>1132</v>
      </c>
      <c r="C771" t="s">
        <v>1226</v>
      </c>
      <c r="D771" s="2">
        <v>37727</v>
      </c>
      <c r="E771">
        <v>0.56326010000000004</v>
      </c>
      <c r="F771" s="2">
        <v>38156</v>
      </c>
      <c r="G771">
        <v>1.020421</v>
      </c>
      <c r="H771" s="3">
        <v>0.81159999999999999</v>
      </c>
      <c r="I771">
        <v>4732.99</v>
      </c>
      <c r="J771" s="3">
        <v>0.80879999999999996</v>
      </c>
      <c r="K771">
        <v>10389</v>
      </c>
    </row>
    <row r="772" spans="1:11" x14ac:dyDescent="0.3">
      <c r="A772" t="s">
        <v>501</v>
      </c>
      <c r="B772" t="s">
        <v>994</v>
      </c>
      <c r="C772" t="s">
        <v>1226</v>
      </c>
      <c r="D772" s="2">
        <v>38085</v>
      </c>
      <c r="E772">
        <v>1.364679</v>
      </c>
      <c r="F772" s="2">
        <v>38135</v>
      </c>
      <c r="G772">
        <v>1.559633</v>
      </c>
      <c r="H772" s="3">
        <v>0.1429</v>
      </c>
      <c r="I772">
        <v>1278.73</v>
      </c>
      <c r="J772" s="3">
        <v>0.14069999999999999</v>
      </c>
      <c r="K772">
        <v>6659</v>
      </c>
    </row>
    <row r="773" spans="1:11" x14ac:dyDescent="0.3">
      <c r="A773" t="s">
        <v>600</v>
      </c>
      <c r="B773" t="s">
        <v>1133</v>
      </c>
      <c r="C773" t="s">
        <v>1226</v>
      </c>
      <c r="D773" s="2">
        <v>38016</v>
      </c>
      <c r="E773">
        <v>1.152433</v>
      </c>
      <c r="F773" s="2">
        <v>38128</v>
      </c>
      <c r="G773">
        <v>1.1861999999999999</v>
      </c>
      <c r="H773" s="3">
        <v>2.93E-2</v>
      </c>
      <c r="I773">
        <v>236.62</v>
      </c>
      <c r="J773" s="3">
        <v>2.7300000000000001E-2</v>
      </c>
      <c r="K773">
        <v>7529</v>
      </c>
    </row>
    <row r="774" spans="1:11" x14ac:dyDescent="0.3">
      <c r="A774" t="s">
        <v>333</v>
      </c>
      <c r="B774" t="s">
        <v>1134</v>
      </c>
      <c r="C774" t="s">
        <v>1226</v>
      </c>
      <c r="D774" s="2">
        <v>37638</v>
      </c>
      <c r="E774">
        <v>1.4644889999999999</v>
      </c>
      <c r="F774" s="2">
        <v>38121</v>
      </c>
      <c r="G774">
        <v>1.992699</v>
      </c>
      <c r="H774" s="3">
        <v>0.36070000000000002</v>
      </c>
      <c r="I774">
        <v>2159.88</v>
      </c>
      <c r="J774" s="3">
        <v>0.35830000000000001</v>
      </c>
      <c r="K774">
        <v>4116</v>
      </c>
    </row>
    <row r="775" spans="1:11" x14ac:dyDescent="0.3">
      <c r="A775" t="s">
        <v>601</v>
      </c>
      <c r="B775" t="s">
        <v>1135</v>
      </c>
      <c r="C775" t="s">
        <v>1226</v>
      </c>
      <c r="D775" s="2">
        <v>37988</v>
      </c>
      <c r="E775">
        <v>1.0402309999999999</v>
      </c>
      <c r="F775" s="2">
        <v>38114</v>
      </c>
      <c r="G775">
        <v>1.0227710000000001</v>
      </c>
      <c r="H775" s="3">
        <v>-1.6799999999999999E-2</v>
      </c>
      <c r="I775">
        <v>-159.5</v>
      </c>
      <c r="J775" s="3">
        <v>-1.8800000000000001E-2</v>
      </c>
      <c r="K775">
        <v>8170</v>
      </c>
    </row>
    <row r="776" spans="1:11" x14ac:dyDescent="0.3">
      <c r="A776" t="s">
        <v>105</v>
      </c>
      <c r="B776" t="s">
        <v>1136</v>
      </c>
      <c r="C776" t="s">
        <v>1226</v>
      </c>
      <c r="D776" s="2">
        <v>37735</v>
      </c>
      <c r="E776">
        <v>0.92630729999999994</v>
      </c>
      <c r="F776" s="2">
        <v>38079</v>
      </c>
      <c r="G776">
        <v>1.5868979999999999</v>
      </c>
      <c r="H776" s="3">
        <v>0.71309999999999996</v>
      </c>
      <c r="I776">
        <v>4182.08</v>
      </c>
      <c r="J776" s="3">
        <v>0.71040000000000003</v>
      </c>
      <c r="K776">
        <v>6355</v>
      </c>
    </row>
    <row r="777" spans="1:11" x14ac:dyDescent="0.3">
      <c r="A777" t="s">
        <v>602</v>
      </c>
      <c r="B777" t="s">
        <v>1137</v>
      </c>
      <c r="C777" t="s">
        <v>1226</v>
      </c>
      <c r="D777" s="2">
        <v>37979</v>
      </c>
      <c r="E777">
        <v>0.77271000000000001</v>
      </c>
      <c r="F777" s="2">
        <v>38072</v>
      </c>
      <c r="G777">
        <v>0.74575499999999995</v>
      </c>
      <c r="H777" s="3">
        <v>-3.49E-2</v>
      </c>
      <c r="I777">
        <v>-312.04000000000002</v>
      </c>
      <c r="J777" s="3">
        <v>-3.6799999999999999E-2</v>
      </c>
      <c r="K777">
        <v>10959</v>
      </c>
    </row>
    <row r="778" spans="1:11" x14ac:dyDescent="0.3">
      <c r="A778" t="s">
        <v>405</v>
      </c>
      <c r="B778" t="s">
        <v>788</v>
      </c>
      <c r="C778" t="s">
        <v>1226</v>
      </c>
      <c r="D778" s="2">
        <v>37967</v>
      </c>
      <c r="E778">
        <v>1.122463</v>
      </c>
      <c r="F778" s="2">
        <v>38072</v>
      </c>
      <c r="G778">
        <v>1.007509</v>
      </c>
      <c r="H778" s="3">
        <v>-0.1024</v>
      </c>
      <c r="I778">
        <v>-877.66</v>
      </c>
      <c r="J778" s="3">
        <v>-0.1043</v>
      </c>
      <c r="K778">
        <v>7496</v>
      </c>
    </row>
    <row r="779" spans="1:11" x14ac:dyDescent="0.3">
      <c r="A779" t="s">
        <v>53</v>
      </c>
      <c r="B779" t="s">
        <v>889</v>
      </c>
      <c r="C779" t="s">
        <v>1226</v>
      </c>
      <c r="D779" s="2">
        <v>37638</v>
      </c>
      <c r="E779">
        <v>2.6166399999999999</v>
      </c>
      <c r="F779" s="2">
        <v>38072</v>
      </c>
      <c r="G779">
        <v>3.1378710000000001</v>
      </c>
      <c r="H779" s="3">
        <v>0.19919999999999999</v>
      </c>
      <c r="I779">
        <v>1187.1400000000001</v>
      </c>
      <c r="J779" s="3">
        <v>0.19700000000000001</v>
      </c>
      <c r="K779">
        <v>2303</v>
      </c>
    </row>
    <row r="780" spans="1:11" x14ac:dyDescent="0.3">
      <c r="A780" t="s">
        <v>603</v>
      </c>
      <c r="B780" t="s">
        <v>1138</v>
      </c>
      <c r="C780" t="s">
        <v>1226</v>
      </c>
      <c r="D780" s="2">
        <v>38016</v>
      </c>
      <c r="E780">
        <v>1.653292</v>
      </c>
      <c r="F780" s="2">
        <v>38051</v>
      </c>
      <c r="G780">
        <v>1.4094679999999999</v>
      </c>
      <c r="H780" s="3">
        <v>-0.14749999999999999</v>
      </c>
      <c r="I780">
        <v>-1295.6600000000001</v>
      </c>
      <c r="J780" s="3">
        <v>-0.14929999999999999</v>
      </c>
      <c r="K780">
        <v>5248</v>
      </c>
    </row>
    <row r="781" spans="1:11" x14ac:dyDescent="0.3">
      <c r="A781" t="s">
        <v>233</v>
      </c>
      <c r="B781" t="s">
        <v>813</v>
      </c>
      <c r="C781" t="s">
        <v>1226</v>
      </c>
      <c r="D781" s="2">
        <v>37728</v>
      </c>
      <c r="E781">
        <v>1.520418</v>
      </c>
      <c r="F781" s="2">
        <v>38016</v>
      </c>
      <c r="G781">
        <v>2.0201359999999999</v>
      </c>
      <c r="H781" s="3">
        <v>0.32869999999999999</v>
      </c>
      <c r="I781">
        <v>1908.79</v>
      </c>
      <c r="J781" s="3">
        <v>0.32629999999999998</v>
      </c>
      <c r="K781">
        <v>3847</v>
      </c>
    </row>
    <row r="782" spans="1:11" x14ac:dyDescent="0.3">
      <c r="A782" t="s">
        <v>604</v>
      </c>
      <c r="B782" t="s">
        <v>1139</v>
      </c>
      <c r="C782" t="s">
        <v>1226</v>
      </c>
      <c r="D782" s="2">
        <v>37735</v>
      </c>
      <c r="E782">
        <v>2.1424400000000001</v>
      </c>
      <c r="F782" s="2">
        <v>38015</v>
      </c>
      <c r="G782">
        <v>3.9</v>
      </c>
      <c r="H782" s="3">
        <v>0.82040000000000002</v>
      </c>
      <c r="I782">
        <v>4811.42</v>
      </c>
      <c r="J782" s="3">
        <v>0.8175</v>
      </c>
      <c r="K782">
        <v>2747</v>
      </c>
    </row>
    <row r="783" spans="1:11" x14ac:dyDescent="0.3">
      <c r="A783" t="s">
        <v>605</v>
      </c>
      <c r="B783" t="s">
        <v>1140</v>
      </c>
      <c r="C783" t="s">
        <v>1226</v>
      </c>
      <c r="D783" s="2">
        <v>37967</v>
      </c>
      <c r="E783">
        <v>0.86277959999999998</v>
      </c>
      <c r="F783" s="2">
        <v>37979</v>
      </c>
      <c r="G783">
        <v>0.90725270000000002</v>
      </c>
      <c r="H783" s="3">
        <v>5.1499999999999997E-2</v>
      </c>
      <c r="I783">
        <v>416.48</v>
      </c>
      <c r="J783" s="3">
        <v>4.9500000000000002E-2</v>
      </c>
      <c r="K783">
        <v>9753</v>
      </c>
    </row>
    <row r="784" spans="1:11" x14ac:dyDescent="0.3">
      <c r="A784" t="s">
        <v>606</v>
      </c>
      <c r="B784" t="s">
        <v>1141</v>
      </c>
      <c r="C784" t="s">
        <v>1226</v>
      </c>
      <c r="D784" s="2">
        <v>37722</v>
      </c>
      <c r="E784">
        <v>1.7959799999999999</v>
      </c>
      <c r="F784" s="2">
        <v>37974</v>
      </c>
      <c r="G784">
        <v>2.5240800000000001</v>
      </c>
      <c r="H784" s="3">
        <v>0.40539999999999998</v>
      </c>
      <c r="I784">
        <v>2351.56</v>
      </c>
      <c r="J784" s="3">
        <v>0.40300000000000002</v>
      </c>
      <c r="K784">
        <v>3249</v>
      </c>
    </row>
    <row r="785" spans="1:11" x14ac:dyDescent="0.3">
      <c r="A785" t="s">
        <v>607</v>
      </c>
      <c r="B785" t="s">
        <v>1142</v>
      </c>
      <c r="C785" t="s">
        <v>1226</v>
      </c>
      <c r="D785" s="2">
        <v>37848</v>
      </c>
      <c r="E785">
        <v>0.7944502</v>
      </c>
      <c r="F785" s="2">
        <v>37967</v>
      </c>
      <c r="G785">
        <v>0.7944502</v>
      </c>
      <c r="H785" s="3">
        <v>0</v>
      </c>
      <c r="I785">
        <v>-14.93</v>
      </c>
      <c r="J785" s="3">
        <v>-2E-3</v>
      </c>
      <c r="K785">
        <v>9398</v>
      </c>
    </row>
    <row r="786" spans="1:11" x14ac:dyDescent="0.3">
      <c r="A786" t="s">
        <v>608</v>
      </c>
      <c r="B786" t="s">
        <v>1143</v>
      </c>
      <c r="C786" t="s">
        <v>1226</v>
      </c>
      <c r="D786" s="2">
        <v>37204</v>
      </c>
      <c r="E786">
        <v>0.51971259999999997</v>
      </c>
      <c r="F786" s="2">
        <v>37967</v>
      </c>
      <c r="G786">
        <v>0.64482260000000002</v>
      </c>
      <c r="H786" s="3">
        <v>0.2407</v>
      </c>
      <c r="I786">
        <v>1164.3399999999999</v>
      </c>
      <c r="J786" s="3">
        <v>0.23849999999999999</v>
      </c>
      <c r="K786">
        <v>9394</v>
      </c>
    </row>
    <row r="787" spans="1:11" x14ac:dyDescent="0.3">
      <c r="A787" t="s">
        <v>595</v>
      </c>
      <c r="B787" t="s">
        <v>1126</v>
      </c>
      <c r="C787" t="s">
        <v>1226</v>
      </c>
      <c r="D787" s="2">
        <v>37743</v>
      </c>
      <c r="E787">
        <v>0.52706280000000005</v>
      </c>
      <c r="F787" s="2">
        <v>37953</v>
      </c>
      <c r="G787">
        <v>1.0039290000000001</v>
      </c>
      <c r="H787" s="3">
        <v>0.90480000000000005</v>
      </c>
      <c r="I787">
        <v>5290.48</v>
      </c>
      <c r="J787" s="3">
        <v>0.90190000000000003</v>
      </c>
      <c r="K787">
        <v>11130</v>
      </c>
    </row>
    <row r="788" spans="1:11" x14ac:dyDescent="0.3">
      <c r="A788" t="s">
        <v>334</v>
      </c>
      <c r="B788" t="s">
        <v>1144</v>
      </c>
      <c r="C788" t="s">
        <v>1226</v>
      </c>
      <c r="D788" s="2">
        <v>37848</v>
      </c>
      <c r="E788">
        <v>1.057294</v>
      </c>
      <c r="F788" s="2">
        <v>37939</v>
      </c>
      <c r="G788">
        <v>0.92548039999999998</v>
      </c>
      <c r="H788" s="3">
        <v>-0.12470000000000001</v>
      </c>
      <c r="I788">
        <v>-944.87</v>
      </c>
      <c r="J788" s="3">
        <v>-0.1265</v>
      </c>
      <c r="K788">
        <v>7062</v>
      </c>
    </row>
    <row r="789" spans="1:11" x14ac:dyDescent="0.3">
      <c r="A789" t="s">
        <v>609</v>
      </c>
      <c r="B789" t="s">
        <v>1145</v>
      </c>
      <c r="C789" t="s">
        <v>1226</v>
      </c>
      <c r="D789" s="2">
        <v>37735</v>
      </c>
      <c r="E789">
        <v>0.54956439999999995</v>
      </c>
      <c r="F789" s="2">
        <v>37848</v>
      </c>
      <c r="G789">
        <v>0.94103499999999995</v>
      </c>
      <c r="H789" s="3">
        <v>0.71230000000000004</v>
      </c>
      <c r="I789">
        <v>4176.6899999999996</v>
      </c>
      <c r="J789" s="3">
        <v>0.70960000000000001</v>
      </c>
      <c r="K789">
        <v>10710</v>
      </c>
    </row>
    <row r="790" spans="1:11" x14ac:dyDescent="0.3">
      <c r="A790" t="s">
        <v>610</v>
      </c>
      <c r="B790" t="s">
        <v>1146</v>
      </c>
      <c r="C790" t="s">
        <v>1226</v>
      </c>
      <c r="D790" s="2">
        <v>37596</v>
      </c>
      <c r="E790">
        <v>0.69538869999999997</v>
      </c>
      <c r="F790" s="2">
        <v>37820</v>
      </c>
      <c r="G790">
        <v>0.60573169999999998</v>
      </c>
      <c r="H790" s="3">
        <v>-0.12889999999999999</v>
      </c>
      <c r="I790">
        <v>-786.88</v>
      </c>
      <c r="J790" s="3">
        <v>-0.1308</v>
      </c>
      <c r="K790">
        <v>8651</v>
      </c>
    </row>
    <row r="791" spans="1:11" x14ac:dyDescent="0.3">
      <c r="A791" t="s">
        <v>335</v>
      </c>
      <c r="B791" t="s">
        <v>1147</v>
      </c>
      <c r="C791" t="s">
        <v>1226</v>
      </c>
      <c r="D791" s="2">
        <v>37722</v>
      </c>
      <c r="E791">
        <v>3.4580099999999998</v>
      </c>
      <c r="F791" s="2">
        <v>37792</v>
      </c>
      <c r="G791">
        <v>3.0193080000000001</v>
      </c>
      <c r="H791" s="3">
        <v>-0.12690000000000001</v>
      </c>
      <c r="I791">
        <v>-751.02</v>
      </c>
      <c r="J791" s="3">
        <v>-0.12870000000000001</v>
      </c>
      <c r="K791">
        <v>1687</v>
      </c>
    </row>
    <row r="792" spans="1:11" x14ac:dyDescent="0.3">
      <c r="A792" t="s">
        <v>545</v>
      </c>
      <c r="B792" t="s">
        <v>1058</v>
      </c>
      <c r="C792" t="s">
        <v>1226</v>
      </c>
      <c r="D792" s="2">
        <v>37722</v>
      </c>
      <c r="E792">
        <v>0.53810239999999998</v>
      </c>
      <c r="F792" s="2">
        <v>37792</v>
      </c>
      <c r="G792">
        <v>0.39290009999999997</v>
      </c>
      <c r="H792" s="3">
        <v>-0.26979999999999998</v>
      </c>
      <c r="I792">
        <v>-1584.67</v>
      </c>
      <c r="J792" s="3">
        <v>-0.27160000000000001</v>
      </c>
      <c r="K792">
        <v>10844</v>
      </c>
    </row>
    <row r="793" spans="1:11" x14ac:dyDescent="0.3">
      <c r="A793" t="s">
        <v>611</v>
      </c>
      <c r="B793" t="s">
        <v>1148</v>
      </c>
      <c r="C793" t="s">
        <v>1226</v>
      </c>
      <c r="D793" s="2">
        <v>37617</v>
      </c>
      <c r="E793">
        <v>21.51</v>
      </c>
      <c r="F793" s="2">
        <v>37725</v>
      </c>
      <c r="G793">
        <v>18.55</v>
      </c>
      <c r="H793" s="3">
        <v>-0.1376</v>
      </c>
      <c r="I793">
        <v>-831.02</v>
      </c>
      <c r="J793" s="3">
        <v>-0.13950000000000001</v>
      </c>
      <c r="K793">
        <v>277</v>
      </c>
    </row>
    <row r="794" spans="1:11" x14ac:dyDescent="0.3">
      <c r="A794" t="s">
        <v>612</v>
      </c>
      <c r="B794" t="s">
        <v>1149</v>
      </c>
      <c r="C794" t="s">
        <v>1226</v>
      </c>
      <c r="D794" s="2">
        <v>37624</v>
      </c>
      <c r="E794">
        <v>1.983638</v>
      </c>
      <c r="F794" s="2">
        <v>37694</v>
      </c>
      <c r="G794">
        <v>1.3885460000000001</v>
      </c>
      <c r="H794" s="3">
        <v>-0.3</v>
      </c>
      <c r="I794">
        <v>-1824.12</v>
      </c>
      <c r="J794" s="3">
        <v>-0.30170000000000002</v>
      </c>
      <c r="K794">
        <v>3048</v>
      </c>
    </row>
    <row r="795" spans="1:11" x14ac:dyDescent="0.3">
      <c r="A795" t="s">
        <v>243</v>
      </c>
      <c r="B795" t="s">
        <v>827</v>
      </c>
      <c r="C795" t="s">
        <v>1226</v>
      </c>
      <c r="D795" s="2">
        <v>37617</v>
      </c>
      <c r="E795">
        <v>0.68483349999999998</v>
      </c>
      <c r="F795" s="2">
        <v>37694</v>
      </c>
      <c r="G795">
        <v>0.65537820000000002</v>
      </c>
      <c r="H795" s="3">
        <v>-4.2999999999999997E-2</v>
      </c>
      <c r="I795">
        <v>-268.83999999999997</v>
      </c>
      <c r="J795" s="3">
        <v>-4.4999999999999998E-2</v>
      </c>
      <c r="K795">
        <v>8730</v>
      </c>
    </row>
    <row r="796" spans="1:11" x14ac:dyDescent="0.3">
      <c r="A796" t="s">
        <v>336</v>
      </c>
      <c r="B796" t="s">
        <v>1150</v>
      </c>
      <c r="C796" t="s">
        <v>1226</v>
      </c>
      <c r="D796" s="2">
        <v>37015</v>
      </c>
      <c r="E796">
        <v>0.51886560000000004</v>
      </c>
      <c r="F796" s="2">
        <v>37694</v>
      </c>
      <c r="G796">
        <v>0.48531930000000001</v>
      </c>
      <c r="H796" s="3">
        <v>-6.4699999999999994E-2</v>
      </c>
      <c r="I796">
        <v>-309.19</v>
      </c>
      <c r="J796" s="3">
        <v>-6.6600000000000006E-2</v>
      </c>
      <c r="K796">
        <v>8949</v>
      </c>
    </row>
    <row r="797" spans="1:11" x14ac:dyDescent="0.3">
      <c r="A797" t="s">
        <v>613</v>
      </c>
      <c r="B797" t="s">
        <v>1151</v>
      </c>
      <c r="C797" t="s">
        <v>1226</v>
      </c>
      <c r="D797" s="2">
        <v>37638</v>
      </c>
      <c r="E797">
        <v>0.99</v>
      </c>
      <c r="F797" s="2">
        <v>37687</v>
      </c>
      <c r="G797">
        <v>0.83</v>
      </c>
      <c r="H797" s="3">
        <v>-0.16159999999999999</v>
      </c>
      <c r="I797">
        <v>-985</v>
      </c>
      <c r="J797" s="3">
        <v>-0.16350000000000001</v>
      </c>
      <c r="K797">
        <v>6087</v>
      </c>
    </row>
    <row r="798" spans="1:11" x14ac:dyDescent="0.3">
      <c r="A798" t="s">
        <v>233</v>
      </c>
      <c r="B798" t="s">
        <v>813</v>
      </c>
      <c r="C798" t="s">
        <v>1226</v>
      </c>
      <c r="D798" s="2">
        <v>37638</v>
      </c>
      <c r="E798">
        <v>0.97285500000000003</v>
      </c>
      <c r="F798" s="2">
        <v>37687</v>
      </c>
      <c r="G798">
        <v>1.270559</v>
      </c>
      <c r="H798" s="3">
        <v>0.30599999999999999</v>
      </c>
      <c r="I798">
        <v>1830.38</v>
      </c>
      <c r="J798" s="3">
        <v>0.30370000000000003</v>
      </c>
      <c r="K798">
        <v>6195</v>
      </c>
    </row>
    <row r="799" spans="1:11" x14ac:dyDescent="0.3">
      <c r="A799" t="s">
        <v>502</v>
      </c>
      <c r="B799" t="s">
        <v>995</v>
      </c>
      <c r="C799" t="s">
        <v>1226</v>
      </c>
      <c r="D799" s="2">
        <v>37330</v>
      </c>
      <c r="E799">
        <v>1.122072</v>
      </c>
      <c r="F799" s="2">
        <v>37687</v>
      </c>
      <c r="G799">
        <v>0.80337130000000001</v>
      </c>
      <c r="H799" s="3">
        <v>-0.28399999999999997</v>
      </c>
      <c r="I799">
        <v>-1673.35</v>
      </c>
      <c r="J799" s="3">
        <v>-0.28570000000000001</v>
      </c>
      <c r="K799">
        <v>5219</v>
      </c>
    </row>
    <row r="800" spans="1:11" x14ac:dyDescent="0.3">
      <c r="A800" t="s">
        <v>614</v>
      </c>
      <c r="B800" t="s">
        <v>1152</v>
      </c>
      <c r="C800" t="s">
        <v>1226</v>
      </c>
      <c r="D800" s="2">
        <v>37113</v>
      </c>
      <c r="E800">
        <v>1.309202</v>
      </c>
      <c r="F800" s="2">
        <v>37673</v>
      </c>
      <c r="G800">
        <v>2.0754000000000001</v>
      </c>
      <c r="H800" s="3">
        <v>0.58520000000000005</v>
      </c>
      <c r="I800">
        <v>2997.86</v>
      </c>
      <c r="J800" s="3">
        <v>0.5827</v>
      </c>
      <c r="K800">
        <v>3930</v>
      </c>
    </row>
    <row r="801" spans="1:11" x14ac:dyDescent="0.3">
      <c r="A801" t="s">
        <v>615</v>
      </c>
      <c r="B801" t="s">
        <v>1153</v>
      </c>
      <c r="C801" t="s">
        <v>1226</v>
      </c>
      <c r="D801" s="2">
        <v>37631</v>
      </c>
      <c r="E801">
        <v>0.73</v>
      </c>
      <c r="F801" s="2">
        <v>37666</v>
      </c>
      <c r="G801">
        <v>0.61</v>
      </c>
      <c r="H801" s="3">
        <v>-0.16439999999999999</v>
      </c>
      <c r="I801">
        <v>-1004.09</v>
      </c>
      <c r="J801" s="3">
        <v>-0.16619999999999999</v>
      </c>
      <c r="K801">
        <v>8275</v>
      </c>
    </row>
    <row r="802" spans="1:11" x14ac:dyDescent="0.3">
      <c r="A802" t="s">
        <v>616</v>
      </c>
      <c r="B802" t="s">
        <v>1154</v>
      </c>
      <c r="C802" t="s">
        <v>1226</v>
      </c>
      <c r="D802" s="2">
        <v>37617</v>
      </c>
      <c r="E802">
        <v>0.79396129999999998</v>
      </c>
      <c r="F802" s="2">
        <v>37666</v>
      </c>
      <c r="G802">
        <v>0.89837719999999999</v>
      </c>
      <c r="H802" s="3">
        <v>0.13150000000000001</v>
      </c>
      <c r="I802">
        <v>773.41</v>
      </c>
      <c r="J802" s="3">
        <v>0.12939999999999999</v>
      </c>
      <c r="K802">
        <v>7529</v>
      </c>
    </row>
    <row r="803" spans="1:11" x14ac:dyDescent="0.3">
      <c r="A803" t="s">
        <v>617</v>
      </c>
      <c r="B803" t="s">
        <v>1155</v>
      </c>
      <c r="C803" t="s">
        <v>1226</v>
      </c>
      <c r="D803" s="2">
        <v>37596</v>
      </c>
      <c r="E803">
        <v>0.8316962</v>
      </c>
      <c r="F803" s="2">
        <v>37666</v>
      </c>
      <c r="G803">
        <v>0.74852660000000004</v>
      </c>
      <c r="H803" s="3">
        <v>-0.1</v>
      </c>
      <c r="I803">
        <v>-613</v>
      </c>
      <c r="J803" s="3">
        <v>-0.1019</v>
      </c>
      <c r="K803">
        <v>7233</v>
      </c>
    </row>
    <row r="804" spans="1:11" x14ac:dyDescent="0.3">
      <c r="A804" t="s">
        <v>145</v>
      </c>
      <c r="B804" t="s">
        <v>692</v>
      </c>
      <c r="C804" t="s">
        <v>1226</v>
      </c>
      <c r="D804" s="2">
        <v>37638</v>
      </c>
      <c r="E804">
        <v>1.27</v>
      </c>
      <c r="F804" s="2">
        <v>37659</v>
      </c>
      <c r="G804">
        <v>1.42</v>
      </c>
      <c r="H804" s="3">
        <v>0.1181</v>
      </c>
      <c r="I804">
        <v>699.28</v>
      </c>
      <c r="J804" s="3">
        <v>0.11600000000000001</v>
      </c>
      <c r="K804">
        <v>4747</v>
      </c>
    </row>
    <row r="805" spans="1:11" x14ac:dyDescent="0.3">
      <c r="A805" t="s">
        <v>618</v>
      </c>
      <c r="B805" t="s">
        <v>1156</v>
      </c>
      <c r="C805" t="s">
        <v>1226</v>
      </c>
      <c r="D805" s="2">
        <v>37624</v>
      </c>
      <c r="E805">
        <v>0.96996550000000004</v>
      </c>
      <c r="F805" s="2">
        <v>37659</v>
      </c>
      <c r="G805">
        <v>1.1154599999999999</v>
      </c>
      <c r="H805" s="3">
        <v>0.15</v>
      </c>
      <c r="I805">
        <v>894.3</v>
      </c>
      <c r="J805" s="3">
        <v>0.14779999999999999</v>
      </c>
      <c r="K805">
        <v>6236</v>
      </c>
    </row>
    <row r="806" spans="1:11" x14ac:dyDescent="0.3">
      <c r="A806" t="s">
        <v>619</v>
      </c>
      <c r="B806" t="s">
        <v>1157</v>
      </c>
      <c r="C806" t="s">
        <v>1226</v>
      </c>
      <c r="D806" s="2">
        <v>37624</v>
      </c>
      <c r="E806">
        <v>1.8527439999999999</v>
      </c>
      <c r="F806" s="2">
        <v>37631</v>
      </c>
      <c r="G806">
        <v>1.827188</v>
      </c>
      <c r="H806" s="3">
        <v>-1.38E-2</v>
      </c>
      <c r="I806">
        <v>-95.43</v>
      </c>
      <c r="J806" s="3">
        <v>-1.5800000000000002E-2</v>
      </c>
      <c r="K806">
        <v>3264</v>
      </c>
    </row>
    <row r="807" spans="1:11" x14ac:dyDescent="0.3">
      <c r="A807" t="s">
        <v>620</v>
      </c>
      <c r="B807" t="s">
        <v>1158</v>
      </c>
      <c r="C807" t="s">
        <v>1226</v>
      </c>
      <c r="D807" s="2">
        <v>37596</v>
      </c>
      <c r="E807">
        <v>23.5</v>
      </c>
      <c r="F807" s="2">
        <v>37603</v>
      </c>
      <c r="G807">
        <v>22</v>
      </c>
      <c r="H807" s="3">
        <v>-6.3799999999999996E-2</v>
      </c>
      <c r="I807">
        <v>-394.1</v>
      </c>
      <c r="J807" s="3">
        <v>-6.5799999999999997E-2</v>
      </c>
      <c r="K807">
        <v>255</v>
      </c>
    </row>
    <row r="808" spans="1:11" x14ac:dyDescent="0.3">
      <c r="A808" t="s">
        <v>621</v>
      </c>
      <c r="B808" t="s">
        <v>1159</v>
      </c>
      <c r="C808" t="s">
        <v>1226</v>
      </c>
      <c r="D808" s="2">
        <v>37343</v>
      </c>
      <c r="E808">
        <v>1.8</v>
      </c>
      <c r="F808" s="2">
        <v>37496</v>
      </c>
      <c r="G808">
        <v>2.7</v>
      </c>
      <c r="H808" s="3">
        <v>0.5</v>
      </c>
      <c r="I808">
        <v>2950.67</v>
      </c>
      <c r="J808" s="3">
        <v>0.4975</v>
      </c>
      <c r="K808">
        <v>3295</v>
      </c>
    </row>
    <row r="809" spans="1:11" x14ac:dyDescent="0.3">
      <c r="A809" t="s">
        <v>622</v>
      </c>
      <c r="B809" t="s">
        <v>1160</v>
      </c>
      <c r="C809" t="s">
        <v>1226</v>
      </c>
      <c r="D809" s="2">
        <v>37197</v>
      </c>
      <c r="E809">
        <v>1.3212060000000001</v>
      </c>
      <c r="F809" s="2">
        <v>37480</v>
      </c>
      <c r="G809">
        <v>1.98</v>
      </c>
      <c r="H809" s="3">
        <v>0.49859999999999999</v>
      </c>
      <c r="I809">
        <v>2424.67</v>
      </c>
      <c r="J809" s="3">
        <v>0.49609999999999999</v>
      </c>
      <c r="K809">
        <v>3699</v>
      </c>
    </row>
    <row r="810" spans="1:11" x14ac:dyDescent="0.3">
      <c r="A810" t="s">
        <v>68</v>
      </c>
      <c r="B810" t="s">
        <v>1161</v>
      </c>
      <c r="C810" t="s">
        <v>1226</v>
      </c>
      <c r="D810" s="2">
        <v>37211</v>
      </c>
      <c r="E810">
        <v>1.8372999999999999</v>
      </c>
      <c r="F810" s="2">
        <v>37463</v>
      </c>
      <c r="G810">
        <v>2.012178</v>
      </c>
      <c r="H810" s="3">
        <v>9.5200000000000007E-2</v>
      </c>
      <c r="I810">
        <v>453.23</v>
      </c>
      <c r="J810" s="3">
        <v>9.3100000000000002E-2</v>
      </c>
      <c r="K810">
        <v>2650</v>
      </c>
    </row>
    <row r="811" spans="1:11" x14ac:dyDescent="0.3">
      <c r="A811" t="s">
        <v>71</v>
      </c>
      <c r="B811" t="s">
        <v>1162</v>
      </c>
      <c r="C811" t="s">
        <v>1226</v>
      </c>
      <c r="D811" s="2">
        <v>36707</v>
      </c>
      <c r="E811">
        <v>1.3800809999999999</v>
      </c>
      <c r="F811" s="2">
        <v>37456</v>
      </c>
      <c r="G811">
        <v>1.8104469999999999</v>
      </c>
      <c r="H811" s="3">
        <v>0.31180000000000002</v>
      </c>
      <c r="I811">
        <v>1333.64</v>
      </c>
      <c r="J811" s="3">
        <v>0.3095</v>
      </c>
      <c r="K811">
        <v>3122</v>
      </c>
    </row>
    <row r="812" spans="1:11" x14ac:dyDescent="0.3">
      <c r="A812" t="s">
        <v>100</v>
      </c>
      <c r="B812" t="s">
        <v>376</v>
      </c>
      <c r="C812" t="s">
        <v>1226</v>
      </c>
      <c r="D812" s="2">
        <v>37232</v>
      </c>
      <c r="E812">
        <v>0.89837230000000001</v>
      </c>
      <c r="F812" s="2">
        <v>37449</v>
      </c>
      <c r="G812">
        <v>1.5285740000000001</v>
      </c>
      <c r="H812" s="3">
        <v>0.70150000000000001</v>
      </c>
      <c r="I812">
        <v>3542.53</v>
      </c>
      <c r="J812" s="3">
        <v>0.69879999999999998</v>
      </c>
      <c r="K812">
        <v>5643</v>
      </c>
    </row>
    <row r="813" spans="1:11" x14ac:dyDescent="0.3">
      <c r="A813" t="s">
        <v>623</v>
      </c>
      <c r="B813" t="s">
        <v>1163</v>
      </c>
      <c r="C813" t="s">
        <v>1226</v>
      </c>
      <c r="D813" s="2">
        <v>37400</v>
      </c>
      <c r="E813">
        <v>2.9795370000000001</v>
      </c>
      <c r="F813" s="2">
        <v>37442</v>
      </c>
      <c r="G813">
        <v>2.5809760000000002</v>
      </c>
      <c r="H813" s="3">
        <v>-0.1338</v>
      </c>
      <c r="I813">
        <v>-813.9</v>
      </c>
      <c r="J813" s="3">
        <v>-0.1356</v>
      </c>
      <c r="K813">
        <v>2014</v>
      </c>
    </row>
    <row r="814" spans="1:11" x14ac:dyDescent="0.3">
      <c r="A814" t="s">
        <v>624</v>
      </c>
      <c r="B814" t="s">
        <v>1164</v>
      </c>
      <c r="C814" t="s">
        <v>1226</v>
      </c>
      <c r="D814" s="2">
        <v>37343</v>
      </c>
      <c r="E814">
        <v>0.51445779999999997</v>
      </c>
      <c r="F814" s="2">
        <v>37421</v>
      </c>
      <c r="G814">
        <v>0.44769609999999999</v>
      </c>
      <c r="H814" s="3">
        <v>-0.1298</v>
      </c>
      <c r="I814">
        <v>-780.86</v>
      </c>
      <c r="J814" s="3">
        <v>-0.13159999999999999</v>
      </c>
      <c r="K814">
        <v>11530</v>
      </c>
    </row>
    <row r="815" spans="1:11" x14ac:dyDescent="0.3">
      <c r="A815" t="s">
        <v>625</v>
      </c>
      <c r="B815" t="s">
        <v>1165</v>
      </c>
      <c r="C815" t="s">
        <v>1226</v>
      </c>
      <c r="D815" s="2">
        <v>37253</v>
      </c>
      <c r="E815">
        <v>1.1260749999999999</v>
      </c>
      <c r="F815" s="2">
        <v>37407</v>
      </c>
      <c r="G815">
        <v>1.2994220000000001</v>
      </c>
      <c r="H815" s="3">
        <v>0.15390000000000001</v>
      </c>
      <c r="I815">
        <v>784.02</v>
      </c>
      <c r="J815" s="3">
        <v>0.15179999999999999</v>
      </c>
      <c r="K815">
        <v>4587</v>
      </c>
    </row>
    <row r="816" spans="1:11" x14ac:dyDescent="0.3">
      <c r="A816" t="s">
        <v>626</v>
      </c>
      <c r="B816" t="s">
        <v>1166</v>
      </c>
      <c r="C816" t="s">
        <v>1226</v>
      </c>
      <c r="D816" s="2">
        <v>36945</v>
      </c>
      <c r="E816">
        <v>0.76479799999999998</v>
      </c>
      <c r="F816" s="2">
        <v>37399</v>
      </c>
      <c r="G816">
        <v>1.2084509999999999</v>
      </c>
      <c r="H816" s="3">
        <v>0.58009999999999995</v>
      </c>
      <c r="I816">
        <v>2698.22</v>
      </c>
      <c r="J816" s="3">
        <v>0.57750000000000001</v>
      </c>
      <c r="K816">
        <v>6109</v>
      </c>
    </row>
    <row r="817" spans="1:11" x14ac:dyDescent="0.3">
      <c r="A817" t="s">
        <v>627</v>
      </c>
      <c r="B817" t="s">
        <v>1167</v>
      </c>
      <c r="C817" t="s">
        <v>1226</v>
      </c>
      <c r="D817" s="2">
        <v>37204</v>
      </c>
      <c r="E817">
        <v>0.98743740000000002</v>
      </c>
      <c r="F817" s="2">
        <v>37393</v>
      </c>
      <c r="G817">
        <v>1.0442199999999999</v>
      </c>
      <c r="H817" s="3">
        <v>5.7500000000000002E-2</v>
      </c>
      <c r="I817">
        <v>270.63</v>
      </c>
      <c r="J817" s="3">
        <v>5.5399999999999998E-2</v>
      </c>
      <c r="K817">
        <v>4943</v>
      </c>
    </row>
    <row r="818" spans="1:11" x14ac:dyDescent="0.3">
      <c r="A818" t="s">
        <v>628</v>
      </c>
      <c r="B818" t="s">
        <v>1168</v>
      </c>
      <c r="C818" t="s">
        <v>1226</v>
      </c>
      <c r="D818" s="2">
        <v>37197</v>
      </c>
      <c r="E818">
        <v>1.6811929999999999</v>
      </c>
      <c r="F818" s="2">
        <v>37393</v>
      </c>
      <c r="G818">
        <v>1.569439</v>
      </c>
      <c r="H818" s="3">
        <v>-6.6500000000000004E-2</v>
      </c>
      <c r="I818">
        <v>-334.32</v>
      </c>
      <c r="J818" s="3">
        <v>-6.8400000000000002E-2</v>
      </c>
      <c r="K818">
        <v>2907</v>
      </c>
    </row>
    <row r="819" spans="1:11" x14ac:dyDescent="0.3">
      <c r="A819" t="s">
        <v>405</v>
      </c>
      <c r="B819" t="s">
        <v>788</v>
      </c>
      <c r="C819" t="s">
        <v>1226</v>
      </c>
      <c r="D819" s="2">
        <v>37085</v>
      </c>
      <c r="E819">
        <v>0.93752610000000003</v>
      </c>
      <c r="F819" s="2">
        <v>37372</v>
      </c>
      <c r="G819">
        <v>1.345834</v>
      </c>
      <c r="H819" s="3">
        <v>0.4355</v>
      </c>
      <c r="I819">
        <v>2200.25</v>
      </c>
      <c r="J819" s="3">
        <v>0.43309999999999998</v>
      </c>
      <c r="K819">
        <v>5419</v>
      </c>
    </row>
    <row r="820" spans="1:11" x14ac:dyDescent="0.3">
      <c r="A820" t="s">
        <v>599</v>
      </c>
      <c r="B820" t="s">
        <v>1131</v>
      </c>
      <c r="C820" t="s">
        <v>1226</v>
      </c>
      <c r="D820" s="2">
        <v>37197</v>
      </c>
      <c r="E820">
        <v>0.81156490000000003</v>
      </c>
      <c r="F820" s="2">
        <v>37365</v>
      </c>
      <c r="G820">
        <v>1.350104</v>
      </c>
      <c r="H820" s="3">
        <v>0.66359999999999997</v>
      </c>
      <c r="I820">
        <v>3230.06</v>
      </c>
      <c r="J820" s="3">
        <v>0.66090000000000004</v>
      </c>
      <c r="K820">
        <v>6022</v>
      </c>
    </row>
    <row r="821" spans="1:11" x14ac:dyDescent="0.3">
      <c r="A821" t="s">
        <v>337</v>
      </c>
      <c r="B821" t="s">
        <v>1169</v>
      </c>
      <c r="C821" t="s">
        <v>1226</v>
      </c>
      <c r="D821" s="2">
        <v>37204</v>
      </c>
      <c r="E821">
        <v>1.99088</v>
      </c>
      <c r="F821" s="2">
        <v>37358</v>
      </c>
      <c r="G821">
        <v>2.1741030000000001</v>
      </c>
      <c r="H821" s="3">
        <v>9.1999999999999998E-2</v>
      </c>
      <c r="I821">
        <v>439.05</v>
      </c>
      <c r="J821" s="3">
        <v>8.9899999999999994E-2</v>
      </c>
      <c r="K821">
        <v>2452</v>
      </c>
    </row>
    <row r="822" spans="1:11" x14ac:dyDescent="0.3">
      <c r="A822" t="s">
        <v>629</v>
      </c>
      <c r="B822" t="s">
        <v>1170</v>
      </c>
      <c r="C822" t="s">
        <v>1226</v>
      </c>
      <c r="D822" s="2">
        <v>37197</v>
      </c>
      <c r="E822">
        <v>0.72394480000000005</v>
      </c>
      <c r="F822" s="2">
        <v>37358</v>
      </c>
      <c r="G822">
        <v>1.5274829999999999</v>
      </c>
      <c r="H822" s="3">
        <v>1.1099000000000001</v>
      </c>
      <c r="I822">
        <v>5408.69</v>
      </c>
      <c r="J822" s="3">
        <v>1.1068</v>
      </c>
      <c r="K822">
        <v>6750</v>
      </c>
    </row>
    <row r="823" spans="1:11" x14ac:dyDescent="0.3">
      <c r="A823" t="s">
        <v>618</v>
      </c>
      <c r="B823" t="s">
        <v>1156</v>
      </c>
      <c r="C823" t="s">
        <v>1226</v>
      </c>
      <c r="D823" s="2">
        <v>37295</v>
      </c>
      <c r="E823">
        <v>0.80507130000000005</v>
      </c>
      <c r="F823" s="2">
        <v>37337</v>
      </c>
      <c r="G823">
        <v>0.84386989999999995</v>
      </c>
      <c r="H823" s="3">
        <v>4.82E-2</v>
      </c>
      <c r="I823">
        <v>254.62</v>
      </c>
      <c r="J823" s="3">
        <v>4.6100000000000002E-2</v>
      </c>
      <c r="K823">
        <v>6854</v>
      </c>
    </row>
    <row r="824" spans="1:11" x14ac:dyDescent="0.3">
      <c r="A824" t="s">
        <v>491</v>
      </c>
      <c r="B824" t="s">
        <v>978</v>
      </c>
      <c r="C824" t="s">
        <v>1226</v>
      </c>
      <c r="D824" s="2">
        <v>37211</v>
      </c>
      <c r="E824">
        <v>0.67814569999999996</v>
      </c>
      <c r="F824" s="2">
        <v>37337</v>
      </c>
      <c r="G824">
        <v>0.70611919999999995</v>
      </c>
      <c r="H824" s="3">
        <v>4.1200000000000001E-2</v>
      </c>
      <c r="I824">
        <v>190.96</v>
      </c>
      <c r="J824" s="3">
        <v>3.9199999999999999E-2</v>
      </c>
      <c r="K824">
        <v>7182</v>
      </c>
    </row>
    <row r="825" spans="1:11" x14ac:dyDescent="0.3">
      <c r="A825" t="s">
        <v>51</v>
      </c>
      <c r="B825" t="s">
        <v>1171</v>
      </c>
      <c r="C825" t="s">
        <v>1226</v>
      </c>
      <c r="D825" s="2">
        <v>37197</v>
      </c>
      <c r="E825">
        <v>1.214388</v>
      </c>
      <c r="F825" s="2">
        <v>37330</v>
      </c>
      <c r="G825">
        <v>1.088036</v>
      </c>
      <c r="H825" s="3">
        <v>-0.104</v>
      </c>
      <c r="I825">
        <v>-517.58000000000004</v>
      </c>
      <c r="J825" s="3">
        <v>-0.10589999999999999</v>
      </c>
      <c r="K825">
        <v>4023</v>
      </c>
    </row>
    <row r="826" spans="1:11" x14ac:dyDescent="0.3">
      <c r="A826" t="s">
        <v>162</v>
      </c>
      <c r="B826" t="s">
        <v>710</v>
      </c>
      <c r="C826" t="s">
        <v>1226</v>
      </c>
      <c r="D826" s="2">
        <v>37204</v>
      </c>
      <c r="E826">
        <v>1.5321199999999999</v>
      </c>
      <c r="F826" s="2">
        <v>37309</v>
      </c>
      <c r="G826">
        <v>1.0836950000000001</v>
      </c>
      <c r="H826" s="3">
        <v>-0.29270000000000002</v>
      </c>
      <c r="I826">
        <v>-1437.02</v>
      </c>
      <c r="J826" s="3">
        <v>-0.2944</v>
      </c>
      <c r="K826">
        <v>3186</v>
      </c>
    </row>
    <row r="827" spans="1:11" x14ac:dyDescent="0.3">
      <c r="A827" t="s">
        <v>630</v>
      </c>
      <c r="B827" t="s">
        <v>1172</v>
      </c>
      <c r="C827" t="s">
        <v>1226</v>
      </c>
      <c r="D827" s="2">
        <v>37218</v>
      </c>
      <c r="E827">
        <v>3</v>
      </c>
      <c r="F827" s="2">
        <v>37293</v>
      </c>
      <c r="G827">
        <v>3.22</v>
      </c>
      <c r="H827" s="3">
        <v>7.3300000000000004E-2</v>
      </c>
      <c r="I827">
        <v>350.81</v>
      </c>
      <c r="J827" s="3">
        <v>7.1300000000000002E-2</v>
      </c>
      <c r="K827">
        <v>1641</v>
      </c>
    </row>
    <row r="828" spans="1:11" x14ac:dyDescent="0.3">
      <c r="A828" t="s">
        <v>631</v>
      </c>
      <c r="B828" t="s">
        <v>1173</v>
      </c>
      <c r="C828" t="s">
        <v>1226</v>
      </c>
      <c r="D828" s="2">
        <v>37099</v>
      </c>
      <c r="E828">
        <v>1.86287</v>
      </c>
      <c r="F828" s="2">
        <v>37249</v>
      </c>
      <c r="G828">
        <v>1.893113</v>
      </c>
      <c r="H828" s="3">
        <v>1.6199999999999999E-2</v>
      </c>
      <c r="I828">
        <v>72.92</v>
      </c>
      <c r="J828" s="3">
        <v>1.4200000000000001E-2</v>
      </c>
      <c r="K828">
        <v>2753</v>
      </c>
    </row>
    <row r="829" spans="1:11" x14ac:dyDescent="0.3">
      <c r="A829" t="s">
        <v>632</v>
      </c>
      <c r="B829" t="s">
        <v>1174</v>
      </c>
      <c r="C829" t="s">
        <v>1226</v>
      </c>
      <c r="D829" s="2">
        <v>36931</v>
      </c>
      <c r="E829">
        <v>0.58283459999999998</v>
      </c>
      <c r="F829" s="2">
        <v>37232</v>
      </c>
      <c r="G829">
        <v>0.73</v>
      </c>
      <c r="H829" s="3">
        <v>0.2525</v>
      </c>
      <c r="I829">
        <v>1176.5899999999999</v>
      </c>
      <c r="J829" s="3">
        <v>0.25019999999999998</v>
      </c>
      <c r="K829">
        <v>8067</v>
      </c>
    </row>
    <row r="830" spans="1:11" x14ac:dyDescent="0.3">
      <c r="A830" t="s">
        <v>633</v>
      </c>
      <c r="B830" t="s">
        <v>1175</v>
      </c>
      <c r="C830" t="s">
        <v>1226</v>
      </c>
      <c r="D830" s="2">
        <v>37197</v>
      </c>
      <c r="E830">
        <v>7.19</v>
      </c>
      <c r="F830" s="2">
        <v>37218</v>
      </c>
      <c r="G830">
        <v>7.2</v>
      </c>
      <c r="H830" s="3">
        <v>1.4E-3</v>
      </c>
      <c r="I830">
        <v>-2.98</v>
      </c>
      <c r="J830" s="3">
        <v>-5.9999999999999995E-4</v>
      </c>
      <c r="K830">
        <v>679</v>
      </c>
    </row>
    <row r="831" spans="1:11" x14ac:dyDescent="0.3">
      <c r="A831" t="s">
        <v>53</v>
      </c>
      <c r="B831" t="s">
        <v>889</v>
      </c>
      <c r="C831" t="s">
        <v>1226</v>
      </c>
      <c r="D831" s="2">
        <v>36854</v>
      </c>
      <c r="E831">
        <v>1.731554</v>
      </c>
      <c r="F831" s="2">
        <v>37197</v>
      </c>
      <c r="G831">
        <v>1.9421440000000001</v>
      </c>
      <c r="H831" s="3">
        <v>0.1216</v>
      </c>
      <c r="I831">
        <v>550.4</v>
      </c>
      <c r="J831" s="3">
        <v>0.1195</v>
      </c>
      <c r="K831">
        <v>2660</v>
      </c>
    </row>
    <row r="832" spans="1:11" x14ac:dyDescent="0.3">
      <c r="A832" t="s">
        <v>634</v>
      </c>
      <c r="B832" t="s">
        <v>1176</v>
      </c>
      <c r="C832" t="s">
        <v>1226</v>
      </c>
      <c r="D832" s="2">
        <v>37029</v>
      </c>
      <c r="E832">
        <v>0.51059279999999996</v>
      </c>
      <c r="F832" s="2">
        <v>37162</v>
      </c>
      <c r="G832">
        <v>0.45643899999999998</v>
      </c>
      <c r="H832" s="3">
        <v>-0.1061</v>
      </c>
      <c r="I832">
        <v>-510.09</v>
      </c>
      <c r="J832" s="3">
        <v>-0.108</v>
      </c>
      <c r="K832">
        <v>9254</v>
      </c>
    </row>
    <row r="833" spans="1:11" x14ac:dyDescent="0.3">
      <c r="A833" t="s">
        <v>635</v>
      </c>
      <c r="B833" t="s">
        <v>1177</v>
      </c>
      <c r="C833" t="s">
        <v>1226</v>
      </c>
      <c r="D833" s="2">
        <v>36931</v>
      </c>
      <c r="E833">
        <v>0.73956290000000002</v>
      </c>
      <c r="F833" s="2">
        <v>37162</v>
      </c>
      <c r="G833">
        <v>0.85037759999999996</v>
      </c>
      <c r="H833" s="3">
        <v>0.14979999999999999</v>
      </c>
      <c r="I833">
        <v>694.23</v>
      </c>
      <c r="J833" s="3">
        <v>0.1477</v>
      </c>
      <c r="K833">
        <v>6356</v>
      </c>
    </row>
    <row r="834" spans="1:11" x14ac:dyDescent="0.3">
      <c r="A834" t="s">
        <v>603</v>
      </c>
      <c r="B834" t="s">
        <v>1138</v>
      </c>
      <c r="C834" t="s">
        <v>1226</v>
      </c>
      <c r="D834" s="2">
        <v>36931</v>
      </c>
      <c r="E834">
        <v>1.0562609999999999</v>
      </c>
      <c r="F834" s="2">
        <v>37162</v>
      </c>
      <c r="G834">
        <v>0.57909880000000002</v>
      </c>
      <c r="H834" s="3">
        <v>-0.45169999999999999</v>
      </c>
      <c r="I834">
        <v>-2131.61</v>
      </c>
      <c r="J834" s="3">
        <v>-0.45329999999999998</v>
      </c>
      <c r="K834">
        <v>4452</v>
      </c>
    </row>
    <row r="835" spans="1:11" x14ac:dyDescent="0.3">
      <c r="A835" t="s">
        <v>636</v>
      </c>
      <c r="B835" t="s">
        <v>1178</v>
      </c>
      <c r="C835" t="s">
        <v>1226</v>
      </c>
      <c r="D835" s="2">
        <v>37085</v>
      </c>
      <c r="E835">
        <v>1.230178</v>
      </c>
      <c r="F835" s="2">
        <v>37155</v>
      </c>
      <c r="G835">
        <v>1.196445</v>
      </c>
      <c r="H835" s="3">
        <v>-2.7400000000000001E-2</v>
      </c>
      <c r="I835">
        <v>-149.34</v>
      </c>
      <c r="J835" s="3">
        <v>-2.9399999999999999E-2</v>
      </c>
      <c r="K835">
        <v>4130</v>
      </c>
    </row>
    <row r="836" spans="1:11" x14ac:dyDescent="0.3">
      <c r="A836" t="s">
        <v>494</v>
      </c>
      <c r="B836" t="s">
        <v>986</v>
      </c>
      <c r="C836" t="s">
        <v>1226</v>
      </c>
      <c r="D836" s="2">
        <v>37022</v>
      </c>
      <c r="E836">
        <v>0.83835510000000002</v>
      </c>
      <c r="F836" s="2">
        <v>37155</v>
      </c>
      <c r="G836">
        <v>0.77799359999999995</v>
      </c>
      <c r="H836" s="3">
        <v>-7.1999999999999995E-2</v>
      </c>
      <c r="I836">
        <v>-347.82</v>
      </c>
      <c r="J836" s="3">
        <v>-7.3899999999999993E-2</v>
      </c>
      <c r="K836">
        <v>5612</v>
      </c>
    </row>
    <row r="837" spans="1:11" x14ac:dyDescent="0.3">
      <c r="A837" t="s">
        <v>491</v>
      </c>
      <c r="B837" t="s">
        <v>978</v>
      </c>
      <c r="C837" t="s">
        <v>1226</v>
      </c>
      <c r="D837" s="2">
        <v>37008</v>
      </c>
      <c r="E837">
        <v>0.62280279999999999</v>
      </c>
      <c r="F837" s="2">
        <v>37155</v>
      </c>
      <c r="G837">
        <v>0.54929799999999995</v>
      </c>
      <c r="H837" s="3">
        <v>-0.11799999999999999</v>
      </c>
      <c r="I837">
        <v>-558.58000000000004</v>
      </c>
      <c r="J837" s="3">
        <v>-0.11990000000000001</v>
      </c>
      <c r="K837">
        <v>7480</v>
      </c>
    </row>
    <row r="838" spans="1:11" x14ac:dyDescent="0.3">
      <c r="A838" t="s">
        <v>86</v>
      </c>
      <c r="B838" t="s">
        <v>1179</v>
      </c>
      <c r="C838" t="s">
        <v>1226</v>
      </c>
      <c r="D838" s="2">
        <v>36931</v>
      </c>
      <c r="E838">
        <v>11.12509</v>
      </c>
      <c r="F838" s="2">
        <v>37155</v>
      </c>
      <c r="G838">
        <v>8.2758620000000001</v>
      </c>
      <c r="H838" s="3">
        <v>-0.25609999999999999</v>
      </c>
      <c r="I838">
        <v>-1210.56</v>
      </c>
      <c r="J838" s="3">
        <v>-0.25790000000000002</v>
      </c>
      <c r="K838">
        <v>422</v>
      </c>
    </row>
    <row r="839" spans="1:11" x14ac:dyDescent="0.3">
      <c r="A839" t="s">
        <v>338</v>
      </c>
      <c r="B839" t="s">
        <v>1180</v>
      </c>
      <c r="C839" t="s">
        <v>1226</v>
      </c>
      <c r="D839" s="2">
        <v>36840</v>
      </c>
      <c r="E839">
        <v>1.986224</v>
      </c>
      <c r="F839" s="2">
        <v>37155</v>
      </c>
      <c r="G839">
        <v>2.8807740000000002</v>
      </c>
      <c r="H839" s="3">
        <v>0.45040000000000002</v>
      </c>
      <c r="I839">
        <v>1979.54</v>
      </c>
      <c r="J839" s="3">
        <v>0.44790000000000002</v>
      </c>
      <c r="K839">
        <v>2225</v>
      </c>
    </row>
    <row r="840" spans="1:11" x14ac:dyDescent="0.3">
      <c r="A840" t="s">
        <v>578</v>
      </c>
      <c r="B840" t="s">
        <v>1104</v>
      </c>
      <c r="C840" t="s">
        <v>1226</v>
      </c>
      <c r="D840" s="2">
        <v>37113</v>
      </c>
      <c r="E840">
        <v>1.3340890000000001</v>
      </c>
      <c r="F840" s="2">
        <v>37127</v>
      </c>
      <c r="G840">
        <v>1.4105650000000001</v>
      </c>
      <c r="H840" s="3">
        <v>5.7299999999999997E-2</v>
      </c>
      <c r="I840">
        <v>284.38</v>
      </c>
      <c r="J840" s="3">
        <v>5.5300000000000002E-2</v>
      </c>
      <c r="K840">
        <v>3857</v>
      </c>
    </row>
    <row r="841" spans="1:11" x14ac:dyDescent="0.3">
      <c r="A841" t="s">
        <v>625</v>
      </c>
      <c r="B841" t="s">
        <v>1165</v>
      </c>
      <c r="C841" t="s">
        <v>1226</v>
      </c>
      <c r="D841" s="2">
        <v>37085</v>
      </c>
      <c r="E841">
        <v>1.035989</v>
      </c>
      <c r="F841" s="2">
        <v>37127</v>
      </c>
      <c r="G841">
        <v>0.98418939999999999</v>
      </c>
      <c r="H841" s="3">
        <v>-0.05</v>
      </c>
      <c r="I841">
        <v>-263.88</v>
      </c>
      <c r="J841" s="3">
        <v>-5.1999999999999998E-2</v>
      </c>
      <c r="K841">
        <v>4903</v>
      </c>
    </row>
    <row r="842" spans="1:11" x14ac:dyDescent="0.3">
      <c r="A842" t="s">
        <v>637</v>
      </c>
      <c r="B842" t="s">
        <v>1181</v>
      </c>
      <c r="C842" t="s">
        <v>1226</v>
      </c>
      <c r="D842" s="2">
        <v>36727</v>
      </c>
      <c r="E842">
        <v>0.71986430000000001</v>
      </c>
      <c r="F842" s="2">
        <v>37106</v>
      </c>
      <c r="G842">
        <v>0.91</v>
      </c>
      <c r="H842" s="3">
        <v>0.2641</v>
      </c>
      <c r="I842">
        <v>1140.46</v>
      </c>
      <c r="J842" s="3">
        <v>0.26190000000000002</v>
      </c>
      <c r="K842">
        <v>6050</v>
      </c>
    </row>
    <row r="843" spans="1:11" x14ac:dyDescent="0.3">
      <c r="A843" t="s">
        <v>638</v>
      </c>
      <c r="B843" t="s">
        <v>1182</v>
      </c>
      <c r="C843" t="s">
        <v>1226</v>
      </c>
      <c r="D843" s="2">
        <v>37008</v>
      </c>
      <c r="E843">
        <v>0.66</v>
      </c>
      <c r="F843" s="2">
        <v>37105</v>
      </c>
      <c r="G843">
        <v>0.64999989999999996</v>
      </c>
      <c r="H843" s="3">
        <v>-1.52E-2</v>
      </c>
      <c r="I843">
        <v>-79.84</v>
      </c>
      <c r="J843" s="3">
        <v>-1.7100000000000001E-2</v>
      </c>
      <c r="K843">
        <v>7059</v>
      </c>
    </row>
    <row r="844" spans="1:11" x14ac:dyDescent="0.3">
      <c r="A844" t="s">
        <v>131</v>
      </c>
      <c r="B844" t="s">
        <v>395</v>
      </c>
      <c r="C844" t="s">
        <v>1226</v>
      </c>
      <c r="D844" s="2">
        <v>36714</v>
      </c>
      <c r="E844">
        <v>1.482299</v>
      </c>
      <c r="F844" s="2">
        <v>37092</v>
      </c>
      <c r="G844">
        <v>2.0196770000000002</v>
      </c>
      <c r="H844" s="3">
        <v>0.36249999999999999</v>
      </c>
      <c r="I844">
        <v>1545.04</v>
      </c>
      <c r="J844" s="3">
        <v>0.36020000000000002</v>
      </c>
      <c r="K844">
        <v>2894</v>
      </c>
    </row>
    <row r="845" spans="1:11" x14ac:dyDescent="0.3">
      <c r="A845" t="s">
        <v>431</v>
      </c>
      <c r="B845" t="s">
        <v>874</v>
      </c>
      <c r="C845" t="s">
        <v>1226</v>
      </c>
      <c r="D845" s="2">
        <v>37008</v>
      </c>
      <c r="E845">
        <v>1.625597</v>
      </c>
      <c r="F845" s="2">
        <v>37085</v>
      </c>
      <c r="G845">
        <v>1.935535</v>
      </c>
      <c r="H845" s="3">
        <v>0.19070000000000001</v>
      </c>
      <c r="I845">
        <v>878.08</v>
      </c>
      <c r="J845" s="3">
        <v>0.1885</v>
      </c>
      <c r="K845">
        <v>2866</v>
      </c>
    </row>
    <row r="846" spans="1:11" x14ac:dyDescent="0.3">
      <c r="A846" t="s">
        <v>639</v>
      </c>
      <c r="B846" t="s">
        <v>1183</v>
      </c>
      <c r="C846" t="s">
        <v>1226</v>
      </c>
      <c r="D846" s="2">
        <v>36916</v>
      </c>
      <c r="E846">
        <v>1.067115</v>
      </c>
      <c r="F846" s="2">
        <v>37085</v>
      </c>
      <c r="G846">
        <v>1.3014600000000001</v>
      </c>
      <c r="H846" s="3">
        <v>0.21959999999999999</v>
      </c>
      <c r="I846">
        <v>1003.3</v>
      </c>
      <c r="J846" s="3">
        <v>0.21740000000000001</v>
      </c>
      <c r="K846">
        <v>4325</v>
      </c>
    </row>
    <row r="847" spans="1:11" x14ac:dyDescent="0.3">
      <c r="A847" t="s">
        <v>640</v>
      </c>
      <c r="B847" t="s">
        <v>1184</v>
      </c>
      <c r="C847" t="s">
        <v>1226</v>
      </c>
      <c r="D847" s="2">
        <v>36721</v>
      </c>
      <c r="E847">
        <v>0.91623310000000002</v>
      </c>
      <c r="F847" s="2">
        <v>37085</v>
      </c>
      <c r="G847">
        <v>1.7408710000000001</v>
      </c>
      <c r="H847" s="3">
        <v>0.9</v>
      </c>
      <c r="I847">
        <v>3894.55</v>
      </c>
      <c r="J847" s="3">
        <v>0.89710000000000001</v>
      </c>
      <c r="K847">
        <v>4738</v>
      </c>
    </row>
    <row r="848" spans="1:11" x14ac:dyDescent="0.3">
      <c r="A848" t="s">
        <v>641</v>
      </c>
      <c r="B848" t="s">
        <v>1185</v>
      </c>
      <c r="C848" t="s">
        <v>1226</v>
      </c>
      <c r="D848" s="2">
        <v>37008</v>
      </c>
      <c r="E848">
        <v>1.6649849999999999</v>
      </c>
      <c r="F848" s="2">
        <v>37085</v>
      </c>
      <c r="G848">
        <v>2.0247809999999999</v>
      </c>
      <c r="H848" s="3">
        <v>0.21609999999999999</v>
      </c>
      <c r="I848">
        <v>996.03</v>
      </c>
      <c r="J848" s="3">
        <v>0.21390000000000001</v>
      </c>
      <c r="K848">
        <v>2797</v>
      </c>
    </row>
    <row r="849" spans="1:11" x14ac:dyDescent="0.3">
      <c r="A849" t="s">
        <v>642</v>
      </c>
      <c r="B849" t="s">
        <v>1186</v>
      </c>
      <c r="C849" t="s">
        <v>1226</v>
      </c>
      <c r="D849" s="2">
        <v>36714</v>
      </c>
      <c r="E849">
        <v>0.92464539999999995</v>
      </c>
      <c r="F849" s="2">
        <v>37029</v>
      </c>
      <c r="G849">
        <v>0.84268609999999999</v>
      </c>
      <c r="H849" s="3">
        <v>-8.8599999999999998E-2</v>
      </c>
      <c r="I849">
        <v>-388.49</v>
      </c>
      <c r="J849" s="3">
        <v>-9.0499999999999997E-2</v>
      </c>
      <c r="K849">
        <v>4640</v>
      </c>
    </row>
    <row r="850" spans="1:11" x14ac:dyDescent="0.3">
      <c r="A850" t="s">
        <v>643</v>
      </c>
      <c r="B850" t="s">
        <v>1187</v>
      </c>
      <c r="C850" t="s">
        <v>1226</v>
      </c>
      <c r="D850" s="2">
        <v>36721</v>
      </c>
      <c r="E850">
        <v>1.2495780000000001</v>
      </c>
      <c r="F850" s="2">
        <v>37008</v>
      </c>
      <c r="G850">
        <v>1.2936879999999999</v>
      </c>
      <c r="H850" s="3">
        <v>3.5299999999999998E-2</v>
      </c>
      <c r="I850">
        <v>144.44</v>
      </c>
      <c r="J850" s="3">
        <v>3.3300000000000003E-2</v>
      </c>
      <c r="K850">
        <v>3475</v>
      </c>
    </row>
    <row r="851" spans="1:11" x14ac:dyDescent="0.3">
      <c r="A851" t="s">
        <v>339</v>
      </c>
      <c r="B851" t="s">
        <v>1188</v>
      </c>
      <c r="C851" t="s">
        <v>1226</v>
      </c>
      <c r="D851" s="2">
        <v>36916</v>
      </c>
      <c r="E851">
        <v>0.99870239999999999</v>
      </c>
      <c r="F851" s="2">
        <v>36987</v>
      </c>
      <c r="G851">
        <v>1.1752689999999999</v>
      </c>
      <c r="H851" s="3">
        <v>0.17680000000000001</v>
      </c>
      <c r="I851">
        <v>806.04</v>
      </c>
      <c r="J851" s="3">
        <v>0.17460000000000001</v>
      </c>
      <c r="K851">
        <v>4622</v>
      </c>
    </row>
    <row r="852" spans="1:11" x14ac:dyDescent="0.3">
      <c r="A852" t="s">
        <v>644</v>
      </c>
      <c r="B852" t="s">
        <v>1189</v>
      </c>
      <c r="C852" t="s">
        <v>1226</v>
      </c>
      <c r="D852" s="2">
        <v>36924</v>
      </c>
      <c r="E852">
        <v>1.55</v>
      </c>
      <c r="F852" s="2">
        <v>36980</v>
      </c>
      <c r="G852">
        <v>1.29</v>
      </c>
      <c r="H852" s="3">
        <v>-0.16769999999999999</v>
      </c>
      <c r="I852">
        <v>-787.21</v>
      </c>
      <c r="J852" s="3">
        <v>-0.1696</v>
      </c>
      <c r="K852">
        <v>2995</v>
      </c>
    </row>
    <row r="853" spans="1:11" x14ac:dyDescent="0.3">
      <c r="A853" t="s">
        <v>622</v>
      </c>
      <c r="B853" t="s">
        <v>1160</v>
      </c>
      <c r="C853" t="s">
        <v>1226</v>
      </c>
      <c r="D853" s="2">
        <v>36749</v>
      </c>
      <c r="E853">
        <v>0.73301159999999999</v>
      </c>
      <c r="F853" s="2">
        <v>36980</v>
      </c>
      <c r="G853">
        <v>0.84001919999999997</v>
      </c>
      <c r="H853" s="3">
        <v>0.14599999999999999</v>
      </c>
      <c r="I853">
        <v>649.69000000000005</v>
      </c>
      <c r="J853" s="3">
        <v>0.14380000000000001</v>
      </c>
      <c r="K853">
        <v>6162</v>
      </c>
    </row>
    <row r="854" spans="1:11" x14ac:dyDescent="0.3">
      <c r="A854" t="s">
        <v>645</v>
      </c>
      <c r="B854" t="s">
        <v>1190</v>
      </c>
      <c r="C854" t="s">
        <v>1226</v>
      </c>
      <c r="D854" s="2">
        <v>36931</v>
      </c>
      <c r="E854">
        <v>0.83090229999999998</v>
      </c>
      <c r="F854" s="2">
        <v>36980</v>
      </c>
      <c r="G854">
        <v>0.77521589999999996</v>
      </c>
      <c r="H854" s="3">
        <v>-6.7000000000000004E-2</v>
      </c>
      <c r="I854">
        <v>-324.10000000000002</v>
      </c>
      <c r="J854" s="3">
        <v>-6.9000000000000006E-2</v>
      </c>
      <c r="K854">
        <v>5657</v>
      </c>
    </row>
    <row r="855" spans="1:11" x14ac:dyDescent="0.3">
      <c r="A855" t="s">
        <v>431</v>
      </c>
      <c r="B855" t="s">
        <v>874</v>
      </c>
      <c r="C855" t="s">
        <v>1226</v>
      </c>
      <c r="D855" s="2">
        <v>36931</v>
      </c>
      <c r="E855">
        <v>1.2934140000000001</v>
      </c>
      <c r="F855" s="2">
        <v>36973</v>
      </c>
      <c r="G855">
        <v>1.3034399999999999</v>
      </c>
      <c r="H855" s="3">
        <v>7.7999999999999996E-3</v>
      </c>
      <c r="I855">
        <v>27</v>
      </c>
      <c r="J855" s="3">
        <v>5.7000000000000002E-3</v>
      </c>
      <c r="K855">
        <v>3635</v>
      </c>
    </row>
    <row r="856" spans="1:11" x14ac:dyDescent="0.3">
      <c r="A856" t="s">
        <v>646</v>
      </c>
      <c r="B856" t="s">
        <v>1191</v>
      </c>
      <c r="C856" t="s">
        <v>1226</v>
      </c>
      <c r="D856" s="2">
        <v>36945</v>
      </c>
      <c r="E856">
        <v>1.932296</v>
      </c>
      <c r="F856" s="2">
        <v>36973</v>
      </c>
      <c r="G856">
        <v>1.3930499999999999</v>
      </c>
      <c r="H856" s="3">
        <v>-0.27910000000000001</v>
      </c>
      <c r="I856">
        <v>-1311.94</v>
      </c>
      <c r="J856" s="3">
        <v>-0.28079999999999999</v>
      </c>
      <c r="K856">
        <v>2418</v>
      </c>
    </row>
    <row r="857" spans="1:11" x14ac:dyDescent="0.3">
      <c r="A857" t="s">
        <v>647</v>
      </c>
      <c r="B857" t="s">
        <v>1192</v>
      </c>
      <c r="C857" t="s">
        <v>1226</v>
      </c>
      <c r="D857" s="2">
        <v>36854</v>
      </c>
      <c r="E857">
        <v>0.57999999999999996</v>
      </c>
      <c r="F857" s="2">
        <v>36945</v>
      </c>
      <c r="G857">
        <v>0.6</v>
      </c>
      <c r="H857" s="3">
        <v>3.4500000000000003E-2</v>
      </c>
      <c r="I857">
        <v>149.47</v>
      </c>
      <c r="J857" s="3">
        <v>3.2399999999999998E-2</v>
      </c>
      <c r="K857">
        <v>7942</v>
      </c>
    </row>
    <row r="858" spans="1:11" x14ac:dyDescent="0.3">
      <c r="A858" t="s">
        <v>648</v>
      </c>
      <c r="B858" t="s">
        <v>1193</v>
      </c>
      <c r="C858" t="s">
        <v>1226</v>
      </c>
      <c r="D858" s="2">
        <v>36931</v>
      </c>
      <c r="E858">
        <v>1.3473679999999999</v>
      </c>
      <c r="F858" s="2">
        <v>36943</v>
      </c>
      <c r="G858">
        <v>1.2</v>
      </c>
      <c r="H858" s="3">
        <v>-0.1094</v>
      </c>
      <c r="I858">
        <v>-523.20000000000005</v>
      </c>
      <c r="J858" s="3">
        <v>-0.1113</v>
      </c>
      <c r="K858">
        <v>3490</v>
      </c>
    </row>
    <row r="859" spans="1:11" x14ac:dyDescent="0.3">
      <c r="A859" t="s">
        <v>648</v>
      </c>
      <c r="B859" t="s">
        <v>1193</v>
      </c>
      <c r="C859" t="s">
        <v>1226</v>
      </c>
      <c r="D859" s="2">
        <v>36854</v>
      </c>
      <c r="E859">
        <v>1.1645110000000001</v>
      </c>
      <c r="F859" s="2">
        <v>36916</v>
      </c>
      <c r="G859">
        <v>1.2318800000000001</v>
      </c>
      <c r="H859" s="3">
        <v>5.79E-2</v>
      </c>
      <c r="I859">
        <v>256.97000000000003</v>
      </c>
      <c r="J859" s="3">
        <v>5.5800000000000002E-2</v>
      </c>
      <c r="K859">
        <v>3955</v>
      </c>
    </row>
    <row r="860" spans="1:11" x14ac:dyDescent="0.3">
      <c r="A860" t="s">
        <v>649</v>
      </c>
      <c r="B860" t="s">
        <v>1194</v>
      </c>
      <c r="C860" t="s">
        <v>1226</v>
      </c>
      <c r="D860" s="2">
        <v>36714</v>
      </c>
      <c r="E860">
        <v>0.69372279999999997</v>
      </c>
      <c r="F860" s="2">
        <v>36910</v>
      </c>
      <c r="G860">
        <v>0.58999480000000004</v>
      </c>
      <c r="H860" s="3">
        <v>-0.14949999999999999</v>
      </c>
      <c r="I860">
        <v>-649.39</v>
      </c>
      <c r="J860" s="3">
        <v>-0.15140000000000001</v>
      </c>
      <c r="K860">
        <v>6184</v>
      </c>
    </row>
    <row r="861" spans="1:11" x14ac:dyDescent="0.3">
      <c r="A861" t="s">
        <v>650</v>
      </c>
      <c r="B861" t="s">
        <v>1195</v>
      </c>
      <c r="C861" t="s">
        <v>1226</v>
      </c>
      <c r="D861" s="2">
        <v>36756</v>
      </c>
      <c r="E861">
        <v>1.197225</v>
      </c>
      <c r="F861" s="2">
        <v>36903</v>
      </c>
      <c r="G861">
        <v>1.1575820000000001</v>
      </c>
      <c r="H861" s="3">
        <v>-3.3099999999999997E-2</v>
      </c>
      <c r="I861">
        <v>-157.87</v>
      </c>
      <c r="J861" s="3">
        <v>-3.5099999999999999E-2</v>
      </c>
      <c r="K861">
        <v>3759</v>
      </c>
    </row>
    <row r="862" spans="1:11" x14ac:dyDescent="0.3">
      <c r="A862" t="s">
        <v>651</v>
      </c>
      <c r="B862" t="s">
        <v>1196</v>
      </c>
      <c r="C862" t="s">
        <v>1226</v>
      </c>
      <c r="D862" s="2">
        <v>36847</v>
      </c>
      <c r="E862">
        <v>0.53688950000000002</v>
      </c>
      <c r="F862" s="2">
        <v>36889</v>
      </c>
      <c r="G862">
        <v>0.41555449999999999</v>
      </c>
      <c r="H862" s="3">
        <v>-0.22600000000000001</v>
      </c>
      <c r="I862">
        <v>-1011.19</v>
      </c>
      <c r="J862" s="3">
        <v>-0.2278</v>
      </c>
      <c r="K862">
        <v>8269</v>
      </c>
    </row>
    <row r="863" spans="1:11" x14ac:dyDescent="0.3">
      <c r="A863" t="s">
        <v>652</v>
      </c>
      <c r="B863" t="s">
        <v>1197</v>
      </c>
      <c r="C863" t="s">
        <v>1226</v>
      </c>
      <c r="D863" s="2">
        <v>36882</v>
      </c>
      <c r="E863">
        <v>0.77442489999999997</v>
      </c>
      <c r="F863" s="2">
        <v>36889</v>
      </c>
      <c r="G863">
        <v>0.72101630000000005</v>
      </c>
      <c r="H863" s="3">
        <v>-6.9000000000000006E-2</v>
      </c>
      <c r="I863">
        <v>-331.07</v>
      </c>
      <c r="J863" s="3">
        <v>-7.0900000000000005E-2</v>
      </c>
      <c r="K863">
        <v>6030</v>
      </c>
    </row>
    <row r="864" spans="1:11" x14ac:dyDescent="0.3">
      <c r="A864" t="s">
        <v>653</v>
      </c>
      <c r="B864" t="s">
        <v>1198</v>
      </c>
      <c r="C864" t="s">
        <v>1226</v>
      </c>
      <c r="D864" s="2">
        <v>36714</v>
      </c>
      <c r="E864">
        <v>1.5983540000000001</v>
      </c>
      <c r="F864" s="2">
        <v>36882</v>
      </c>
      <c r="G864">
        <v>1.963713</v>
      </c>
      <c r="H864" s="3">
        <v>0.2286</v>
      </c>
      <c r="I864">
        <v>971.42</v>
      </c>
      <c r="J864" s="3">
        <v>0.22639999999999999</v>
      </c>
      <c r="K864">
        <v>2685</v>
      </c>
    </row>
    <row r="865" spans="1:11" x14ac:dyDescent="0.3">
      <c r="A865" t="s">
        <v>573</v>
      </c>
      <c r="B865" t="s">
        <v>1098</v>
      </c>
      <c r="C865" t="s">
        <v>1226</v>
      </c>
      <c r="D865" s="2">
        <v>36847</v>
      </c>
      <c r="E865">
        <v>8.9836039999999997</v>
      </c>
      <c r="F865" s="2">
        <v>36875</v>
      </c>
      <c r="G865">
        <v>9.0320769999999992</v>
      </c>
      <c r="H865" s="3">
        <v>5.4000000000000003E-3</v>
      </c>
      <c r="I865">
        <v>15.05</v>
      </c>
      <c r="J865" s="3">
        <v>3.3999999999999998E-3</v>
      </c>
      <c r="K865">
        <v>494</v>
      </c>
    </row>
    <row r="866" spans="1:11" x14ac:dyDescent="0.3">
      <c r="A866" t="s">
        <v>654</v>
      </c>
      <c r="B866" t="s">
        <v>1199</v>
      </c>
      <c r="C866" t="s">
        <v>1226</v>
      </c>
      <c r="D866" s="2">
        <v>36721</v>
      </c>
      <c r="E866">
        <v>0.82405850000000003</v>
      </c>
      <c r="F866" s="2">
        <v>36868</v>
      </c>
      <c r="G866">
        <v>1.3040929999999999</v>
      </c>
      <c r="H866" s="3">
        <v>0.58250000000000002</v>
      </c>
      <c r="I866">
        <v>2518.5700000000002</v>
      </c>
      <c r="J866" s="3">
        <v>0.57989999999999997</v>
      </c>
      <c r="K866">
        <v>5270</v>
      </c>
    </row>
    <row r="867" spans="1:11" x14ac:dyDescent="0.3">
      <c r="A867" t="s">
        <v>555</v>
      </c>
      <c r="B867" t="s">
        <v>1070</v>
      </c>
      <c r="C867" t="s">
        <v>1226</v>
      </c>
      <c r="D867" s="2">
        <v>36847</v>
      </c>
      <c r="E867">
        <v>1.055463</v>
      </c>
      <c r="F867" s="2">
        <v>36868</v>
      </c>
      <c r="G867">
        <v>1.433802</v>
      </c>
      <c r="H867" s="3">
        <v>0.35849999999999999</v>
      </c>
      <c r="I867">
        <v>1581.2</v>
      </c>
      <c r="J867" s="3">
        <v>0.35610000000000003</v>
      </c>
      <c r="K867">
        <v>4207</v>
      </c>
    </row>
    <row r="868" spans="1:11" x14ac:dyDescent="0.3">
      <c r="A868" t="s">
        <v>655</v>
      </c>
      <c r="B868" t="s">
        <v>1200</v>
      </c>
      <c r="C868" t="s">
        <v>1226</v>
      </c>
      <c r="D868" s="2">
        <v>36713</v>
      </c>
      <c r="E868">
        <v>3.305129</v>
      </c>
      <c r="F868" s="2">
        <v>36854</v>
      </c>
      <c r="G868">
        <v>3.4969519999999998</v>
      </c>
      <c r="H868" s="3">
        <v>5.8000000000000003E-2</v>
      </c>
      <c r="I868">
        <v>240.9</v>
      </c>
      <c r="J868" s="3">
        <v>5.6000000000000001E-2</v>
      </c>
      <c r="K868">
        <v>1302</v>
      </c>
    </row>
    <row r="869" spans="1:11" x14ac:dyDescent="0.3">
      <c r="A869" t="s">
        <v>656</v>
      </c>
      <c r="B869" t="s">
        <v>1201</v>
      </c>
      <c r="C869" t="s">
        <v>1226</v>
      </c>
      <c r="D869" s="2">
        <v>36735</v>
      </c>
      <c r="E869">
        <v>1.329334</v>
      </c>
      <c r="F869" s="2">
        <v>36847</v>
      </c>
      <c r="G869">
        <v>1.1990069999999999</v>
      </c>
      <c r="H869" s="3">
        <v>-9.8000000000000004E-2</v>
      </c>
      <c r="I869">
        <v>-461.81</v>
      </c>
      <c r="J869" s="3">
        <v>-9.9900000000000003E-2</v>
      </c>
      <c r="K869">
        <v>3476</v>
      </c>
    </row>
    <row r="870" spans="1:11" x14ac:dyDescent="0.3">
      <c r="A870" t="s">
        <v>625</v>
      </c>
      <c r="B870" t="s">
        <v>1165</v>
      </c>
      <c r="C870" t="s">
        <v>1226</v>
      </c>
      <c r="D870" s="2">
        <v>36721</v>
      </c>
      <c r="E870">
        <v>1.2523299999999999</v>
      </c>
      <c r="F870" s="2">
        <v>36826</v>
      </c>
      <c r="G870">
        <v>1.0317510000000001</v>
      </c>
      <c r="H870" s="3">
        <v>-0.17610000000000001</v>
      </c>
      <c r="I870">
        <v>-772.89</v>
      </c>
      <c r="J870" s="3">
        <v>-0.17799999999999999</v>
      </c>
      <c r="K870">
        <v>3468</v>
      </c>
    </row>
    <row r="871" spans="1:11" x14ac:dyDescent="0.3">
      <c r="A871" t="s">
        <v>657</v>
      </c>
      <c r="B871" t="s">
        <v>1202</v>
      </c>
      <c r="C871" t="s">
        <v>1226</v>
      </c>
      <c r="D871" s="2">
        <v>36763</v>
      </c>
      <c r="E871">
        <v>2.5499999999999998</v>
      </c>
      <c r="F871" s="2">
        <v>36805</v>
      </c>
      <c r="G871">
        <v>2.5303849999999999</v>
      </c>
      <c r="H871" s="3">
        <v>-7.7000000000000002E-3</v>
      </c>
      <c r="I871">
        <v>-43.98</v>
      </c>
      <c r="J871" s="3">
        <v>-9.7000000000000003E-3</v>
      </c>
      <c r="K871">
        <v>1781</v>
      </c>
    </row>
    <row r="872" spans="1:11" x14ac:dyDescent="0.3">
      <c r="A872" t="s">
        <v>658</v>
      </c>
      <c r="B872" t="s">
        <v>1203</v>
      </c>
      <c r="C872" t="s">
        <v>1226</v>
      </c>
      <c r="D872" s="2">
        <v>36707</v>
      </c>
      <c r="E872">
        <v>2.2000000000000002</v>
      </c>
      <c r="F872" s="2">
        <v>36805</v>
      </c>
      <c r="G872">
        <v>1.75</v>
      </c>
      <c r="H872" s="3">
        <v>-0.20449999999999999</v>
      </c>
      <c r="I872">
        <v>-889.29</v>
      </c>
      <c r="J872" s="3">
        <v>-0.20630000000000001</v>
      </c>
      <c r="K872">
        <v>1959</v>
      </c>
    </row>
    <row r="873" spans="1:11" x14ac:dyDescent="0.3">
      <c r="A873" t="s">
        <v>659</v>
      </c>
      <c r="B873" t="s">
        <v>1204</v>
      </c>
      <c r="C873" t="s">
        <v>1226</v>
      </c>
      <c r="D873" s="2">
        <v>36721</v>
      </c>
      <c r="E873">
        <v>0.62127639999999995</v>
      </c>
      <c r="F873" s="2">
        <v>36798</v>
      </c>
      <c r="G873">
        <v>0.62127650000000001</v>
      </c>
      <c r="H873" s="3">
        <v>0</v>
      </c>
      <c r="I873">
        <v>-8.68</v>
      </c>
      <c r="J873" s="3">
        <v>-2E-3</v>
      </c>
      <c r="K873">
        <v>6988</v>
      </c>
    </row>
    <row r="874" spans="1:11" x14ac:dyDescent="0.3">
      <c r="A874" t="s">
        <v>660</v>
      </c>
      <c r="B874" t="s">
        <v>1205</v>
      </c>
      <c r="C874" t="s">
        <v>1226</v>
      </c>
      <c r="D874" s="2">
        <v>36581</v>
      </c>
      <c r="E874">
        <v>0.54042259999999998</v>
      </c>
      <c r="F874" s="2">
        <v>36798</v>
      </c>
      <c r="G874">
        <v>0.92825530000000001</v>
      </c>
      <c r="H874" s="3">
        <v>0.71760000000000002</v>
      </c>
      <c r="I874">
        <v>3367.55</v>
      </c>
      <c r="J874" s="3">
        <v>0.71489999999999998</v>
      </c>
      <c r="K874">
        <v>8716</v>
      </c>
    </row>
    <row r="875" spans="1:11" x14ac:dyDescent="0.3">
      <c r="A875" t="s">
        <v>661</v>
      </c>
      <c r="B875" t="s">
        <v>1206</v>
      </c>
      <c r="C875" t="s">
        <v>1226</v>
      </c>
      <c r="D875" s="2">
        <v>36728</v>
      </c>
      <c r="E875">
        <v>0.80684480000000003</v>
      </c>
      <c r="F875" s="2">
        <v>36798</v>
      </c>
      <c r="G875">
        <v>0.67764120000000005</v>
      </c>
      <c r="H875" s="3">
        <v>-0.16009999999999999</v>
      </c>
      <c r="I875">
        <v>-708.72</v>
      </c>
      <c r="J875" s="3">
        <v>-0.16200000000000001</v>
      </c>
      <c r="K875">
        <v>5423</v>
      </c>
    </row>
    <row r="876" spans="1:11" x14ac:dyDescent="0.3">
      <c r="A876" t="s">
        <v>662</v>
      </c>
      <c r="B876" t="s">
        <v>1207</v>
      </c>
      <c r="C876" t="s">
        <v>1226</v>
      </c>
      <c r="D876" s="2">
        <v>36721</v>
      </c>
      <c r="E876">
        <v>0.85748829999999998</v>
      </c>
      <c r="F876" s="2">
        <v>36759</v>
      </c>
      <c r="G876">
        <v>0.86</v>
      </c>
      <c r="H876" s="3">
        <v>2.8999999999999998E-3</v>
      </c>
      <c r="I876">
        <v>4.0199999999999996</v>
      </c>
      <c r="J876" s="3">
        <v>8.9999999999999998E-4</v>
      </c>
      <c r="K876">
        <v>5065</v>
      </c>
    </row>
    <row r="877" spans="1:11" x14ac:dyDescent="0.3">
      <c r="A877" t="s">
        <v>663</v>
      </c>
      <c r="B877" t="s">
        <v>1208</v>
      </c>
      <c r="C877" t="s">
        <v>1226</v>
      </c>
      <c r="D877" s="2">
        <v>36581</v>
      </c>
      <c r="E877">
        <v>0.78500000000000003</v>
      </c>
      <c r="F877" s="2">
        <v>36749</v>
      </c>
      <c r="G877">
        <v>0.6</v>
      </c>
      <c r="H877" s="3">
        <v>-0.23569999999999999</v>
      </c>
      <c r="I877">
        <v>-1118.5</v>
      </c>
      <c r="J877" s="3">
        <v>-0.2374</v>
      </c>
      <c r="K877">
        <v>6001</v>
      </c>
    </row>
    <row r="878" spans="1:11" x14ac:dyDescent="0.3">
      <c r="A878" t="s">
        <v>664</v>
      </c>
      <c r="B878" t="s">
        <v>1209</v>
      </c>
      <c r="C878" t="s">
        <v>1226</v>
      </c>
      <c r="D878" s="2">
        <v>36553</v>
      </c>
      <c r="E878">
        <v>1.2967219999999999</v>
      </c>
      <c r="F878" s="2">
        <v>36749</v>
      </c>
      <c r="G878">
        <v>1.6</v>
      </c>
      <c r="H878" s="3">
        <v>0.2339</v>
      </c>
      <c r="I878">
        <v>1086.48</v>
      </c>
      <c r="J878" s="3">
        <v>0.2316</v>
      </c>
      <c r="K878">
        <v>3617</v>
      </c>
    </row>
    <row r="879" spans="1:11" x14ac:dyDescent="0.3">
      <c r="A879" t="s">
        <v>53</v>
      </c>
      <c r="B879" t="s">
        <v>889</v>
      </c>
      <c r="C879" t="s">
        <v>1226</v>
      </c>
      <c r="D879" s="2">
        <v>36630</v>
      </c>
      <c r="E879">
        <v>1.817822</v>
      </c>
      <c r="F879" s="2">
        <v>36735</v>
      </c>
      <c r="G879">
        <v>1.5414049999999999</v>
      </c>
      <c r="H879" s="3">
        <v>-0.15210000000000001</v>
      </c>
      <c r="I879">
        <v>-740.29</v>
      </c>
      <c r="J879" s="3">
        <v>-0.15390000000000001</v>
      </c>
      <c r="K879">
        <v>2646</v>
      </c>
    </row>
    <row r="880" spans="1:11" x14ac:dyDescent="0.3">
      <c r="A880" t="s">
        <v>65</v>
      </c>
      <c r="B880" t="s">
        <v>1210</v>
      </c>
      <c r="C880" t="s">
        <v>1226</v>
      </c>
      <c r="D880" s="2">
        <v>36728</v>
      </c>
      <c r="E880">
        <v>0.62832589999999999</v>
      </c>
      <c r="F880" s="2">
        <v>36735</v>
      </c>
      <c r="G880">
        <v>0.60738179999999997</v>
      </c>
      <c r="H880" s="3">
        <v>-3.3300000000000003E-2</v>
      </c>
      <c r="I880">
        <v>-154.44</v>
      </c>
      <c r="J880" s="3">
        <v>-3.5299999999999998E-2</v>
      </c>
      <c r="K880">
        <v>6963</v>
      </c>
    </row>
    <row r="881" spans="1:11" x14ac:dyDescent="0.3">
      <c r="A881" t="s">
        <v>665</v>
      </c>
      <c r="B881" t="s">
        <v>1211</v>
      </c>
      <c r="C881" t="s">
        <v>1226</v>
      </c>
      <c r="D881" s="2">
        <v>36661</v>
      </c>
      <c r="E881">
        <v>0.47631570000000001</v>
      </c>
      <c r="F881" s="2">
        <v>36700</v>
      </c>
      <c r="G881">
        <v>0.47631570000000001</v>
      </c>
      <c r="H881" s="3">
        <v>0</v>
      </c>
      <c r="I881">
        <v>-8.61</v>
      </c>
      <c r="J881" s="3">
        <v>-2E-3</v>
      </c>
      <c r="K881">
        <v>9041</v>
      </c>
    </row>
    <row r="882" spans="1:11" x14ac:dyDescent="0.3">
      <c r="A882" t="s">
        <v>666</v>
      </c>
      <c r="B882" t="s">
        <v>1212</v>
      </c>
      <c r="C882" t="s">
        <v>1226</v>
      </c>
      <c r="D882" s="2">
        <v>36581</v>
      </c>
      <c r="E882">
        <v>0.72558</v>
      </c>
      <c r="F882" s="2">
        <v>36671</v>
      </c>
      <c r="G882">
        <v>0.62599660000000001</v>
      </c>
      <c r="H882" s="3">
        <v>-0.13719999999999999</v>
      </c>
      <c r="I882">
        <v>-655.57</v>
      </c>
      <c r="J882" s="3">
        <v>-0.1391</v>
      </c>
      <c r="K882">
        <v>6495</v>
      </c>
    </row>
    <row r="883" spans="1:11" x14ac:dyDescent="0.3">
      <c r="A883" t="s">
        <v>639</v>
      </c>
      <c r="B883" t="s">
        <v>1183</v>
      </c>
      <c r="C883" t="s">
        <v>1226</v>
      </c>
      <c r="D883" s="2">
        <v>36567</v>
      </c>
      <c r="E883">
        <v>0.58618349999999997</v>
      </c>
      <c r="F883" s="2">
        <v>36644</v>
      </c>
      <c r="G883">
        <v>0.53147310000000003</v>
      </c>
      <c r="H883" s="3">
        <v>-9.3299999999999994E-2</v>
      </c>
      <c r="I883">
        <v>-448.3</v>
      </c>
      <c r="J883" s="3">
        <v>-9.5200000000000007E-2</v>
      </c>
      <c r="K883">
        <v>8030</v>
      </c>
    </row>
    <row r="884" spans="1:11" x14ac:dyDescent="0.3">
      <c r="A884" t="s">
        <v>667</v>
      </c>
      <c r="B884" t="s">
        <v>1213</v>
      </c>
      <c r="C884" t="s">
        <v>1226</v>
      </c>
      <c r="D884" s="2">
        <v>36593</v>
      </c>
      <c r="E884">
        <v>0.53202720000000003</v>
      </c>
      <c r="F884" s="2">
        <v>36643</v>
      </c>
      <c r="G884">
        <v>0.384598</v>
      </c>
      <c r="H884" s="3">
        <v>-0.27710000000000001</v>
      </c>
      <c r="I884">
        <v>-1260.49</v>
      </c>
      <c r="J884" s="3">
        <v>-0.27879999999999999</v>
      </c>
      <c r="K884">
        <v>8497</v>
      </c>
    </row>
    <row r="885" spans="1:11" x14ac:dyDescent="0.3">
      <c r="A885" t="s">
        <v>501</v>
      </c>
      <c r="B885" t="s">
        <v>994</v>
      </c>
      <c r="C885" t="s">
        <v>1226</v>
      </c>
      <c r="D885" s="2">
        <v>36581</v>
      </c>
      <c r="E885">
        <v>2.8115739999999998</v>
      </c>
      <c r="F885" s="2">
        <v>36636</v>
      </c>
      <c r="G885">
        <v>2.104562</v>
      </c>
      <c r="H885" s="3">
        <v>-0.2515</v>
      </c>
      <c r="I885">
        <v>-1192.48</v>
      </c>
      <c r="J885" s="3">
        <v>-0.25319999999999998</v>
      </c>
      <c r="K885">
        <v>1675</v>
      </c>
    </row>
    <row r="886" spans="1:11" x14ac:dyDescent="0.3">
      <c r="A886" t="s">
        <v>594</v>
      </c>
      <c r="B886" t="s">
        <v>1125</v>
      </c>
      <c r="C886" t="s">
        <v>1226</v>
      </c>
      <c r="D886" s="2">
        <v>36581</v>
      </c>
      <c r="E886">
        <v>1.139686</v>
      </c>
      <c r="F886" s="2">
        <v>36636</v>
      </c>
      <c r="G886">
        <v>0.8683322</v>
      </c>
      <c r="H886" s="3">
        <v>-0.23810000000000001</v>
      </c>
      <c r="I886">
        <v>-1130.08</v>
      </c>
      <c r="J886" s="3">
        <v>-0.2399</v>
      </c>
      <c r="K886">
        <v>4134</v>
      </c>
    </row>
    <row r="887" spans="1:11" x14ac:dyDescent="0.3">
      <c r="A887" t="s">
        <v>492</v>
      </c>
      <c r="B887" t="s">
        <v>982</v>
      </c>
      <c r="C887" t="s">
        <v>1226</v>
      </c>
      <c r="D887" s="2">
        <v>36581</v>
      </c>
      <c r="E887">
        <v>0.98695860000000002</v>
      </c>
      <c r="F887" s="2">
        <v>36636</v>
      </c>
      <c r="G887">
        <v>0.59046359999999998</v>
      </c>
      <c r="H887" s="3">
        <v>-0.4017</v>
      </c>
      <c r="I887">
        <v>-1900.4</v>
      </c>
      <c r="J887" s="3">
        <v>-0.40329999999999999</v>
      </c>
      <c r="K887">
        <v>4774</v>
      </c>
    </row>
    <row r="888" spans="1:11" x14ac:dyDescent="0.3">
      <c r="A888" t="s">
        <v>668</v>
      </c>
      <c r="B888" t="s">
        <v>1214</v>
      </c>
      <c r="C888" t="s">
        <v>1226</v>
      </c>
      <c r="D888" s="2">
        <v>36574</v>
      </c>
      <c r="E888">
        <v>6.4</v>
      </c>
      <c r="F888" s="2">
        <v>36636</v>
      </c>
      <c r="G888">
        <v>4.7190000000000003</v>
      </c>
      <c r="H888" s="3">
        <v>-0.26269999999999999</v>
      </c>
      <c r="I888">
        <v>-1284.32</v>
      </c>
      <c r="J888" s="3">
        <v>-0.26440000000000002</v>
      </c>
      <c r="K888">
        <v>759</v>
      </c>
    </row>
    <row r="889" spans="1:11" x14ac:dyDescent="0.3">
      <c r="A889" t="s">
        <v>669</v>
      </c>
      <c r="B889" t="s">
        <v>1215</v>
      </c>
      <c r="C889" t="s">
        <v>1226</v>
      </c>
      <c r="D889" s="2">
        <v>36567</v>
      </c>
      <c r="E889">
        <v>5.1768840000000003</v>
      </c>
      <c r="F889" s="2">
        <v>36636</v>
      </c>
      <c r="G889">
        <v>3.4836589999999998</v>
      </c>
      <c r="H889" s="3">
        <v>-0.3271</v>
      </c>
      <c r="I889">
        <v>-1547.01</v>
      </c>
      <c r="J889" s="3">
        <v>-0.32869999999999999</v>
      </c>
      <c r="K889">
        <v>909</v>
      </c>
    </row>
    <row r="890" spans="1:11" x14ac:dyDescent="0.3">
      <c r="A890" t="s">
        <v>670</v>
      </c>
      <c r="B890" t="s">
        <v>1216</v>
      </c>
      <c r="C890" t="s">
        <v>1226</v>
      </c>
      <c r="D890" s="2">
        <v>36567</v>
      </c>
      <c r="E890">
        <v>0.74788829999999995</v>
      </c>
      <c r="F890" s="2">
        <v>36636</v>
      </c>
      <c r="G890">
        <v>0.44037150000000003</v>
      </c>
      <c r="H890" s="3">
        <v>-0.41120000000000001</v>
      </c>
      <c r="I890">
        <v>-1943.3</v>
      </c>
      <c r="J890" s="3">
        <v>-0.4128</v>
      </c>
      <c r="K890">
        <v>6295</v>
      </c>
    </row>
    <row r="891" spans="1:11" x14ac:dyDescent="0.3">
      <c r="A891" t="s">
        <v>671</v>
      </c>
      <c r="B891" t="s">
        <v>1217</v>
      </c>
      <c r="C891" t="s">
        <v>1226</v>
      </c>
      <c r="D891" s="2">
        <v>36532</v>
      </c>
      <c r="E891">
        <v>0.77925469999999997</v>
      </c>
      <c r="F891" s="2">
        <v>36636</v>
      </c>
      <c r="G891">
        <v>0.66055419999999998</v>
      </c>
      <c r="H891" s="3">
        <v>-0.15229999999999999</v>
      </c>
      <c r="I891">
        <v>-733.94</v>
      </c>
      <c r="J891" s="3">
        <v>-0.1542</v>
      </c>
      <c r="K891">
        <v>6109</v>
      </c>
    </row>
    <row r="892" spans="1:11" x14ac:dyDescent="0.3">
      <c r="A892" t="s">
        <v>338</v>
      </c>
      <c r="B892" t="s">
        <v>1180</v>
      </c>
      <c r="C892" t="s">
        <v>1226</v>
      </c>
      <c r="D892" s="2">
        <v>36630</v>
      </c>
      <c r="E892">
        <v>2.1738300000000002</v>
      </c>
      <c r="F892" s="2">
        <v>36635</v>
      </c>
      <c r="G892">
        <v>1.8205830000000001</v>
      </c>
      <c r="H892" s="3">
        <v>-0.16250000000000001</v>
      </c>
      <c r="I892">
        <v>-790.58</v>
      </c>
      <c r="J892" s="3">
        <v>-0.1643</v>
      </c>
      <c r="K892">
        <v>2213</v>
      </c>
    </row>
    <row r="893" spans="1:11" x14ac:dyDescent="0.3">
      <c r="A893" t="s">
        <v>672</v>
      </c>
      <c r="B893" t="s">
        <v>1218</v>
      </c>
      <c r="C893" t="s">
        <v>1226</v>
      </c>
      <c r="D893" s="2">
        <v>36567</v>
      </c>
      <c r="E893">
        <v>6.1324740000000002</v>
      </c>
      <c r="F893" s="2">
        <v>36630</v>
      </c>
      <c r="G893">
        <v>9.2468889999999995</v>
      </c>
      <c r="H893" s="3">
        <v>0.50790000000000002</v>
      </c>
      <c r="I893">
        <v>2376.96</v>
      </c>
      <c r="J893" s="3">
        <v>0.50529999999999997</v>
      </c>
      <c r="K893">
        <v>767</v>
      </c>
    </row>
    <row r="894" spans="1:11" x14ac:dyDescent="0.3">
      <c r="A894" t="s">
        <v>673</v>
      </c>
      <c r="B894" t="s">
        <v>1219</v>
      </c>
      <c r="C894" t="s">
        <v>1226</v>
      </c>
      <c r="D894" s="2">
        <v>36546</v>
      </c>
      <c r="E894">
        <v>0.57976159999999999</v>
      </c>
      <c r="F894" s="2">
        <v>36630</v>
      </c>
      <c r="G894">
        <v>0.3681026</v>
      </c>
      <c r="H894" s="3">
        <v>-0.36509999999999998</v>
      </c>
      <c r="I894">
        <v>-1721.48</v>
      </c>
      <c r="J894" s="3">
        <v>-0.36670000000000003</v>
      </c>
      <c r="K894">
        <v>8097</v>
      </c>
    </row>
    <row r="895" spans="1:11" x14ac:dyDescent="0.3">
      <c r="A895" t="s">
        <v>340</v>
      </c>
      <c r="B895" t="s">
        <v>1220</v>
      </c>
      <c r="C895" t="s">
        <v>1226</v>
      </c>
      <c r="D895" s="2">
        <v>36532</v>
      </c>
      <c r="E895">
        <v>0.80354099999999995</v>
      </c>
      <c r="F895" s="2">
        <v>36630</v>
      </c>
      <c r="G895">
        <v>0.62015140000000002</v>
      </c>
      <c r="H895" s="3">
        <v>-0.22819999999999999</v>
      </c>
      <c r="I895">
        <v>-1095.2</v>
      </c>
      <c r="J895" s="3">
        <v>-0.23</v>
      </c>
      <c r="K895">
        <v>5926</v>
      </c>
    </row>
    <row r="896" spans="1:11" x14ac:dyDescent="0.3">
      <c r="A896" t="s">
        <v>674</v>
      </c>
      <c r="B896" t="s">
        <v>1221</v>
      </c>
      <c r="C896" t="s">
        <v>1226</v>
      </c>
      <c r="D896" s="2">
        <v>36602</v>
      </c>
      <c r="E896">
        <v>1.35</v>
      </c>
      <c r="F896" s="2">
        <v>36623</v>
      </c>
      <c r="G896">
        <v>1.07</v>
      </c>
      <c r="H896" s="3">
        <v>-0.2074</v>
      </c>
      <c r="I896">
        <v>-1005.13</v>
      </c>
      <c r="J896" s="3">
        <v>-0.2092</v>
      </c>
      <c r="K896">
        <v>3559</v>
      </c>
    </row>
    <row r="897" spans="1:11" x14ac:dyDescent="0.3">
      <c r="A897" t="s">
        <v>675</v>
      </c>
      <c r="B897" t="s">
        <v>1222</v>
      </c>
      <c r="C897" t="s">
        <v>1226</v>
      </c>
      <c r="D897" s="2">
        <v>36602</v>
      </c>
      <c r="E897">
        <v>0.90836399999999995</v>
      </c>
      <c r="F897" s="2">
        <v>36623</v>
      </c>
      <c r="G897">
        <v>1.033072</v>
      </c>
      <c r="H897" s="3">
        <v>0.13730000000000001</v>
      </c>
      <c r="I897">
        <v>649.55999999999995</v>
      </c>
      <c r="J897" s="3">
        <v>0.13519999999999999</v>
      </c>
      <c r="K897">
        <v>5291</v>
      </c>
    </row>
    <row r="898" spans="1:11" x14ac:dyDescent="0.3">
      <c r="A898" t="s">
        <v>676</v>
      </c>
      <c r="B898" t="s">
        <v>1223</v>
      </c>
      <c r="C898" t="s">
        <v>1226</v>
      </c>
      <c r="D898" s="2">
        <v>36595</v>
      </c>
      <c r="E898">
        <v>8.045147</v>
      </c>
      <c r="F898" s="2">
        <v>36623</v>
      </c>
      <c r="G898">
        <v>7.7787509999999997</v>
      </c>
      <c r="H898" s="3">
        <v>-3.3099999999999997E-2</v>
      </c>
      <c r="I898">
        <v>-161.15</v>
      </c>
      <c r="J898" s="3">
        <v>-3.5099999999999999E-2</v>
      </c>
      <c r="K898">
        <v>571</v>
      </c>
    </row>
    <row r="899" spans="1:11" x14ac:dyDescent="0.3">
      <c r="A899" t="s">
        <v>469</v>
      </c>
      <c r="B899" t="s">
        <v>942</v>
      </c>
      <c r="C899" t="s">
        <v>1226</v>
      </c>
      <c r="D899" s="2">
        <v>36581</v>
      </c>
      <c r="E899">
        <v>1.248162</v>
      </c>
      <c r="F899" s="2">
        <v>36623</v>
      </c>
      <c r="G899">
        <v>2.0530460000000001</v>
      </c>
      <c r="H899" s="3">
        <v>0.64490000000000003</v>
      </c>
      <c r="I899">
        <v>3026.78</v>
      </c>
      <c r="J899" s="3">
        <v>0.64219999999999999</v>
      </c>
      <c r="K899">
        <v>3776</v>
      </c>
    </row>
    <row r="900" spans="1:11" x14ac:dyDescent="0.3">
      <c r="A900" t="s">
        <v>677</v>
      </c>
      <c r="B900" t="s">
        <v>1224</v>
      </c>
      <c r="C900" t="s">
        <v>1226</v>
      </c>
      <c r="D900" s="2">
        <v>36532</v>
      </c>
      <c r="E900">
        <v>0.56999999999999995</v>
      </c>
      <c r="F900" s="2">
        <v>36623</v>
      </c>
      <c r="G900">
        <v>0.55000000000000004</v>
      </c>
      <c r="H900" s="3">
        <v>-3.5099999999999999E-2</v>
      </c>
      <c r="I900">
        <v>-176.42</v>
      </c>
      <c r="J900" s="3">
        <v>-3.7100000000000001E-2</v>
      </c>
      <c r="K900">
        <v>8353</v>
      </c>
    </row>
    <row r="901" spans="1:11" x14ac:dyDescent="0.3">
      <c r="A901" t="s">
        <v>71</v>
      </c>
      <c r="B901" t="s">
        <v>1162</v>
      </c>
      <c r="C901" t="s">
        <v>1226</v>
      </c>
      <c r="D901" s="2">
        <v>36539</v>
      </c>
      <c r="E901">
        <v>1.393167</v>
      </c>
      <c r="F901" s="2">
        <v>36602</v>
      </c>
      <c r="G901">
        <v>1.2568790000000001</v>
      </c>
      <c r="H901" s="3">
        <v>-9.7799999999999998E-2</v>
      </c>
      <c r="I901">
        <v>-469.05</v>
      </c>
      <c r="J901" s="3">
        <v>-9.9699999999999997E-2</v>
      </c>
      <c r="K901">
        <v>3376</v>
      </c>
    </row>
  </sheetData>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D5925-6F08-461C-A207-B92C6FA586E8}">
  <dimension ref="A1:AF40"/>
  <sheetViews>
    <sheetView workbookViewId="0">
      <selection activeCell="P35" sqref="A29:P35"/>
    </sheetView>
  </sheetViews>
  <sheetFormatPr defaultRowHeight="14.4" x14ac:dyDescent="0.3"/>
  <cols>
    <col min="2" max="2" width="9.33203125" bestFit="1" customWidth="1"/>
    <col min="3" max="3" width="11.33203125" bestFit="1" customWidth="1"/>
    <col min="4" max="4" width="11.6640625" customWidth="1"/>
    <col min="5" max="5" width="12.44140625" bestFit="1" customWidth="1"/>
    <col min="6" max="6" width="9.109375" bestFit="1" customWidth="1"/>
    <col min="7" max="7" width="12.44140625" bestFit="1" customWidth="1"/>
    <col min="8" max="9" width="12.33203125" bestFit="1" customWidth="1"/>
    <col min="10" max="13" width="12.109375" bestFit="1" customWidth="1"/>
    <col min="14" max="14" width="20.44140625" bestFit="1" customWidth="1"/>
  </cols>
  <sheetData>
    <row r="1" spans="1:32" x14ac:dyDescent="0.3">
      <c r="A1" t="s">
        <v>1227</v>
      </c>
      <c r="B1" t="s">
        <v>1228</v>
      </c>
      <c r="C1" t="s">
        <v>1229</v>
      </c>
      <c r="D1" t="s">
        <v>1230</v>
      </c>
      <c r="E1" t="s">
        <v>1231</v>
      </c>
      <c r="F1" t="s">
        <v>1232</v>
      </c>
      <c r="G1" t="s">
        <v>1233</v>
      </c>
      <c r="H1" t="s">
        <v>1234</v>
      </c>
      <c r="I1" t="s">
        <v>1235</v>
      </c>
      <c r="J1" t="s">
        <v>1236</v>
      </c>
      <c r="K1" t="s">
        <v>1237</v>
      </c>
      <c r="L1" t="s">
        <v>1238</v>
      </c>
      <c r="M1" t="s">
        <v>1239</v>
      </c>
      <c r="N1" t="s">
        <v>1240</v>
      </c>
      <c r="Q1" s="3"/>
      <c r="R1" s="3"/>
      <c r="S1" s="3"/>
      <c r="T1" s="3"/>
      <c r="U1" s="3"/>
      <c r="V1" s="3"/>
      <c r="W1" s="3"/>
      <c r="X1" s="3"/>
      <c r="Y1" s="3"/>
      <c r="Z1" s="3"/>
      <c r="AA1" s="5">
        <v>1</v>
      </c>
      <c r="AB1" s="3"/>
      <c r="AC1" s="3"/>
      <c r="AD1" s="3"/>
      <c r="AE1" s="3"/>
    </row>
    <row r="2" spans="1:32" x14ac:dyDescent="0.3">
      <c r="A2">
        <v>2000</v>
      </c>
      <c r="B2" s="3">
        <v>-0.02</v>
      </c>
      <c r="C2" s="3">
        <v>-1.7000000000000001E-2</v>
      </c>
      <c r="D2" s="3">
        <v>0.105</v>
      </c>
      <c r="E2" s="3">
        <v>-0.14099999999999999</v>
      </c>
      <c r="F2" s="3">
        <v>-1.4E-2</v>
      </c>
      <c r="G2" s="3">
        <v>2E-3</v>
      </c>
      <c r="H2" s="3">
        <v>5.7000000000000002E-2</v>
      </c>
      <c r="I2" s="3">
        <v>-5.0000000000000001E-3</v>
      </c>
      <c r="J2" s="3">
        <v>-2.4E-2</v>
      </c>
      <c r="K2" s="3">
        <v>-4.0000000000000001E-3</v>
      </c>
      <c r="L2" s="3">
        <v>6.9000000000000006E-2</v>
      </c>
      <c r="M2" s="3">
        <v>-1.4999999999999999E-2</v>
      </c>
      <c r="N2" s="3">
        <v>-2.7474871322847427E-2</v>
      </c>
      <c r="AB2" s="3"/>
      <c r="AC2" s="3"/>
      <c r="AD2" s="3"/>
      <c r="AE2" s="3"/>
      <c r="AF2" s="3"/>
    </row>
    <row r="3" spans="1:32" x14ac:dyDescent="0.3">
      <c r="A3">
        <v>2001</v>
      </c>
      <c r="B3" s="3">
        <v>-1E-3</v>
      </c>
      <c r="C3" s="3">
        <v>1.7000000000000001E-2</v>
      </c>
      <c r="D3" s="3">
        <v>-3.3000000000000002E-2</v>
      </c>
      <c r="E3" s="3">
        <v>1.7999999999999999E-2</v>
      </c>
      <c r="F3" s="3">
        <v>3.2000000000000001E-2</v>
      </c>
      <c r="G3" s="3">
        <v>6.9000000000000006E-2</v>
      </c>
      <c r="H3" s="3">
        <v>-3.0000000000000001E-3</v>
      </c>
      <c r="I3" s="3">
        <v>1.4999999999999999E-2</v>
      </c>
      <c r="J3" s="3">
        <v>-7.5999999999999998E-2</v>
      </c>
      <c r="K3" s="3">
        <v>0.02</v>
      </c>
      <c r="L3" s="3">
        <v>0.04</v>
      </c>
      <c r="M3" s="3">
        <v>2.3E-2</v>
      </c>
      <c r="N3" s="3">
        <v>0.11959361306676852</v>
      </c>
      <c r="AB3" s="3"/>
      <c r="AC3" s="3"/>
      <c r="AD3" s="3"/>
      <c r="AE3" s="3"/>
      <c r="AF3" s="3"/>
    </row>
    <row r="4" spans="1:32" x14ac:dyDescent="0.3">
      <c r="A4">
        <v>2002</v>
      </c>
      <c r="B4" s="3">
        <v>5.0999999999999997E-2</v>
      </c>
      <c r="C4" s="3">
        <v>0.06</v>
      </c>
      <c r="D4" s="3">
        <v>3.5000000000000003E-2</v>
      </c>
      <c r="E4" s="3">
        <v>-1.4999999999999999E-2</v>
      </c>
      <c r="F4" s="3">
        <v>3.4000000000000002E-2</v>
      </c>
      <c r="G4" s="3">
        <v>-0.02</v>
      </c>
      <c r="H4" s="3">
        <v>-2.4E-2</v>
      </c>
      <c r="I4" s="3">
        <v>2.5999999999999999E-2</v>
      </c>
      <c r="J4" s="3">
        <v>2E-3</v>
      </c>
      <c r="K4" s="3">
        <v>-7.0000000000000001E-3</v>
      </c>
      <c r="L4" s="3">
        <v>0.01</v>
      </c>
      <c r="M4" s="3">
        <v>4.0000000000000001E-3</v>
      </c>
      <c r="N4" s="3">
        <v>0.16278925812665368</v>
      </c>
      <c r="AB4" s="3"/>
      <c r="AC4" s="3"/>
      <c r="AD4" s="3"/>
      <c r="AE4" s="3"/>
      <c r="AF4" s="3"/>
    </row>
    <row r="5" spans="1:32" x14ac:dyDescent="0.3">
      <c r="A5">
        <v>2003</v>
      </c>
      <c r="B5" s="3">
        <v>-1E-3</v>
      </c>
      <c r="C5" s="3">
        <v>-3.1E-2</v>
      </c>
      <c r="D5" s="3">
        <v>-7.0000000000000001E-3</v>
      </c>
      <c r="E5" s="3">
        <v>8.9999999999999993E-3</v>
      </c>
      <c r="F5" s="3">
        <v>7.6999999999999999E-2</v>
      </c>
      <c r="G5" s="3">
        <v>3.9E-2</v>
      </c>
      <c r="H5" s="3">
        <v>5.8999999999999997E-2</v>
      </c>
      <c r="I5" s="3">
        <v>0.126</v>
      </c>
      <c r="J5" s="3">
        <v>3.7999999999999999E-2</v>
      </c>
      <c r="K5" s="3">
        <v>3.5999999999999997E-2</v>
      </c>
      <c r="L5" s="3">
        <v>-1.2999999999999999E-2</v>
      </c>
      <c r="M5" s="3">
        <v>2.4E-2</v>
      </c>
      <c r="N5" s="3">
        <v>0.4065963940385755</v>
      </c>
      <c r="AB5" s="3"/>
      <c r="AC5" s="3"/>
      <c r="AD5" s="3"/>
      <c r="AE5" s="3"/>
      <c r="AF5" s="3"/>
    </row>
    <row r="6" spans="1:32" x14ac:dyDescent="0.3">
      <c r="A6">
        <v>2004</v>
      </c>
      <c r="B6" s="3">
        <v>4.0000000000000001E-3</v>
      </c>
      <c r="C6" s="3">
        <v>3.5000000000000003E-2</v>
      </c>
      <c r="D6" s="3">
        <v>2.1000000000000001E-2</v>
      </c>
      <c r="E6" s="3">
        <v>-3.5000000000000003E-2</v>
      </c>
      <c r="F6" s="3">
        <v>-7.0000000000000001E-3</v>
      </c>
      <c r="G6" s="3">
        <v>-3.0000000000000001E-3</v>
      </c>
      <c r="H6" s="3">
        <v>8.2000000000000003E-2</v>
      </c>
      <c r="I6" s="3">
        <v>1.4E-2</v>
      </c>
      <c r="J6" s="3">
        <v>1.7999999999999999E-2</v>
      </c>
      <c r="K6" s="3">
        <v>7.5999999999999998E-2</v>
      </c>
      <c r="L6" s="3">
        <v>0.03</v>
      </c>
      <c r="M6" s="3">
        <v>2.5000000000000001E-2</v>
      </c>
      <c r="N6" s="3">
        <v>0.28605007787503767</v>
      </c>
      <c r="AB6" s="3"/>
      <c r="AC6" s="3"/>
      <c r="AD6" s="3"/>
      <c r="AE6" s="3"/>
      <c r="AF6" s="3"/>
    </row>
    <row r="7" spans="1:32" x14ac:dyDescent="0.3">
      <c r="A7">
        <v>2005</v>
      </c>
      <c r="B7" s="3">
        <v>5.1999999999999998E-2</v>
      </c>
      <c r="C7" s="3">
        <v>-1.4E-2</v>
      </c>
      <c r="D7" s="3">
        <v>1.6E-2</v>
      </c>
      <c r="E7" s="3">
        <v>-5.0999999999999997E-2</v>
      </c>
      <c r="F7" s="3">
        <v>-8.9999999999999993E-3</v>
      </c>
      <c r="G7" s="3">
        <v>-3.0000000000000001E-3</v>
      </c>
      <c r="H7" s="3">
        <v>3.5999999999999997E-2</v>
      </c>
      <c r="I7" s="3">
        <v>4.3999999999999997E-2</v>
      </c>
      <c r="J7" s="3">
        <v>4.1000000000000002E-2</v>
      </c>
      <c r="K7" s="3">
        <v>-0.03</v>
      </c>
      <c r="L7" s="3">
        <v>2.7E-2</v>
      </c>
      <c r="M7" s="3">
        <v>5.3999999999999999E-2</v>
      </c>
      <c r="N7" s="3">
        <v>0.1681945082288121</v>
      </c>
      <c r="AB7" s="3"/>
      <c r="AC7" s="3"/>
      <c r="AD7" s="3"/>
      <c r="AE7" s="3"/>
      <c r="AF7" s="3"/>
    </row>
    <row r="8" spans="1:32" x14ac:dyDescent="0.3">
      <c r="A8">
        <v>2006</v>
      </c>
      <c r="B8" s="3">
        <v>2.5000000000000001E-2</v>
      </c>
      <c r="C8" s="3">
        <v>2.7E-2</v>
      </c>
      <c r="D8" s="3">
        <v>5.2999999999999999E-2</v>
      </c>
      <c r="E8" s="3">
        <v>7.0000000000000001E-3</v>
      </c>
      <c r="F8" s="3">
        <v>-2.3E-2</v>
      </c>
      <c r="G8" s="3">
        <v>0.01</v>
      </c>
      <c r="H8" s="3">
        <v>2E-3</v>
      </c>
      <c r="I8" s="3">
        <v>4.5999999999999999E-2</v>
      </c>
      <c r="J8" s="3">
        <v>2.1999999999999999E-2</v>
      </c>
      <c r="K8" s="3">
        <v>5.8999999999999997E-2</v>
      </c>
      <c r="L8" s="3">
        <v>4.5999999999999999E-2</v>
      </c>
      <c r="M8" s="3">
        <v>5.8999999999999997E-2</v>
      </c>
      <c r="N8" s="3">
        <v>0.38401881714634434</v>
      </c>
      <c r="AB8" s="3"/>
      <c r="AC8" s="3"/>
      <c r="AD8" s="3"/>
      <c r="AE8" s="3"/>
      <c r="AF8" s="3"/>
    </row>
    <row r="9" spans="1:32" x14ac:dyDescent="0.3">
      <c r="A9">
        <v>2007</v>
      </c>
      <c r="B9" s="3">
        <v>2.8000000000000001E-2</v>
      </c>
      <c r="C9" s="3">
        <v>6.4000000000000001E-2</v>
      </c>
      <c r="D9" s="3">
        <v>-1.2E-2</v>
      </c>
      <c r="E9" s="3">
        <v>5.5E-2</v>
      </c>
      <c r="F9" s="3">
        <v>3.1E-2</v>
      </c>
      <c r="G9" s="3">
        <v>3.3000000000000002E-2</v>
      </c>
      <c r="H9" s="3">
        <v>2.7E-2</v>
      </c>
      <c r="I9" s="3">
        <v>-4.4999999999999998E-2</v>
      </c>
      <c r="J9" s="3">
        <v>5.6000000000000001E-2</v>
      </c>
      <c r="K9" s="3">
        <v>8.8999999999999996E-2</v>
      </c>
      <c r="L9" s="3">
        <v>2E-3</v>
      </c>
      <c r="M9" s="3">
        <v>0</v>
      </c>
      <c r="N9" s="3">
        <v>0.37226020232315493</v>
      </c>
      <c r="AB9" s="3"/>
      <c r="AC9" s="3"/>
      <c r="AD9" s="3"/>
      <c r="AE9" s="3"/>
      <c r="AF9" s="3"/>
    </row>
    <row r="10" spans="1:32" x14ac:dyDescent="0.3">
      <c r="A10">
        <v>2008</v>
      </c>
      <c r="B10" s="3">
        <v>-7.6999999999999999E-2</v>
      </c>
      <c r="C10" s="3">
        <v>1.7000000000000001E-2</v>
      </c>
      <c r="D10" s="3">
        <v>-1.2E-2</v>
      </c>
      <c r="E10" s="3">
        <v>8.0000000000000002E-3</v>
      </c>
      <c r="F10" s="3">
        <v>0.122</v>
      </c>
      <c r="G10" s="3">
        <v>-3.2000000000000001E-2</v>
      </c>
      <c r="H10" s="3">
        <v>-3.5000000000000003E-2</v>
      </c>
      <c r="I10" s="3">
        <v>-2.5000000000000001E-2</v>
      </c>
      <c r="J10" s="3">
        <v>0</v>
      </c>
      <c r="K10" s="3">
        <v>-8.0000000000000002E-3</v>
      </c>
      <c r="L10" s="3">
        <v>0</v>
      </c>
      <c r="M10" s="3">
        <v>0</v>
      </c>
      <c r="N10" s="3">
        <v>-5.2341317323579495E-2</v>
      </c>
      <c r="AB10" s="3"/>
      <c r="AC10" s="3"/>
      <c r="AD10" s="3"/>
      <c r="AE10" s="3"/>
      <c r="AF10" s="3"/>
    </row>
    <row r="11" spans="1:32" x14ac:dyDescent="0.3">
      <c r="A11">
        <v>2009</v>
      </c>
      <c r="B11" s="3">
        <v>0</v>
      </c>
      <c r="C11" s="3">
        <v>0</v>
      </c>
      <c r="D11" s="3">
        <v>0</v>
      </c>
      <c r="E11" s="3">
        <v>4.4999999999999998E-2</v>
      </c>
      <c r="F11" s="3">
        <v>0.13900000000000001</v>
      </c>
      <c r="G11" s="3">
        <v>3.3000000000000002E-2</v>
      </c>
      <c r="H11" s="3">
        <v>9.9000000000000005E-2</v>
      </c>
      <c r="I11" s="3">
        <v>0.128</v>
      </c>
      <c r="J11" s="3">
        <v>0.11700000000000001</v>
      </c>
      <c r="K11" s="3">
        <v>5.6000000000000001E-2</v>
      </c>
      <c r="L11" s="3">
        <v>8.0000000000000002E-3</v>
      </c>
      <c r="M11" s="3">
        <v>1.7000000000000001E-2</v>
      </c>
      <c r="N11" s="3">
        <v>0.84308644225780838</v>
      </c>
      <c r="AB11" s="3"/>
      <c r="AC11" s="3"/>
      <c r="AD11" s="3"/>
      <c r="AE11" s="3"/>
      <c r="AF11" s="3"/>
    </row>
    <row r="12" spans="1:32" x14ac:dyDescent="0.3">
      <c r="A12">
        <v>2010</v>
      </c>
      <c r="B12" s="3">
        <v>-4.8000000000000001E-2</v>
      </c>
      <c r="C12" s="3">
        <v>-0.03</v>
      </c>
      <c r="D12" s="3">
        <v>1.7999999999999999E-2</v>
      </c>
      <c r="E12" s="3">
        <v>8.0000000000000002E-3</v>
      </c>
      <c r="F12" s="3">
        <v>-7.9000000000000001E-2</v>
      </c>
      <c r="G12" s="3">
        <v>-2E-3</v>
      </c>
      <c r="H12" s="3">
        <v>-1.6E-2</v>
      </c>
      <c r="I12" s="3">
        <v>-4.0000000000000001E-3</v>
      </c>
      <c r="J12" s="3">
        <v>0.126</v>
      </c>
      <c r="K12" s="3">
        <v>9.0999999999999998E-2</v>
      </c>
      <c r="L12" s="3">
        <v>1.7999999999999999E-2</v>
      </c>
      <c r="M12" s="3">
        <v>6.5000000000000002E-2</v>
      </c>
      <c r="N12" s="3">
        <v>0.1368996374225584</v>
      </c>
      <c r="AB12" s="3"/>
      <c r="AC12" s="3"/>
      <c r="AD12" s="3"/>
      <c r="AE12" s="3"/>
      <c r="AF12" s="3"/>
    </row>
    <row r="13" spans="1:32" x14ac:dyDescent="0.3">
      <c r="A13">
        <v>2011</v>
      </c>
      <c r="B13" s="3">
        <v>-3.4000000000000002E-2</v>
      </c>
      <c r="C13" s="3">
        <v>6.5000000000000002E-2</v>
      </c>
      <c r="D13" s="3">
        <v>5.0000000000000001E-3</v>
      </c>
      <c r="E13" s="3">
        <v>4.0000000000000001E-3</v>
      </c>
      <c r="F13" s="3">
        <v>2E-3</v>
      </c>
      <c r="G13" s="3">
        <v>-1.4E-2</v>
      </c>
      <c r="H13" s="3">
        <v>-8.0000000000000002E-3</v>
      </c>
      <c r="I13" s="3">
        <v>-2.4E-2</v>
      </c>
      <c r="J13" s="3">
        <v>-1E-3</v>
      </c>
      <c r="K13" s="3">
        <v>-3.0000000000000001E-3</v>
      </c>
      <c r="L13" s="3">
        <v>-8.9999999999999993E-3</v>
      </c>
      <c r="M13" s="3">
        <v>-3.2000000000000001E-2</v>
      </c>
      <c r="N13" s="3">
        <v>-5.127074348049776E-2</v>
      </c>
      <c r="AB13" s="3"/>
      <c r="AC13" s="3"/>
      <c r="AD13" s="3"/>
      <c r="AE13" s="3"/>
      <c r="AF13" s="3"/>
    </row>
    <row r="14" spans="1:32" x14ac:dyDescent="0.3">
      <c r="A14">
        <v>2012</v>
      </c>
      <c r="B14" s="3">
        <v>1.4E-2</v>
      </c>
      <c r="C14" s="3">
        <v>9.6000000000000002E-2</v>
      </c>
      <c r="D14" s="3">
        <v>3.9E-2</v>
      </c>
      <c r="E14" s="3">
        <v>1E-3</v>
      </c>
      <c r="F14" s="3">
        <v>-7.2999999999999995E-2</v>
      </c>
      <c r="G14" s="3">
        <v>1.0999999999999999E-2</v>
      </c>
      <c r="H14" s="3">
        <v>-3.0000000000000001E-3</v>
      </c>
      <c r="I14" s="3">
        <v>4.3999999999999997E-2</v>
      </c>
      <c r="J14" s="3">
        <v>5.3999999999999999E-2</v>
      </c>
      <c r="K14" s="3">
        <v>1.6E-2</v>
      </c>
      <c r="L14" s="3">
        <v>0.04</v>
      </c>
      <c r="M14" s="3">
        <v>5.8999999999999997E-2</v>
      </c>
      <c r="N14" s="3">
        <v>0.32980603367398276</v>
      </c>
      <c r="AB14" s="3"/>
      <c r="AC14" s="3"/>
      <c r="AD14" s="3"/>
      <c r="AE14" s="3"/>
      <c r="AF14" s="3"/>
    </row>
    <row r="15" spans="1:32" x14ac:dyDescent="0.3">
      <c r="A15">
        <v>2013</v>
      </c>
      <c r="B15" s="3">
        <v>8.8999999999999996E-2</v>
      </c>
      <c r="C15" s="3">
        <v>4.4999999999999998E-2</v>
      </c>
      <c r="D15" s="3">
        <v>5.0000000000000001E-3</v>
      </c>
      <c r="E15" s="3">
        <v>1.9E-2</v>
      </c>
      <c r="F15" s="3">
        <v>-1.7999999999999999E-2</v>
      </c>
      <c r="G15" s="3">
        <v>8.0000000000000002E-3</v>
      </c>
      <c r="H15" s="3">
        <v>2.5000000000000001E-2</v>
      </c>
      <c r="I15" s="3">
        <v>2.4E-2</v>
      </c>
      <c r="J15" s="3">
        <v>7.9000000000000001E-2</v>
      </c>
      <c r="K15" s="3">
        <v>1.2E-2</v>
      </c>
      <c r="L15" s="3">
        <v>7.0000000000000001E-3</v>
      </c>
      <c r="M15" s="3">
        <v>1.2E-2</v>
      </c>
      <c r="N15" s="3">
        <v>0.34738652006741089</v>
      </c>
      <c r="AB15" s="3"/>
      <c r="AC15" s="3"/>
      <c r="AD15" s="3"/>
      <c r="AE15" s="3"/>
      <c r="AF15" s="3"/>
    </row>
    <row r="16" spans="1:32" x14ac:dyDescent="0.3">
      <c r="A16">
        <v>2014</v>
      </c>
      <c r="B16" s="3">
        <v>-3.4000000000000002E-2</v>
      </c>
      <c r="C16" s="3">
        <v>4.2000000000000003E-2</v>
      </c>
      <c r="D16" s="3">
        <v>5.0000000000000001E-3</v>
      </c>
      <c r="E16" s="3">
        <v>1.2999999999999999E-2</v>
      </c>
      <c r="F16" s="3">
        <v>1.6E-2</v>
      </c>
      <c r="G16" s="3">
        <v>1.0999999999999999E-2</v>
      </c>
      <c r="H16" s="3">
        <v>2.5999999999999999E-2</v>
      </c>
      <c r="I16" s="3">
        <v>-1E-3</v>
      </c>
      <c r="J16" s="3">
        <v>-0.02</v>
      </c>
      <c r="K16" s="3">
        <v>-2E-3</v>
      </c>
      <c r="L16" s="3">
        <v>8.0000000000000002E-3</v>
      </c>
      <c r="M16" s="3">
        <v>4.4999999999999998E-2</v>
      </c>
      <c r="N16" s="3">
        <v>0.11150521473052799</v>
      </c>
      <c r="AB16" s="3"/>
      <c r="AC16" s="3"/>
      <c r="AD16" s="3"/>
      <c r="AE16" s="3"/>
      <c r="AF16" s="3"/>
    </row>
    <row r="17" spans="1:32" x14ac:dyDescent="0.3">
      <c r="A17">
        <v>2015</v>
      </c>
      <c r="B17" s="3">
        <v>-2E-3</v>
      </c>
      <c r="C17" s="3">
        <v>0.06</v>
      </c>
      <c r="D17" s="3">
        <v>4.0000000000000001E-3</v>
      </c>
      <c r="E17" s="3">
        <v>1.4999999999999999E-2</v>
      </c>
      <c r="F17" s="3">
        <v>1E-3</v>
      </c>
      <c r="G17" s="3">
        <v>-1.7999999999999999E-2</v>
      </c>
      <c r="H17" s="3">
        <v>-2E-3</v>
      </c>
      <c r="I17" s="3">
        <v>1E-3</v>
      </c>
      <c r="J17" s="3">
        <v>5.0000000000000001E-3</v>
      </c>
      <c r="K17" s="3">
        <v>2.1000000000000001E-2</v>
      </c>
      <c r="L17" s="3">
        <v>-1.4999999999999999E-2</v>
      </c>
      <c r="M17" s="3">
        <v>5.0999999999999997E-2</v>
      </c>
      <c r="N17" s="3">
        <v>0.12454566568644077</v>
      </c>
      <c r="AB17" s="3"/>
      <c r="AC17" s="3"/>
      <c r="AD17" s="3"/>
      <c r="AE17" s="3"/>
      <c r="AF17" s="3"/>
    </row>
    <row r="18" spans="1:32" x14ac:dyDescent="0.3">
      <c r="A18">
        <v>2016</v>
      </c>
      <c r="B18" s="3">
        <v>-2.7E-2</v>
      </c>
      <c r="C18" s="3">
        <v>-4.4999999999999998E-2</v>
      </c>
      <c r="D18" s="3">
        <v>-3.5000000000000003E-2</v>
      </c>
      <c r="E18" s="3">
        <v>0.05</v>
      </c>
      <c r="F18" s="3">
        <v>2.1000000000000001E-2</v>
      </c>
      <c r="G18" s="3">
        <v>3.1E-2</v>
      </c>
      <c r="H18" s="3">
        <v>0.13400000000000001</v>
      </c>
      <c r="I18" s="3">
        <v>3.9E-2</v>
      </c>
      <c r="J18" s="3">
        <v>3.3000000000000002E-2</v>
      </c>
      <c r="K18" s="3">
        <v>-2E-3</v>
      </c>
      <c r="L18" s="3">
        <v>-4.7E-2</v>
      </c>
      <c r="M18" s="3">
        <v>6.0000000000000001E-3</v>
      </c>
      <c r="N18" s="3">
        <v>0.15416414347623686</v>
      </c>
      <c r="AB18" s="3"/>
      <c r="AC18" s="3"/>
      <c r="AD18" s="3"/>
      <c r="AE18" s="3"/>
      <c r="AF18" s="3"/>
    </row>
    <row r="19" spans="1:32" x14ac:dyDescent="0.3">
      <c r="A19">
        <v>2017</v>
      </c>
      <c r="B19" s="3">
        <v>-1.6E-2</v>
      </c>
      <c r="C19" s="3">
        <v>2.5000000000000001E-2</v>
      </c>
      <c r="D19" s="3">
        <v>-2.4E-2</v>
      </c>
      <c r="E19" s="3">
        <v>6.0000000000000001E-3</v>
      </c>
      <c r="F19" s="3">
        <v>-8.0000000000000002E-3</v>
      </c>
      <c r="G19" s="3">
        <v>-3.0000000000000001E-3</v>
      </c>
      <c r="H19" s="3">
        <v>-2E-3</v>
      </c>
      <c r="I19" s="3">
        <v>1.2E-2</v>
      </c>
      <c r="J19" s="3">
        <v>2.8000000000000001E-2</v>
      </c>
      <c r="K19" s="3">
        <v>3.4000000000000002E-2</v>
      </c>
      <c r="L19" s="3">
        <v>1.2999999999999999E-2</v>
      </c>
      <c r="M19" s="3">
        <v>0.104</v>
      </c>
      <c r="N19" s="3">
        <v>0.17591740537665035</v>
      </c>
      <c r="AB19" s="3"/>
      <c r="AC19" s="3"/>
      <c r="AD19" s="3"/>
      <c r="AE19" s="3"/>
      <c r="AF19" s="3"/>
    </row>
    <row r="20" spans="1:32" x14ac:dyDescent="0.3">
      <c r="A20">
        <v>2018</v>
      </c>
      <c r="B20" s="3">
        <v>8.9999999999999993E-3</v>
      </c>
      <c r="C20" s="3">
        <v>-2.5000000000000001E-2</v>
      </c>
      <c r="D20" s="3">
        <v>-7.0000000000000001E-3</v>
      </c>
      <c r="E20" s="3">
        <v>-1E-3</v>
      </c>
      <c r="F20" s="3">
        <v>4.2000000000000003E-2</v>
      </c>
      <c r="G20" s="3">
        <v>-1.2E-2</v>
      </c>
      <c r="H20" s="3">
        <v>-1.0999999999999999E-2</v>
      </c>
      <c r="I20" s="3">
        <v>6.3E-2</v>
      </c>
      <c r="J20" s="3">
        <v>1.0999999999999999E-2</v>
      </c>
      <c r="K20" s="3">
        <v>-4.4999999999999998E-2</v>
      </c>
      <c r="L20" s="3">
        <v>-8.9999999999999993E-3</v>
      </c>
      <c r="M20" s="3">
        <v>-6.0000000000000001E-3</v>
      </c>
      <c r="N20" s="3">
        <v>4.5679180480353576E-3</v>
      </c>
      <c r="AB20" s="3"/>
      <c r="AC20" s="3"/>
      <c r="AD20" s="3"/>
      <c r="AE20" s="3"/>
      <c r="AF20" s="3"/>
    </row>
    <row r="21" spans="1:32" x14ac:dyDescent="0.3">
      <c r="A21">
        <v>2019</v>
      </c>
      <c r="B21" s="3">
        <v>-4.0000000000000001E-3</v>
      </c>
      <c r="C21" s="3">
        <v>7.0999999999999994E-2</v>
      </c>
      <c r="D21" s="3">
        <v>9.2999999999999999E-2</v>
      </c>
      <c r="E21" s="3">
        <v>0.11600000000000001</v>
      </c>
      <c r="F21" s="3">
        <v>9.9000000000000005E-2</v>
      </c>
      <c r="G21" s="3">
        <v>1.9E-2</v>
      </c>
      <c r="H21" s="3">
        <v>4.8000000000000001E-2</v>
      </c>
      <c r="I21" s="3">
        <v>-1.4E-2</v>
      </c>
      <c r="J21" s="3">
        <v>0.03</v>
      </c>
      <c r="K21" s="3">
        <v>3.2000000000000001E-2</v>
      </c>
      <c r="L21" s="3">
        <v>-2E-3</v>
      </c>
      <c r="M21" s="3">
        <v>2.1000000000000001E-2</v>
      </c>
      <c r="N21" s="3">
        <v>0.63085911472210121</v>
      </c>
      <c r="AB21" s="3"/>
      <c r="AC21" s="3"/>
      <c r="AD21" s="3"/>
      <c r="AE21" s="3"/>
      <c r="AF21" s="3"/>
    </row>
    <row r="22" spans="1:32" x14ac:dyDescent="0.3">
      <c r="A22">
        <v>2020</v>
      </c>
      <c r="B22" s="3">
        <v>2.1000000000000001E-2</v>
      </c>
      <c r="C22" s="3">
        <v>-8.3000000000000004E-2</v>
      </c>
      <c r="D22" s="3">
        <v>-6.9000000000000006E-2</v>
      </c>
      <c r="E22" s="3">
        <v>0</v>
      </c>
      <c r="F22" s="3">
        <v>0</v>
      </c>
      <c r="G22" s="3">
        <v>0.03</v>
      </c>
      <c r="H22" s="3">
        <v>3.5999999999999997E-2</v>
      </c>
      <c r="I22" s="3">
        <v>0.112</v>
      </c>
      <c r="J22" s="3">
        <v>1.0999999999999999E-2</v>
      </c>
      <c r="K22" s="3">
        <v>-2.3E-2</v>
      </c>
      <c r="L22" s="3">
        <v>7.2999999999999995E-2</v>
      </c>
      <c r="M22" s="3">
        <v>2.4E-2</v>
      </c>
      <c r="N22" s="3">
        <v>0.1225144078172884</v>
      </c>
      <c r="AB22" s="3"/>
      <c r="AC22" s="3"/>
      <c r="AD22" s="3"/>
      <c r="AE22" s="3"/>
      <c r="AF22" s="3"/>
    </row>
    <row r="23" spans="1:32" x14ac:dyDescent="0.3">
      <c r="A23">
        <v>2021</v>
      </c>
      <c r="B23" s="3">
        <v>1.6E-2</v>
      </c>
      <c r="C23" s="3">
        <v>1.7000000000000001E-2</v>
      </c>
      <c r="D23" s="3">
        <v>-2.7E-2</v>
      </c>
      <c r="E23" s="3">
        <v>6.2E-2</v>
      </c>
      <c r="F23" s="3">
        <v>0.03</v>
      </c>
      <c r="G23" s="3">
        <v>-1.0999999999999999E-2</v>
      </c>
      <c r="H23" s="3">
        <v>6.0000000000000001E-3</v>
      </c>
      <c r="I23" s="3">
        <v>0.04</v>
      </c>
      <c r="J23" s="3">
        <v>0.03</v>
      </c>
      <c r="K23" s="3">
        <v>-0.01</v>
      </c>
      <c r="L23" s="3">
        <v>-7.0000000000000001E-3</v>
      </c>
      <c r="M23" s="3">
        <v>-2.1999999999999999E-2</v>
      </c>
      <c r="N23" s="3">
        <v>0.12687923648054222</v>
      </c>
      <c r="AB23" s="3"/>
      <c r="AC23" s="3"/>
      <c r="AD23" s="3"/>
      <c r="AE23" s="3"/>
      <c r="AF23" s="3"/>
    </row>
    <row r="24" spans="1:32" x14ac:dyDescent="0.3">
      <c r="A24">
        <v>2022</v>
      </c>
      <c r="B24" s="3">
        <v>-9.9000000000000005E-2</v>
      </c>
      <c r="C24" s="3">
        <v>-8.0000000000000002E-3</v>
      </c>
      <c r="D24" s="3">
        <v>0.01</v>
      </c>
      <c r="E24" s="3">
        <v>5.3999999999999999E-2</v>
      </c>
      <c r="F24" s="3">
        <v>-6.2E-2</v>
      </c>
      <c r="G24" s="3">
        <v>-4.3999999999999997E-2</v>
      </c>
      <c r="H24" s="3">
        <v>1.2999999999999999E-2</v>
      </c>
      <c r="I24" s="3">
        <v>-3.2000000000000001E-2</v>
      </c>
      <c r="J24" s="3">
        <v>-6.2E-2</v>
      </c>
      <c r="K24" s="3">
        <v>1.9E-2</v>
      </c>
      <c r="L24" s="3">
        <v>-3.5999999999999997E-2</v>
      </c>
      <c r="M24" s="3">
        <v>-3.4000000000000002E-2</v>
      </c>
      <c r="N24" s="3">
        <v>-0.25531061417470258</v>
      </c>
      <c r="AB24" s="3"/>
      <c r="AC24" s="3"/>
      <c r="AD24" s="3"/>
      <c r="AE24" s="3"/>
      <c r="AF24" s="3"/>
    </row>
    <row r="25" spans="1:32" x14ac:dyDescent="0.3">
      <c r="A25">
        <v>2023</v>
      </c>
      <c r="B25" s="3">
        <v>5.7000000000000002E-2</v>
      </c>
      <c r="C25" s="3">
        <v>-3.5000000000000003E-2</v>
      </c>
      <c r="D25" s="3">
        <v>-1.2999999999999999E-2</v>
      </c>
      <c r="E25" s="3">
        <v>1.4E-2</v>
      </c>
      <c r="F25" s="3">
        <v>-4.2000000000000003E-2</v>
      </c>
      <c r="G25" s="3">
        <v>1.7999999999999999E-2</v>
      </c>
      <c r="H25" s="3">
        <v>1.0999999999999999E-2</v>
      </c>
      <c r="I25" s="3">
        <v>-7.0000000000000001E-3</v>
      </c>
      <c r="J25" s="3">
        <v>-3.4000000000000002E-2</v>
      </c>
      <c r="K25" s="3">
        <v>-2.8000000000000001E-2</v>
      </c>
      <c r="L25" s="3">
        <v>1.7000000000000001E-2</v>
      </c>
      <c r="M25" s="3">
        <v>6.5000000000000002E-2</v>
      </c>
      <c r="N25" s="3">
        <v>1.6447732846651242E-2</v>
      </c>
      <c r="AB25" s="3"/>
      <c r="AC25" s="3"/>
      <c r="AD25" s="3"/>
      <c r="AE25" s="3"/>
      <c r="AF25" s="3"/>
    </row>
    <row r="26" spans="1:32" x14ac:dyDescent="0.3">
      <c r="A26">
        <v>2024</v>
      </c>
      <c r="B26" s="3">
        <v>-4.2000000000000003E-2</v>
      </c>
      <c r="C26" s="3">
        <v>3.1E-2</v>
      </c>
      <c r="D26" s="3">
        <v>0.10299999999999999</v>
      </c>
      <c r="E26" s="3">
        <v>-3.5000000000000003E-2</v>
      </c>
      <c r="F26" s="3">
        <v>6.9000000000000006E-2</v>
      </c>
      <c r="G26" s="3">
        <v>1.7000000000000001E-2</v>
      </c>
      <c r="H26" s="3">
        <v>3.0000000000000001E-3</v>
      </c>
      <c r="I26" s="3">
        <v>5.6000000000000001E-2</v>
      </c>
      <c r="J26" s="3">
        <v>0.128</v>
      </c>
      <c r="K26" s="3">
        <v>3.1E-2</v>
      </c>
      <c r="L26" s="3">
        <v>-0.03</v>
      </c>
      <c r="M26" s="3">
        <v>-3.6999999999999998E-2</v>
      </c>
      <c r="N26" s="3">
        <v>0.31509248435799453</v>
      </c>
      <c r="O26" s="3"/>
      <c r="AB26" s="3"/>
      <c r="AC26" s="3"/>
      <c r="AD26" s="3"/>
      <c r="AE26" s="3"/>
      <c r="AF26" s="3"/>
    </row>
    <row r="27" spans="1:32" x14ac:dyDescent="0.3">
      <c r="A27">
        <v>2025</v>
      </c>
      <c r="B27" s="3">
        <v>-2.5000000000000001E-2</v>
      </c>
      <c r="C27" s="3">
        <v>-3.5999999999999997E-2</v>
      </c>
      <c r="D27" s="3">
        <v>-1E-3</v>
      </c>
      <c r="E27" s="3">
        <v>-0.04</v>
      </c>
      <c r="F27" s="3">
        <v>2.9000000000000001E-2</v>
      </c>
      <c r="G27" s="3">
        <v>6.5000000000000002E-2</v>
      </c>
      <c r="H27" s="3">
        <v>2.8000000000000001E-2</v>
      </c>
      <c r="I27" s="3">
        <v>9.1354754898575363E-2</v>
      </c>
      <c r="J27" s="3">
        <v>5.0785581428788307E-2</v>
      </c>
      <c r="K27" s="3">
        <v>3.3446858760330933E-3</v>
      </c>
      <c r="L27" s="3">
        <v>-6.7590299254002617E-2</v>
      </c>
      <c r="M27" s="3">
        <v>-3.5368350598533271E-2</v>
      </c>
      <c r="N27" s="3">
        <v>5.09328391591235E-2</v>
      </c>
      <c r="O27" s="3"/>
      <c r="AB27" s="3"/>
      <c r="AC27" s="3"/>
      <c r="AD27" s="3"/>
      <c r="AE27" s="3"/>
      <c r="AF27" s="3"/>
    </row>
    <row r="28" spans="1:32" x14ac:dyDescent="0.3">
      <c r="A28" t="s">
        <v>1241</v>
      </c>
      <c r="B28" s="3">
        <v>-2.4615384615384625E-3</v>
      </c>
      <c r="C28" s="3">
        <v>1.3384615384615385E-2</v>
      </c>
      <c r="D28" s="3">
        <v>1.0461538461538463E-2</v>
      </c>
      <c r="E28" s="3">
        <v>7.1538461538461539E-3</v>
      </c>
      <c r="F28" s="3">
        <v>1.5730769230769236E-2</v>
      </c>
      <c r="G28" s="3">
        <v>8.9999999999999993E-3</v>
      </c>
      <c r="H28" s="3">
        <v>2.2615384615384617E-2</v>
      </c>
      <c r="I28" s="3">
        <v>2.7859798265329826E-2</v>
      </c>
      <c r="J28" s="3">
        <v>2.5491753131876474E-2</v>
      </c>
      <c r="K28" s="3">
        <v>1.6667103302924351E-2</v>
      </c>
      <c r="L28" s="3">
        <v>6.6311423363845179E-3</v>
      </c>
      <c r="M28" s="3">
        <f>AVERAGE(M2:M27)</f>
        <v>1.8331986515441025E-2</v>
      </c>
      <c r="P28" s="3"/>
      <c r="Q28" s="3"/>
      <c r="R28" s="3"/>
      <c r="S28" s="3"/>
      <c r="T28" s="3"/>
      <c r="U28" s="3"/>
      <c r="V28" s="3"/>
      <c r="W28" s="3"/>
      <c r="X28" s="3"/>
      <c r="Y28" s="3"/>
      <c r="Z28" s="3"/>
      <c r="AA28" s="3"/>
      <c r="AB28" s="3"/>
      <c r="AC28" s="3"/>
      <c r="AD28" s="3"/>
      <c r="AE28" s="3"/>
    </row>
    <row r="29" spans="1:32" x14ac:dyDescent="0.3">
      <c r="B29" s="3"/>
      <c r="C29" s="3"/>
      <c r="D29" s="3"/>
      <c r="E29" s="3"/>
      <c r="F29" s="3"/>
      <c r="G29" s="3"/>
      <c r="H29" s="3"/>
      <c r="I29" s="3"/>
      <c r="J29" s="3"/>
      <c r="K29" s="3"/>
      <c r="L29" s="3"/>
      <c r="M29" s="3"/>
      <c r="N29" s="22"/>
      <c r="Q29" s="3"/>
      <c r="R29" s="3"/>
      <c r="S29" s="3"/>
      <c r="T29" s="3"/>
      <c r="U29" s="3"/>
      <c r="V29" s="3"/>
      <c r="W29" s="3"/>
      <c r="X29" s="3"/>
      <c r="Y29" s="3"/>
      <c r="Z29" s="3"/>
      <c r="AA29" s="3"/>
      <c r="AB29" s="3"/>
      <c r="AC29" s="3"/>
      <c r="AD29" s="3"/>
      <c r="AE29" s="3"/>
    </row>
    <row r="30" spans="1:32" x14ac:dyDescent="0.3">
      <c r="B30" s="3"/>
      <c r="C30" s="3"/>
      <c r="D30" s="3"/>
      <c r="E30" s="3"/>
      <c r="F30" s="3"/>
      <c r="G30" s="3"/>
      <c r="H30" s="3"/>
      <c r="I30" s="3"/>
      <c r="J30" s="3"/>
      <c r="K30" s="3"/>
      <c r="L30" s="3"/>
      <c r="M30" s="3"/>
      <c r="N30" s="26"/>
    </row>
    <row r="31" spans="1:32" x14ac:dyDescent="0.3">
      <c r="B31" s="3"/>
      <c r="C31" s="3"/>
      <c r="D31" s="3"/>
      <c r="E31" s="3"/>
      <c r="F31" s="3"/>
      <c r="G31" s="3"/>
      <c r="H31" s="3"/>
      <c r="I31" s="3"/>
      <c r="J31" s="3"/>
      <c r="K31" s="3"/>
      <c r="L31" s="3"/>
      <c r="M31" s="3"/>
      <c r="N31" s="26"/>
    </row>
    <row r="32" spans="1:32" x14ac:dyDescent="0.3">
      <c r="B32" s="3"/>
      <c r="C32" s="3"/>
      <c r="D32" s="3"/>
      <c r="E32" s="3"/>
      <c r="F32" s="3"/>
      <c r="G32" s="3"/>
      <c r="H32" s="3"/>
      <c r="I32" s="3"/>
      <c r="J32" s="3"/>
      <c r="K32" s="3"/>
      <c r="L32" s="3"/>
      <c r="M32" s="3"/>
      <c r="N32" s="26"/>
    </row>
    <row r="33" spans="2:17" x14ac:dyDescent="0.3">
      <c r="B33" s="3"/>
      <c r="C33" s="3"/>
      <c r="D33" s="3"/>
      <c r="E33" s="3"/>
      <c r="F33" s="3"/>
      <c r="G33" s="3"/>
      <c r="H33" s="3"/>
      <c r="I33" s="3"/>
      <c r="J33" s="3"/>
      <c r="K33" s="3"/>
      <c r="L33" s="3"/>
      <c r="M33" s="3"/>
      <c r="O33" s="23"/>
      <c r="P33" s="24"/>
      <c r="Q33" s="24"/>
    </row>
    <row r="35" spans="2:17" x14ac:dyDescent="0.3">
      <c r="B35" s="3"/>
      <c r="C35" s="3"/>
      <c r="D35" s="3"/>
      <c r="E35" s="3"/>
      <c r="F35" s="3"/>
      <c r="G35" s="3"/>
      <c r="H35" s="3"/>
      <c r="I35" s="3"/>
      <c r="J35" s="3"/>
      <c r="K35" s="3"/>
      <c r="L35" s="3"/>
      <c r="M35" s="3"/>
      <c r="N35" s="9"/>
    </row>
    <row r="36" spans="2:17" x14ac:dyDescent="0.3">
      <c r="B36" s="3"/>
      <c r="H36" s="3"/>
      <c r="I36" s="3"/>
      <c r="J36" s="3"/>
      <c r="K36" s="3"/>
      <c r="L36" s="3"/>
      <c r="M36" s="3"/>
      <c r="N36" s="9"/>
    </row>
    <row r="37" spans="2:17" x14ac:dyDescent="0.3">
      <c r="B37" s="3"/>
      <c r="C37" s="3"/>
      <c r="D37" s="3"/>
      <c r="E37" s="3"/>
      <c r="F37" s="3"/>
      <c r="G37" s="3"/>
      <c r="H37" s="3"/>
      <c r="I37" s="3"/>
      <c r="J37" s="3"/>
      <c r="K37" s="3"/>
      <c r="L37" s="3"/>
      <c r="M37" s="3"/>
      <c r="N37" s="9"/>
    </row>
    <row r="38" spans="2:17" x14ac:dyDescent="0.3">
      <c r="B38" s="3"/>
      <c r="C38" s="3"/>
      <c r="D38" s="3"/>
      <c r="E38" s="3"/>
      <c r="F38" s="3"/>
      <c r="G38" s="3"/>
      <c r="H38" s="3"/>
      <c r="I38" s="3"/>
      <c r="J38" s="3"/>
      <c r="K38" s="3"/>
      <c r="L38" s="3"/>
      <c r="M38" s="3"/>
      <c r="N38" s="9"/>
    </row>
    <row r="39" spans="2:17" x14ac:dyDescent="0.3">
      <c r="B39" s="3"/>
      <c r="C39" s="3"/>
      <c r="D39" s="3"/>
      <c r="E39" s="3"/>
      <c r="F39" s="3"/>
      <c r="G39" s="3"/>
      <c r="H39" s="3"/>
      <c r="I39" s="3"/>
      <c r="J39" s="3"/>
      <c r="K39" s="3"/>
      <c r="L39" s="3"/>
      <c r="M39" s="3"/>
      <c r="N39" s="9"/>
    </row>
    <row r="40" spans="2:17" x14ac:dyDescent="0.3">
      <c r="B40" s="3"/>
      <c r="C40" s="3"/>
      <c r="D40" s="3"/>
      <c r="E40" s="3"/>
      <c r="F40" s="3"/>
      <c r="G40" s="3"/>
      <c r="H40" s="3"/>
      <c r="I40" s="3"/>
      <c r="J40" s="3"/>
      <c r="K40" s="3"/>
      <c r="L40" s="3"/>
      <c r="M40" s="3"/>
      <c r="N40" s="9"/>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E76C9-93E8-4253-A3E1-588A42F6AEA3}">
  <dimension ref="A1:H1379"/>
  <sheetViews>
    <sheetView topLeftCell="A1348" workbookViewId="0">
      <selection activeCell="I1387" sqref="I1387"/>
    </sheetView>
  </sheetViews>
  <sheetFormatPr defaultRowHeight="14.4" x14ac:dyDescent="0.3"/>
  <cols>
    <col min="1" max="1" width="10.6640625" bestFit="1" customWidth="1"/>
    <col min="2" max="5" width="6.5546875" bestFit="1" customWidth="1"/>
    <col min="6" max="7" width="13.88671875" bestFit="1" customWidth="1"/>
  </cols>
  <sheetData>
    <row r="1" spans="1:8" x14ac:dyDescent="0.3">
      <c r="A1" s="7" t="s">
        <v>1245</v>
      </c>
      <c r="B1" s="6" t="s">
        <v>1225</v>
      </c>
      <c r="C1" s="6" t="s">
        <v>1247</v>
      </c>
      <c r="D1" s="6" t="s">
        <v>1248</v>
      </c>
      <c r="E1" s="6" t="s">
        <v>1249</v>
      </c>
      <c r="F1" s="6" t="s">
        <v>1250</v>
      </c>
      <c r="G1" s="6" t="s">
        <v>1251</v>
      </c>
      <c r="H1" s="6" t="s">
        <v>1382</v>
      </c>
    </row>
    <row r="2" spans="1:8" x14ac:dyDescent="0.3">
      <c r="A2" s="7">
        <v>36532</v>
      </c>
      <c r="B2" s="6">
        <v>3093.7</v>
      </c>
      <c r="C2" s="6">
        <v>3093.7</v>
      </c>
      <c r="D2" s="6">
        <v>2999.3</v>
      </c>
      <c r="E2" s="6">
        <v>3023.4</v>
      </c>
      <c r="F2" s="8">
        <v>711200000</v>
      </c>
      <c r="G2" s="8">
        <v>4204600000</v>
      </c>
      <c r="H2" s="6">
        <v>100000</v>
      </c>
    </row>
    <row r="3" spans="1:8" x14ac:dyDescent="0.3">
      <c r="A3" s="7">
        <v>36539</v>
      </c>
      <c r="B3" s="6">
        <v>3084</v>
      </c>
      <c r="C3" s="6">
        <v>3160.8</v>
      </c>
      <c r="D3" s="6">
        <v>3078.9</v>
      </c>
      <c r="E3" s="6">
        <v>3115.4</v>
      </c>
      <c r="F3" s="8">
        <v>1223300000</v>
      </c>
      <c r="G3" s="8">
        <v>7383500000</v>
      </c>
      <c r="H3">
        <f>H2*(E3/E2)</f>
        <v>103042.93179863731</v>
      </c>
    </row>
    <row r="4" spans="1:8" x14ac:dyDescent="0.3">
      <c r="A4" s="7">
        <v>36546</v>
      </c>
      <c r="B4" s="6">
        <v>3121.5</v>
      </c>
      <c r="C4" s="6">
        <v>3128</v>
      </c>
      <c r="D4" s="6">
        <v>3073.4</v>
      </c>
      <c r="E4" s="6">
        <v>3073.4</v>
      </c>
      <c r="F4" s="8">
        <v>1453200000</v>
      </c>
      <c r="G4" s="8">
        <v>7874400000</v>
      </c>
      <c r="H4">
        <f t="shared" ref="H4:H67" si="0">H3*(E4/E3)</f>
        <v>101653.7672818681</v>
      </c>
    </row>
    <row r="5" spans="1:8" x14ac:dyDescent="0.3">
      <c r="A5" s="7">
        <v>36553</v>
      </c>
      <c r="B5" s="6">
        <v>3069.7</v>
      </c>
      <c r="C5" s="6">
        <v>3069.7</v>
      </c>
      <c r="D5" s="6">
        <v>3048.7</v>
      </c>
      <c r="E5" s="6">
        <v>3064.6</v>
      </c>
      <c r="F5" s="8">
        <v>963500000</v>
      </c>
      <c r="G5" s="8">
        <v>5801700000</v>
      </c>
      <c r="H5">
        <f t="shared" si="0"/>
        <v>101362.70424025931</v>
      </c>
    </row>
    <row r="6" spans="1:8" x14ac:dyDescent="0.3">
      <c r="A6" s="7">
        <v>36560</v>
      </c>
      <c r="B6" s="6">
        <v>3080.2</v>
      </c>
      <c r="C6" s="6">
        <v>3142.4</v>
      </c>
      <c r="D6" s="6">
        <v>3072.3</v>
      </c>
      <c r="E6" s="6">
        <v>3118.7</v>
      </c>
      <c r="F6" s="8">
        <v>1075900000</v>
      </c>
      <c r="G6" s="8">
        <v>6991300000</v>
      </c>
      <c r="H6">
        <f t="shared" si="0"/>
        <v>103152.0804392406</v>
      </c>
    </row>
    <row r="7" spans="1:8" x14ac:dyDescent="0.3">
      <c r="A7" s="7">
        <v>36567</v>
      </c>
      <c r="B7" s="6">
        <v>3136.9</v>
      </c>
      <c r="C7" s="6">
        <v>3192.3</v>
      </c>
      <c r="D7" s="6">
        <v>3134.6</v>
      </c>
      <c r="E7" s="6">
        <v>3167.3</v>
      </c>
      <c r="F7" s="8">
        <v>1358400000</v>
      </c>
      <c r="G7" s="8">
        <v>8087000000</v>
      </c>
      <c r="H7">
        <f t="shared" si="0"/>
        <v>104759.5422372164</v>
      </c>
    </row>
    <row r="8" spans="1:8" x14ac:dyDescent="0.3">
      <c r="A8" s="7">
        <v>36574</v>
      </c>
      <c r="B8" s="6">
        <v>3122.2</v>
      </c>
      <c r="C8" s="6">
        <v>3152.3</v>
      </c>
      <c r="D8" s="6">
        <v>3114.9</v>
      </c>
      <c r="E8" s="6">
        <v>3114.9</v>
      </c>
      <c r="F8" s="8">
        <v>1330600000</v>
      </c>
      <c r="G8" s="8">
        <v>7859800000</v>
      </c>
      <c r="H8">
        <f t="shared" si="0"/>
        <v>103026.39412581864</v>
      </c>
    </row>
    <row r="9" spans="1:8" x14ac:dyDescent="0.3">
      <c r="A9" s="7">
        <v>36581</v>
      </c>
      <c r="B9" s="6">
        <v>3114.9</v>
      </c>
      <c r="C9" s="6">
        <v>3114.9</v>
      </c>
      <c r="D9" s="6">
        <v>3097</v>
      </c>
      <c r="E9" s="6">
        <v>3111.2</v>
      </c>
      <c r="F9" s="8">
        <v>1358800000</v>
      </c>
      <c r="G9" s="8">
        <v>7872300000</v>
      </c>
      <c r="H9">
        <f t="shared" si="0"/>
        <v>102904.0153469604</v>
      </c>
    </row>
    <row r="10" spans="1:8" x14ac:dyDescent="0.3">
      <c r="A10" s="7">
        <v>36588</v>
      </c>
      <c r="B10" s="6">
        <v>3106.7</v>
      </c>
      <c r="C10" s="6">
        <v>3232.6</v>
      </c>
      <c r="D10" s="6">
        <v>3106.7</v>
      </c>
      <c r="E10" s="6">
        <v>3232.6</v>
      </c>
      <c r="F10" s="8">
        <v>1134200000</v>
      </c>
      <c r="G10" s="8">
        <v>6853200000</v>
      </c>
      <c r="H10">
        <f t="shared" si="0"/>
        <v>106919.36230733612</v>
      </c>
    </row>
    <row r="11" spans="1:8" x14ac:dyDescent="0.3">
      <c r="A11" s="7">
        <v>36595</v>
      </c>
      <c r="B11" s="6">
        <v>3214</v>
      </c>
      <c r="C11" s="6">
        <v>3232.5</v>
      </c>
      <c r="D11" s="6">
        <v>3188</v>
      </c>
      <c r="E11" s="6">
        <v>3189.3</v>
      </c>
      <c r="F11" s="8">
        <v>1170400000</v>
      </c>
      <c r="G11" s="8">
        <v>7782600000</v>
      </c>
      <c r="H11">
        <f t="shared" si="0"/>
        <v>105487.19984123835</v>
      </c>
    </row>
    <row r="12" spans="1:8" x14ac:dyDescent="0.3">
      <c r="A12" s="7">
        <v>36602</v>
      </c>
      <c r="B12" s="6">
        <v>3185.9</v>
      </c>
      <c r="C12" s="6">
        <v>3200.4</v>
      </c>
      <c r="D12" s="6">
        <v>3159.7</v>
      </c>
      <c r="E12" s="6">
        <v>3200.4</v>
      </c>
      <c r="F12" s="8">
        <v>1171400000</v>
      </c>
      <c r="G12" s="8">
        <v>6746500000</v>
      </c>
      <c r="H12">
        <f t="shared" si="0"/>
        <v>105854.33617781306</v>
      </c>
    </row>
    <row r="13" spans="1:8" x14ac:dyDescent="0.3">
      <c r="A13" s="7">
        <v>36609</v>
      </c>
      <c r="B13" s="6">
        <v>3237.7</v>
      </c>
      <c r="C13" s="6">
        <v>3276.4</v>
      </c>
      <c r="D13" s="6">
        <v>3237.7</v>
      </c>
      <c r="E13" s="6">
        <v>3251.5</v>
      </c>
      <c r="F13" s="8">
        <v>969600000</v>
      </c>
      <c r="G13" s="8">
        <v>5755800000</v>
      </c>
      <c r="H13">
        <f t="shared" si="0"/>
        <v>107544.48633988225</v>
      </c>
    </row>
    <row r="14" spans="1:8" x14ac:dyDescent="0.3">
      <c r="A14" s="7">
        <v>36616</v>
      </c>
      <c r="B14" s="6">
        <v>3227.9</v>
      </c>
      <c r="C14" s="6">
        <v>3230.2</v>
      </c>
      <c r="D14" s="6">
        <v>3133.3</v>
      </c>
      <c r="E14" s="6">
        <v>3133.3</v>
      </c>
      <c r="F14" s="8">
        <v>1210600000</v>
      </c>
      <c r="G14" s="8">
        <v>7463900000</v>
      </c>
      <c r="H14">
        <f t="shared" si="0"/>
        <v>103634.98048554608</v>
      </c>
    </row>
    <row r="15" spans="1:8" x14ac:dyDescent="0.3">
      <c r="A15" s="7">
        <v>36623</v>
      </c>
      <c r="B15" s="6">
        <v>3133.3</v>
      </c>
      <c r="C15" s="6">
        <v>3201.9</v>
      </c>
      <c r="D15" s="6">
        <v>3133.1</v>
      </c>
      <c r="E15" s="6">
        <v>3182</v>
      </c>
      <c r="F15" s="8">
        <v>1067100000</v>
      </c>
      <c r="G15" s="8">
        <v>6511200000</v>
      </c>
      <c r="H15">
        <f t="shared" si="0"/>
        <v>105245.74981808561</v>
      </c>
    </row>
    <row r="16" spans="1:8" x14ac:dyDescent="0.3">
      <c r="A16" s="7">
        <v>36630</v>
      </c>
      <c r="B16" s="6">
        <v>3182</v>
      </c>
      <c r="C16" s="6">
        <v>3201.8</v>
      </c>
      <c r="D16" s="6">
        <v>3073.7</v>
      </c>
      <c r="E16" s="6">
        <v>3111.8</v>
      </c>
      <c r="F16" s="8">
        <v>977400000</v>
      </c>
      <c r="G16" s="8">
        <v>6452200000</v>
      </c>
      <c r="H16">
        <f t="shared" si="0"/>
        <v>102923.8605543428</v>
      </c>
    </row>
    <row r="17" spans="1:8" x14ac:dyDescent="0.3">
      <c r="A17" s="7">
        <v>36636</v>
      </c>
      <c r="B17" s="6">
        <v>3111.9</v>
      </c>
      <c r="C17" s="6">
        <v>3111.9</v>
      </c>
      <c r="D17" s="6">
        <v>2901.8</v>
      </c>
      <c r="E17" s="6">
        <v>3069.7</v>
      </c>
      <c r="F17" s="8">
        <v>930799900</v>
      </c>
      <c r="G17" s="8">
        <v>5178800000</v>
      </c>
      <c r="H17">
        <f t="shared" si="0"/>
        <v>101531.38850300985</v>
      </c>
    </row>
    <row r="18" spans="1:8" x14ac:dyDescent="0.3">
      <c r="A18" s="7">
        <v>36644</v>
      </c>
      <c r="B18" s="6">
        <v>3069.7</v>
      </c>
      <c r="C18" s="6">
        <v>3127.3</v>
      </c>
      <c r="D18" s="6">
        <v>3069.7</v>
      </c>
      <c r="E18" s="6">
        <v>3115.8</v>
      </c>
      <c r="F18" s="8">
        <v>812200000</v>
      </c>
      <c r="G18" s="8">
        <v>4903900000</v>
      </c>
      <c r="H18">
        <f t="shared" si="0"/>
        <v>103056.16193689224</v>
      </c>
    </row>
    <row r="19" spans="1:8" x14ac:dyDescent="0.3">
      <c r="A19" s="7">
        <v>36651</v>
      </c>
      <c r="B19" s="6">
        <v>3115.8</v>
      </c>
      <c r="C19" s="6">
        <v>3132</v>
      </c>
      <c r="D19" s="6">
        <v>3049.6</v>
      </c>
      <c r="E19" s="6">
        <v>3107.2</v>
      </c>
      <c r="F19" s="8">
        <v>991399900</v>
      </c>
      <c r="G19" s="8">
        <v>5128800000</v>
      </c>
      <c r="H19">
        <f t="shared" si="0"/>
        <v>102771.71396441091</v>
      </c>
    </row>
    <row r="20" spans="1:8" x14ac:dyDescent="0.3">
      <c r="A20" s="7">
        <v>36658</v>
      </c>
      <c r="B20" s="6">
        <v>3107.2</v>
      </c>
      <c r="C20" s="6">
        <v>3124</v>
      </c>
      <c r="D20" s="6">
        <v>2988.3</v>
      </c>
      <c r="E20" s="6">
        <v>3034.8</v>
      </c>
      <c r="F20" s="8">
        <v>1106100000</v>
      </c>
      <c r="G20" s="8">
        <v>5660600000</v>
      </c>
      <c r="H20">
        <f t="shared" si="0"/>
        <v>100377.05894026592</v>
      </c>
    </row>
    <row r="21" spans="1:8" x14ac:dyDescent="0.3">
      <c r="A21" s="7">
        <v>36665</v>
      </c>
      <c r="B21" s="6">
        <v>3034.8</v>
      </c>
      <c r="C21" s="6">
        <v>3091.9</v>
      </c>
      <c r="D21" s="6">
        <v>3033.2</v>
      </c>
      <c r="E21" s="6">
        <v>3039.1</v>
      </c>
      <c r="F21" s="8">
        <v>1137500000</v>
      </c>
      <c r="G21" s="8">
        <v>6054600000</v>
      </c>
      <c r="H21">
        <f t="shared" si="0"/>
        <v>100519.28292650657</v>
      </c>
    </row>
    <row r="22" spans="1:8" x14ac:dyDescent="0.3">
      <c r="A22" s="7">
        <v>36672</v>
      </c>
      <c r="B22" s="6">
        <v>3039.1</v>
      </c>
      <c r="C22" s="6">
        <v>3039.1</v>
      </c>
      <c r="D22" s="6">
        <v>2985.5</v>
      </c>
      <c r="E22" s="6">
        <v>3000.7</v>
      </c>
      <c r="F22" s="8">
        <v>1184000000</v>
      </c>
      <c r="G22" s="8">
        <v>6901000000</v>
      </c>
      <c r="H22">
        <f t="shared" si="0"/>
        <v>99249.18965403187</v>
      </c>
    </row>
    <row r="23" spans="1:8" x14ac:dyDescent="0.3">
      <c r="A23" s="7">
        <v>36679</v>
      </c>
      <c r="B23" s="6">
        <v>3000.7</v>
      </c>
      <c r="C23" s="6">
        <v>3143.9</v>
      </c>
      <c r="D23" s="6">
        <v>2999.2</v>
      </c>
      <c r="E23" s="6">
        <v>3140.9</v>
      </c>
      <c r="F23" s="8">
        <v>1141600000</v>
      </c>
      <c r="G23" s="8">
        <v>7040400000</v>
      </c>
      <c r="H23">
        <f t="shared" si="0"/>
        <v>103886.35311239002</v>
      </c>
    </row>
    <row r="24" spans="1:8" x14ac:dyDescent="0.3">
      <c r="A24" s="7">
        <v>36686</v>
      </c>
      <c r="B24" s="6">
        <v>3140.9</v>
      </c>
      <c r="C24" s="6">
        <v>3170</v>
      </c>
      <c r="D24" s="6">
        <v>3109.6</v>
      </c>
      <c r="E24" s="6">
        <v>3146.5</v>
      </c>
      <c r="F24" s="8">
        <v>1119900000</v>
      </c>
      <c r="G24" s="8">
        <v>6052800000</v>
      </c>
      <c r="H24">
        <f t="shared" si="0"/>
        <v>104071.57504795924</v>
      </c>
    </row>
    <row r="25" spans="1:8" x14ac:dyDescent="0.3">
      <c r="A25" s="7">
        <v>36693</v>
      </c>
      <c r="B25" s="6">
        <v>3146.5</v>
      </c>
      <c r="C25" s="6">
        <v>3147.8</v>
      </c>
      <c r="D25" s="6">
        <v>3103.7</v>
      </c>
      <c r="E25" s="6">
        <v>3140.8</v>
      </c>
      <c r="F25" s="8">
        <v>963100000</v>
      </c>
      <c r="G25" s="8">
        <v>5366500000</v>
      </c>
      <c r="H25">
        <f t="shared" si="0"/>
        <v>103883.04557782628</v>
      </c>
    </row>
    <row r="26" spans="1:8" x14ac:dyDescent="0.3">
      <c r="A26" s="7">
        <v>36700</v>
      </c>
      <c r="B26" s="6">
        <v>3140.8</v>
      </c>
      <c r="C26" s="6">
        <v>3186.2</v>
      </c>
      <c r="D26" s="6">
        <v>3119.8</v>
      </c>
      <c r="E26" s="6">
        <v>3177.1</v>
      </c>
      <c r="F26" s="8">
        <v>1433500000</v>
      </c>
      <c r="G26" s="8">
        <v>7512100000</v>
      </c>
      <c r="H26">
        <f t="shared" si="0"/>
        <v>105083.68062446252</v>
      </c>
    </row>
    <row r="27" spans="1:8" x14ac:dyDescent="0.3">
      <c r="A27" s="7">
        <v>36707</v>
      </c>
      <c r="B27" s="6">
        <v>3177.1</v>
      </c>
      <c r="C27" s="6">
        <v>3313.9</v>
      </c>
      <c r="D27" s="6">
        <v>3162.8</v>
      </c>
      <c r="E27" s="6">
        <v>3311.2</v>
      </c>
      <c r="F27" s="8">
        <v>1921100000</v>
      </c>
      <c r="G27" s="8">
        <v>11101800000</v>
      </c>
      <c r="H27">
        <f t="shared" si="0"/>
        <v>109519.08447443273</v>
      </c>
    </row>
    <row r="28" spans="1:8" x14ac:dyDescent="0.3">
      <c r="A28" s="7">
        <v>36714</v>
      </c>
      <c r="B28" s="6">
        <v>3311.2</v>
      </c>
      <c r="C28" s="6">
        <v>3327.2</v>
      </c>
      <c r="D28" s="6">
        <v>3279.8</v>
      </c>
      <c r="E28" s="6">
        <v>3305.3</v>
      </c>
      <c r="F28" s="8">
        <v>1377700000</v>
      </c>
      <c r="G28" s="8">
        <v>7109200000</v>
      </c>
      <c r="H28">
        <f t="shared" si="0"/>
        <v>109323.93993517231</v>
      </c>
    </row>
    <row r="29" spans="1:8" x14ac:dyDescent="0.3">
      <c r="A29" s="7">
        <v>36721</v>
      </c>
      <c r="B29" s="6">
        <v>3305.3</v>
      </c>
      <c r="C29" s="6">
        <v>3337.4</v>
      </c>
      <c r="D29" s="6">
        <v>3295.6</v>
      </c>
      <c r="E29" s="6">
        <v>3303.5</v>
      </c>
      <c r="F29" s="8">
        <v>1233500000</v>
      </c>
      <c r="G29" s="8">
        <v>6661800000</v>
      </c>
      <c r="H29">
        <f t="shared" si="0"/>
        <v>109264.40431302505</v>
      </c>
    </row>
    <row r="30" spans="1:8" x14ac:dyDescent="0.3">
      <c r="A30" s="7">
        <v>36728</v>
      </c>
      <c r="B30" s="6">
        <v>3303.5</v>
      </c>
      <c r="C30" s="6">
        <v>3335.7</v>
      </c>
      <c r="D30" s="6">
        <v>3283</v>
      </c>
      <c r="E30" s="6">
        <v>3332.3</v>
      </c>
      <c r="F30" s="8">
        <v>1069700000</v>
      </c>
      <c r="G30" s="8">
        <v>5654700000</v>
      </c>
      <c r="H30">
        <f t="shared" si="0"/>
        <v>110216.97426738107</v>
      </c>
    </row>
    <row r="31" spans="1:8" x14ac:dyDescent="0.3">
      <c r="A31" s="7">
        <v>36735</v>
      </c>
      <c r="B31" s="6">
        <v>3332.3</v>
      </c>
      <c r="C31" s="6">
        <v>3332.3</v>
      </c>
      <c r="D31" s="6">
        <v>3248.6</v>
      </c>
      <c r="E31" s="6">
        <v>3255</v>
      </c>
      <c r="F31" s="8">
        <v>1091700000</v>
      </c>
      <c r="G31" s="8">
        <v>6357700000</v>
      </c>
      <c r="H31">
        <f t="shared" si="0"/>
        <v>107660.25004961299</v>
      </c>
    </row>
    <row r="32" spans="1:8" x14ac:dyDescent="0.3">
      <c r="A32" s="7">
        <v>36742</v>
      </c>
      <c r="B32" s="6">
        <v>3255</v>
      </c>
      <c r="C32" s="6">
        <v>3284.2</v>
      </c>
      <c r="D32" s="6">
        <v>3226.9</v>
      </c>
      <c r="E32" s="6">
        <v>3277.2</v>
      </c>
      <c r="F32" s="8">
        <v>1280000000</v>
      </c>
      <c r="G32" s="8">
        <v>6128600000</v>
      </c>
      <c r="H32">
        <f t="shared" si="0"/>
        <v>108394.52272276243</v>
      </c>
    </row>
    <row r="33" spans="1:8" x14ac:dyDescent="0.3">
      <c r="A33" s="7">
        <v>36749</v>
      </c>
      <c r="B33" s="6">
        <v>3277.2</v>
      </c>
      <c r="C33" s="6">
        <v>3317.9</v>
      </c>
      <c r="D33" s="6">
        <v>3276.9</v>
      </c>
      <c r="E33" s="6">
        <v>3309.1</v>
      </c>
      <c r="F33" s="8">
        <v>1068400000</v>
      </c>
      <c r="G33" s="8">
        <v>5899300000</v>
      </c>
      <c r="H33">
        <f t="shared" si="0"/>
        <v>109449.62624859427</v>
      </c>
    </row>
    <row r="34" spans="1:8" x14ac:dyDescent="0.3">
      <c r="A34" s="7">
        <v>36756</v>
      </c>
      <c r="B34" s="6">
        <v>3309.1</v>
      </c>
      <c r="C34" s="6">
        <v>3350.3</v>
      </c>
      <c r="D34" s="6">
        <v>3308</v>
      </c>
      <c r="E34" s="6">
        <v>3344.2</v>
      </c>
      <c r="F34" s="8">
        <v>1086700000</v>
      </c>
      <c r="G34" s="8">
        <v>5554400000</v>
      </c>
      <c r="H34">
        <f t="shared" si="0"/>
        <v>110610.57088046568</v>
      </c>
    </row>
    <row r="35" spans="1:8" x14ac:dyDescent="0.3">
      <c r="A35" s="7">
        <v>36763</v>
      </c>
      <c r="B35" s="6">
        <v>3344.2</v>
      </c>
      <c r="C35" s="6">
        <v>3386.9</v>
      </c>
      <c r="D35" s="6">
        <v>3333.5</v>
      </c>
      <c r="E35" s="6">
        <v>3367.4</v>
      </c>
      <c r="F35" s="8">
        <v>1347200000</v>
      </c>
      <c r="G35" s="8">
        <v>7858000000</v>
      </c>
      <c r="H35">
        <f t="shared" si="0"/>
        <v>111377.91889925247</v>
      </c>
    </row>
    <row r="36" spans="1:8" x14ac:dyDescent="0.3">
      <c r="A36" s="7">
        <v>36770</v>
      </c>
      <c r="B36" s="6">
        <v>3367.4</v>
      </c>
      <c r="C36" s="6">
        <v>3383.3</v>
      </c>
      <c r="D36" s="6">
        <v>3297.5</v>
      </c>
      <c r="E36" s="6">
        <v>3331.7</v>
      </c>
      <c r="F36" s="8">
        <v>1205700000</v>
      </c>
      <c r="G36" s="8">
        <v>6278900000</v>
      </c>
      <c r="H36">
        <f t="shared" si="0"/>
        <v>110197.12905999864</v>
      </c>
    </row>
    <row r="37" spans="1:8" x14ac:dyDescent="0.3">
      <c r="A37" s="7">
        <v>36777</v>
      </c>
      <c r="B37" s="6">
        <v>3331.7</v>
      </c>
      <c r="C37" s="6">
        <v>3356</v>
      </c>
      <c r="D37" s="6">
        <v>3295.4</v>
      </c>
      <c r="E37" s="6">
        <v>3320.3</v>
      </c>
      <c r="F37" s="8">
        <v>1129700000</v>
      </c>
      <c r="G37" s="8">
        <v>5748300000</v>
      </c>
      <c r="H37">
        <f t="shared" si="0"/>
        <v>109820.07011973273</v>
      </c>
    </row>
    <row r="38" spans="1:8" x14ac:dyDescent="0.3">
      <c r="A38" s="7">
        <v>36784</v>
      </c>
      <c r="B38" s="6">
        <v>3320.3</v>
      </c>
      <c r="C38" s="6">
        <v>3356.5</v>
      </c>
      <c r="D38" s="6">
        <v>3296.3</v>
      </c>
      <c r="E38" s="6">
        <v>3329.8</v>
      </c>
      <c r="F38" s="8">
        <v>1171800000</v>
      </c>
      <c r="G38" s="8">
        <v>6968301000</v>
      </c>
      <c r="H38">
        <f t="shared" si="0"/>
        <v>110134.28590328767</v>
      </c>
    </row>
    <row r="39" spans="1:8" x14ac:dyDescent="0.3">
      <c r="A39" s="7">
        <v>36791</v>
      </c>
      <c r="B39" s="6">
        <v>3329.8</v>
      </c>
      <c r="C39" s="6">
        <v>3329.8</v>
      </c>
      <c r="D39" s="6">
        <v>3176.1</v>
      </c>
      <c r="E39" s="6">
        <v>3188.6</v>
      </c>
      <c r="F39" s="8">
        <v>959300000</v>
      </c>
      <c r="G39" s="8">
        <v>5416000000</v>
      </c>
      <c r="H39">
        <f t="shared" si="0"/>
        <v>105464.04709929216</v>
      </c>
    </row>
    <row r="40" spans="1:8" x14ac:dyDescent="0.3">
      <c r="A40" s="7">
        <v>36798</v>
      </c>
      <c r="B40" s="6">
        <v>3188.6</v>
      </c>
      <c r="C40" s="6">
        <v>3302.5</v>
      </c>
      <c r="D40" s="6">
        <v>3186.7</v>
      </c>
      <c r="E40" s="6">
        <v>3298.8</v>
      </c>
      <c r="F40" s="8">
        <v>981000000</v>
      </c>
      <c r="G40" s="8">
        <v>6537700000</v>
      </c>
      <c r="H40">
        <f t="shared" si="0"/>
        <v>109108.95018852944</v>
      </c>
    </row>
    <row r="41" spans="1:8" x14ac:dyDescent="0.3">
      <c r="A41" s="7">
        <v>36805</v>
      </c>
      <c r="B41" s="6">
        <v>3298.8</v>
      </c>
      <c r="C41" s="6">
        <v>3330.7</v>
      </c>
      <c r="D41" s="6">
        <v>3277.9</v>
      </c>
      <c r="E41" s="6">
        <v>3293.5</v>
      </c>
      <c r="F41" s="8">
        <v>994000000</v>
      </c>
      <c r="G41" s="8">
        <v>6123000000</v>
      </c>
      <c r="H41">
        <f t="shared" si="0"/>
        <v>108933.65085665141</v>
      </c>
    </row>
    <row r="42" spans="1:8" x14ac:dyDescent="0.3">
      <c r="A42" s="7">
        <v>36812</v>
      </c>
      <c r="B42" s="6">
        <v>3293.5</v>
      </c>
      <c r="C42" s="6">
        <v>3293.5</v>
      </c>
      <c r="D42" s="6">
        <v>3186</v>
      </c>
      <c r="E42" s="6">
        <v>3201.9</v>
      </c>
      <c r="F42" s="8">
        <v>1331900000</v>
      </c>
      <c r="G42" s="8">
        <v>6580900000</v>
      </c>
      <c r="H42">
        <f t="shared" si="0"/>
        <v>105903.94919626907</v>
      </c>
    </row>
    <row r="43" spans="1:8" x14ac:dyDescent="0.3">
      <c r="A43" s="7">
        <v>36819</v>
      </c>
      <c r="B43" s="6">
        <v>3201.9</v>
      </c>
      <c r="C43" s="6">
        <v>3271.2</v>
      </c>
      <c r="D43" s="6">
        <v>3180.3</v>
      </c>
      <c r="E43" s="6">
        <v>3235.8</v>
      </c>
      <c r="F43" s="8">
        <v>1311100000</v>
      </c>
      <c r="G43" s="8">
        <v>7150000000</v>
      </c>
      <c r="H43">
        <f t="shared" si="0"/>
        <v>107025.20341337564</v>
      </c>
    </row>
    <row r="44" spans="1:8" x14ac:dyDescent="0.3">
      <c r="A44" s="7">
        <v>36826</v>
      </c>
      <c r="B44" s="6">
        <v>3235.8</v>
      </c>
      <c r="C44" s="6">
        <v>3272.8</v>
      </c>
      <c r="D44" s="6">
        <v>3231.2</v>
      </c>
      <c r="E44" s="6">
        <v>3244.7</v>
      </c>
      <c r="F44" s="8">
        <v>1392300000</v>
      </c>
      <c r="G44" s="8">
        <v>7283700000</v>
      </c>
      <c r="H44">
        <f t="shared" si="0"/>
        <v>107319.57398954814</v>
      </c>
    </row>
    <row r="45" spans="1:8" x14ac:dyDescent="0.3">
      <c r="A45" s="7">
        <v>36833</v>
      </c>
      <c r="B45" s="6">
        <v>3244.7</v>
      </c>
      <c r="C45" s="6">
        <v>3327.6</v>
      </c>
      <c r="D45" s="6">
        <v>3244.6</v>
      </c>
      <c r="E45" s="6">
        <v>3321.9</v>
      </c>
      <c r="F45" s="8">
        <v>1178100000</v>
      </c>
      <c r="G45" s="8">
        <v>6120300000</v>
      </c>
      <c r="H45">
        <f t="shared" si="0"/>
        <v>109872.99067275248</v>
      </c>
    </row>
    <row r="46" spans="1:8" x14ac:dyDescent="0.3">
      <c r="A46" s="7">
        <v>36840</v>
      </c>
      <c r="B46" s="6">
        <v>3321.9</v>
      </c>
      <c r="C46" s="6">
        <v>3381.5</v>
      </c>
      <c r="D46" s="6">
        <v>3291.7</v>
      </c>
      <c r="E46" s="6">
        <v>3300.9</v>
      </c>
      <c r="F46" s="8">
        <v>1233100000</v>
      </c>
      <c r="G46" s="8">
        <v>7106100000</v>
      </c>
      <c r="H46">
        <f t="shared" si="0"/>
        <v>109178.40841436788</v>
      </c>
    </row>
    <row r="47" spans="1:8" x14ac:dyDescent="0.3">
      <c r="A47" s="7">
        <v>36847</v>
      </c>
      <c r="B47" s="6">
        <v>3300.9</v>
      </c>
      <c r="C47" s="6">
        <v>3332.2</v>
      </c>
      <c r="D47" s="6">
        <v>3273.4</v>
      </c>
      <c r="E47" s="6">
        <v>3329.1</v>
      </c>
      <c r="F47" s="8">
        <v>1243800000</v>
      </c>
      <c r="G47" s="8">
        <v>7162100000</v>
      </c>
      <c r="H47">
        <f t="shared" si="0"/>
        <v>110111.13316134147</v>
      </c>
    </row>
    <row r="48" spans="1:8" x14ac:dyDescent="0.3">
      <c r="A48" s="7">
        <v>36854</v>
      </c>
      <c r="B48" s="6">
        <v>3329.1</v>
      </c>
      <c r="C48" s="6">
        <v>3331.5</v>
      </c>
      <c r="D48" s="6">
        <v>3265.2</v>
      </c>
      <c r="E48" s="6">
        <v>3280.6</v>
      </c>
      <c r="F48" s="8">
        <v>1140000000</v>
      </c>
      <c r="G48" s="8">
        <v>7135400000</v>
      </c>
      <c r="H48">
        <f t="shared" si="0"/>
        <v>108506.97889792941</v>
      </c>
    </row>
    <row r="49" spans="1:8" x14ac:dyDescent="0.3">
      <c r="A49" s="7">
        <v>36861</v>
      </c>
      <c r="B49" s="6">
        <v>3280.6</v>
      </c>
      <c r="C49" s="6">
        <v>3311.9</v>
      </c>
      <c r="D49" s="6">
        <v>3254</v>
      </c>
      <c r="E49" s="6">
        <v>3284.1</v>
      </c>
      <c r="F49" s="8">
        <v>1154500000</v>
      </c>
      <c r="G49" s="8">
        <v>6772600000</v>
      </c>
      <c r="H49">
        <f t="shared" si="0"/>
        <v>108622.74260766018</v>
      </c>
    </row>
    <row r="50" spans="1:8" x14ac:dyDescent="0.3">
      <c r="A50" s="7">
        <v>36868</v>
      </c>
      <c r="B50" s="6">
        <v>3284.1</v>
      </c>
      <c r="C50" s="6">
        <v>3349</v>
      </c>
      <c r="D50" s="6">
        <v>3278</v>
      </c>
      <c r="E50" s="6">
        <v>3287.6</v>
      </c>
      <c r="F50" s="8">
        <v>1290600000</v>
      </c>
      <c r="G50" s="8">
        <v>6655100000</v>
      </c>
      <c r="H50">
        <f t="shared" si="0"/>
        <v>108738.50631739094</v>
      </c>
    </row>
    <row r="51" spans="1:8" x14ac:dyDescent="0.3">
      <c r="A51" s="7">
        <v>36875</v>
      </c>
      <c r="B51" s="6">
        <v>3287.6</v>
      </c>
      <c r="C51" s="6">
        <v>3321.1</v>
      </c>
      <c r="D51" s="6">
        <v>3222.4</v>
      </c>
      <c r="E51" s="6">
        <v>3229.2</v>
      </c>
      <c r="F51" s="8">
        <v>1281500000</v>
      </c>
      <c r="G51" s="8">
        <v>7243000000</v>
      </c>
      <c r="H51">
        <f t="shared" si="0"/>
        <v>106806.90613216901</v>
      </c>
    </row>
    <row r="52" spans="1:8" x14ac:dyDescent="0.3">
      <c r="A52" s="7">
        <v>36882</v>
      </c>
      <c r="B52" s="6">
        <v>3229.2</v>
      </c>
      <c r="C52" s="6">
        <v>3260</v>
      </c>
      <c r="D52" s="6">
        <v>3171.7</v>
      </c>
      <c r="E52" s="6">
        <v>3196</v>
      </c>
      <c r="F52" s="8">
        <v>1185000000</v>
      </c>
      <c r="G52" s="8">
        <v>7097500000</v>
      </c>
      <c r="H52">
        <f t="shared" si="0"/>
        <v>105708.8046570086</v>
      </c>
    </row>
    <row r="53" spans="1:8" x14ac:dyDescent="0.3">
      <c r="A53" s="7">
        <v>36889</v>
      </c>
      <c r="B53" s="6">
        <v>3196</v>
      </c>
      <c r="C53" s="6">
        <v>3279.8</v>
      </c>
      <c r="D53" s="6">
        <v>3194.9</v>
      </c>
      <c r="E53" s="6">
        <v>3206.2</v>
      </c>
      <c r="F53" s="8">
        <v>481000000</v>
      </c>
      <c r="G53" s="8">
        <v>2611500000</v>
      </c>
      <c r="H53">
        <f t="shared" si="0"/>
        <v>106046.17318250968</v>
      </c>
    </row>
    <row r="54" spans="1:8" x14ac:dyDescent="0.3">
      <c r="A54" s="7">
        <v>36896</v>
      </c>
      <c r="B54" s="6">
        <v>3206.2</v>
      </c>
      <c r="C54" s="6">
        <v>3308.5</v>
      </c>
      <c r="D54" s="6">
        <v>3206.2</v>
      </c>
      <c r="E54" s="6">
        <v>3300.4</v>
      </c>
      <c r="F54" s="8">
        <v>709800000</v>
      </c>
      <c r="G54" s="8">
        <v>4217600000</v>
      </c>
      <c r="H54">
        <f t="shared" si="0"/>
        <v>109161.8707415492</v>
      </c>
    </row>
    <row r="55" spans="1:8" x14ac:dyDescent="0.3">
      <c r="A55" s="7">
        <v>36903</v>
      </c>
      <c r="B55" s="6">
        <v>3300.4</v>
      </c>
      <c r="C55" s="6">
        <v>3300.4</v>
      </c>
      <c r="D55" s="6">
        <v>3222.6</v>
      </c>
      <c r="E55" s="6">
        <v>3243.2</v>
      </c>
      <c r="F55" s="8">
        <v>1262900000</v>
      </c>
      <c r="G55" s="8">
        <v>6631999000</v>
      </c>
      <c r="H55">
        <f t="shared" si="0"/>
        <v>107269.96097109209</v>
      </c>
    </row>
    <row r="56" spans="1:8" x14ac:dyDescent="0.3">
      <c r="A56" s="7">
        <v>36910</v>
      </c>
      <c r="B56" s="6">
        <v>3243.2</v>
      </c>
      <c r="C56" s="6">
        <v>3319.2</v>
      </c>
      <c r="D56" s="6">
        <v>3232.3</v>
      </c>
      <c r="E56" s="6">
        <v>3311.6</v>
      </c>
      <c r="F56" s="8">
        <v>1376700000</v>
      </c>
      <c r="G56" s="8">
        <v>7929100000</v>
      </c>
      <c r="H56">
        <f t="shared" si="0"/>
        <v>109532.31461268765</v>
      </c>
    </row>
    <row r="57" spans="1:8" x14ac:dyDescent="0.3">
      <c r="A57" s="7">
        <v>36916</v>
      </c>
      <c r="B57" s="6">
        <v>3311.6</v>
      </c>
      <c r="C57" s="6">
        <v>3327.4</v>
      </c>
      <c r="D57" s="6">
        <v>3284.6</v>
      </c>
      <c r="E57" s="6">
        <v>3321.4</v>
      </c>
      <c r="F57" s="8">
        <v>997500000</v>
      </c>
      <c r="G57" s="8">
        <v>5341600000</v>
      </c>
      <c r="H57">
        <f t="shared" si="0"/>
        <v>109856.4529999338</v>
      </c>
    </row>
    <row r="58" spans="1:8" x14ac:dyDescent="0.3">
      <c r="A58" s="7">
        <v>36924</v>
      </c>
      <c r="B58" s="6">
        <v>3321.4</v>
      </c>
      <c r="C58" s="6">
        <v>3364.6</v>
      </c>
      <c r="D58" s="6">
        <v>3300.5</v>
      </c>
      <c r="E58" s="6">
        <v>3355.3</v>
      </c>
      <c r="F58" s="8">
        <v>1376200000</v>
      </c>
      <c r="G58" s="8">
        <v>8415900000</v>
      </c>
      <c r="H58">
        <f t="shared" si="0"/>
        <v>110977.70721704037</v>
      </c>
    </row>
    <row r="59" spans="1:8" x14ac:dyDescent="0.3">
      <c r="A59" s="7">
        <v>36931</v>
      </c>
      <c r="B59" s="6">
        <v>3355.3</v>
      </c>
      <c r="C59" s="6">
        <v>3355.3</v>
      </c>
      <c r="D59" s="6">
        <v>3300.2</v>
      </c>
      <c r="E59" s="6">
        <v>3312.4</v>
      </c>
      <c r="F59" s="8">
        <v>1250200000</v>
      </c>
      <c r="G59" s="8">
        <v>7221000000</v>
      </c>
      <c r="H59">
        <f t="shared" si="0"/>
        <v>109558.77488919755</v>
      </c>
    </row>
    <row r="60" spans="1:8" x14ac:dyDescent="0.3">
      <c r="A60" s="7">
        <v>36938</v>
      </c>
      <c r="B60" s="6">
        <v>3312.4</v>
      </c>
      <c r="C60" s="6">
        <v>3354.5</v>
      </c>
      <c r="D60" s="6">
        <v>3300.6</v>
      </c>
      <c r="E60" s="6">
        <v>3320.1</v>
      </c>
      <c r="F60" s="8">
        <v>1283600000</v>
      </c>
      <c r="G60" s="8">
        <v>7971200000</v>
      </c>
      <c r="H60">
        <f t="shared" si="0"/>
        <v>109813.45505060523</v>
      </c>
    </row>
    <row r="61" spans="1:8" x14ac:dyDescent="0.3">
      <c r="A61" s="7">
        <v>36945</v>
      </c>
      <c r="B61" s="6">
        <v>3320.1</v>
      </c>
      <c r="C61" s="6">
        <v>3320.1</v>
      </c>
      <c r="D61" s="6">
        <v>3278.2</v>
      </c>
      <c r="E61" s="6">
        <v>3292</v>
      </c>
      <c r="F61" s="8">
        <v>1318000000</v>
      </c>
      <c r="G61" s="8">
        <v>8216100000</v>
      </c>
      <c r="H61">
        <f t="shared" si="0"/>
        <v>108884.03783819536</v>
      </c>
    </row>
    <row r="62" spans="1:8" x14ac:dyDescent="0.3">
      <c r="A62" s="7">
        <v>36952</v>
      </c>
      <c r="B62" s="6">
        <v>3292</v>
      </c>
      <c r="C62" s="6">
        <v>3351.3</v>
      </c>
      <c r="D62" s="6">
        <v>3283.7</v>
      </c>
      <c r="E62" s="6">
        <v>3333.4</v>
      </c>
      <c r="F62" s="8">
        <v>1342400000</v>
      </c>
      <c r="G62" s="8">
        <v>8046700000</v>
      </c>
      <c r="H62">
        <f t="shared" si="0"/>
        <v>110253.35714758215</v>
      </c>
    </row>
    <row r="63" spans="1:8" x14ac:dyDescent="0.3">
      <c r="A63" s="7">
        <v>36959</v>
      </c>
      <c r="B63" s="6">
        <v>3333.4</v>
      </c>
      <c r="C63" s="6">
        <v>3370.9</v>
      </c>
      <c r="D63" s="6">
        <v>3321.9</v>
      </c>
      <c r="E63" s="6">
        <v>3331.3</v>
      </c>
      <c r="F63" s="8">
        <v>1483200000</v>
      </c>
      <c r="G63" s="8">
        <v>9239999000</v>
      </c>
      <c r="H63">
        <f t="shared" si="0"/>
        <v>110183.89892174369</v>
      </c>
    </row>
    <row r="64" spans="1:8" x14ac:dyDescent="0.3">
      <c r="A64" s="7">
        <v>36966</v>
      </c>
      <c r="B64" s="6">
        <v>3331.3</v>
      </c>
      <c r="C64" s="6">
        <v>3332</v>
      </c>
      <c r="D64" s="6">
        <v>3203.7</v>
      </c>
      <c r="E64" s="6">
        <v>3252.4</v>
      </c>
      <c r="F64" s="8">
        <v>1390900000</v>
      </c>
      <c r="G64" s="8">
        <v>8243201000</v>
      </c>
      <c r="H64">
        <f t="shared" si="0"/>
        <v>107574.25415095584</v>
      </c>
    </row>
    <row r="65" spans="1:8" x14ac:dyDescent="0.3">
      <c r="A65" s="7">
        <v>36973</v>
      </c>
      <c r="B65" s="6">
        <v>3252.4</v>
      </c>
      <c r="C65" s="6">
        <v>3252.4</v>
      </c>
      <c r="D65" s="6">
        <v>3138.2</v>
      </c>
      <c r="E65" s="6">
        <v>3145.3</v>
      </c>
      <c r="F65" s="8">
        <v>1356600000</v>
      </c>
      <c r="G65" s="8">
        <v>9514500000</v>
      </c>
      <c r="H65">
        <f t="shared" si="0"/>
        <v>104031.88463319438</v>
      </c>
    </row>
    <row r="66" spans="1:8" x14ac:dyDescent="0.3">
      <c r="A66" s="7">
        <v>36980</v>
      </c>
      <c r="B66" s="6">
        <v>3145.3</v>
      </c>
      <c r="C66" s="6">
        <v>3194.3</v>
      </c>
      <c r="D66" s="6">
        <v>3143.3</v>
      </c>
      <c r="E66" s="6">
        <v>3147.2</v>
      </c>
      <c r="F66" s="8">
        <v>1985200000</v>
      </c>
      <c r="G66" s="8">
        <v>11134000000</v>
      </c>
      <c r="H66">
        <f t="shared" si="0"/>
        <v>104094.72778990536</v>
      </c>
    </row>
    <row r="67" spans="1:8" x14ac:dyDescent="0.3">
      <c r="A67" s="7">
        <v>36987</v>
      </c>
      <c r="B67" s="6">
        <v>3147.2</v>
      </c>
      <c r="C67" s="6">
        <v>3266</v>
      </c>
      <c r="D67" s="6">
        <v>3147.2</v>
      </c>
      <c r="E67" s="6">
        <v>3233.2</v>
      </c>
      <c r="F67" s="8">
        <v>1722800000</v>
      </c>
      <c r="G67" s="8">
        <v>9424500000</v>
      </c>
      <c r="H67">
        <f t="shared" si="0"/>
        <v>106939.20751471848</v>
      </c>
    </row>
    <row r="68" spans="1:8" x14ac:dyDescent="0.3">
      <c r="A68" s="7">
        <v>36993</v>
      </c>
      <c r="B68" s="6">
        <v>3233.2</v>
      </c>
      <c r="C68" s="6">
        <v>3282.6</v>
      </c>
      <c r="D68" s="6">
        <v>3211.1</v>
      </c>
      <c r="E68" s="6">
        <v>3276.8</v>
      </c>
      <c r="F68" s="8">
        <v>1283100000</v>
      </c>
      <c r="G68" s="8">
        <v>6903699000</v>
      </c>
      <c r="H68">
        <f t="shared" ref="H68:H131" si="1">H67*(E68/E67)</f>
        <v>108381.29258450746</v>
      </c>
    </row>
    <row r="69" spans="1:8" x14ac:dyDescent="0.3">
      <c r="A69" s="7">
        <v>37001</v>
      </c>
      <c r="B69" s="6">
        <v>3276.8</v>
      </c>
      <c r="C69" s="6">
        <v>3333.9</v>
      </c>
      <c r="D69" s="6">
        <v>3257</v>
      </c>
      <c r="E69" s="6">
        <v>3303.5</v>
      </c>
      <c r="F69" s="8">
        <v>1337200000</v>
      </c>
      <c r="G69" s="8">
        <v>7673800000</v>
      </c>
      <c r="H69">
        <f t="shared" si="1"/>
        <v>109264.40431302502</v>
      </c>
    </row>
    <row r="70" spans="1:8" x14ac:dyDescent="0.3">
      <c r="A70" s="7">
        <v>37008</v>
      </c>
      <c r="B70" s="6">
        <v>3303.5</v>
      </c>
      <c r="C70" s="6">
        <v>3313.9</v>
      </c>
      <c r="D70" s="6">
        <v>3286.1</v>
      </c>
      <c r="E70" s="6">
        <v>3293.9</v>
      </c>
      <c r="F70" s="8">
        <v>1255100000</v>
      </c>
      <c r="G70" s="8">
        <v>9059600000</v>
      </c>
      <c r="H70">
        <f t="shared" si="1"/>
        <v>108946.88099490634</v>
      </c>
    </row>
    <row r="71" spans="1:8" x14ac:dyDescent="0.3">
      <c r="A71" s="7">
        <v>37015</v>
      </c>
      <c r="B71" s="6">
        <v>3293.9</v>
      </c>
      <c r="C71" s="6">
        <v>3357.5</v>
      </c>
      <c r="D71" s="6">
        <v>3293.9</v>
      </c>
      <c r="E71" s="6">
        <v>3340.5</v>
      </c>
      <c r="F71" s="8">
        <v>1644600000</v>
      </c>
      <c r="G71" s="8">
        <v>8988101000</v>
      </c>
      <c r="H71">
        <f t="shared" si="1"/>
        <v>110488.1921016074</v>
      </c>
    </row>
    <row r="72" spans="1:8" x14ac:dyDescent="0.3">
      <c r="A72" s="7">
        <v>37022</v>
      </c>
      <c r="B72" s="6">
        <v>3340.5</v>
      </c>
      <c r="C72" s="6">
        <v>3392.4</v>
      </c>
      <c r="D72" s="6">
        <v>3327.8</v>
      </c>
      <c r="E72" s="6">
        <v>3389</v>
      </c>
      <c r="F72" s="8">
        <v>1356600000</v>
      </c>
      <c r="G72" s="8">
        <v>8088900000</v>
      </c>
      <c r="H72">
        <f t="shared" si="1"/>
        <v>112092.34636501946</v>
      </c>
    </row>
    <row r="73" spans="1:8" x14ac:dyDescent="0.3">
      <c r="A73" s="7">
        <v>37029</v>
      </c>
      <c r="B73" s="6">
        <v>3389</v>
      </c>
      <c r="C73" s="6">
        <v>3424.5</v>
      </c>
      <c r="D73" s="6">
        <v>3358.2</v>
      </c>
      <c r="E73" s="6">
        <v>3404.1</v>
      </c>
      <c r="F73" s="8">
        <v>1579100000</v>
      </c>
      <c r="G73" s="8">
        <v>9281601000</v>
      </c>
      <c r="H73">
        <f t="shared" si="1"/>
        <v>112591.78408414363</v>
      </c>
    </row>
    <row r="74" spans="1:8" x14ac:dyDescent="0.3">
      <c r="A74" s="7">
        <v>37036</v>
      </c>
      <c r="B74" s="6">
        <v>3404.1</v>
      </c>
      <c r="C74" s="6">
        <v>3444.7</v>
      </c>
      <c r="D74" s="6">
        <v>3404.1</v>
      </c>
      <c r="E74" s="6">
        <v>3426.1</v>
      </c>
      <c r="F74" s="8">
        <v>1851600000</v>
      </c>
      <c r="G74" s="8">
        <v>11479900000</v>
      </c>
      <c r="H74">
        <f t="shared" si="1"/>
        <v>113319.44168816559</v>
      </c>
    </row>
    <row r="75" spans="1:8" x14ac:dyDescent="0.3">
      <c r="A75" s="7">
        <v>37043</v>
      </c>
      <c r="B75" s="6">
        <v>3426.1</v>
      </c>
      <c r="C75" s="6">
        <v>3429</v>
      </c>
      <c r="D75" s="6">
        <v>3375.1</v>
      </c>
      <c r="E75" s="6">
        <v>3391.5</v>
      </c>
      <c r="F75" s="8">
        <v>1405100000</v>
      </c>
      <c r="G75" s="8">
        <v>7626000000</v>
      </c>
      <c r="H75">
        <f t="shared" si="1"/>
        <v>112175.03472911287</v>
      </c>
    </row>
    <row r="76" spans="1:8" x14ac:dyDescent="0.3">
      <c r="A76" s="7">
        <v>37050</v>
      </c>
      <c r="B76" s="6">
        <v>3391.5</v>
      </c>
      <c r="C76" s="6">
        <v>3442.1</v>
      </c>
      <c r="D76" s="6">
        <v>3388.2</v>
      </c>
      <c r="E76" s="6">
        <v>3434.4</v>
      </c>
      <c r="F76" s="8">
        <v>1701500000</v>
      </c>
      <c r="G76" s="8">
        <v>10013100000</v>
      </c>
      <c r="H76">
        <f t="shared" si="1"/>
        <v>113593.96705695571</v>
      </c>
    </row>
    <row r="77" spans="1:8" x14ac:dyDescent="0.3">
      <c r="A77" s="7">
        <v>37057</v>
      </c>
      <c r="B77" s="6">
        <v>3434.4</v>
      </c>
      <c r="C77" s="6">
        <v>3434.6</v>
      </c>
      <c r="D77" s="6">
        <v>3378.9</v>
      </c>
      <c r="E77" s="6">
        <v>3415.7</v>
      </c>
      <c r="F77" s="8">
        <v>1780600000</v>
      </c>
      <c r="G77" s="8">
        <v>10865100000</v>
      </c>
      <c r="H77">
        <f t="shared" si="1"/>
        <v>112975.45809353703</v>
      </c>
    </row>
    <row r="78" spans="1:8" x14ac:dyDescent="0.3">
      <c r="A78" s="7">
        <v>37064</v>
      </c>
      <c r="B78" s="6">
        <v>3415.7</v>
      </c>
      <c r="C78" s="6">
        <v>3434.2</v>
      </c>
      <c r="D78" s="6">
        <v>3383.6</v>
      </c>
      <c r="E78" s="6">
        <v>3428.3</v>
      </c>
      <c r="F78" s="8">
        <v>1751100000</v>
      </c>
      <c r="G78" s="8">
        <v>8860900000</v>
      </c>
      <c r="H78">
        <f t="shared" si="1"/>
        <v>113392.2074485678</v>
      </c>
    </row>
    <row r="79" spans="1:8" x14ac:dyDescent="0.3">
      <c r="A79" s="7">
        <v>37071</v>
      </c>
      <c r="B79" s="6">
        <v>3428.3</v>
      </c>
      <c r="C79" s="6">
        <v>3490.3</v>
      </c>
      <c r="D79" s="6">
        <v>3408.4</v>
      </c>
      <c r="E79" s="6">
        <v>3490.3</v>
      </c>
      <c r="F79" s="8">
        <v>2163400000</v>
      </c>
      <c r="G79" s="8">
        <v>12532300000</v>
      </c>
      <c r="H79">
        <f t="shared" si="1"/>
        <v>115442.87887808424</v>
      </c>
    </row>
    <row r="80" spans="1:8" x14ac:dyDescent="0.3">
      <c r="A80" s="7">
        <v>37078</v>
      </c>
      <c r="B80" s="6">
        <v>3490.3</v>
      </c>
      <c r="C80" s="6">
        <v>3490.3</v>
      </c>
      <c r="D80" s="6">
        <v>3344.8</v>
      </c>
      <c r="E80" s="6">
        <v>3353.9</v>
      </c>
      <c r="F80" s="8">
        <v>1704100000</v>
      </c>
      <c r="G80" s="8">
        <v>9602801000</v>
      </c>
      <c r="H80">
        <f t="shared" si="1"/>
        <v>110931.40173314809</v>
      </c>
    </row>
    <row r="81" spans="1:8" x14ac:dyDescent="0.3">
      <c r="A81" s="7">
        <v>37085</v>
      </c>
      <c r="B81" s="6">
        <v>3353.9</v>
      </c>
      <c r="C81" s="6">
        <v>3410.5</v>
      </c>
      <c r="D81" s="6">
        <v>3316.2</v>
      </c>
      <c r="E81" s="6">
        <v>3396.5</v>
      </c>
      <c r="F81" s="8">
        <v>1656600000</v>
      </c>
      <c r="G81" s="8">
        <v>8762101000</v>
      </c>
      <c r="H81">
        <f t="shared" si="1"/>
        <v>112340.41145729971</v>
      </c>
    </row>
    <row r="82" spans="1:8" x14ac:dyDescent="0.3">
      <c r="A82" s="7">
        <v>37092</v>
      </c>
      <c r="B82" s="6">
        <v>3396.5</v>
      </c>
      <c r="C82" s="6">
        <v>3423.5</v>
      </c>
      <c r="D82" s="6">
        <v>3380.5</v>
      </c>
      <c r="E82" s="6">
        <v>3380.7</v>
      </c>
      <c r="F82" s="8">
        <v>1798000000</v>
      </c>
      <c r="G82" s="8">
        <v>8186200000</v>
      </c>
      <c r="H82">
        <f t="shared" si="1"/>
        <v>111817.82099622939</v>
      </c>
    </row>
    <row r="83" spans="1:8" x14ac:dyDescent="0.3">
      <c r="A83" s="7">
        <v>37099</v>
      </c>
      <c r="B83" s="6">
        <v>3384.2</v>
      </c>
      <c r="C83" s="6">
        <v>3389.6</v>
      </c>
      <c r="D83" s="6">
        <v>3282.7</v>
      </c>
      <c r="E83" s="6">
        <v>3292.1</v>
      </c>
      <c r="F83" s="8">
        <v>1606300000</v>
      </c>
      <c r="G83" s="8">
        <v>9934099000</v>
      </c>
      <c r="H83">
        <f t="shared" si="1"/>
        <v>108887.34537275914</v>
      </c>
    </row>
    <row r="84" spans="1:8" x14ac:dyDescent="0.3">
      <c r="A84" s="7">
        <v>37106</v>
      </c>
      <c r="B84" s="6">
        <v>3292</v>
      </c>
      <c r="C84" s="6">
        <v>3419.3</v>
      </c>
      <c r="D84" s="6">
        <v>3290</v>
      </c>
      <c r="E84" s="6">
        <v>3405.1</v>
      </c>
      <c r="F84" s="8">
        <v>1431500000</v>
      </c>
      <c r="G84" s="8">
        <v>8461600000</v>
      </c>
      <c r="H84">
        <f t="shared" si="1"/>
        <v>112624.85942978103</v>
      </c>
    </row>
    <row r="85" spans="1:8" x14ac:dyDescent="0.3">
      <c r="A85" s="7">
        <v>37113</v>
      </c>
      <c r="B85" s="6">
        <v>3405.4</v>
      </c>
      <c r="C85" s="6">
        <v>3424.9</v>
      </c>
      <c r="D85" s="6">
        <v>3381.2</v>
      </c>
      <c r="E85" s="6">
        <v>3401.3</v>
      </c>
      <c r="F85" s="8">
        <v>1314900000</v>
      </c>
      <c r="G85" s="8">
        <v>7229800000</v>
      </c>
      <c r="H85">
        <f t="shared" si="1"/>
        <v>112499.17311635907</v>
      </c>
    </row>
    <row r="86" spans="1:8" x14ac:dyDescent="0.3">
      <c r="A86" s="7">
        <v>37120</v>
      </c>
      <c r="B86" s="6">
        <v>3401.3</v>
      </c>
      <c r="C86" s="6">
        <v>3406.9</v>
      </c>
      <c r="D86" s="6">
        <v>3325.5</v>
      </c>
      <c r="E86" s="6">
        <v>3330.4</v>
      </c>
      <c r="F86" s="8">
        <v>1462100000</v>
      </c>
      <c r="G86" s="8">
        <v>8099900000</v>
      </c>
      <c r="H86">
        <f t="shared" si="1"/>
        <v>110154.13111067012</v>
      </c>
    </row>
    <row r="87" spans="1:8" x14ac:dyDescent="0.3">
      <c r="A87" s="7">
        <v>37127</v>
      </c>
      <c r="B87" s="6">
        <v>3330.4</v>
      </c>
      <c r="C87" s="6">
        <v>3351.1</v>
      </c>
      <c r="D87" s="6">
        <v>3280.8</v>
      </c>
      <c r="E87" s="6">
        <v>3348</v>
      </c>
      <c r="F87" s="8">
        <v>1499000000</v>
      </c>
      <c r="G87" s="8">
        <v>8006000000</v>
      </c>
      <c r="H87">
        <f t="shared" si="1"/>
        <v>110736.25719388768</v>
      </c>
    </row>
    <row r="88" spans="1:8" x14ac:dyDescent="0.3">
      <c r="A88" s="7">
        <v>37134</v>
      </c>
      <c r="B88" s="6">
        <v>3348</v>
      </c>
      <c r="C88" s="6">
        <v>3381.4</v>
      </c>
      <c r="D88" s="6">
        <v>3275.4</v>
      </c>
      <c r="E88" s="6">
        <v>3275.7</v>
      </c>
      <c r="F88" s="8">
        <v>1837300000</v>
      </c>
      <c r="G88" s="8">
        <v>10219800000</v>
      </c>
      <c r="H88">
        <f t="shared" si="1"/>
        <v>108344.90970430641</v>
      </c>
    </row>
    <row r="89" spans="1:8" x14ac:dyDescent="0.3">
      <c r="A89" s="7">
        <v>37141</v>
      </c>
      <c r="B89" s="6">
        <v>3275.6</v>
      </c>
      <c r="C89" s="6">
        <v>3295.1</v>
      </c>
      <c r="D89" s="6">
        <v>3219.9</v>
      </c>
      <c r="E89" s="6">
        <v>3234.5</v>
      </c>
      <c r="F89" s="8">
        <v>1751800000</v>
      </c>
      <c r="G89" s="8">
        <v>10443400000</v>
      </c>
      <c r="H89">
        <f t="shared" si="1"/>
        <v>106982.2054640471</v>
      </c>
    </row>
    <row r="90" spans="1:8" x14ac:dyDescent="0.3">
      <c r="A90" s="7">
        <v>37148</v>
      </c>
      <c r="B90" s="6">
        <v>3234.3</v>
      </c>
      <c r="C90" s="6">
        <v>3256.6</v>
      </c>
      <c r="D90" s="6">
        <v>3073.6</v>
      </c>
      <c r="E90" s="6">
        <v>3101</v>
      </c>
      <c r="F90" s="8">
        <v>1663900000</v>
      </c>
      <c r="G90" s="8">
        <v>8270700000</v>
      </c>
      <c r="H90">
        <f t="shared" si="1"/>
        <v>102566.64682145929</v>
      </c>
    </row>
    <row r="91" spans="1:8" x14ac:dyDescent="0.3">
      <c r="A91" s="7">
        <v>37155</v>
      </c>
      <c r="B91" s="6">
        <v>3100.8</v>
      </c>
      <c r="C91" s="6">
        <v>3100.8</v>
      </c>
      <c r="D91" s="6">
        <v>2896.8</v>
      </c>
      <c r="E91" s="6">
        <v>2942.1</v>
      </c>
      <c r="F91" s="8">
        <v>2177800000</v>
      </c>
      <c r="G91" s="8">
        <v>12113200000</v>
      </c>
      <c r="H91">
        <f t="shared" si="1"/>
        <v>97310.974399682484</v>
      </c>
    </row>
    <row r="92" spans="1:8" x14ac:dyDescent="0.3">
      <c r="A92" s="7">
        <v>37162</v>
      </c>
      <c r="B92" s="6">
        <v>2941.9</v>
      </c>
      <c r="C92" s="6">
        <v>3062.9</v>
      </c>
      <c r="D92" s="6">
        <v>2882.6</v>
      </c>
      <c r="E92" s="6">
        <v>3049.4</v>
      </c>
      <c r="F92" s="8">
        <v>2023600000</v>
      </c>
      <c r="G92" s="8">
        <v>11588100000</v>
      </c>
      <c r="H92">
        <f t="shared" si="1"/>
        <v>100859.95898657142</v>
      </c>
    </row>
    <row r="93" spans="1:8" x14ac:dyDescent="0.3">
      <c r="A93" s="7">
        <v>37169</v>
      </c>
      <c r="B93" s="6">
        <v>3049.5</v>
      </c>
      <c r="C93" s="6">
        <v>3179.9</v>
      </c>
      <c r="D93" s="6">
        <v>3049.5</v>
      </c>
      <c r="E93" s="6">
        <v>3179.4</v>
      </c>
      <c r="F93" s="8">
        <v>1425800000</v>
      </c>
      <c r="G93" s="8">
        <v>7697200000</v>
      </c>
      <c r="H93">
        <f t="shared" si="1"/>
        <v>105159.75391942848</v>
      </c>
    </row>
    <row r="94" spans="1:8" x14ac:dyDescent="0.3">
      <c r="A94" s="7">
        <v>37176</v>
      </c>
      <c r="B94" s="6">
        <v>3179.1</v>
      </c>
      <c r="C94" s="6">
        <v>3244.5</v>
      </c>
      <c r="D94" s="6">
        <v>3128</v>
      </c>
      <c r="E94" s="6">
        <v>3224.7</v>
      </c>
      <c r="F94" s="8">
        <v>1568800000</v>
      </c>
      <c r="G94" s="8">
        <v>8636100000</v>
      </c>
      <c r="H94">
        <f t="shared" si="1"/>
        <v>106658.06707680097</v>
      </c>
    </row>
    <row r="95" spans="1:8" x14ac:dyDescent="0.3">
      <c r="A95" s="7">
        <v>37183</v>
      </c>
      <c r="B95" s="6">
        <v>3225.1</v>
      </c>
      <c r="C95" s="6">
        <v>3238.1</v>
      </c>
      <c r="D95" s="6">
        <v>3172.1</v>
      </c>
      <c r="E95" s="6">
        <v>3175.7</v>
      </c>
      <c r="F95" s="8">
        <v>1513900000</v>
      </c>
      <c r="G95" s="8">
        <v>8344500000</v>
      </c>
      <c r="H95">
        <f t="shared" si="1"/>
        <v>105037.37514057025</v>
      </c>
    </row>
    <row r="96" spans="1:8" x14ac:dyDescent="0.3">
      <c r="A96" s="7">
        <v>37190</v>
      </c>
      <c r="B96" s="6">
        <v>3175.4</v>
      </c>
      <c r="C96" s="6">
        <v>3286.1</v>
      </c>
      <c r="D96" s="6">
        <v>3172.4</v>
      </c>
      <c r="E96" s="6">
        <v>3276.4</v>
      </c>
      <c r="F96" s="8">
        <v>1615700000</v>
      </c>
      <c r="G96" s="8">
        <v>9646401000</v>
      </c>
      <c r="H96">
        <f t="shared" si="1"/>
        <v>108368.06244625259</v>
      </c>
    </row>
    <row r="97" spans="1:8" x14ac:dyDescent="0.3">
      <c r="A97" s="7">
        <v>37197</v>
      </c>
      <c r="B97" s="6">
        <v>3276.2</v>
      </c>
      <c r="C97" s="6">
        <v>3284.2</v>
      </c>
      <c r="D97" s="6">
        <v>3228.8</v>
      </c>
      <c r="E97" s="6">
        <v>3239.9</v>
      </c>
      <c r="F97" s="8">
        <v>1550900000</v>
      </c>
      <c r="G97" s="8">
        <v>7967001000</v>
      </c>
      <c r="H97">
        <f t="shared" si="1"/>
        <v>107160.81233048887</v>
      </c>
    </row>
    <row r="98" spans="1:8" x14ac:dyDescent="0.3">
      <c r="A98" s="7">
        <v>37204</v>
      </c>
      <c r="B98" s="6">
        <v>3239.9</v>
      </c>
      <c r="C98" s="6">
        <v>3290.7</v>
      </c>
      <c r="D98" s="6">
        <v>3222.2</v>
      </c>
      <c r="E98" s="6">
        <v>3286</v>
      </c>
      <c r="F98" s="8">
        <v>1386100000</v>
      </c>
      <c r="G98" s="8">
        <v>7994000000</v>
      </c>
      <c r="H98">
        <f t="shared" si="1"/>
        <v>108685.58576437124</v>
      </c>
    </row>
    <row r="99" spans="1:8" x14ac:dyDescent="0.3">
      <c r="A99" s="7">
        <v>37211</v>
      </c>
      <c r="B99" s="6">
        <v>3286</v>
      </c>
      <c r="C99" s="6">
        <v>3351.2</v>
      </c>
      <c r="D99" s="6">
        <v>3278.9</v>
      </c>
      <c r="E99" s="6">
        <v>3322.5</v>
      </c>
      <c r="F99" s="8">
        <v>1706200000</v>
      </c>
      <c r="G99" s="8">
        <v>10125200000</v>
      </c>
      <c r="H99">
        <f t="shared" si="1"/>
        <v>109892.83588013495</v>
      </c>
    </row>
    <row r="100" spans="1:8" x14ac:dyDescent="0.3">
      <c r="A100" s="7">
        <v>37218</v>
      </c>
      <c r="B100" s="6">
        <v>3322.5</v>
      </c>
      <c r="C100" s="6">
        <v>3361.7</v>
      </c>
      <c r="D100" s="6">
        <v>3310.2</v>
      </c>
      <c r="E100" s="6">
        <v>3332.9</v>
      </c>
      <c r="F100" s="8">
        <v>1516500000</v>
      </c>
      <c r="G100" s="8">
        <v>8660601000</v>
      </c>
      <c r="H100">
        <f t="shared" si="1"/>
        <v>110236.81947476351</v>
      </c>
    </row>
    <row r="101" spans="1:8" x14ac:dyDescent="0.3">
      <c r="A101" s="7">
        <v>37225</v>
      </c>
      <c r="B101" s="6">
        <v>3332.9</v>
      </c>
      <c r="C101" s="6">
        <v>3370.5</v>
      </c>
      <c r="D101" s="6">
        <v>3324.3</v>
      </c>
      <c r="E101" s="6">
        <v>3337.4</v>
      </c>
      <c r="F101" s="8">
        <v>1945900000</v>
      </c>
      <c r="G101" s="8">
        <v>10984100000</v>
      </c>
      <c r="H101">
        <f t="shared" si="1"/>
        <v>110385.65853013165</v>
      </c>
    </row>
    <row r="102" spans="1:8" x14ac:dyDescent="0.3">
      <c r="A102" s="7">
        <v>37232</v>
      </c>
      <c r="B102" s="6">
        <v>3337.5</v>
      </c>
      <c r="C102" s="6">
        <v>3381.1</v>
      </c>
      <c r="D102" s="6">
        <v>3321.8</v>
      </c>
      <c r="E102" s="6">
        <v>3371.8</v>
      </c>
      <c r="F102" s="8">
        <v>1827300000</v>
      </c>
      <c r="G102" s="8">
        <v>10484800000</v>
      </c>
      <c r="H102">
        <f t="shared" si="1"/>
        <v>111523.45042005691</v>
      </c>
    </row>
    <row r="103" spans="1:8" x14ac:dyDescent="0.3">
      <c r="A103" s="7">
        <v>37239</v>
      </c>
      <c r="B103" s="6">
        <v>3371.8</v>
      </c>
      <c r="C103" s="6">
        <v>3374</v>
      </c>
      <c r="D103" s="6">
        <v>3288.4</v>
      </c>
      <c r="E103" s="6">
        <v>3290.8</v>
      </c>
      <c r="F103" s="8">
        <v>1655600000</v>
      </c>
      <c r="G103" s="8">
        <v>9116101000</v>
      </c>
      <c r="H103">
        <f t="shared" si="1"/>
        <v>108844.34742343059</v>
      </c>
    </row>
    <row r="104" spans="1:8" x14ac:dyDescent="0.3">
      <c r="A104" s="7">
        <v>37246</v>
      </c>
      <c r="B104" s="6">
        <v>3290.8</v>
      </c>
      <c r="C104" s="6">
        <v>3379.3</v>
      </c>
      <c r="D104" s="6">
        <v>3289.6</v>
      </c>
      <c r="E104" s="6">
        <v>3374.5</v>
      </c>
      <c r="F104" s="8">
        <v>1570700000</v>
      </c>
      <c r="G104" s="8">
        <v>10600300000</v>
      </c>
      <c r="H104">
        <f t="shared" si="1"/>
        <v>111612.75385327778</v>
      </c>
    </row>
    <row r="105" spans="1:8" x14ac:dyDescent="0.3">
      <c r="A105" s="7">
        <v>37253</v>
      </c>
      <c r="B105" s="6">
        <v>3374.5</v>
      </c>
      <c r="C105" s="6">
        <v>3440.6</v>
      </c>
      <c r="D105" s="6">
        <v>3374.5</v>
      </c>
      <c r="E105" s="6">
        <v>3427.1</v>
      </c>
      <c r="F105" s="8">
        <v>341700000</v>
      </c>
      <c r="G105" s="8">
        <v>1887600000</v>
      </c>
      <c r="H105">
        <f t="shared" si="1"/>
        <v>113352.51703380301</v>
      </c>
    </row>
    <row r="106" spans="1:8" x14ac:dyDescent="0.3">
      <c r="A106" s="7">
        <v>37260</v>
      </c>
      <c r="B106" s="6">
        <v>3427.1</v>
      </c>
      <c r="C106" s="6">
        <v>3445.7</v>
      </c>
      <c r="D106" s="6">
        <v>3409</v>
      </c>
      <c r="E106" s="6">
        <v>3435.7</v>
      </c>
      <c r="F106" s="8">
        <v>763900000</v>
      </c>
      <c r="G106" s="8">
        <v>4083500000</v>
      </c>
      <c r="H106">
        <f t="shared" si="1"/>
        <v>113636.96500628431</v>
      </c>
    </row>
    <row r="107" spans="1:8" x14ac:dyDescent="0.3">
      <c r="A107" s="7">
        <v>37267</v>
      </c>
      <c r="B107" s="6">
        <v>3435.7</v>
      </c>
      <c r="C107" s="6">
        <v>3451.5</v>
      </c>
      <c r="D107" s="6">
        <v>3408.6</v>
      </c>
      <c r="E107" s="6">
        <v>3417.6</v>
      </c>
      <c r="F107" s="8">
        <v>1636600000</v>
      </c>
      <c r="G107" s="8">
        <v>8878800000</v>
      </c>
      <c r="H107">
        <f t="shared" si="1"/>
        <v>113038.30125024807</v>
      </c>
    </row>
    <row r="108" spans="1:8" x14ac:dyDescent="0.3">
      <c r="A108" s="7">
        <v>37274</v>
      </c>
      <c r="B108" s="6">
        <v>3417.6</v>
      </c>
      <c r="C108" s="6">
        <v>3425.8</v>
      </c>
      <c r="D108" s="6">
        <v>3377.3</v>
      </c>
      <c r="E108" s="6">
        <v>3387</v>
      </c>
      <c r="F108" s="8">
        <v>1621600000</v>
      </c>
      <c r="G108" s="8">
        <v>9409900000</v>
      </c>
      <c r="H108">
        <f t="shared" si="1"/>
        <v>112026.19567374481</v>
      </c>
    </row>
    <row r="109" spans="1:8" x14ac:dyDescent="0.3">
      <c r="A109" s="7">
        <v>37281</v>
      </c>
      <c r="B109" s="6">
        <v>3387</v>
      </c>
      <c r="C109" s="6">
        <v>3446.1</v>
      </c>
      <c r="D109" s="6">
        <v>3380.1</v>
      </c>
      <c r="E109" s="6">
        <v>3442.3</v>
      </c>
      <c r="F109" s="8">
        <v>1915000000</v>
      </c>
      <c r="G109" s="8">
        <v>11973200000</v>
      </c>
      <c r="H109">
        <f t="shared" si="1"/>
        <v>113855.26228749091</v>
      </c>
    </row>
    <row r="110" spans="1:8" x14ac:dyDescent="0.3">
      <c r="A110" s="7">
        <v>37288</v>
      </c>
      <c r="B110" s="6">
        <v>3442.3</v>
      </c>
      <c r="C110" s="6">
        <v>3486.3</v>
      </c>
      <c r="D110" s="6">
        <v>3429</v>
      </c>
      <c r="E110" s="6">
        <v>3445.5</v>
      </c>
      <c r="F110" s="8">
        <v>1400600000</v>
      </c>
      <c r="G110" s="8">
        <v>8211800000</v>
      </c>
      <c r="H110">
        <f t="shared" si="1"/>
        <v>113961.10339353047</v>
      </c>
    </row>
    <row r="111" spans="1:8" x14ac:dyDescent="0.3">
      <c r="A111" s="7">
        <v>37295</v>
      </c>
      <c r="B111" s="6">
        <v>3445.5</v>
      </c>
      <c r="C111" s="6">
        <v>3472.9</v>
      </c>
      <c r="D111" s="6">
        <v>3406.6</v>
      </c>
      <c r="E111" s="6">
        <v>3450.4</v>
      </c>
      <c r="F111" s="8">
        <v>1971700000</v>
      </c>
      <c r="G111" s="8">
        <v>11403400000</v>
      </c>
      <c r="H111">
        <f t="shared" si="1"/>
        <v>114123.17258715355</v>
      </c>
    </row>
    <row r="112" spans="1:8" x14ac:dyDescent="0.3">
      <c r="A112" s="7">
        <v>37302</v>
      </c>
      <c r="B112" s="6">
        <v>3450.4</v>
      </c>
      <c r="C112" s="6">
        <v>3506.1</v>
      </c>
      <c r="D112" s="6">
        <v>3450.4</v>
      </c>
      <c r="E112" s="6">
        <v>3480.4</v>
      </c>
      <c r="F112" s="8">
        <v>1761300000</v>
      </c>
      <c r="G112" s="8">
        <v>10329900000</v>
      </c>
      <c r="H112">
        <f t="shared" si="1"/>
        <v>115115.4329562744</v>
      </c>
    </row>
    <row r="113" spans="1:8" x14ac:dyDescent="0.3">
      <c r="A113" s="7">
        <v>37309</v>
      </c>
      <c r="B113" s="6">
        <v>3480.4</v>
      </c>
      <c r="C113" s="6">
        <v>3480.4</v>
      </c>
      <c r="D113" s="6">
        <v>3412.2</v>
      </c>
      <c r="E113" s="6">
        <v>3422.1</v>
      </c>
      <c r="F113" s="8">
        <v>2195000000</v>
      </c>
      <c r="G113" s="8">
        <v>13894600000</v>
      </c>
      <c r="H113">
        <f t="shared" si="1"/>
        <v>113187.14030561619</v>
      </c>
    </row>
    <row r="114" spans="1:8" x14ac:dyDescent="0.3">
      <c r="A114" s="7">
        <v>37316</v>
      </c>
      <c r="B114" s="6">
        <v>3422.1</v>
      </c>
      <c r="C114" s="6">
        <v>3450.2</v>
      </c>
      <c r="D114" s="6">
        <v>3392.7</v>
      </c>
      <c r="E114" s="6">
        <v>3417.3</v>
      </c>
      <c r="F114" s="8">
        <v>1872100000</v>
      </c>
      <c r="G114" s="8">
        <v>10741900000</v>
      </c>
      <c r="H114">
        <f t="shared" si="1"/>
        <v>113028.37864655687</v>
      </c>
    </row>
    <row r="115" spans="1:8" x14ac:dyDescent="0.3">
      <c r="A115" s="7">
        <v>37323</v>
      </c>
      <c r="B115" s="6">
        <v>3417.3</v>
      </c>
      <c r="C115" s="6">
        <v>3499.9</v>
      </c>
      <c r="D115" s="6">
        <v>3415.7</v>
      </c>
      <c r="E115" s="6">
        <v>3485.3</v>
      </c>
      <c r="F115" s="8">
        <v>2152700000</v>
      </c>
      <c r="G115" s="8">
        <v>12994200000</v>
      </c>
      <c r="H115">
        <f t="shared" si="1"/>
        <v>115277.5021498975</v>
      </c>
    </row>
    <row r="116" spans="1:8" x14ac:dyDescent="0.3">
      <c r="A116" s="7">
        <v>37330</v>
      </c>
      <c r="B116" s="6">
        <v>3485.3</v>
      </c>
      <c r="C116" s="6">
        <v>3496.6</v>
      </c>
      <c r="D116" s="6">
        <v>3407.7</v>
      </c>
      <c r="E116" s="6">
        <v>3407.7</v>
      </c>
      <c r="F116" s="8">
        <v>1673200000</v>
      </c>
      <c r="G116" s="8">
        <v>9251800000</v>
      </c>
      <c r="H116">
        <f t="shared" si="1"/>
        <v>112710.85532843819</v>
      </c>
    </row>
    <row r="117" spans="1:8" x14ac:dyDescent="0.3">
      <c r="A117" s="7">
        <v>37337</v>
      </c>
      <c r="B117" s="6">
        <v>3407.7</v>
      </c>
      <c r="C117" s="6">
        <v>3474.6</v>
      </c>
      <c r="D117" s="6">
        <v>3407.7</v>
      </c>
      <c r="E117" s="6">
        <v>3433.8</v>
      </c>
      <c r="F117" s="8">
        <v>1480900000</v>
      </c>
      <c r="G117" s="8">
        <v>8489800000</v>
      </c>
      <c r="H117">
        <f t="shared" si="1"/>
        <v>113574.12184957335</v>
      </c>
    </row>
    <row r="118" spans="1:8" x14ac:dyDescent="0.3">
      <c r="A118" s="7">
        <v>37343</v>
      </c>
      <c r="B118" s="6">
        <v>3433.8</v>
      </c>
      <c r="C118" s="6">
        <v>3435.2</v>
      </c>
      <c r="D118" s="6">
        <v>3382.1</v>
      </c>
      <c r="E118" s="6">
        <v>3414.8</v>
      </c>
      <c r="F118" s="8">
        <v>1561800000</v>
      </c>
      <c r="G118" s="8">
        <v>10049500000</v>
      </c>
      <c r="H118">
        <f t="shared" si="1"/>
        <v>112945.69028246347</v>
      </c>
    </row>
    <row r="119" spans="1:8" x14ac:dyDescent="0.3">
      <c r="A119" s="7">
        <v>37351</v>
      </c>
      <c r="B119" s="6">
        <v>3414.8</v>
      </c>
      <c r="C119" s="6">
        <v>3418</v>
      </c>
      <c r="D119" s="6">
        <v>3365.7</v>
      </c>
      <c r="E119" s="6">
        <v>3390</v>
      </c>
      <c r="F119" s="8">
        <v>1467800000</v>
      </c>
      <c r="G119" s="8">
        <v>7630900000</v>
      </c>
      <c r="H119">
        <f t="shared" si="1"/>
        <v>112125.42171065688</v>
      </c>
    </row>
    <row r="120" spans="1:8" x14ac:dyDescent="0.3">
      <c r="A120" s="7">
        <v>37358</v>
      </c>
      <c r="B120" s="6">
        <v>3390</v>
      </c>
      <c r="C120" s="6">
        <v>3402.3</v>
      </c>
      <c r="D120" s="6">
        <v>3347.9</v>
      </c>
      <c r="E120" s="6">
        <v>3354.6</v>
      </c>
      <c r="F120" s="8">
        <v>1534100000</v>
      </c>
      <c r="G120" s="8">
        <v>8792800000</v>
      </c>
      <c r="H120">
        <f t="shared" si="1"/>
        <v>110954.55447509426</v>
      </c>
    </row>
    <row r="121" spans="1:8" x14ac:dyDescent="0.3">
      <c r="A121" s="7">
        <v>37365</v>
      </c>
      <c r="B121" s="6">
        <v>3354.5</v>
      </c>
      <c r="C121" s="6">
        <v>3412.3</v>
      </c>
      <c r="D121" s="6">
        <v>3352.9</v>
      </c>
      <c r="E121" s="6">
        <v>3407.9</v>
      </c>
      <c r="F121" s="8">
        <v>1619100000</v>
      </c>
      <c r="G121" s="8">
        <v>9539000000</v>
      </c>
      <c r="H121">
        <f t="shared" si="1"/>
        <v>112717.47039756566</v>
      </c>
    </row>
    <row r="122" spans="1:8" x14ac:dyDescent="0.3">
      <c r="A122" s="7">
        <v>37372</v>
      </c>
      <c r="B122" s="6">
        <v>3407.3</v>
      </c>
      <c r="C122" s="6">
        <v>3424.6</v>
      </c>
      <c r="D122" s="6">
        <v>3370.3</v>
      </c>
      <c r="E122" s="6">
        <v>3379.1</v>
      </c>
      <c r="F122" s="8">
        <v>1440200000</v>
      </c>
      <c r="G122" s="8">
        <v>10424700000</v>
      </c>
      <c r="H122">
        <f t="shared" si="1"/>
        <v>111764.90044320963</v>
      </c>
    </row>
    <row r="123" spans="1:8" x14ac:dyDescent="0.3">
      <c r="A123" s="7">
        <v>37379</v>
      </c>
      <c r="B123" s="6">
        <v>3379.1</v>
      </c>
      <c r="C123" s="6">
        <v>3379.1</v>
      </c>
      <c r="D123" s="6">
        <v>3337.5</v>
      </c>
      <c r="E123" s="6">
        <v>3366</v>
      </c>
      <c r="F123" s="8">
        <v>1863800000</v>
      </c>
      <c r="G123" s="8">
        <v>10367000000</v>
      </c>
      <c r="H123">
        <f t="shared" si="1"/>
        <v>111331.61341536019</v>
      </c>
    </row>
    <row r="124" spans="1:8" x14ac:dyDescent="0.3">
      <c r="A124" s="7">
        <v>37386</v>
      </c>
      <c r="B124" s="6">
        <v>3366</v>
      </c>
      <c r="C124" s="6">
        <v>3366.9</v>
      </c>
      <c r="D124" s="6">
        <v>3320.5</v>
      </c>
      <c r="E124" s="6">
        <v>3330.9</v>
      </c>
      <c r="F124" s="8">
        <v>1823400000</v>
      </c>
      <c r="G124" s="8">
        <v>10044300000</v>
      </c>
      <c r="H124">
        <f t="shared" si="1"/>
        <v>110170.66878348879</v>
      </c>
    </row>
    <row r="125" spans="1:8" x14ac:dyDescent="0.3">
      <c r="A125" s="7">
        <v>37393</v>
      </c>
      <c r="B125" s="6">
        <v>3330.9</v>
      </c>
      <c r="C125" s="6">
        <v>3420</v>
      </c>
      <c r="D125" s="6">
        <v>3295.9</v>
      </c>
      <c r="E125" s="6">
        <v>3412.6</v>
      </c>
      <c r="F125" s="8">
        <v>1712400000</v>
      </c>
      <c r="G125" s="8">
        <v>10567300000</v>
      </c>
      <c r="H125">
        <f t="shared" si="1"/>
        <v>112872.92452206124</v>
      </c>
    </row>
    <row r="126" spans="1:8" x14ac:dyDescent="0.3">
      <c r="A126" s="7">
        <v>37400</v>
      </c>
      <c r="B126" s="6">
        <v>3412.6</v>
      </c>
      <c r="C126" s="6">
        <v>3412.6</v>
      </c>
      <c r="D126" s="6">
        <v>3368.5</v>
      </c>
      <c r="E126" s="6">
        <v>3387.1</v>
      </c>
      <c r="F126" s="8">
        <v>1624700000</v>
      </c>
      <c r="G126" s="8">
        <v>9478400000</v>
      </c>
      <c r="H126">
        <f t="shared" si="1"/>
        <v>112029.50320830851</v>
      </c>
    </row>
    <row r="127" spans="1:8" x14ac:dyDescent="0.3">
      <c r="A127" s="7">
        <v>37407</v>
      </c>
      <c r="B127" s="6">
        <v>3387.1</v>
      </c>
      <c r="C127" s="6">
        <v>3393.3</v>
      </c>
      <c r="D127" s="6">
        <v>3353.3</v>
      </c>
      <c r="E127" s="6">
        <v>3373.6</v>
      </c>
      <c r="F127" s="8">
        <v>2113500000</v>
      </c>
      <c r="G127" s="8">
        <v>12130700000</v>
      </c>
      <c r="H127">
        <f t="shared" si="1"/>
        <v>111582.98604220412</v>
      </c>
    </row>
    <row r="128" spans="1:8" x14ac:dyDescent="0.3">
      <c r="A128" s="7">
        <v>37414</v>
      </c>
      <c r="B128" s="6">
        <v>3373.6</v>
      </c>
      <c r="C128" s="6">
        <v>3388.2</v>
      </c>
      <c r="D128" s="6">
        <v>3325</v>
      </c>
      <c r="E128" s="6">
        <v>3342.8</v>
      </c>
      <c r="F128" s="8">
        <v>1826800000</v>
      </c>
      <c r="G128" s="8">
        <v>10314400000</v>
      </c>
      <c r="H128">
        <f t="shared" si="1"/>
        <v>110564.26539657338</v>
      </c>
    </row>
    <row r="129" spans="1:8" x14ac:dyDescent="0.3">
      <c r="A129" s="7">
        <v>37421</v>
      </c>
      <c r="B129" s="6">
        <v>3342.8</v>
      </c>
      <c r="C129" s="6">
        <v>3349</v>
      </c>
      <c r="D129" s="6">
        <v>3294.1</v>
      </c>
      <c r="E129" s="6">
        <v>3294.1</v>
      </c>
      <c r="F129" s="8">
        <v>1476200000</v>
      </c>
      <c r="G129" s="8">
        <v>8376500000</v>
      </c>
      <c r="H129">
        <f t="shared" si="1"/>
        <v>108953.49606403385</v>
      </c>
    </row>
    <row r="130" spans="1:8" x14ac:dyDescent="0.3">
      <c r="A130" s="7">
        <v>37428</v>
      </c>
      <c r="B130" s="6">
        <v>3294.1</v>
      </c>
      <c r="C130" s="6">
        <v>3322.6</v>
      </c>
      <c r="D130" s="6">
        <v>3242.9</v>
      </c>
      <c r="E130" s="6">
        <v>3252.2</v>
      </c>
      <c r="F130" s="8">
        <v>1798100000</v>
      </c>
      <c r="G130" s="8">
        <v>9670900000</v>
      </c>
      <c r="H130">
        <f t="shared" si="1"/>
        <v>107567.63908182838</v>
      </c>
    </row>
    <row r="131" spans="1:8" x14ac:dyDescent="0.3">
      <c r="A131" s="7">
        <v>37435</v>
      </c>
      <c r="B131" s="6">
        <v>3252.2</v>
      </c>
      <c r="C131" s="6">
        <v>3252.2</v>
      </c>
      <c r="D131" s="6">
        <v>3174</v>
      </c>
      <c r="E131" s="6">
        <v>3216</v>
      </c>
      <c r="F131" s="8">
        <v>2626600000</v>
      </c>
      <c r="G131" s="8">
        <v>15470100000</v>
      </c>
      <c r="H131">
        <f t="shared" si="1"/>
        <v>106370.3115697559</v>
      </c>
    </row>
    <row r="132" spans="1:8" x14ac:dyDescent="0.3">
      <c r="A132" s="7">
        <v>37442</v>
      </c>
      <c r="B132" s="6">
        <v>3216</v>
      </c>
      <c r="C132" s="6">
        <v>3229.9</v>
      </c>
      <c r="D132" s="6">
        <v>3181.3</v>
      </c>
      <c r="E132" s="6">
        <v>3214.8</v>
      </c>
      <c r="F132" s="8">
        <v>1694100000</v>
      </c>
      <c r="G132" s="8">
        <v>9948400000</v>
      </c>
      <c r="H132">
        <f t="shared" ref="H132:H195" si="2">H131*(E132/E131)</f>
        <v>106330.62115499107</v>
      </c>
    </row>
    <row r="133" spans="1:8" x14ac:dyDescent="0.3">
      <c r="A133" s="7">
        <v>37449</v>
      </c>
      <c r="B133" s="6">
        <v>3214.8</v>
      </c>
      <c r="C133" s="6">
        <v>3259</v>
      </c>
      <c r="D133" s="6">
        <v>3183</v>
      </c>
      <c r="E133" s="6">
        <v>3196.9</v>
      </c>
      <c r="F133" s="8">
        <v>1547500000</v>
      </c>
      <c r="G133" s="8">
        <v>8777201000</v>
      </c>
      <c r="H133">
        <f t="shared" si="2"/>
        <v>105738.57246808228</v>
      </c>
    </row>
    <row r="134" spans="1:8" x14ac:dyDescent="0.3">
      <c r="A134" s="7">
        <v>37456</v>
      </c>
      <c r="B134" s="6">
        <v>3197.4</v>
      </c>
      <c r="C134" s="6">
        <v>3197.4</v>
      </c>
      <c r="D134" s="6">
        <v>3104.9</v>
      </c>
      <c r="E134" s="6">
        <v>3109.2</v>
      </c>
      <c r="F134" s="8">
        <v>1835300000</v>
      </c>
      <c r="G134" s="8">
        <v>10579000000</v>
      </c>
      <c r="H134">
        <f t="shared" si="2"/>
        <v>102837.86465568563</v>
      </c>
    </row>
    <row r="135" spans="1:8" x14ac:dyDescent="0.3">
      <c r="A135" s="7">
        <v>37463</v>
      </c>
      <c r="B135" s="6">
        <v>3109.2</v>
      </c>
      <c r="C135" s="6">
        <v>3109.2</v>
      </c>
      <c r="D135" s="6">
        <v>2982.1</v>
      </c>
      <c r="E135" s="6">
        <v>2989.5</v>
      </c>
      <c r="F135" s="8">
        <v>2261600000</v>
      </c>
      <c r="G135" s="8">
        <v>13778900000</v>
      </c>
      <c r="H135">
        <f t="shared" si="2"/>
        <v>98878.745782893413</v>
      </c>
    </row>
    <row r="136" spans="1:8" x14ac:dyDescent="0.3">
      <c r="A136" s="7">
        <v>37470</v>
      </c>
      <c r="B136" s="6">
        <v>2989.5</v>
      </c>
      <c r="C136" s="6">
        <v>3100.9</v>
      </c>
      <c r="D136" s="6">
        <v>2989.5</v>
      </c>
      <c r="E136" s="6">
        <v>3053.9</v>
      </c>
      <c r="F136" s="8">
        <v>1839500000</v>
      </c>
      <c r="G136" s="8">
        <v>10469200000</v>
      </c>
      <c r="H136">
        <f t="shared" si="2"/>
        <v>101008.79804193953</v>
      </c>
    </row>
    <row r="137" spans="1:8" x14ac:dyDescent="0.3">
      <c r="A137" s="7">
        <v>37477</v>
      </c>
      <c r="B137" s="6">
        <v>3053.9</v>
      </c>
      <c r="C137" s="6">
        <v>3122.2</v>
      </c>
      <c r="D137" s="6">
        <v>2955.7</v>
      </c>
      <c r="E137" s="6">
        <v>3106.8</v>
      </c>
      <c r="F137" s="8">
        <v>1526300000</v>
      </c>
      <c r="G137" s="8">
        <v>8189101000</v>
      </c>
      <c r="H137">
        <f t="shared" si="2"/>
        <v>102758.48382615599</v>
      </c>
    </row>
    <row r="138" spans="1:8" x14ac:dyDescent="0.3">
      <c r="A138" s="7">
        <v>37484</v>
      </c>
      <c r="B138" s="6">
        <v>3106.8</v>
      </c>
      <c r="C138" s="6">
        <v>3147.9</v>
      </c>
      <c r="D138" s="6">
        <v>3086.1</v>
      </c>
      <c r="E138" s="6">
        <v>3133.3</v>
      </c>
      <c r="F138" s="8">
        <v>1592900000</v>
      </c>
      <c r="G138" s="8">
        <v>8411501000</v>
      </c>
      <c r="H138">
        <f t="shared" si="2"/>
        <v>103634.98048554608</v>
      </c>
    </row>
    <row r="139" spans="1:8" x14ac:dyDescent="0.3">
      <c r="A139" s="7">
        <v>37491</v>
      </c>
      <c r="B139" s="6">
        <v>3133.3</v>
      </c>
      <c r="C139" s="6">
        <v>3202.9</v>
      </c>
      <c r="D139" s="6">
        <v>3132.7</v>
      </c>
      <c r="E139" s="6">
        <v>3184.5</v>
      </c>
      <c r="F139" s="8">
        <v>1605200000</v>
      </c>
      <c r="G139" s="8">
        <v>8382700000</v>
      </c>
      <c r="H139">
        <f t="shared" si="2"/>
        <v>105328.438182179</v>
      </c>
    </row>
    <row r="140" spans="1:8" x14ac:dyDescent="0.3">
      <c r="A140" s="7">
        <v>37498</v>
      </c>
      <c r="B140" s="6">
        <v>3184.5</v>
      </c>
      <c r="C140" s="6">
        <v>3191</v>
      </c>
      <c r="D140" s="6">
        <v>3115.5</v>
      </c>
      <c r="E140" s="6">
        <v>3120.1</v>
      </c>
      <c r="F140" s="8">
        <v>2151100000</v>
      </c>
      <c r="G140" s="8">
        <v>12052200000</v>
      </c>
      <c r="H140">
        <f t="shared" si="2"/>
        <v>103198.3859231329</v>
      </c>
    </row>
    <row r="141" spans="1:8" x14ac:dyDescent="0.3">
      <c r="A141" s="7">
        <v>37505</v>
      </c>
      <c r="B141" s="6">
        <v>3120.1</v>
      </c>
      <c r="C141" s="6">
        <v>3143.2</v>
      </c>
      <c r="D141" s="6">
        <v>3079.9</v>
      </c>
      <c r="E141" s="6">
        <v>3089.5</v>
      </c>
      <c r="F141" s="8">
        <v>1754000000</v>
      </c>
      <c r="G141" s="8">
        <v>9045600000</v>
      </c>
      <c r="H141">
        <f t="shared" si="2"/>
        <v>102186.28034662963</v>
      </c>
    </row>
    <row r="142" spans="1:8" x14ac:dyDescent="0.3">
      <c r="A142" s="7">
        <v>37512</v>
      </c>
      <c r="B142" s="6">
        <v>3089.5</v>
      </c>
      <c r="C142" s="6">
        <v>3149.2</v>
      </c>
      <c r="D142" s="6">
        <v>3089.5</v>
      </c>
      <c r="E142" s="6">
        <v>3130.6</v>
      </c>
      <c r="F142" s="8">
        <v>1779100000</v>
      </c>
      <c r="G142" s="8">
        <v>8598001000</v>
      </c>
      <c r="H142">
        <f t="shared" si="2"/>
        <v>103545.67705232519</v>
      </c>
    </row>
    <row r="143" spans="1:8" x14ac:dyDescent="0.3">
      <c r="A143" s="7">
        <v>37519</v>
      </c>
      <c r="B143" s="6">
        <v>3130.6</v>
      </c>
      <c r="C143" s="6">
        <v>3156.7</v>
      </c>
      <c r="D143" s="6">
        <v>3062.3</v>
      </c>
      <c r="E143" s="6">
        <v>3073.6</v>
      </c>
      <c r="F143" s="8">
        <v>1939400000</v>
      </c>
      <c r="G143" s="8">
        <v>10689500000</v>
      </c>
      <c r="H143">
        <f t="shared" si="2"/>
        <v>101660.38235099555</v>
      </c>
    </row>
    <row r="144" spans="1:8" x14ac:dyDescent="0.3">
      <c r="A144" s="7">
        <v>37526</v>
      </c>
      <c r="B144" s="6">
        <v>3073.6</v>
      </c>
      <c r="C144" s="6">
        <v>3073.6</v>
      </c>
      <c r="D144" s="6">
        <v>2987.2</v>
      </c>
      <c r="E144" s="6">
        <v>3008.9</v>
      </c>
      <c r="F144" s="8">
        <v>1918100000</v>
      </c>
      <c r="G144" s="8">
        <v>11566900000</v>
      </c>
      <c r="H144">
        <f t="shared" si="2"/>
        <v>99520.40748825825</v>
      </c>
    </row>
    <row r="145" spans="1:8" x14ac:dyDescent="0.3">
      <c r="A145" s="7">
        <v>37533</v>
      </c>
      <c r="B145" s="6">
        <v>3008.9</v>
      </c>
      <c r="C145" s="6">
        <v>3018</v>
      </c>
      <c r="D145" s="6">
        <v>2953.2</v>
      </c>
      <c r="E145" s="6">
        <v>2991.6</v>
      </c>
      <c r="F145" s="8">
        <v>2072100000</v>
      </c>
      <c r="G145" s="8">
        <v>10982200000</v>
      </c>
      <c r="H145">
        <f t="shared" si="2"/>
        <v>98948.204008731889</v>
      </c>
    </row>
    <row r="146" spans="1:8" x14ac:dyDescent="0.3">
      <c r="A146" s="7">
        <v>37540</v>
      </c>
      <c r="B146" s="6">
        <v>2991.6</v>
      </c>
      <c r="C146" s="6">
        <v>2991.6</v>
      </c>
      <c r="D146" s="6">
        <v>2883.5</v>
      </c>
      <c r="E146" s="6">
        <v>2924.6</v>
      </c>
      <c r="F146" s="8">
        <v>1546800000</v>
      </c>
      <c r="G146" s="8">
        <v>8502401000</v>
      </c>
      <c r="H146">
        <f t="shared" si="2"/>
        <v>96732.155851028641</v>
      </c>
    </row>
    <row r="147" spans="1:8" x14ac:dyDescent="0.3">
      <c r="A147" s="7">
        <v>37547</v>
      </c>
      <c r="B147" s="6">
        <v>2924.6</v>
      </c>
      <c r="C147" s="6">
        <v>3028.4</v>
      </c>
      <c r="D147" s="6">
        <v>2924.6</v>
      </c>
      <c r="E147" s="6">
        <v>3010.6</v>
      </c>
      <c r="F147" s="8">
        <v>2083500000</v>
      </c>
      <c r="G147" s="8">
        <v>10724600000</v>
      </c>
      <c r="H147">
        <f t="shared" si="2"/>
        <v>99576.635575841763</v>
      </c>
    </row>
    <row r="148" spans="1:8" x14ac:dyDescent="0.3">
      <c r="A148" s="7">
        <v>37554</v>
      </c>
      <c r="B148" s="6">
        <v>3010.6</v>
      </c>
      <c r="C148" s="6">
        <v>3043</v>
      </c>
      <c r="D148" s="6">
        <v>2986.4</v>
      </c>
      <c r="E148" s="6">
        <v>3009.2</v>
      </c>
      <c r="F148" s="8">
        <v>1747900000</v>
      </c>
      <c r="G148" s="8">
        <v>10361200000</v>
      </c>
      <c r="H148">
        <f t="shared" si="2"/>
        <v>99530.33009194945</v>
      </c>
    </row>
    <row r="149" spans="1:8" x14ac:dyDescent="0.3">
      <c r="A149" s="7">
        <v>37561</v>
      </c>
      <c r="B149" s="6">
        <v>3009.2</v>
      </c>
      <c r="C149" s="6">
        <v>3042.9</v>
      </c>
      <c r="D149" s="6">
        <v>2994</v>
      </c>
      <c r="E149" s="6">
        <v>3010.3</v>
      </c>
      <c r="F149" s="8">
        <v>1732700000</v>
      </c>
      <c r="G149" s="8">
        <v>9212701000</v>
      </c>
      <c r="H149">
        <f t="shared" si="2"/>
        <v>99566.712972150563</v>
      </c>
    </row>
    <row r="150" spans="1:8" x14ac:dyDescent="0.3">
      <c r="A150" s="7">
        <v>37568</v>
      </c>
      <c r="B150" s="6">
        <v>3010.3</v>
      </c>
      <c r="C150" s="6">
        <v>3079.7</v>
      </c>
      <c r="D150" s="6">
        <v>3008.6</v>
      </c>
      <c r="E150" s="6">
        <v>3008.8</v>
      </c>
      <c r="F150" s="8">
        <v>1629600000</v>
      </c>
      <c r="G150" s="8">
        <v>10161200000</v>
      </c>
      <c r="H150">
        <f t="shared" si="2"/>
        <v>99517.099953694516</v>
      </c>
    </row>
    <row r="151" spans="1:8" x14ac:dyDescent="0.3">
      <c r="A151" s="7">
        <v>37575</v>
      </c>
      <c r="B151" s="6">
        <v>3008.8</v>
      </c>
      <c r="C151" s="6">
        <v>3008.8</v>
      </c>
      <c r="D151" s="6">
        <v>2950.7</v>
      </c>
      <c r="E151" s="6">
        <v>3004.9</v>
      </c>
      <c r="F151" s="8">
        <v>1944100000</v>
      </c>
      <c r="G151" s="8">
        <v>10554600000</v>
      </c>
      <c r="H151">
        <f t="shared" si="2"/>
        <v>99388.106105708808</v>
      </c>
    </row>
    <row r="152" spans="1:8" x14ac:dyDescent="0.3">
      <c r="A152" s="7">
        <v>37582</v>
      </c>
      <c r="B152" s="6">
        <v>3004.9</v>
      </c>
      <c r="C152" s="6">
        <v>3042.2</v>
      </c>
      <c r="D152" s="6">
        <v>2978.6</v>
      </c>
      <c r="E152" s="6">
        <v>3035.8</v>
      </c>
      <c r="F152" s="8">
        <v>2031700000</v>
      </c>
      <c r="G152" s="8">
        <v>10306200000</v>
      </c>
      <c r="H152">
        <f t="shared" si="2"/>
        <v>100410.13428590329</v>
      </c>
    </row>
    <row r="153" spans="1:8" x14ac:dyDescent="0.3">
      <c r="A153" s="7">
        <v>37589</v>
      </c>
      <c r="B153" s="6">
        <v>3035.8</v>
      </c>
      <c r="C153" s="6">
        <v>3061.4</v>
      </c>
      <c r="D153" s="6">
        <v>2997.4</v>
      </c>
      <c r="E153" s="6">
        <v>3061.4</v>
      </c>
      <c r="F153" s="8">
        <v>2150500000</v>
      </c>
      <c r="G153" s="8">
        <v>12631100000</v>
      </c>
      <c r="H153">
        <f t="shared" si="2"/>
        <v>101256.86313421975</v>
      </c>
    </row>
    <row r="154" spans="1:8" x14ac:dyDescent="0.3">
      <c r="A154" s="7">
        <v>37596</v>
      </c>
      <c r="B154" s="6">
        <v>3061.4</v>
      </c>
      <c r="C154" s="6">
        <v>3083.8</v>
      </c>
      <c r="D154" s="6">
        <v>3017.2</v>
      </c>
      <c r="E154" s="6">
        <v>3027.3</v>
      </c>
      <c r="F154" s="8">
        <v>1621400000</v>
      </c>
      <c r="G154" s="8">
        <v>8992700000</v>
      </c>
      <c r="H154">
        <f t="shared" si="2"/>
        <v>100128.99384798571</v>
      </c>
    </row>
    <row r="155" spans="1:8" x14ac:dyDescent="0.3">
      <c r="A155" s="7">
        <v>37603</v>
      </c>
      <c r="B155" s="6">
        <v>3027.3</v>
      </c>
      <c r="C155" s="6">
        <v>3054.4</v>
      </c>
      <c r="D155" s="6">
        <v>2957.9</v>
      </c>
      <c r="E155" s="6">
        <v>2971.3</v>
      </c>
      <c r="F155" s="8">
        <v>1944000000</v>
      </c>
      <c r="G155" s="8">
        <v>9091200000</v>
      </c>
      <c r="H155">
        <f t="shared" si="2"/>
        <v>98276.774492293436</v>
      </c>
    </row>
    <row r="156" spans="1:8" x14ac:dyDescent="0.3">
      <c r="A156" s="7">
        <v>37610</v>
      </c>
      <c r="B156" s="6">
        <v>2971.3</v>
      </c>
      <c r="C156" s="6">
        <v>3019.6</v>
      </c>
      <c r="D156" s="6">
        <v>2945.9</v>
      </c>
      <c r="E156" s="6">
        <v>3011.4</v>
      </c>
      <c r="F156" s="8">
        <v>2127700000</v>
      </c>
      <c r="G156" s="8">
        <v>10575900000</v>
      </c>
      <c r="H156">
        <f t="shared" si="2"/>
        <v>99603.095852351631</v>
      </c>
    </row>
    <row r="157" spans="1:8" x14ac:dyDescent="0.3">
      <c r="A157" s="7">
        <v>37617</v>
      </c>
      <c r="B157" s="6">
        <v>3011.4</v>
      </c>
      <c r="C157" s="6">
        <v>3037.8</v>
      </c>
      <c r="D157" s="6">
        <v>3011.4</v>
      </c>
      <c r="E157" s="6">
        <v>3027.2</v>
      </c>
      <c r="F157" s="8">
        <v>349600000</v>
      </c>
      <c r="G157" s="8">
        <v>1637400000</v>
      </c>
      <c r="H157">
        <f t="shared" si="2"/>
        <v>100125.68631342193</v>
      </c>
    </row>
    <row r="158" spans="1:8" x14ac:dyDescent="0.3">
      <c r="A158" s="7">
        <v>37624</v>
      </c>
      <c r="B158" s="6">
        <v>3027.2</v>
      </c>
      <c r="C158" s="6">
        <v>3055.9</v>
      </c>
      <c r="D158" s="6">
        <v>2987.8</v>
      </c>
      <c r="E158" s="6">
        <v>3055.5</v>
      </c>
      <c r="F158" s="8">
        <v>512400000</v>
      </c>
      <c r="G158" s="8">
        <v>2468900000</v>
      </c>
      <c r="H158">
        <f t="shared" si="2"/>
        <v>101061.71859495928</v>
      </c>
    </row>
    <row r="159" spans="1:8" x14ac:dyDescent="0.3">
      <c r="A159" s="7">
        <v>37631</v>
      </c>
      <c r="B159" s="6">
        <v>3055.5</v>
      </c>
      <c r="C159" s="6">
        <v>3094.1</v>
      </c>
      <c r="D159" s="6">
        <v>3051.8</v>
      </c>
      <c r="E159" s="6">
        <v>3063.6</v>
      </c>
      <c r="F159" s="8">
        <v>1683200000</v>
      </c>
      <c r="G159" s="8">
        <v>9005700000</v>
      </c>
      <c r="H159">
        <f t="shared" si="2"/>
        <v>101329.62889462191</v>
      </c>
    </row>
    <row r="160" spans="1:8" x14ac:dyDescent="0.3">
      <c r="A160" s="7">
        <v>37638</v>
      </c>
      <c r="B160" s="6">
        <v>3063.5</v>
      </c>
      <c r="C160" s="6">
        <v>3084.8</v>
      </c>
      <c r="D160" s="6">
        <v>3051.3</v>
      </c>
      <c r="E160" s="6">
        <v>3051.7</v>
      </c>
      <c r="F160" s="8">
        <v>1736600000</v>
      </c>
      <c r="G160" s="8">
        <v>8172799000</v>
      </c>
      <c r="H160">
        <f t="shared" si="2"/>
        <v>100936.03228153731</v>
      </c>
    </row>
    <row r="161" spans="1:8" x14ac:dyDescent="0.3">
      <c r="A161" s="7">
        <v>37645</v>
      </c>
      <c r="B161" s="6">
        <v>3051.7</v>
      </c>
      <c r="C161" s="6">
        <v>3061.9</v>
      </c>
      <c r="D161" s="6">
        <v>3017.4</v>
      </c>
      <c r="E161" s="6">
        <v>3026.2</v>
      </c>
      <c r="F161" s="8">
        <v>1968400000</v>
      </c>
      <c r="G161" s="8">
        <v>9483400000</v>
      </c>
      <c r="H161">
        <f t="shared" si="2"/>
        <v>100092.61096778458</v>
      </c>
    </row>
    <row r="162" spans="1:8" x14ac:dyDescent="0.3">
      <c r="A162" s="7">
        <v>37652</v>
      </c>
      <c r="B162" s="6">
        <v>3026.2</v>
      </c>
      <c r="C162" s="6">
        <v>3026.2</v>
      </c>
      <c r="D162" s="6">
        <v>2929.1</v>
      </c>
      <c r="E162" s="6">
        <v>2956.9</v>
      </c>
      <c r="F162" s="8">
        <v>1496300000</v>
      </c>
      <c r="G162" s="8">
        <v>8709200000</v>
      </c>
      <c r="H162">
        <f t="shared" si="2"/>
        <v>97800.489515115405</v>
      </c>
    </row>
    <row r="163" spans="1:8" x14ac:dyDescent="0.3">
      <c r="A163" s="7">
        <v>37659</v>
      </c>
      <c r="B163" s="6">
        <v>2956.9</v>
      </c>
      <c r="C163" s="6">
        <v>2969.2</v>
      </c>
      <c r="D163" s="6">
        <v>2882.6</v>
      </c>
      <c r="E163" s="6">
        <v>2906</v>
      </c>
      <c r="F163" s="8">
        <v>1792200000</v>
      </c>
      <c r="G163" s="8">
        <v>8883800000</v>
      </c>
      <c r="H163">
        <f t="shared" si="2"/>
        <v>96116.954422173687</v>
      </c>
    </row>
    <row r="164" spans="1:8" x14ac:dyDescent="0.3">
      <c r="A164" s="7">
        <v>37666</v>
      </c>
      <c r="B164" s="6">
        <v>2906</v>
      </c>
      <c r="C164" s="6">
        <v>2906</v>
      </c>
      <c r="D164" s="6">
        <v>2807.5</v>
      </c>
      <c r="E164" s="6">
        <v>2817.2</v>
      </c>
      <c r="F164" s="8">
        <v>1988400000</v>
      </c>
      <c r="G164" s="8">
        <v>10044200000</v>
      </c>
      <c r="H164">
        <f t="shared" si="2"/>
        <v>93179.86372957594</v>
      </c>
    </row>
    <row r="165" spans="1:8" x14ac:dyDescent="0.3">
      <c r="A165" s="7">
        <v>37673</v>
      </c>
      <c r="B165" s="6">
        <v>2817.2</v>
      </c>
      <c r="C165" s="6">
        <v>2873.5</v>
      </c>
      <c r="D165" s="6">
        <v>2796.3</v>
      </c>
      <c r="E165" s="6">
        <v>2820.2</v>
      </c>
      <c r="F165" s="8">
        <v>1951500000</v>
      </c>
      <c r="G165" s="8">
        <v>9414200000</v>
      </c>
      <c r="H165">
        <f t="shared" si="2"/>
        <v>93279.089766488032</v>
      </c>
    </row>
    <row r="166" spans="1:8" x14ac:dyDescent="0.3">
      <c r="A166" s="7">
        <v>37680</v>
      </c>
      <c r="B166" s="6">
        <v>2820.2</v>
      </c>
      <c r="C166" s="6">
        <v>2862.7</v>
      </c>
      <c r="D166" s="6">
        <v>2794.4</v>
      </c>
      <c r="E166" s="6">
        <v>2800.9</v>
      </c>
      <c r="F166" s="8">
        <v>2156900000</v>
      </c>
      <c r="G166" s="8">
        <v>10563800000</v>
      </c>
      <c r="H166">
        <f t="shared" si="2"/>
        <v>92640.735595686958</v>
      </c>
    </row>
    <row r="167" spans="1:8" x14ac:dyDescent="0.3">
      <c r="A167" s="7">
        <v>37687</v>
      </c>
      <c r="B167" s="6">
        <v>2800.9</v>
      </c>
      <c r="C167" s="6">
        <v>2820</v>
      </c>
      <c r="D167" s="6">
        <v>2740.7</v>
      </c>
      <c r="E167" s="6">
        <v>2744</v>
      </c>
      <c r="F167" s="8">
        <v>1636600000</v>
      </c>
      <c r="G167" s="8">
        <v>8102200000</v>
      </c>
      <c r="H167">
        <f t="shared" si="2"/>
        <v>90758.748428921055</v>
      </c>
    </row>
    <row r="168" spans="1:8" x14ac:dyDescent="0.3">
      <c r="A168" s="7">
        <v>37694</v>
      </c>
      <c r="B168" s="6">
        <v>2744</v>
      </c>
      <c r="C168" s="6">
        <v>2760.9</v>
      </c>
      <c r="D168" s="6">
        <v>2693.3</v>
      </c>
      <c r="E168" s="6">
        <v>2753.1</v>
      </c>
      <c r="F168" s="8">
        <v>1906700000</v>
      </c>
      <c r="G168" s="8">
        <v>9102000000</v>
      </c>
      <c r="H168">
        <f t="shared" si="2"/>
        <v>91059.734074221051</v>
      </c>
    </row>
    <row r="169" spans="1:8" x14ac:dyDescent="0.3">
      <c r="A169" s="7">
        <v>37701</v>
      </c>
      <c r="B169" s="6">
        <v>2753.1</v>
      </c>
      <c r="C169" s="6">
        <v>2882.7</v>
      </c>
      <c r="D169" s="6">
        <v>2727.7</v>
      </c>
      <c r="E169" s="6">
        <v>2866.7</v>
      </c>
      <c r="F169" s="8">
        <v>2383200000</v>
      </c>
      <c r="G169" s="8">
        <v>10645100000</v>
      </c>
      <c r="H169">
        <f t="shared" si="2"/>
        <v>94817.09333862536</v>
      </c>
    </row>
    <row r="170" spans="1:8" x14ac:dyDescent="0.3">
      <c r="A170" s="7">
        <v>37708</v>
      </c>
      <c r="B170" s="6">
        <v>2866.7</v>
      </c>
      <c r="C170" s="6">
        <v>2911.9</v>
      </c>
      <c r="D170" s="6">
        <v>2829</v>
      </c>
      <c r="E170" s="6">
        <v>2897.7</v>
      </c>
      <c r="F170" s="8">
        <v>2597000000</v>
      </c>
      <c r="G170" s="8">
        <v>13043100000</v>
      </c>
      <c r="H170">
        <f t="shared" si="2"/>
        <v>95842.429053383588</v>
      </c>
    </row>
    <row r="171" spans="1:8" x14ac:dyDescent="0.3">
      <c r="A171" s="7">
        <v>37715</v>
      </c>
      <c r="B171" s="6">
        <v>2897.7</v>
      </c>
      <c r="C171" s="6">
        <v>2933.5</v>
      </c>
      <c r="D171" s="6">
        <v>2865.9</v>
      </c>
      <c r="E171" s="6">
        <v>2933.5</v>
      </c>
      <c r="F171" s="8">
        <v>2818400000</v>
      </c>
      <c r="G171" s="8">
        <v>13653800000</v>
      </c>
      <c r="H171">
        <f t="shared" si="2"/>
        <v>97026.526427201155</v>
      </c>
    </row>
    <row r="172" spans="1:8" x14ac:dyDescent="0.3">
      <c r="A172" s="7">
        <v>37722</v>
      </c>
      <c r="B172" s="6">
        <v>2933.5</v>
      </c>
      <c r="C172" s="6">
        <v>2984.4</v>
      </c>
      <c r="D172" s="6">
        <v>2924.3</v>
      </c>
      <c r="E172" s="6">
        <v>2949</v>
      </c>
      <c r="F172" s="8">
        <v>2323000000</v>
      </c>
      <c r="G172" s="8">
        <v>10872600000</v>
      </c>
      <c r="H172">
        <f t="shared" si="2"/>
        <v>97539.19428458027</v>
      </c>
    </row>
    <row r="173" spans="1:8" x14ac:dyDescent="0.3">
      <c r="A173" s="7">
        <v>37728</v>
      </c>
      <c r="B173" s="6">
        <v>2949</v>
      </c>
      <c r="C173" s="6">
        <v>2985.1</v>
      </c>
      <c r="D173" s="6">
        <v>2932.5</v>
      </c>
      <c r="E173" s="6">
        <v>2953.2</v>
      </c>
      <c r="F173" s="8">
        <v>1482200000</v>
      </c>
      <c r="G173" s="8">
        <v>6742000000</v>
      </c>
      <c r="H173">
        <f t="shared" si="2"/>
        <v>97678.110736257178</v>
      </c>
    </row>
    <row r="174" spans="1:8" x14ac:dyDescent="0.3">
      <c r="A174" s="7">
        <v>37735</v>
      </c>
      <c r="B174" s="6">
        <v>2953.2</v>
      </c>
      <c r="C174" s="6">
        <v>3011.9</v>
      </c>
      <c r="D174" s="6">
        <v>2953.2</v>
      </c>
      <c r="E174" s="6">
        <v>3001.9</v>
      </c>
      <c r="F174" s="8">
        <v>1103700000</v>
      </c>
      <c r="G174" s="8">
        <v>6069200000</v>
      </c>
      <c r="H174">
        <f t="shared" si="2"/>
        <v>99288.880068796716</v>
      </c>
    </row>
    <row r="175" spans="1:8" x14ac:dyDescent="0.3">
      <c r="A175" s="7">
        <v>37743</v>
      </c>
      <c r="B175" s="6">
        <v>3001.9</v>
      </c>
      <c r="C175" s="6">
        <v>3023.7</v>
      </c>
      <c r="D175" s="6">
        <v>2969.6</v>
      </c>
      <c r="E175" s="6">
        <v>2975.4</v>
      </c>
      <c r="F175" s="8">
        <v>2043000000</v>
      </c>
      <c r="G175" s="8">
        <v>9848700000</v>
      </c>
      <c r="H175">
        <f t="shared" si="2"/>
        <v>98412.383409406626</v>
      </c>
    </row>
    <row r="176" spans="1:8" x14ac:dyDescent="0.3">
      <c r="A176" s="7">
        <v>37750</v>
      </c>
      <c r="B176" s="6">
        <v>2975.4</v>
      </c>
      <c r="C176" s="6">
        <v>2990.1</v>
      </c>
      <c r="D176" s="6">
        <v>2936.3</v>
      </c>
      <c r="E176" s="6">
        <v>2956</v>
      </c>
      <c r="F176" s="8">
        <v>2201200000</v>
      </c>
      <c r="G176" s="8">
        <v>10971900000</v>
      </c>
      <c r="H176">
        <f t="shared" si="2"/>
        <v>97770.721704041804</v>
      </c>
    </row>
    <row r="177" spans="1:8" x14ac:dyDescent="0.3">
      <c r="A177" s="7">
        <v>37757</v>
      </c>
      <c r="B177" s="6">
        <v>2956.1</v>
      </c>
      <c r="C177" s="6">
        <v>2994.6</v>
      </c>
      <c r="D177" s="6">
        <v>2942.6</v>
      </c>
      <c r="E177" s="6">
        <v>2951.3</v>
      </c>
      <c r="F177" s="8">
        <v>2207400000</v>
      </c>
      <c r="G177" s="8">
        <v>9786600000</v>
      </c>
      <c r="H177">
        <f t="shared" si="2"/>
        <v>97615.267579546213</v>
      </c>
    </row>
    <row r="178" spans="1:8" x14ac:dyDescent="0.3">
      <c r="A178" s="7">
        <v>37764</v>
      </c>
      <c r="B178" s="6">
        <v>2951.3</v>
      </c>
      <c r="C178" s="6">
        <v>3004.3</v>
      </c>
      <c r="D178" s="6">
        <v>2917.9</v>
      </c>
      <c r="E178" s="6">
        <v>2997.3</v>
      </c>
      <c r="F178" s="8">
        <v>2298100000</v>
      </c>
      <c r="G178" s="8">
        <v>9616300000</v>
      </c>
      <c r="H178">
        <f t="shared" si="2"/>
        <v>99136.733478864873</v>
      </c>
    </row>
    <row r="179" spans="1:8" x14ac:dyDescent="0.3">
      <c r="A179" s="7">
        <v>37771</v>
      </c>
      <c r="B179" s="6">
        <v>2997.7</v>
      </c>
      <c r="C179" s="6">
        <v>3026.1</v>
      </c>
      <c r="D179" s="6">
        <v>2981.2</v>
      </c>
      <c r="E179" s="6">
        <v>3011</v>
      </c>
      <c r="F179" s="8">
        <v>2722400000</v>
      </c>
      <c r="G179" s="8">
        <v>11736600000</v>
      </c>
      <c r="H179">
        <f t="shared" si="2"/>
        <v>99589.865714096726</v>
      </c>
    </row>
    <row r="180" spans="1:8" x14ac:dyDescent="0.3">
      <c r="A180" s="7">
        <v>37778</v>
      </c>
      <c r="B180" s="6">
        <v>3011</v>
      </c>
      <c r="C180" s="6">
        <v>3056.6</v>
      </c>
      <c r="D180" s="6">
        <v>3011</v>
      </c>
      <c r="E180" s="6">
        <v>3048.9</v>
      </c>
      <c r="F180" s="8">
        <v>2226500000</v>
      </c>
      <c r="G180" s="8">
        <v>10543300000</v>
      </c>
      <c r="H180">
        <f t="shared" si="2"/>
        <v>100843.42131375274</v>
      </c>
    </row>
    <row r="181" spans="1:8" x14ac:dyDescent="0.3">
      <c r="A181" s="7">
        <v>37785</v>
      </c>
      <c r="B181" s="6">
        <v>3048.9</v>
      </c>
      <c r="C181" s="6">
        <v>3092.9</v>
      </c>
      <c r="D181" s="6">
        <v>3040.2</v>
      </c>
      <c r="E181" s="6">
        <v>3087.6</v>
      </c>
      <c r="F181" s="8">
        <v>2506300000</v>
      </c>
      <c r="G181" s="8">
        <v>10053800000</v>
      </c>
      <c r="H181">
        <f t="shared" si="2"/>
        <v>102123.43718991864</v>
      </c>
    </row>
    <row r="182" spans="1:8" x14ac:dyDescent="0.3">
      <c r="A182" s="7">
        <v>37792</v>
      </c>
      <c r="B182" s="6">
        <v>3087.6</v>
      </c>
      <c r="C182" s="6">
        <v>3124.6</v>
      </c>
      <c r="D182" s="6">
        <v>3070.8</v>
      </c>
      <c r="E182" s="6">
        <v>3089.5</v>
      </c>
      <c r="F182" s="8">
        <v>2785400000</v>
      </c>
      <c r="G182" s="8">
        <v>13673200000</v>
      </c>
      <c r="H182">
        <f t="shared" si="2"/>
        <v>102186.28034662962</v>
      </c>
    </row>
    <row r="183" spans="1:8" x14ac:dyDescent="0.3">
      <c r="A183" s="7">
        <v>37799</v>
      </c>
      <c r="B183" s="6">
        <v>3089.5</v>
      </c>
      <c r="C183" s="6">
        <v>3107.3</v>
      </c>
      <c r="D183" s="6">
        <v>3022</v>
      </c>
      <c r="E183" s="6">
        <v>3048.8</v>
      </c>
      <c r="F183" s="8">
        <v>2293500000</v>
      </c>
      <c r="G183" s="8">
        <v>11616400000</v>
      </c>
      <c r="H183">
        <f t="shared" si="2"/>
        <v>100840.11377918899</v>
      </c>
    </row>
    <row r="184" spans="1:8" x14ac:dyDescent="0.3">
      <c r="A184" s="7">
        <v>37806</v>
      </c>
      <c r="B184" s="6">
        <v>3048.8</v>
      </c>
      <c r="C184" s="6">
        <v>3052.1</v>
      </c>
      <c r="D184" s="6">
        <v>3003.8</v>
      </c>
      <c r="E184" s="6">
        <v>3028.4</v>
      </c>
      <c r="F184" s="8">
        <v>1991800000</v>
      </c>
      <c r="G184" s="8">
        <v>9991600000</v>
      </c>
      <c r="H184">
        <f t="shared" si="2"/>
        <v>100165.37672818681</v>
      </c>
    </row>
    <row r="185" spans="1:8" x14ac:dyDescent="0.3">
      <c r="A185" s="7">
        <v>37813</v>
      </c>
      <c r="B185" s="6">
        <v>3028.4</v>
      </c>
      <c r="C185" s="6">
        <v>3063.7</v>
      </c>
      <c r="D185" s="6">
        <v>3021.5</v>
      </c>
      <c r="E185" s="6">
        <v>3043.8</v>
      </c>
      <c r="F185" s="8">
        <v>2201100000</v>
      </c>
      <c r="G185" s="8">
        <v>10576800000</v>
      </c>
      <c r="H185">
        <f t="shared" si="2"/>
        <v>100674.73705100219</v>
      </c>
    </row>
    <row r="186" spans="1:8" x14ac:dyDescent="0.3">
      <c r="A186" s="7">
        <v>37820</v>
      </c>
      <c r="B186" s="6">
        <v>3043.8</v>
      </c>
      <c r="C186" s="6">
        <v>3095.3</v>
      </c>
      <c r="D186" s="6">
        <v>3043.7</v>
      </c>
      <c r="E186" s="6">
        <v>3083.6</v>
      </c>
      <c r="F186" s="8">
        <v>1945000000</v>
      </c>
      <c r="G186" s="8">
        <v>9468800000</v>
      </c>
      <c r="H186">
        <f t="shared" si="2"/>
        <v>101991.13580736918</v>
      </c>
    </row>
    <row r="187" spans="1:8" x14ac:dyDescent="0.3">
      <c r="A187" s="7">
        <v>37827</v>
      </c>
      <c r="B187" s="6">
        <v>3083.6</v>
      </c>
      <c r="C187" s="6">
        <v>3102.6</v>
      </c>
      <c r="D187" s="6">
        <v>3058.9</v>
      </c>
      <c r="E187" s="6">
        <v>3098.6</v>
      </c>
      <c r="F187" s="8">
        <v>1900100000</v>
      </c>
      <c r="G187" s="8">
        <v>10319600000</v>
      </c>
      <c r="H187">
        <f t="shared" si="2"/>
        <v>102487.26599192961</v>
      </c>
    </row>
    <row r="188" spans="1:8" x14ac:dyDescent="0.3">
      <c r="A188" s="7">
        <v>37834</v>
      </c>
      <c r="B188" s="6">
        <v>3098.6</v>
      </c>
      <c r="C188" s="6">
        <v>3141.6</v>
      </c>
      <c r="D188" s="6">
        <v>3083.5</v>
      </c>
      <c r="E188" s="6">
        <v>3140.3</v>
      </c>
      <c r="F188" s="8">
        <v>2173000000</v>
      </c>
      <c r="G188" s="8">
        <v>10500800000</v>
      </c>
      <c r="H188">
        <f t="shared" si="2"/>
        <v>103866.5079050076</v>
      </c>
    </row>
    <row r="189" spans="1:8" x14ac:dyDescent="0.3">
      <c r="A189" s="7">
        <v>37841</v>
      </c>
      <c r="B189" s="6">
        <v>3140.3</v>
      </c>
      <c r="C189" s="6">
        <v>3157.7</v>
      </c>
      <c r="D189" s="6">
        <v>3120.1</v>
      </c>
      <c r="E189" s="6">
        <v>3149.4</v>
      </c>
      <c r="F189" s="8">
        <v>1724600000</v>
      </c>
      <c r="G189" s="8">
        <v>8400700000</v>
      </c>
      <c r="H189">
        <f t="shared" si="2"/>
        <v>104167.4935503076</v>
      </c>
    </row>
    <row r="190" spans="1:8" x14ac:dyDescent="0.3">
      <c r="A190" s="7">
        <v>37848</v>
      </c>
      <c r="B190" s="6">
        <v>3149.4</v>
      </c>
      <c r="C190" s="6">
        <v>3164.4</v>
      </c>
      <c r="D190" s="6">
        <v>3141.6</v>
      </c>
      <c r="E190" s="6">
        <v>3148</v>
      </c>
      <c r="F190" s="8">
        <v>2019800000</v>
      </c>
      <c r="G190" s="8">
        <v>9874900000</v>
      </c>
      <c r="H190">
        <f t="shared" si="2"/>
        <v>104121.18806641528</v>
      </c>
    </row>
    <row r="191" spans="1:8" x14ac:dyDescent="0.3">
      <c r="A191" s="7">
        <v>37855</v>
      </c>
      <c r="B191" s="6">
        <v>3148</v>
      </c>
      <c r="C191" s="6">
        <v>3185.8</v>
      </c>
      <c r="D191" s="6">
        <v>3148</v>
      </c>
      <c r="E191" s="6">
        <v>3184.4</v>
      </c>
      <c r="F191" s="8">
        <v>2210900000</v>
      </c>
      <c r="G191" s="8">
        <v>11385000000</v>
      </c>
      <c r="H191">
        <f t="shared" si="2"/>
        <v>105325.13064761525</v>
      </c>
    </row>
    <row r="192" spans="1:8" x14ac:dyDescent="0.3">
      <c r="A192" s="7">
        <v>37862</v>
      </c>
      <c r="B192" s="6">
        <v>3184.4</v>
      </c>
      <c r="C192" s="6">
        <v>3210.7</v>
      </c>
      <c r="D192" s="6">
        <v>3161.8</v>
      </c>
      <c r="E192" s="6">
        <v>3199.7</v>
      </c>
      <c r="F192" s="8">
        <v>2811100000</v>
      </c>
      <c r="G192" s="8">
        <v>15814200000</v>
      </c>
      <c r="H192">
        <f t="shared" si="2"/>
        <v>105831.18343586689</v>
      </c>
    </row>
    <row r="193" spans="1:8" x14ac:dyDescent="0.3">
      <c r="A193" s="7">
        <v>37869</v>
      </c>
      <c r="B193" s="6">
        <v>3199.7</v>
      </c>
      <c r="C193" s="6">
        <v>3237.4</v>
      </c>
      <c r="D193" s="6">
        <v>3199.7</v>
      </c>
      <c r="E193" s="6">
        <v>3213.8</v>
      </c>
      <c r="F193" s="8">
        <v>2664700000</v>
      </c>
      <c r="G193" s="8">
        <v>12687200000</v>
      </c>
      <c r="H193">
        <f t="shared" si="2"/>
        <v>106297.54580935369</v>
      </c>
    </row>
    <row r="194" spans="1:8" x14ac:dyDescent="0.3">
      <c r="A194" s="7">
        <v>37876</v>
      </c>
      <c r="B194" s="6">
        <v>3213.8</v>
      </c>
      <c r="C194" s="6">
        <v>3247.4</v>
      </c>
      <c r="D194" s="6">
        <v>3189.2</v>
      </c>
      <c r="E194" s="6">
        <v>3192.5</v>
      </c>
      <c r="F194" s="8">
        <v>2094200000</v>
      </c>
      <c r="G194" s="8">
        <v>9977600000</v>
      </c>
      <c r="H194">
        <f t="shared" si="2"/>
        <v>105593.04094727787</v>
      </c>
    </row>
    <row r="195" spans="1:8" x14ac:dyDescent="0.3">
      <c r="A195" s="7">
        <v>37883</v>
      </c>
      <c r="B195" s="6">
        <v>3192.5</v>
      </c>
      <c r="C195" s="6">
        <v>3247.1</v>
      </c>
      <c r="D195" s="6">
        <v>3183.2</v>
      </c>
      <c r="E195" s="6">
        <v>3218.1</v>
      </c>
      <c r="F195" s="8">
        <v>2212800000</v>
      </c>
      <c r="G195" s="8">
        <v>11573800000</v>
      </c>
      <c r="H195">
        <f t="shared" si="2"/>
        <v>106439.76979559433</v>
      </c>
    </row>
    <row r="196" spans="1:8" x14ac:dyDescent="0.3">
      <c r="A196" s="7">
        <v>37890</v>
      </c>
      <c r="B196" s="6">
        <v>3218.1</v>
      </c>
      <c r="C196" s="6">
        <v>3220</v>
      </c>
      <c r="D196" s="6">
        <v>3163.4</v>
      </c>
      <c r="E196" s="6">
        <v>3171.5</v>
      </c>
      <c r="F196" s="8">
        <v>2348300000</v>
      </c>
      <c r="G196" s="8">
        <v>13261500000</v>
      </c>
      <c r="H196">
        <f t="shared" ref="H196:H259" si="3">H195*(E196/E195)</f>
        <v>104898.45868889327</v>
      </c>
    </row>
    <row r="197" spans="1:8" x14ac:dyDescent="0.3">
      <c r="A197" s="7">
        <v>37897</v>
      </c>
      <c r="B197" s="6">
        <v>3171.5</v>
      </c>
      <c r="C197" s="6">
        <v>3206.8</v>
      </c>
      <c r="D197" s="6">
        <v>3153</v>
      </c>
      <c r="E197" s="6">
        <v>3203.3</v>
      </c>
      <c r="F197" s="8">
        <v>2258000000</v>
      </c>
      <c r="G197" s="8">
        <v>11282300000</v>
      </c>
      <c r="H197">
        <f t="shared" si="3"/>
        <v>105950.25468016138</v>
      </c>
    </row>
    <row r="198" spans="1:8" x14ac:dyDescent="0.3">
      <c r="A198" s="7">
        <v>37904</v>
      </c>
      <c r="B198" s="6">
        <v>3203.3</v>
      </c>
      <c r="C198" s="6">
        <v>3267.8</v>
      </c>
      <c r="D198" s="6">
        <v>3203.3</v>
      </c>
      <c r="E198" s="6">
        <v>3260.2</v>
      </c>
      <c r="F198" s="8">
        <v>1686000000</v>
      </c>
      <c r="G198" s="8">
        <v>9359200000</v>
      </c>
      <c r="H198">
        <f t="shared" si="3"/>
        <v>107832.24184692725</v>
      </c>
    </row>
    <row r="199" spans="1:8" x14ac:dyDescent="0.3">
      <c r="A199" s="7">
        <v>37911</v>
      </c>
      <c r="B199" s="6">
        <v>3260.2</v>
      </c>
      <c r="C199" s="6">
        <v>3299.7</v>
      </c>
      <c r="D199" s="6">
        <v>3260.2</v>
      </c>
      <c r="E199" s="6">
        <v>3294.3</v>
      </c>
      <c r="F199" s="8">
        <v>2003400000</v>
      </c>
      <c r="G199" s="8">
        <v>11211500000</v>
      </c>
      <c r="H199">
        <f t="shared" si="3"/>
        <v>108960.11113316131</v>
      </c>
    </row>
    <row r="200" spans="1:8" x14ac:dyDescent="0.3">
      <c r="A200" s="7">
        <v>37918</v>
      </c>
      <c r="B200" s="6">
        <v>3294.3</v>
      </c>
      <c r="C200" s="6">
        <v>3311.8</v>
      </c>
      <c r="D200" s="6">
        <v>3254.3</v>
      </c>
      <c r="E200" s="6">
        <v>3256.3</v>
      </c>
      <c r="F200" s="8">
        <v>1889800000</v>
      </c>
      <c r="G200" s="8">
        <v>10051700000</v>
      </c>
      <c r="H200">
        <f t="shared" si="3"/>
        <v>107703.24799894156</v>
      </c>
    </row>
    <row r="201" spans="1:8" x14ac:dyDescent="0.3">
      <c r="A201" s="7">
        <v>37925</v>
      </c>
      <c r="B201" s="6">
        <v>3256.3</v>
      </c>
      <c r="C201" s="6">
        <v>3286.6</v>
      </c>
      <c r="D201" s="6">
        <v>3240.5</v>
      </c>
      <c r="E201" s="6">
        <v>3272</v>
      </c>
      <c r="F201" s="8">
        <v>1960300000</v>
      </c>
      <c r="G201" s="8">
        <v>12171100000</v>
      </c>
      <c r="H201">
        <f t="shared" si="3"/>
        <v>108222.53092544814</v>
      </c>
    </row>
    <row r="202" spans="1:8" x14ac:dyDescent="0.3">
      <c r="A202" s="7">
        <v>37932</v>
      </c>
      <c r="B202" s="6">
        <v>3272</v>
      </c>
      <c r="C202" s="6">
        <v>3276.3</v>
      </c>
      <c r="D202" s="6">
        <v>3226.4</v>
      </c>
      <c r="E202" s="6">
        <v>3248.5</v>
      </c>
      <c r="F202" s="8">
        <v>1918400000</v>
      </c>
      <c r="G202" s="8">
        <v>10134300000</v>
      </c>
      <c r="H202">
        <f t="shared" si="3"/>
        <v>107445.26030297013</v>
      </c>
    </row>
    <row r="203" spans="1:8" x14ac:dyDescent="0.3">
      <c r="A203" s="7">
        <v>37939</v>
      </c>
      <c r="B203" s="6">
        <v>3248.5</v>
      </c>
      <c r="C203" s="6">
        <v>3248.5</v>
      </c>
      <c r="D203" s="6">
        <v>3195</v>
      </c>
      <c r="E203" s="6">
        <v>3201.8</v>
      </c>
      <c r="F203" s="8">
        <v>2217600000</v>
      </c>
      <c r="G203" s="8">
        <v>11729800000</v>
      </c>
      <c r="H203">
        <f t="shared" si="3"/>
        <v>105900.64166170533</v>
      </c>
    </row>
    <row r="204" spans="1:8" x14ac:dyDescent="0.3">
      <c r="A204" s="7">
        <v>37946</v>
      </c>
      <c r="B204" s="6">
        <v>3201.8</v>
      </c>
      <c r="C204" s="6">
        <v>3201.8</v>
      </c>
      <c r="D204" s="6">
        <v>3158.8</v>
      </c>
      <c r="E204" s="6">
        <v>3169.1</v>
      </c>
      <c r="F204" s="8">
        <v>1964600000</v>
      </c>
      <c r="G204" s="8">
        <v>10409700000</v>
      </c>
      <c r="H204">
        <f t="shared" si="3"/>
        <v>104819.07785936359</v>
      </c>
    </row>
    <row r="205" spans="1:8" x14ac:dyDescent="0.3">
      <c r="A205" s="7">
        <v>37953</v>
      </c>
      <c r="B205" s="6">
        <v>3169.1</v>
      </c>
      <c r="C205" s="6">
        <v>3201.4</v>
      </c>
      <c r="D205" s="6">
        <v>3167</v>
      </c>
      <c r="E205" s="6">
        <v>3186.4</v>
      </c>
      <c r="F205" s="8">
        <v>1611500000</v>
      </c>
      <c r="G205" s="8">
        <v>9350199000</v>
      </c>
      <c r="H205">
        <f t="shared" si="3"/>
        <v>105391.28133888995</v>
      </c>
    </row>
    <row r="206" spans="1:8" x14ac:dyDescent="0.3">
      <c r="A206" s="7">
        <v>37960</v>
      </c>
      <c r="B206" s="6">
        <v>3186.4</v>
      </c>
      <c r="C206" s="6">
        <v>3234.7</v>
      </c>
      <c r="D206" s="6">
        <v>3162.5</v>
      </c>
      <c r="E206" s="6">
        <v>3229.8</v>
      </c>
      <c r="F206" s="8">
        <v>1676100000</v>
      </c>
      <c r="G206" s="8">
        <v>9782700000</v>
      </c>
      <c r="H206">
        <f t="shared" si="3"/>
        <v>106826.75133955147</v>
      </c>
    </row>
    <row r="207" spans="1:8" x14ac:dyDescent="0.3">
      <c r="A207" s="7">
        <v>37967</v>
      </c>
      <c r="B207" s="6">
        <v>3229.8</v>
      </c>
      <c r="C207" s="6">
        <v>3243.9</v>
      </c>
      <c r="D207" s="6">
        <v>3186.2</v>
      </c>
      <c r="E207" s="6">
        <v>3212.7</v>
      </c>
      <c r="F207" s="8">
        <v>1817900000</v>
      </c>
      <c r="G207" s="8">
        <v>9405900000</v>
      </c>
      <c r="H207">
        <f t="shared" si="3"/>
        <v>106261.16292915258</v>
      </c>
    </row>
    <row r="208" spans="1:8" x14ac:dyDescent="0.3">
      <c r="A208" s="7">
        <v>37974</v>
      </c>
      <c r="B208" s="6">
        <v>3212.7</v>
      </c>
      <c r="C208" s="6">
        <v>3249.7</v>
      </c>
      <c r="D208" s="6">
        <v>3212.7</v>
      </c>
      <c r="E208" s="6">
        <v>3232.8</v>
      </c>
      <c r="F208" s="8">
        <v>2478900000</v>
      </c>
      <c r="G208" s="8">
        <v>14161300000</v>
      </c>
      <c r="H208">
        <f t="shared" si="3"/>
        <v>106925.97737646358</v>
      </c>
    </row>
    <row r="209" spans="1:8" x14ac:dyDescent="0.3">
      <c r="A209" s="7">
        <v>37979</v>
      </c>
      <c r="B209" s="6">
        <v>3232.8</v>
      </c>
      <c r="C209" s="6">
        <v>3267</v>
      </c>
      <c r="D209" s="6">
        <v>3232.8</v>
      </c>
      <c r="E209" s="6">
        <v>3265.6</v>
      </c>
      <c r="F209" s="8">
        <v>1055000000</v>
      </c>
      <c r="G209" s="8">
        <v>3505800000</v>
      </c>
      <c r="H209">
        <f t="shared" si="3"/>
        <v>108010.84871336904</v>
      </c>
    </row>
    <row r="210" spans="1:8" x14ac:dyDescent="0.3">
      <c r="A210" s="7">
        <v>37988</v>
      </c>
      <c r="B210" s="6">
        <v>3265.6</v>
      </c>
      <c r="C210" s="6">
        <v>3302.7</v>
      </c>
      <c r="D210" s="6">
        <v>3265.6</v>
      </c>
      <c r="E210" s="6">
        <v>3300.7</v>
      </c>
      <c r="F210" s="8">
        <v>601400000</v>
      </c>
      <c r="G210" s="8">
        <v>2838300000</v>
      </c>
      <c r="H210">
        <f t="shared" si="3"/>
        <v>109171.79334524042</v>
      </c>
    </row>
    <row r="211" spans="1:8" x14ac:dyDescent="0.3">
      <c r="A211" s="7">
        <v>37995</v>
      </c>
      <c r="B211" s="6">
        <v>3300.7</v>
      </c>
      <c r="C211" s="6">
        <v>3323.2</v>
      </c>
      <c r="D211" s="6">
        <v>3283.2</v>
      </c>
      <c r="E211" s="6">
        <v>3301.6</v>
      </c>
      <c r="F211" s="8">
        <v>1713400000</v>
      </c>
      <c r="G211" s="8">
        <v>9396799000</v>
      </c>
      <c r="H211">
        <f t="shared" si="3"/>
        <v>109201.56115631406</v>
      </c>
    </row>
    <row r="212" spans="1:8" x14ac:dyDescent="0.3">
      <c r="A212" s="7">
        <v>38002</v>
      </c>
      <c r="B212" s="6">
        <v>3301.6</v>
      </c>
      <c r="C212" s="6">
        <v>3316.9</v>
      </c>
      <c r="D212" s="6">
        <v>3285.5</v>
      </c>
      <c r="E212" s="6">
        <v>3288.8</v>
      </c>
      <c r="F212" s="8">
        <v>2150600000</v>
      </c>
      <c r="G212" s="8">
        <v>12150600000</v>
      </c>
      <c r="H212">
        <f t="shared" si="3"/>
        <v>108778.19673215583</v>
      </c>
    </row>
    <row r="213" spans="1:8" x14ac:dyDescent="0.3">
      <c r="A213" s="7">
        <v>38009</v>
      </c>
      <c r="B213" s="6">
        <v>3288.8</v>
      </c>
      <c r="C213" s="6">
        <v>3336.6</v>
      </c>
      <c r="D213" s="6">
        <v>3288.8</v>
      </c>
      <c r="E213" s="6">
        <v>3334.7</v>
      </c>
      <c r="F213" s="8">
        <v>1983100000</v>
      </c>
      <c r="G213" s="8">
        <v>10948900000</v>
      </c>
      <c r="H213">
        <f t="shared" si="3"/>
        <v>110296.35509691073</v>
      </c>
    </row>
    <row r="214" spans="1:8" x14ac:dyDescent="0.3">
      <c r="A214" s="7">
        <v>38016</v>
      </c>
      <c r="B214" s="6">
        <v>3334.7</v>
      </c>
      <c r="C214" s="6">
        <v>3346.2</v>
      </c>
      <c r="D214" s="6">
        <v>3258.3</v>
      </c>
      <c r="E214" s="6">
        <v>3272</v>
      </c>
      <c r="F214" s="8">
        <v>2165800000</v>
      </c>
      <c r="G214" s="8">
        <v>13274300000</v>
      </c>
      <c r="H214">
        <f t="shared" si="3"/>
        <v>108222.53092544814</v>
      </c>
    </row>
    <row r="215" spans="1:8" x14ac:dyDescent="0.3">
      <c r="A215" s="7">
        <v>38023</v>
      </c>
      <c r="B215" s="6">
        <v>3272</v>
      </c>
      <c r="C215" s="6">
        <v>3285.8</v>
      </c>
      <c r="D215" s="6">
        <v>3252.9</v>
      </c>
      <c r="E215" s="6">
        <v>3272.2</v>
      </c>
      <c r="F215" s="8">
        <v>1922600000</v>
      </c>
      <c r="G215" s="8">
        <v>10329100000</v>
      </c>
      <c r="H215">
        <f t="shared" si="3"/>
        <v>108229.14599457561</v>
      </c>
    </row>
    <row r="216" spans="1:8" x14ac:dyDescent="0.3">
      <c r="A216" s="7">
        <v>38030</v>
      </c>
      <c r="B216" s="6">
        <v>3272.2</v>
      </c>
      <c r="C216" s="6">
        <v>3337.5</v>
      </c>
      <c r="D216" s="6">
        <v>3272.2</v>
      </c>
      <c r="E216" s="6">
        <v>3333.7</v>
      </c>
      <c r="F216" s="8">
        <v>2141500000</v>
      </c>
      <c r="G216" s="8">
        <v>11595400000</v>
      </c>
      <c r="H216">
        <f t="shared" si="3"/>
        <v>110263.27975127335</v>
      </c>
    </row>
    <row r="217" spans="1:8" x14ac:dyDescent="0.3">
      <c r="A217" s="7">
        <v>38037</v>
      </c>
      <c r="B217" s="6">
        <v>3333.7</v>
      </c>
      <c r="C217" s="6">
        <v>3357.3</v>
      </c>
      <c r="D217" s="6">
        <v>3316.9</v>
      </c>
      <c r="E217" s="6">
        <v>3344.1</v>
      </c>
      <c r="F217" s="8">
        <v>1876900000</v>
      </c>
      <c r="G217" s="8">
        <v>10252400000</v>
      </c>
      <c r="H217">
        <f t="shared" si="3"/>
        <v>110607.26334590191</v>
      </c>
    </row>
    <row r="218" spans="1:8" x14ac:dyDescent="0.3">
      <c r="A218" s="7">
        <v>38044</v>
      </c>
      <c r="B218" s="6">
        <v>3344.1</v>
      </c>
      <c r="C218" s="6">
        <v>3360.9</v>
      </c>
      <c r="D218" s="6">
        <v>3320.9</v>
      </c>
      <c r="E218" s="6">
        <v>3360.6</v>
      </c>
      <c r="F218" s="8">
        <v>2329200000</v>
      </c>
      <c r="G218" s="8">
        <v>12293200000</v>
      </c>
      <c r="H218">
        <f t="shared" si="3"/>
        <v>111153.00654891839</v>
      </c>
    </row>
    <row r="219" spans="1:8" x14ac:dyDescent="0.3">
      <c r="A219" s="7">
        <v>38051</v>
      </c>
      <c r="B219" s="6">
        <v>3360.6</v>
      </c>
      <c r="C219" s="6">
        <v>3407.5</v>
      </c>
      <c r="D219" s="6">
        <v>3360.6</v>
      </c>
      <c r="E219" s="6">
        <v>3407.5</v>
      </c>
      <c r="F219" s="8">
        <v>2325200000</v>
      </c>
      <c r="G219" s="8">
        <v>11726700000</v>
      </c>
      <c r="H219">
        <f t="shared" si="3"/>
        <v>112704.24025931068</v>
      </c>
    </row>
    <row r="220" spans="1:8" x14ac:dyDescent="0.3">
      <c r="A220" s="7">
        <v>38058</v>
      </c>
      <c r="B220" s="6">
        <v>3407.5</v>
      </c>
      <c r="C220" s="6">
        <v>3429.3</v>
      </c>
      <c r="D220" s="6">
        <v>3391.1</v>
      </c>
      <c r="E220" s="6">
        <v>3402.3</v>
      </c>
      <c r="F220" s="8">
        <v>2381600000</v>
      </c>
      <c r="G220" s="8">
        <v>12869300000</v>
      </c>
      <c r="H220">
        <f t="shared" si="3"/>
        <v>112532.24846199641</v>
      </c>
    </row>
    <row r="221" spans="1:8" x14ac:dyDescent="0.3">
      <c r="A221" s="7">
        <v>38065</v>
      </c>
      <c r="B221" s="6">
        <v>3402.3</v>
      </c>
      <c r="C221" s="6">
        <v>3456.1</v>
      </c>
      <c r="D221" s="6">
        <v>3395</v>
      </c>
      <c r="E221" s="6">
        <v>3435.3</v>
      </c>
      <c r="F221" s="8">
        <v>2381200000</v>
      </c>
      <c r="G221" s="8">
        <v>12136900000</v>
      </c>
      <c r="H221">
        <f t="shared" si="3"/>
        <v>113623.73486802935</v>
      </c>
    </row>
    <row r="222" spans="1:8" x14ac:dyDescent="0.3">
      <c r="A222" s="7">
        <v>38072</v>
      </c>
      <c r="B222" s="6">
        <v>3435.3</v>
      </c>
      <c r="C222" s="6">
        <v>3435.7</v>
      </c>
      <c r="D222" s="6">
        <v>3376.3</v>
      </c>
      <c r="E222" s="6">
        <v>3428.5</v>
      </c>
      <c r="F222" s="8">
        <v>2464100000</v>
      </c>
      <c r="G222" s="8">
        <v>13794400000</v>
      </c>
      <c r="H222">
        <f t="shared" si="3"/>
        <v>113398.82251769528</v>
      </c>
    </row>
    <row r="223" spans="1:8" x14ac:dyDescent="0.3">
      <c r="A223" s="7">
        <v>38079</v>
      </c>
      <c r="B223" s="6">
        <v>3428.5</v>
      </c>
      <c r="C223" s="6">
        <v>3447.6</v>
      </c>
      <c r="D223" s="6">
        <v>3409.5</v>
      </c>
      <c r="E223" s="6">
        <v>3438.6</v>
      </c>
      <c r="F223" s="8">
        <v>2278700000</v>
      </c>
      <c r="G223" s="8">
        <v>11447700000</v>
      </c>
      <c r="H223">
        <f t="shared" si="3"/>
        <v>113732.88350863263</v>
      </c>
    </row>
    <row r="224" spans="1:8" x14ac:dyDescent="0.3">
      <c r="A224" s="7">
        <v>38085</v>
      </c>
      <c r="B224" s="6">
        <v>3438.6</v>
      </c>
      <c r="C224" s="6">
        <v>3469.2</v>
      </c>
      <c r="D224" s="6">
        <v>3438.6</v>
      </c>
      <c r="E224" s="6">
        <v>3450.6</v>
      </c>
      <c r="F224" s="8">
        <v>1601100000</v>
      </c>
      <c r="G224" s="8">
        <v>9456600000</v>
      </c>
      <c r="H224">
        <f t="shared" si="3"/>
        <v>114129.78765628097</v>
      </c>
    </row>
    <row r="225" spans="1:8" x14ac:dyDescent="0.3">
      <c r="A225" s="7">
        <v>38093</v>
      </c>
      <c r="B225" s="6">
        <v>3450.6</v>
      </c>
      <c r="C225" s="6">
        <v>3456.4</v>
      </c>
      <c r="D225" s="6">
        <v>3408.5</v>
      </c>
      <c r="E225" s="6">
        <v>3417.3</v>
      </c>
      <c r="F225" s="8">
        <v>1634500000</v>
      </c>
      <c r="G225" s="8">
        <v>8906600000</v>
      </c>
      <c r="H225">
        <f t="shared" si="3"/>
        <v>113028.37864655683</v>
      </c>
    </row>
    <row r="226" spans="1:8" x14ac:dyDescent="0.3">
      <c r="A226" s="7">
        <v>38100</v>
      </c>
      <c r="B226" s="6">
        <v>3417.3</v>
      </c>
      <c r="C226" s="6">
        <v>3468</v>
      </c>
      <c r="D226" s="6">
        <v>3417.3</v>
      </c>
      <c r="E226" s="6">
        <v>3457</v>
      </c>
      <c r="F226" s="8">
        <v>2241900000</v>
      </c>
      <c r="G226" s="8">
        <v>12512000000</v>
      </c>
      <c r="H226">
        <f t="shared" si="3"/>
        <v>114341.4698683601</v>
      </c>
    </row>
    <row r="227" spans="1:8" x14ac:dyDescent="0.3">
      <c r="A227" s="7">
        <v>38107</v>
      </c>
      <c r="B227" s="6">
        <v>3457.4</v>
      </c>
      <c r="C227" s="6">
        <v>3460.4</v>
      </c>
      <c r="D227" s="6">
        <v>3378.6</v>
      </c>
      <c r="E227" s="6">
        <v>3400.8</v>
      </c>
      <c r="F227" s="8">
        <v>2293900000</v>
      </c>
      <c r="G227" s="8">
        <v>12873300000</v>
      </c>
      <c r="H227">
        <f t="shared" si="3"/>
        <v>112482.63544354036</v>
      </c>
    </row>
    <row r="228" spans="1:8" x14ac:dyDescent="0.3">
      <c r="A228" s="7">
        <v>38114</v>
      </c>
      <c r="B228" s="6">
        <v>3400.8</v>
      </c>
      <c r="C228" s="6">
        <v>3412.6</v>
      </c>
      <c r="D228" s="6">
        <v>3376.7</v>
      </c>
      <c r="E228" s="6">
        <v>3393.2</v>
      </c>
      <c r="F228" s="8">
        <v>2365900000</v>
      </c>
      <c r="G228" s="8">
        <v>11792200000</v>
      </c>
      <c r="H228">
        <f t="shared" si="3"/>
        <v>112231.2628166964</v>
      </c>
    </row>
    <row r="229" spans="1:8" x14ac:dyDescent="0.3">
      <c r="A229" s="7">
        <v>38121</v>
      </c>
      <c r="B229" s="6">
        <v>3393.2</v>
      </c>
      <c r="C229" s="6">
        <v>3393.2</v>
      </c>
      <c r="D229" s="6">
        <v>3341</v>
      </c>
      <c r="E229" s="6">
        <v>3359.5</v>
      </c>
      <c r="F229" s="8">
        <v>2216800000</v>
      </c>
      <c r="G229" s="8">
        <v>12122800000</v>
      </c>
      <c r="H229">
        <f t="shared" si="3"/>
        <v>111116.62366871731</v>
      </c>
    </row>
    <row r="230" spans="1:8" x14ac:dyDescent="0.3">
      <c r="A230" s="7">
        <v>38128</v>
      </c>
      <c r="B230" s="6">
        <v>3359.5</v>
      </c>
      <c r="C230" s="6">
        <v>3397.9</v>
      </c>
      <c r="D230" s="6">
        <v>3343.4</v>
      </c>
      <c r="E230" s="6">
        <v>3395.4</v>
      </c>
      <c r="F230" s="8">
        <v>2007500000</v>
      </c>
      <c r="G230" s="8">
        <v>10821500000</v>
      </c>
      <c r="H230">
        <f t="shared" si="3"/>
        <v>112304.02857709859</v>
      </c>
    </row>
    <row r="231" spans="1:8" x14ac:dyDescent="0.3">
      <c r="A231" s="7">
        <v>38135</v>
      </c>
      <c r="B231" s="6">
        <v>3395.4</v>
      </c>
      <c r="C231" s="6">
        <v>3467.6</v>
      </c>
      <c r="D231" s="6">
        <v>3390.8</v>
      </c>
      <c r="E231" s="6">
        <v>3450.4</v>
      </c>
      <c r="F231" s="8">
        <v>2562300000</v>
      </c>
      <c r="G231" s="8">
        <v>14169700000</v>
      </c>
      <c r="H231">
        <f t="shared" si="3"/>
        <v>114123.17258715349</v>
      </c>
    </row>
    <row r="232" spans="1:8" x14ac:dyDescent="0.3">
      <c r="A232" s="7">
        <v>38142</v>
      </c>
      <c r="B232" s="6">
        <v>3450.4</v>
      </c>
      <c r="C232" s="6">
        <v>3478</v>
      </c>
      <c r="D232" s="6">
        <v>3449.9</v>
      </c>
      <c r="E232" s="6">
        <v>3467.7</v>
      </c>
      <c r="F232" s="8">
        <v>1940800000</v>
      </c>
      <c r="G232" s="8">
        <v>10216900000</v>
      </c>
      <c r="H232">
        <f t="shared" si="3"/>
        <v>114695.37606667985</v>
      </c>
    </row>
    <row r="233" spans="1:8" x14ac:dyDescent="0.3">
      <c r="A233" s="7">
        <v>38149</v>
      </c>
      <c r="B233" s="6">
        <v>3467.7</v>
      </c>
      <c r="C233" s="6">
        <v>3501.6</v>
      </c>
      <c r="D233" s="6">
        <v>3458.7</v>
      </c>
      <c r="E233" s="6">
        <v>3478.2</v>
      </c>
      <c r="F233" s="8">
        <v>2187900000</v>
      </c>
      <c r="G233" s="8">
        <v>11612800000</v>
      </c>
      <c r="H233">
        <f t="shared" si="3"/>
        <v>115042.66719587216</v>
      </c>
    </row>
    <row r="234" spans="1:8" x14ac:dyDescent="0.3">
      <c r="A234" s="7">
        <v>38156</v>
      </c>
      <c r="B234" s="6">
        <v>3478.2</v>
      </c>
      <c r="C234" s="6">
        <v>3531.1</v>
      </c>
      <c r="D234" s="6">
        <v>3457.9</v>
      </c>
      <c r="E234" s="6">
        <v>3527.7</v>
      </c>
      <c r="F234" s="8">
        <v>2339200000</v>
      </c>
      <c r="G234" s="8">
        <v>12523500000</v>
      </c>
      <c r="H234">
        <f t="shared" si="3"/>
        <v>116679.89680492156</v>
      </c>
    </row>
    <row r="235" spans="1:8" x14ac:dyDescent="0.3">
      <c r="A235" s="7">
        <v>38163</v>
      </c>
      <c r="B235" s="6">
        <v>3527.7</v>
      </c>
      <c r="C235" s="6">
        <v>3556.4</v>
      </c>
      <c r="D235" s="6">
        <v>3527.7</v>
      </c>
      <c r="E235" s="6">
        <v>3529.2</v>
      </c>
      <c r="F235" s="8">
        <v>2879500000</v>
      </c>
      <c r="G235" s="8">
        <v>17533500000</v>
      </c>
      <c r="H235">
        <f t="shared" si="3"/>
        <v>116729.50982337761</v>
      </c>
    </row>
    <row r="236" spans="1:8" x14ac:dyDescent="0.3">
      <c r="A236" s="7">
        <v>38170</v>
      </c>
      <c r="B236" s="6">
        <v>3529.2</v>
      </c>
      <c r="C236" s="6">
        <v>3540.5</v>
      </c>
      <c r="D236" s="6">
        <v>3514.6</v>
      </c>
      <c r="E236" s="6">
        <v>3534.4</v>
      </c>
      <c r="F236" s="8">
        <v>2325700000</v>
      </c>
      <c r="G236" s="8">
        <v>11847800000</v>
      </c>
      <c r="H236">
        <f t="shared" si="3"/>
        <v>116901.50162069188</v>
      </c>
    </row>
    <row r="237" spans="1:8" x14ac:dyDescent="0.3">
      <c r="A237" s="7">
        <v>38177</v>
      </c>
      <c r="B237" s="6">
        <v>3534.4</v>
      </c>
      <c r="C237" s="6">
        <v>3568.7</v>
      </c>
      <c r="D237" s="6">
        <v>3520.9</v>
      </c>
      <c r="E237" s="6">
        <v>3564</v>
      </c>
      <c r="F237" s="8">
        <v>2361000000</v>
      </c>
      <c r="G237" s="8">
        <v>12012500000</v>
      </c>
      <c r="H237">
        <f t="shared" si="3"/>
        <v>117880.5318515578</v>
      </c>
    </row>
    <row r="238" spans="1:8" x14ac:dyDescent="0.3">
      <c r="A238" s="7">
        <v>38184</v>
      </c>
      <c r="B238" s="6">
        <v>3564</v>
      </c>
      <c r="C238" s="6">
        <v>3568</v>
      </c>
      <c r="D238" s="6">
        <v>3518.7</v>
      </c>
      <c r="E238" s="6">
        <v>3531</v>
      </c>
      <c r="F238" s="8">
        <v>1804700000</v>
      </c>
      <c r="G238" s="8">
        <v>11843900000</v>
      </c>
      <c r="H238">
        <f t="shared" si="3"/>
        <v>116789.04544552485</v>
      </c>
    </row>
    <row r="239" spans="1:8" x14ac:dyDescent="0.3">
      <c r="A239" s="7">
        <v>38191</v>
      </c>
      <c r="B239" s="6">
        <v>3531</v>
      </c>
      <c r="C239" s="6">
        <v>3535.8</v>
      </c>
      <c r="D239" s="6">
        <v>3485.2</v>
      </c>
      <c r="E239" s="6">
        <v>3485.2</v>
      </c>
      <c r="F239" s="8">
        <v>2244800000</v>
      </c>
      <c r="G239" s="8">
        <v>13774000000</v>
      </c>
      <c r="H239">
        <f t="shared" si="3"/>
        <v>115274.19461533368</v>
      </c>
    </row>
    <row r="240" spans="1:8" x14ac:dyDescent="0.3">
      <c r="A240" s="7">
        <v>38198</v>
      </c>
      <c r="B240" s="6">
        <v>3485.2</v>
      </c>
      <c r="C240" s="6">
        <v>3538.6</v>
      </c>
      <c r="D240" s="6">
        <v>3478.2</v>
      </c>
      <c r="E240" s="6">
        <v>3536.1</v>
      </c>
      <c r="F240" s="8">
        <v>2366500000</v>
      </c>
      <c r="G240" s="8">
        <v>14033500000</v>
      </c>
      <c r="H240">
        <f t="shared" si="3"/>
        <v>116957.72970827539</v>
      </c>
    </row>
    <row r="241" spans="1:8" x14ac:dyDescent="0.3">
      <c r="A241" s="7">
        <v>38205</v>
      </c>
      <c r="B241" s="6">
        <v>3536.1</v>
      </c>
      <c r="C241" s="6">
        <v>3562.6</v>
      </c>
      <c r="D241" s="6">
        <v>3519.3</v>
      </c>
      <c r="E241" s="6">
        <v>3530.6</v>
      </c>
      <c r="F241" s="8">
        <v>1871400000</v>
      </c>
      <c r="G241" s="8">
        <v>10513200000</v>
      </c>
      <c r="H241">
        <f t="shared" si="3"/>
        <v>116775.81530726991</v>
      </c>
    </row>
    <row r="242" spans="1:8" x14ac:dyDescent="0.3">
      <c r="A242" s="7">
        <v>38212</v>
      </c>
      <c r="B242" s="6">
        <v>3530.6</v>
      </c>
      <c r="C242" s="6">
        <v>3530.6</v>
      </c>
      <c r="D242" s="6">
        <v>3475.5</v>
      </c>
      <c r="E242" s="6">
        <v>3477.8</v>
      </c>
      <c r="F242" s="8">
        <v>2138400000</v>
      </c>
      <c r="G242" s="8">
        <v>11958900000</v>
      </c>
      <c r="H242">
        <f t="shared" si="3"/>
        <v>115029.43705761721</v>
      </c>
    </row>
    <row r="243" spans="1:8" x14ac:dyDescent="0.3">
      <c r="A243" s="7">
        <v>38219</v>
      </c>
      <c r="B243" s="6">
        <v>3477.8</v>
      </c>
      <c r="C243" s="6">
        <v>3502.2</v>
      </c>
      <c r="D243" s="6">
        <v>3467.1</v>
      </c>
      <c r="E243" s="6">
        <v>3497.7</v>
      </c>
      <c r="F243" s="8">
        <v>1865600000</v>
      </c>
      <c r="G243" s="8">
        <v>11187900000</v>
      </c>
      <c r="H243">
        <f t="shared" si="3"/>
        <v>115687.63643580068</v>
      </c>
    </row>
    <row r="244" spans="1:8" x14ac:dyDescent="0.3">
      <c r="A244" s="7">
        <v>38226</v>
      </c>
      <c r="B244" s="6">
        <v>3497.7</v>
      </c>
      <c r="C244" s="6">
        <v>3565.3</v>
      </c>
      <c r="D244" s="6">
        <v>3497.7</v>
      </c>
      <c r="E244" s="6">
        <v>3558.9</v>
      </c>
      <c r="F244" s="8">
        <v>2321400000</v>
      </c>
      <c r="G244" s="8">
        <v>13140700000</v>
      </c>
      <c r="H244">
        <f t="shared" si="3"/>
        <v>117711.84758880724</v>
      </c>
    </row>
    <row r="245" spans="1:8" x14ac:dyDescent="0.3">
      <c r="A245" s="7">
        <v>38233</v>
      </c>
      <c r="B245" s="6">
        <v>3558.9</v>
      </c>
      <c r="C245" s="6">
        <v>3595</v>
      </c>
      <c r="D245" s="6">
        <v>3551.9</v>
      </c>
      <c r="E245" s="6">
        <v>3577.3</v>
      </c>
      <c r="F245" s="8">
        <v>2335800000</v>
      </c>
      <c r="G245" s="8">
        <v>12717400000</v>
      </c>
      <c r="H245">
        <f t="shared" si="3"/>
        <v>118320.43394853472</v>
      </c>
    </row>
    <row r="246" spans="1:8" x14ac:dyDescent="0.3">
      <c r="A246" s="7">
        <v>38240</v>
      </c>
      <c r="B246" s="6">
        <v>3577.3</v>
      </c>
      <c r="C246" s="6">
        <v>3608.2</v>
      </c>
      <c r="D246" s="6">
        <v>3574.2</v>
      </c>
      <c r="E246" s="6">
        <v>3596</v>
      </c>
      <c r="F246" s="8">
        <v>2118600000</v>
      </c>
      <c r="G246" s="8">
        <v>10028300000</v>
      </c>
      <c r="H246">
        <f t="shared" si="3"/>
        <v>118938.94291195337</v>
      </c>
    </row>
    <row r="247" spans="1:8" x14ac:dyDescent="0.3">
      <c r="A247" s="7">
        <v>38247</v>
      </c>
      <c r="B247" s="6">
        <v>3596</v>
      </c>
      <c r="C247" s="6">
        <v>3636.4</v>
      </c>
      <c r="D247" s="6">
        <v>3594.6</v>
      </c>
      <c r="E247" s="6">
        <v>3631.6</v>
      </c>
      <c r="F247" s="8">
        <v>2258300000</v>
      </c>
      <c r="G247" s="8">
        <v>13303200000</v>
      </c>
      <c r="H247">
        <f t="shared" si="3"/>
        <v>120116.42521664346</v>
      </c>
    </row>
    <row r="248" spans="1:8" x14ac:dyDescent="0.3">
      <c r="A248" s="7">
        <v>38254</v>
      </c>
      <c r="B248" s="6">
        <v>3631.6</v>
      </c>
      <c r="C248" s="6">
        <v>3644.3</v>
      </c>
      <c r="D248" s="6">
        <v>3613.9</v>
      </c>
      <c r="E248" s="6">
        <v>3623.9</v>
      </c>
      <c r="F248" s="8">
        <v>2361300000</v>
      </c>
      <c r="G248" s="8">
        <v>13030100000</v>
      </c>
      <c r="H248">
        <f t="shared" si="3"/>
        <v>119861.74505523578</v>
      </c>
    </row>
    <row r="249" spans="1:8" x14ac:dyDescent="0.3">
      <c r="A249" s="7">
        <v>38261</v>
      </c>
      <c r="B249" s="6">
        <v>3623.9</v>
      </c>
      <c r="C249" s="6">
        <v>3674.2</v>
      </c>
      <c r="D249" s="6">
        <v>3610</v>
      </c>
      <c r="E249" s="6">
        <v>3659.6</v>
      </c>
      <c r="F249" s="8">
        <v>2155600000</v>
      </c>
      <c r="G249" s="8">
        <v>11978300000</v>
      </c>
      <c r="H249">
        <f t="shared" si="3"/>
        <v>121042.53489448958</v>
      </c>
    </row>
    <row r="250" spans="1:8" x14ac:dyDescent="0.3">
      <c r="A250" s="7">
        <v>38268</v>
      </c>
      <c r="B250" s="6">
        <v>3659.6</v>
      </c>
      <c r="C250" s="6">
        <v>3720.4</v>
      </c>
      <c r="D250" s="6">
        <v>3659.6</v>
      </c>
      <c r="E250" s="6">
        <v>3686.8</v>
      </c>
      <c r="F250" s="8">
        <v>2111600000</v>
      </c>
      <c r="G250" s="8">
        <v>11406200000</v>
      </c>
      <c r="H250">
        <f t="shared" si="3"/>
        <v>121942.18429582583</v>
      </c>
    </row>
    <row r="251" spans="1:8" x14ac:dyDescent="0.3">
      <c r="A251" s="7">
        <v>38275</v>
      </c>
      <c r="B251" s="6">
        <v>3686.8</v>
      </c>
      <c r="C251" s="6">
        <v>3725.2</v>
      </c>
      <c r="D251" s="6">
        <v>3686.8</v>
      </c>
      <c r="E251" s="6">
        <v>3720.5</v>
      </c>
      <c r="F251" s="8">
        <v>2906300000</v>
      </c>
      <c r="G251" s="8">
        <v>16035100000</v>
      </c>
      <c r="H251">
        <f t="shared" si="3"/>
        <v>123056.82344380491</v>
      </c>
    </row>
    <row r="252" spans="1:8" x14ac:dyDescent="0.3">
      <c r="A252" s="7">
        <v>38282</v>
      </c>
      <c r="B252" s="6">
        <v>3720.9</v>
      </c>
      <c r="C252" s="6">
        <v>3720.9</v>
      </c>
      <c r="D252" s="6">
        <v>3695.4</v>
      </c>
      <c r="E252" s="6">
        <v>3709.9</v>
      </c>
      <c r="F252" s="8">
        <v>2519800000</v>
      </c>
      <c r="G252" s="8">
        <v>14275500000</v>
      </c>
      <c r="H252">
        <f t="shared" si="3"/>
        <v>122706.22478004887</v>
      </c>
    </row>
    <row r="253" spans="1:8" x14ac:dyDescent="0.3">
      <c r="A253" s="7">
        <v>38289</v>
      </c>
      <c r="B253" s="6">
        <v>3709.9</v>
      </c>
      <c r="C253" s="6">
        <v>3779.5</v>
      </c>
      <c r="D253" s="6">
        <v>3674.9</v>
      </c>
      <c r="E253" s="6">
        <v>3778.6</v>
      </c>
      <c r="F253" s="8">
        <v>3505600000</v>
      </c>
      <c r="G253" s="8">
        <v>21548900000</v>
      </c>
      <c r="H253">
        <f t="shared" si="3"/>
        <v>124978.50102533563</v>
      </c>
    </row>
    <row r="254" spans="1:8" x14ac:dyDescent="0.3">
      <c r="A254" s="7">
        <v>38296</v>
      </c>
      <c r="B254" s="6">
        <v>3778.6</v>
      </c>
      <c r="C254" s="6">
        <v>3854.9</v>
      </c>
      <c r="D254" s="6">
        <v>3777.9</v>
      </c>
      <c r="E254" s="6">
        <v>3843.5</v>
      </c>
      <c r="F254" s="8">
        <v>2582800000</v>
      </c>
      <c r="G254" s="8">
        <v>17217900000</v>
      </c>
      <c r="H254">
        <f t="shared" si="3"/>
        <v>127125.09095720043</v>
      </c>
    </row>
    <row r="255" spans="1:8" x14ac:dyDescent="0.3">
      <c r="A255" s="7">
        <v>38303</v>
      </c>
      <c r="B255" s="6">
        <v>3843.5</v>
      </c>
      <c r="C255" s="6">
        <v>3868.2</v>
      </c>
      <c r="D255" s="6">
        <v>3821.2</v>
      </c>
      <c r="E255" s="6">
        <v>3862.5</v>
      </c>
      <c r="F255" s="8">
        <v>2271100000</v>
      </c>
      <c r="G255" s="8">
        <v>14574500000</v>
      </c>
      <c r="H255">
        <f t="shared" si="3"/>
        <v>127753.52252431031</v>
      </c>
    </row>
    <row r="256" spans="1:8" x14ac:dyDescent="0.3">
      <c r="A256" s="7">
        <v>38310</v>
      </c>
      <c r="B256" s="6">
        <v>3862.5</v>
      </c>
      <c r="C256" s="6">
        <v>3889</v>
      </c>
      <c r="D256" s="6">
        <v>3862</v>
      </c>
      <c r="E256" s="6">
        <v>3872.7</v>
      </c>
      <c r="F256" s="8">
        <v>2309300000</v>
      </c>
      <c r="G256" s="8">
        <v>14763100000</v>
      </c>
      <c r="H256">
        <f t="shared" si="3"/>
        <v>128090.89104981138</v>
      </c>
    </row>
    <row r="257" spans="1:8" x14ac:dyDescent="0.3">
      <c r="A257" s="7">
        <v>38317</v>
      </c>
      <c r="B257" s="6">
        <v>3872.7</v>
      </c>
      <c r="C257" s="6">
        <v>3917.8</v>
      </c>
      <c r="D257" s="6">
        <v>3825.1</v>
      </c>
      <c r="E257" s="6">
        <v>3912.1</v>
      </c>
      <c r="F257" s="8">
        <v>2487300000</v>
      </c>
      <c r="G257" s="8">
        <v>16892400000</v>
      </c>
      <c r="H257">
        <f t="shared" si="3"/>
        <v>129394.05966792344</v>
      </c>
    </row>
    <row r="258" spans="1:8" x14ac:dyDescent="0.3">
      <c r="A258" s="7">
        <v>38324</v>
      </c>
      <c r="B258" s="6">
        <v>3912.1</v>
      </c>
      <c r="C258" s="6">
        <v>3948.7</v>
      </c>
      <c r="D258" s="6">
        <v>3899.3</v>
      </c>
      <c r="E258" s="6">
        <v>3939.5</v>
      </c>
      <c r="F258" s="8">
        <v>2246400000</v>
      </c>
      <c r="G258" s="8">
        <v>14755700000</v>
      </c>
      <c r="H258">
        <f t="shared" si="3"/>
        <v>130300.32413838716</v>
      </c>
    </row>
    <row r="259" spans="1:8" x14ac:dyDescent="0.3">
      <c r="A259" s="7">
        <v>38331</v>
      </c>
      <c r="B259" s="6">
        <v>3939.5</v>
      </c>
      <c r="C259" s="6">
        <v>3964.8</v>
      </c>
      <c r="D259" s="6">
        <v>3877.1</v>
      </c>
      <c r="E259" s="6">
        <v>3898.5</v>
      </c>
      <c r="F259" s="8">
        <v>2405000000</v>
      </c>
      <c r="G259" s="8">
        <v>14719200000</v>
      </c>
      <c r="H259">
        <f t="shared" si="3"/>
        <v>128944.23496725532</v>
      </c>
    </row>
    <row r="260" spans="1:8" x14ac:dyDescent="0.3">
      <c r="A260" s="7">
        <v>38338</v>
      </c>
      <c r="B260" s="6">
        <v>3886.9</v>
      </c>
      <c r="C260" s="6">
        <v>3997.6</v>
      </c>
      <c r="D260" s="6">
        <v>3886.9</v>
      </c>
      <c r="E260" s="6">
        <v>3988</v>
      </c>
      <c r="F260" s="8">
        <v>2264200000</v>
      </c>
      <c r="G260" s="8">
        <v>17029300000</v>
      </c>
      <c r="H260">
        <f t="shared" ref="H260:H323" si="4">H259*(E260/E259)</f>
        <v>131904.47840179922</v>
      </c>
    </row>
    <row r="261" spans="1:8" x14ac:dyDescent="0.3">
      <c r="A261" s="7">
        <v>38345</v>
      </c>
      <c r="B261" s="6">
        <v>3988</v>
      </c>
      <c r="C261" s="6">
        <v>4048.6</v>
      </c>
      <c r="D261" s="6">
        <v>3980.6</v>
      </c>
      <c r="E261" s="6">
        <v>4048.6</v>
      </c>
      <c r="F261" s="8">
        <v>1848400000</v>
      </c>
      <c r="G261" s="8">
        <v>14828600000</v>
      </c>
      <c r="H261">
        <f t="shared" si="4"/>
        <v>133908.84434742335</v>
      </c>
    </row>
    <row r="262" spans="1:8" x14ac:dyDescent="0.3">
      <c r="A262" s="7">
        <v>38352</v>
      </c>
      <c r="B262" s="6">
        <v>4048.6</v>
      </c>
      <c r="C262" s="6">
        <v>4055</v>
      </c>
      <c r="D262" s="6">
        <v>4036.5</v>
      </c>
      <c r="E262" s="6">
        <v>4050.6</v>
      </c>
      <c r="F262" s="8">
        <v>376500000</v>
      </c>
      <c r="G262" s="8">
        <v>2268700000</v>
      </c>
      <c r="H262">
        <f t="shared" si="4"/>
        <v>133974.99503869808</v>
      </c>
    </row>
    <row r="263" spans="1:8" x14ac:dyDescent="0.3">
      <c r="A263" s="7">
        <v>38359</v>
      </c>
      <c r="B263" s="6">
        <v>4050.6</v>
      </c>
      <c r="C263" s="6">
        <v>4069.7</v>
      </c>
      <c r="D263" s="6">
        <v>4026.1</v>
      </c>
      <c r="E263" s="6">
        <v>4063.2</v>
      </c>
      <c r="F263" s="8">
        <v>1234700000</v>
      </c>
      <c r="G263" s="8">
        <v>7754100000</v>
      </c>
      <c r="H263">
        <f t="shared" si="4"/>
        <v>134391.74439372885</v>
      </c>
    </row>
    <row r="264" spans="1:8" x14ac:dyDescent="0.3">
      <c r="A264" s="7">
        <v>38366</v>
      </c>
      <c r="B264" s="6">
        <v>4063.2</v>
      </c>
      <c r="C264" s="6">
        <v>4089.8</v>
      </c>
      <c r="D264" s="6">
        <v>4056.8</v>
      </c>
      <c r="E264" s="6">
        <v>4061.6</v>
      </c>
      <c r="F264" s="8">
        <v>1892600000</v>
      </c>
      <c r="G264" s="8">
        <v>12515500000</v>
      </c>
      <c r="H264">
        <f t="shared" si="4"/>
        <v>134338.82384070908</v>
      </c>
    </row>
    <row r="265" spans="1:8" x14ac:dyDescent="0.3">
      <c r="A265" s="7">
        <v>38373</v>
      </c>
      <c r="B265" s="6">
        <v>4061.6</v>
      </c>
      <c r="C265" s="6">
        <v>4094.3</v>
      </c>
      <c r="D265" s="6">
        <v>4027.3</v>
      </c>
      <c r="E265" s="6">
        <v>4043.9</v>
      </c>
      <c r="F265" s="8">
        <v>1915000000</v>
      </c>
      <c r="G265" s="8">
        <v>12969500000</v>
      </c>
      <c r="H265">
        <f t="shared" si="4"/>
        <v>133753.39022292779</v>
      </c>
    </row>
    <row r="266" spans="1:8" x14ac:dyDescent="0.3">
      <c r="A266" s="7">
        <v>38380</v>
      </c>
      <c r="B266" s="6">
        <v>4043.9</v>
      </c>
      <c r="C266" s="6">
        <v>4121</v>
      </c>
      <c r="D266" s="6">
        <v>4041.7</v>
      </c>
      <c r="E266" s="6">
        <v>4098.8999999999996</v>
      </c>
      <c r="F266" s="8">
        <v>1787200000</v>
      </c>
      <c r="G266" s="8">
        <v>13182800000</v>
      </c>
      <c r="H266">
        <f t="shared" si="4"/>
        <v>135572.5342329827</v>
      </c>
    </row>
    <row r="267" spans="1:8" x14ac:dyDescent="0.3">
      <c r="A267" s="7">
        <v>38387</v>
      </c>
      <c r="B267" s="6">
        <v>4098.8999999999996</v>
      </c>
      <c r="C267" s="6">
        <v>4165.3999999999996</v>
      </c>
      <c r="D267" s="6">
        <v>4095.4</v>
      </c>
      <c r="E267" s="6">
        <v>4161.8</v>
      </c>
      <c r="F267" s="8">
        <v>2518400000</v>
      </c>
      <c r="G267" s="8">
        <v>16837200000</v>
      </c>
      <c r="H267">
        <f t="shared" si="4"/>
        <v>137652.97347357275</v>
      </c>
    </row>
    <row r="268" spans="1:8" x14ac:dyDescent="0.3">
      <c r="A268" s="7">
        <v>38394</v>
      </c>
      <c r="B268" s="6">
        <v>4161.8</v>
      </c>
      <c r="C268" s="6">
        <v>4195.6000000000004</v>
      </c>
      <c r="D268" s="6">
        <v>4160</v>
      </c>
      <c r="E268" s="6">
        <v>4174.3</v>
      </c>
      <c r="F268" s="8">
        <v>2215300000</v>
      </c>
      <c r="G268" s="8">
        <v>15488500000</v>
      </c>
      <c r="H268">
        <f t="shared" si="4"/>
        <v>138066.41529403976</v>
      </c>
    </row>
    <row r="269" spans="1:8" x14ac:dyDescent="0.3">
      <c r="A269" s="7">
        <v>38401</v>
      </c>
      <c r="B269" s="6">
        <v>4174.3</v>
      </c>
      <c r="C269" s="6">
        <v>4190.5</v>
      </c>
      <c r="D269" s="6">
        <v>4140.7</v>
      </c>
      <c r="E269" s="6">
        <v>4163.6000000000004</v>
      </c>
      <c r="F269" s="8">
        <v>2559200000</v>
      </c>
      <c r="G269" s="8">
        <v>17267200000</v>
      </c>
      <c r="H269">
        <f t="shared" si="4"/>
        <v>137712.50909571999</v>
      </c>
    </row>
    <row r="270" spans="1:8" x14ac:dyDescent="0.3">
      <c r="A270" s="7">
        <v>38408</v>
      </c>
      <c r="B270" s="6">
        <v>4163.6000000000004</v>
      </c>
      <c r="C270" s="6">
        <v>4175.2</v>
      </c>
      <c r="D270" s="6">
        <v>4096.8999999999996</v>
      </c>
      <c r="E270" s="6">
        <v>4130.5</v>
      </c>
      <c r="F270" s="8">
        <v>2578800000</v>
      </c>
      <c r="G270" s="8">
        <v>19132200000</v>
      </c>
      <c r="H270">
        <f t="shared" si="4"/>
        <v>136617.7151551233</v>
      </c>
    </row>
    <row r="271" spans="1:8" x14ac:dyDescent="0.3">
      <c r="A271" s="7">
        <v>38415</v>
      </c>
      <c r="B271" s="6">
        <v>4130.5</v>
      </c>
      <c r="C271" s="6">
        <v>4228.7</v>
      </c>
      <c r="D271" s="6">
        <v>4130.5</v>
      </c>
      <c r="E271" s="6">
        <v>4220.3999999999996</v>
      </c>
      <c r="F271" s="8">
        <v>2304300000</v>
      </c>
      <c r="G271" s="8">
        <v>16572900000</v>
      </c>
      <c r="H271">
        <f t="shared" si="4"/>
        <v>139591.18872792213</v>
      </c>
    </row>
    <row r="272" spans="1:8" x14ac:dyDescent="0.3">
      <c r="A272" s="7">
        <v>38422</v>
      </c>
      <c r="B272" s="6">
        <v>4220.3999999999996</v>
      </c>
      <c r="C272" s="6">
        <v>4255</v>
      </c>
      <c r="D272" s="6">
        <v>4195.5</v>
      </c>
      <c r="E272" s="6">
        <v>4203.8</v>
      </c>
      <c r="F272" s="8">
        <v>2329000000</v>
      </c>
      <c r="G272" s="8">
        <v>16012400000</v>
      </c>
      <c r="H272">
        <f t="shared" si="4"/>
        <v>139042.13799034193</v>
      </c>
    </row>
    <row r="273" spans="1:8" x14ac:dyDescent="0.3">
      <c r="A273" s="7">
        <v>38429</v>
      </c>
      <c r="B273" s="6">
        <v>4203.8</v>
      </c>
      <c r="C273" s="6">
        <v>4258.1000000000004</v>
      </c>
      <c r="D273" s="6">
        <v>4195.3</v>
      </c>
      <c r="E273" s="6">
        <v>4249.1000000000004</v>
      </c>
      <c r="F273" s="8">
        <v>2280700000</v>
      </c>
      <c r="G273" s="8">
        <v>16816400000</v>
      </c>
      <c r="H273">
        <f t="shared" si="4"/>
        <v>140540.45114771443</v>
      </c>
    </row>
    <row r="274" spans="1:8" x14ac:dyDescent="0.3">
      <c r="A274" s="7">
        <v>38435</v>
      </c>
      <c r="B274" s="6">
        <v>4249.1000000000004</v>
      </c>
      <c r="C274" s="6">
        <v>4266.8999999999996</v>
      </c>
      <c r="D274" s="6">
        <v>4123.8</v>
      </c>
      <c r="E274" s="6">
        <v>4136.3999999999996</v>
      </c>
      <c r="F274" s="8">
        <v>1974600000</v>
      </c>
      <c r="G274" s="8">
        <v>14622100000</v>
      </c>
      <c r="H274">
        <f t="shared" si="4"/>
        <v>136812.85969438372</v>
      </c>
    </row>
    <row r="275" spans="1:8" x14ac:dyDescent="0.3">
      <c r="A275" s="7">
        <v>38443</v>
      </c>
      <c r="B275" s="6">
        <v>4136.3999999999996</v>
      </c>
      <c r="C275" s="6">
        <v>4151.2</v>
      </c>
      <c r="D275" s="6">
        <v>4059.5</v>
      </c>
      <c r="E275" s="6">
        <v>4138.3</v>
      </c>
      <c r="F275" s="8">
        <v>1887500000</v>
      </c>
      <c r="G275" s="8">
        <v>12286500000</v>
      </c>
      <c r="H275">
        <f t="shared" si="4"/>
        <v>136875.70285109471</v>
      </c>
    </row>
    <row r="276" spans="1:8" x14ac:dyDescent="0.3">
      <c r="A276" s="7">
        <v>38450</v>
      </c>
      <c r="B276" s="6">
        <v>4109.8</v>
      </c>
      <c r="C276" s="6">
        <v>4165.6000000000004</v>
      </c>
      <c r="D276" s="6">
        <v>4109.8</v>
      </c>
      <c r="E276" s="6">
        <v>4165.6000000000004</v>
      </c>
      <c r="F276" s="8">
        <v>2068800000</v>
      </c>
      <c r="G276" s="8">
        <v>13086700000</v>
      </c>
      <c r="H276">
        <f t="shared" si="4"/>
        <v>137778.65978699471</v>
      </c>
    </row>
    <row r="277" spans="1:8" x14ac:dyDescent="0.3">
      <c r="A277" s="7">
        <v>38457</v>
      </c>
      <c r="B277" s="6">
        <v>4165.6000000000004</v>
      </c>
      <c r="C277" s="6">
        <v>4165.6000000000004</v>
      </c>
      <c r="D277" s="6">
        <v>4010.8</v>
      </c>
      <c r="E277" s="6">
        <v>4014.3</v>
      </c>
      <c r="F277" s="8">
        <v>2156100000</v>
      </c>
      <c r="G277" s="8">
        <v>15330300000</v>
      </c>
      <c r="H277">
        <f t="shared" si="4"/>
        <v>132774.35999206186</v>
      </c>
    </row>
    <row r="278" spans="1:8" x14ac:dyDescent="0.3">
      <c r="A278" s="7">
        <v>38464</v>
      </c>
      <c r="B278" s="6">
        <v>4014.3</v>
      </c>
      <c r="C278" s="6">
        <v>4057.2</v>
      </c>
      <c r="D278" s="6">
        <v>3958.3</v>
      </c>
      <c r="E278" s="6">
        <v>4034.1</v>
      </c>
      <c r="F278" s="8">
        <v>2524000000</v>
      </c>
      <c r="G278" s="8">
        <v>17302500000</v>
      </c>
      <c r="H278">
        <f t="shared" si="4"/>
        <v>133429.25183568161</v>
      </c>
    </row>
    <row r="279" spans="1:8" x14ac:dyDescent="0.3">
      <c r="A279" s="7">
        <v>38471</v>
      </c>
      <c r="B279" s="6">
        <v>4034.1</v>
      </c>
      <c r="C279" s="6">
        <v>4050.6</v>
      </c>
      <c r="D279" s="6">
        <v>3969.1</v>
      </c>
      <c r="E279" s="6">
        <v>3983.2</v>
      </c>
      <c r="F279" s="8">
        <v>1947400000</v>
      </c>
      <c r="G279" s="8">
        <v>15463900000</v>
      </c>
      <c r="H279">
        <f t="shared" si="4"/>
        <v>131745.7167427399</v>
      </c>
    </row>
    <row r="280" spans="1:8" x14ac:dyDescent="0.3">
      <c r="A280" s="7">
        <v>38478</v>
      </c>
      <c r="B280" s="6">
        <v>3983.2</v>
      </c>
      <c r="C280" s="6">
        <v>4031.1</v>
      </c>
      <c r="D280" s="6">
        <v>3926.6</v>
      </c>
      <c r="E280" s="6">
        <v>3983.3</v>
      </c>
      <c r="F280" s="8">
        <v>2249300000</v>
      </c>
      <c r="G280" s="8">
        <v>14095100000</v>
      </c>
      <c r="H280">
        <f t="shared" si="4"/>
        <v>131749.02427730366</v>
      </c>
    </row>
    <row r="281" spans="1:8" x14ac:dyDescent="0.3">
      <c r="A281" s="7">
        <v>38485</v>
      </c>
      <c r="B281" s="6">
        <v>3983.3</v>
      </c>
      <c r="C281" s="6">
        <v>4028.9</v>
      </c>
      <c r="D281" s="6">
        <v>3974.6</v>
      </c>
      <c r="E281" s="6">
        <v>4012.1</v>
      </c>
      <c r="F281" s="8">
        <v>2234900000</v>
      </c>
      <c r="G281" s="8">
        <v>15974400000</v>
      </c>
      <c r="H281">
        <f t="shared" si="4"/>
        <v>132701.59423165966</v>
      </c>
    </row>
    <row r="282" spans="1:8" x14ac:dyDescent="0.3">
      <c r="A282" s="7">
        <v>38492</v>
      </c>
      <c r="B282" s="6">
        <v>4012.1</v>
      </c>
      <c r="C282" s="6">
        <v>4057.6</v>
      </c>
      <c r="D282" s="6">
        <v>3943.8</v>
      </c>
      <c r="E282" s="6">
        <v>4041.2</v>
      </c>
      <c r="F282" s="8">
        <v>2243500000</v>
      </c>
      <c r="G282" s="8">
        <v>15572900000</v>
      </c>
      <c r="H282">
        <f t="shared" si="4"/>
        <v>133664.0867897069</v>
      </c>
    </row>
    <row r="283" spans="1:8" x14ac:dyDescent="0.3">
      <c r="A283" s="7">
        <v>38499</v>
      </c>
      <c r="B283" s="6">
        <v>4041.3</v>
      </c>
      <c r="C283" s="6">
        <v>4120.2</v>
      </c>
      <c r="D283" s="6">
        <v>4041</v>
      </c>
      <c r="E283" s="6">
        <v>4116.3999999999996</v>
      </c>
      <c r="F283" s="8">
        <v>2411700000</v>
      </c>
      <c r="G283" s="8">
        <v>17896200000</v>
      </c>
      <c r="H283">
        <f t="shared" si="4"/>
        <v>136151.35278163652</v>
      </c>
    </row>
    <row r="284" spans="1:8" x14ac:dyDescent="0.3">
      <c r="A284" s="7">
        <v>38506</v>
      </c>
      <c r="B284" s="6">
        <v>4116.3999999999996</v>
      </c>
      <c r="C284" s="6">
        <v>4194.2</v>
      </c>
      <c r="D284" s="6">
        <v>4098.8</v>
      </c>
      <c r="E284" s="6">
        <v>4194</v>
      </c>
      <c r="F284" s="8">
        <v>2874200000</v>
      </c>
      <c r="G284" s="8">
        <v>19035000000</v>
      </c>
      <c r="H284">
        <f t="shared" si="4"/>
        <v>138717.99960309581</v>
      </c>
    </row>
    <row r="285" spans="1:8" x14ac:dyDescent="0.3">
      <c r="A285" s="7">
        <v>38513</v>
      </c>
      <c r="B285" s="6">
        <v>4194</v>
      </c>
      <c r="C285" s="6">
        <v>4231.8999999999996</v>
      </c>
      <c r="D285" s="6">
        <v>4179.3</v>
      </c>
      <c r="E285" s="6">
        <v>4221.7</v>
      </c>
      <c r="F285" s="8">
        <v>2124800000</v>
      </c>
      <c r="G285" s="8">
        <v>14147100000</v>
      </c>
      <c r="H285">
        <f t="shared" si="4"/>
        <v>139634.18667725072</v>
      </c>
    </row>
    <row r="286" spans="1:8" x14ac:dyDescent="0.3">
      <c r="A286" s="7">
        <v>38520</v>
      </c>
      <c r="B286" s="6">
        <v>4221.7</v>
      </c>
      <c r="C286" s="6">
        <v>4312.2</v>
      </c>
      <c r="D286" s="6">
        <v>4219.6000000000004</v>
      </c>
      <c r="E286" s="6">
        <v>4312.2</v>
      </c>
      <c r="F286" s="8">
        <v>2169700000</v>
      </c>
      <c r="G286" s="8">
        <v>15816000000</v>
      </c>
      <c r="H286">
        <f t="shared" si="4"/>
        <v>142627.50545743198</v>
      </c>
    </row>
    <row r="287" spans="1:8" x14ac:dyDescent="0.3">
      <c r="A287" s="7">
        <v>38527</v>
      </c>
      <c r="B287" s="6">
        <v>4312.2</v>
      </c>
      <c r="C287" s="6">
        <v>4321.7</v>
      </c>
      <c r="D287" s="6">
        <v>4224.2</v>
      </c>
      <c r="E287" s="6">
        <v>4245.6000000000004</v>
      </c>
      <c r="F287" s="8">
        <v>2488100000</v>
      </c>
      <c r="G287" s="8">
        <v>19121500000</v>
      </c>
      <c r="H287">
        <f t="shared" si="4"/>
        <v>140424.6874379837</v>
      </c>
    </row>
    <row r="288" spans="1:8" x14ac:dyDescent="0.3">
      <c r="A288" s="7">
        <v>38534</v>
      </c>
      <c r="B288" s="6">
        <v>4245.6000000000004</v>
      </c>
      <c r="C288" s="6">
        <v>4294.8999999999996</v>
      </c>
      <c r="D288" s="6">
        <v>4221.5</v>
      </c>
      <c r="E288" s="6">
        <v>4272.6000000000004</v>
      </c>
      <c r="F288" s="8">
        <v>2376700000</v>
      </c>
      <c r="G288" s="8">
        <v>15895600000</v>
      </c>
      <c r="H288">
        <f t="shared" si="4"/>
        <v>141317.72177019247</v>
      </c>
    </row>
    <row r="289" spans="1:8" x14ac:dyDescent="0.3">
      <c r="A289" s="7">
        <v>38541</v>
      </c>
      <c r="B289" s="6">
        <v>4272.6000000000004</v>
      </c>
      <c r="C289" s="6">
        <v>4316.3</v>
      </c>
      <c r="D289" s="6">
        <v>4213.6000000000004</v>
      </c>
      <c r="E289" s="6">
        <v>4229.2</v>
      </c>
      <c r="F289" s="8">
        <v>2030400000</v>
      </c>
      <c r="G289" s="8">
        <v>13158100000</v>
      </c>
      <c r="H289">
        <f t="shared" si="4"/>
        <v>139882.25176953094</v>
      </c>
    </row>
    <row r="290" spans="1:8" x14ac:dyDescent="0.3">
      <c r="A290" s="7">
        <v>38548</v>
      </c>
      <c r="B290" s="6">
        <v>4229.2</v>
      </c>
      <c r="C290" s="6">
        <v>4301.5</v>
      </c>
      <c r="D290" s="6">
        <v>4229.2</v>
      </c>
      <c r="E290" s="6">
        <v>4292.3999999999996</v>
      </c>
      <c r="F290" s="8">
        <v>2079200000</v>
      </c>
      <c r="G290" s="8">
        <v>12785500000</v>
      </c>
      <c r="H290">
        <f t="shared" si="4"/>
        <v>141972.61361381222</v>
      </c>
    </row>
    <row r="291" spans="1:8" x14ac:dyDescent="0.3">
      <c r="A291" s="7">
        <v>38555</v>
      </c>
      <c r="B291" s="6">
        <v>4292.3999999999996</v>
      </c>
      <c r="C291" s="6">
        <v>4371.2</v>
      </c>
      <c r="D291" s="6">
        <v>4273.1000000000004</v>
      </c>
      <c r="E291" s="6">
        <v>4371.1000000000004</v>
      </c>
      <c r="F291" s="8">
        <v>2110300000</v>
      </c>
      <c r="G291" s="8">
        <v>15825400000</v>
      </c>
      <c r="H291">
        <f t="shared" si="4"/>
        <v>144575.64331547264</v>
      </c>
    </row>
    <row r="292" spans="1:8" x14ac:dyDescent="0.3">
      <c r="A292" s="7">
        <v>38562</v>
      </c>
      <c r="B292" s="6">
        <v>4371.1000000000004</v>
      </c>
      <c r="C292" s="6">
        <v>4398.8</v>
      </c>
      <c r="D292" s="6">
        <v>4365.3</v>
      </c>
      <c r="E292" s="6">
        <v>4388.8</v>
      </c>
      <c r="F292" s="8">
        <v>2153500000</v>
      </c>
      <c r="G292" s="8">
        <v>16430200000</v>
      </c>
      <c r="H292">
        <f t="shared" si="4"/>
        <v>145161.07693325396</v>
      </c>
    </row>
    <row r="293" spans="1:8" x14ac:dyDescent="0.3">
      <c r="A293" s="7">
        <v>38569</v>
      </c>
      <c r="B293" s="6">
        <v>4388.8</v>
      </c>
      <c r="C293" s="6">
        <v>4399.2</v>
      </c>
      <c r="D293" s="6">
        <v>4361.3999999999996</v>
      </c>
      <c r="E293" s="6">
        <v>4377.3</v>
      </c>
      <c r="F293" s="8">
        <v>2211400000</v>
      </c>
      <c r="G293" s="8">
        <v>14697900000</v>
      </c>
      <c r="H293">
        <f t="shared" si="4"/>
        <v>144780.71045842429</v>
      </c>
    </row>
    <row r="294" spans="1:8" x14ac:dyDescent="0.3">
      <c r="A294" s="7">
        <v>38576</v>
      </c>
      <c r="B294" s="6">
        <v>4377.3</v>
      </c>
      <c r="C294" s="6">
        <v>4472</v>
      </c>
      <c r="D294" s="6">
        <v>4374.2</v>
      </c>
      <c r="E294" s="6">
        <v>4469.2</v>
      </c>
      <c r="F294" s="8">
        <v>2533400000</v>
      </c>
      <c r="G294" s="8">
        <v>18659600000</v>
      </c>
      <c r="H294">
        <f t="shared" si="4"/>
        <v>147820.33472249785</v>
      </c>
    </row>
    <row r="295" spans="1:8" x14ac:dyDescent="0.3">
      <c r="A295" s="7">
        <v>38583</v>
      </c>
      <c r="B295" s="6">
        <v>4469.2</v>
      </c>
      <c r="C295" s="6">
        <v>4484.8999999999996</v>
      </c>
      <c r="D295" s="6">
        <v>4434.7</v>
      </c>
      <c r="E295" s="6">
        <v>4461.6000000000004</v>
      </c>
      <c r="F295" s="8">
        <v>2340300000</v>
      </c>
      <c r="G295" s="8">
        <v>16886500000</v>
      </c>
      <c r="H295">
        <f t="shared" si="4"/>
        <v>147568.96209565393</v>
      </c>
    </row>
    <row r="296" spans="1:8" x14ac:dyDescent="0.3">
      <c r="A296" s="7">
        <v>38590</v>
      </c>
      <c r="B296" s="6">
        <v>4461.6000000000004</v>
      </c>
      <c r="C296" s="6">
        <v>4502.2</v>
      </c>
      <c r="D296" s="6">
        <v>4416.3999999999996</v>
      </c>
      <c r="E296" s="6">
        <v>4452.3999999999996</v>
      </c>
      <c r="F296" s="8">
        <v>2718700000</v>
      </c>
      <c r="G296" s="8">
        <v>20694200000</v>
      </c>
      <c r="H296">
        <f t="shared" si="4"/>
        <v>147264.66891579019</v>
      </c>
    </row>
    <row r="297" spans="1:8" x14ac:dyDescent="0.3">
      <c r="A297" s="7">
        <v>38597</v>
      </c>
      <c r="B297" s="6">
        <v>4452.5</v>
      </c>
      <c r="C297" s="6">
        <v>4514.3</v>
      </c>
      <c r="D297" s="6">
        <v>4392</v>
      </c>
      <c r="E297" s="6">
        <v>4473.7</v>
      </c>
      <c r="F297" s="8">
        <v>2357100000</v>
      </c>
      <c r="G297" s="8">
        <v>17429900000</v>
      </c>
      <c r="H297">
        <f t="shared" si="4"/>
        <v>147969.173777866</v>
      </c>
    </row>
    <row r="298" spans="1:8" x14ac:dyDescent="0.3">
      <c r="A298" s="7">
        <v>38604</v>
      </c>
      <c r="B298" s="6">
        <v>4473.7</v>
      </c>
      <c r="C298" s="6">
        <v>4502.8999999999996</v>
      </c>
      <c r="D298" s="6">
        <v>4440.8999999999996</v>
      </c>
      <c r="E298" s="6">
        <v>4468.1000000000004</v>
      </c>
      <c r="F298" s="8">
        <v>2408700000</v>
      </c>
      <c r="G298" s="8">
        <v>16099800000</v>
      </c>
      <c r="H298">
        <f t="shared" si="4"/>
        <v>147783.95184229678</v>
      </c>
    </row>
    <row r="299" spans="1:8" x14ac:dyDescent="0.3">
      <c r="A299" s="7">
        <v>38611</v>
      </c>
      <c r="B299" s="6">
        <v>4468.1000000000004</v>
      </c>
      <c r="C299" s="6">
        <v>4560.8999999999996</v>
      </c>
      <c r="D299" s="6">
        <v>4465</v>
      </c>
      <c r="E299" s="6">
        <v>4553.6000000000004</v>
      </c>
      <c r="F299" s="8">
        <v>2706800000</v>
      </c>
      <c r="G299" s="8">
        <v>20529200000</v>
      </c>
      <c r="H299">
        <f t="shared" si="4"/>
        <v>150611.89389429125</v>
      </c>
    </row>
    <row r="300" spans="1:8" x14ac:dyDescent="0.3">
      <c r="A300" s="7">
        <v>38618</v>
      </c>
      <c r="B300" s="6">
        <v>4553.6000000000004</v>
      </c>
      <c r="C300" s="6">
        <v>4584.8</v>
      </c>
      <c r="D300" s="6">
        <v>4537.5</v>
      </c>
      <c r="E300" s="6">
        <v>4562.3999999999996</v>
      </c>
      <c r="F300" s="8">
        <v>2236800000</v>
      </c>
      <c r="G300" s="8">
        <v>16089700000</v>
      </c>
      <c r="H300">
        <f t="shared" si="4"/>
        <v>150902.95693590003</v>
      </c>
    </row>
    <row r="301" spans="1:8" x14ac:dyDescent="0.3">
      <c r="A301" s="7">
        <v>38625</v>
      </c>
      <c r="B301" s="6">
        <v>4562.3999999999996</v>
      </c>
      <c r="C301" s="6">
        <v>4679.1000000000004</v>
      </c>
      <c r="D301" s="6">
        <v>4562.3999999999996</v>
      </c>
      <c r="E301" s="6">
        <v>4641.2</v>
      </c>
      <c r="F301" s="8">
        <v>2826700000</v>
      </c>
      <c r="G301" s="8">
        <v>22714400000</v>
      </c>
      <c r="H301">
        <f t="shared" si="4"/>
        <v>153509.29417212418</v>
      </c>
    </row>
    <row r="302" spans="1:8" x14ac:dyDescent="0.3">
      <c r="A302" s="7">
        <v>38632</v>
      </c>
      <c r="B302" s="6">
        <v>4641.2</v>
      </c>
      <c r="C302" s="6">
        <v>4654.3</v>
      </c>
      <c r="D302" s="6">
        <v>4421.5</v>
      </c>
      <c r="E302" s="6">
        <v>4440.6000000000004</v>
      </c>
      <c r="F302" s="8">
        <v>2212200000</v>
      </c>
      <c r="G302" s="8">
        <v>15990300000</v>
      </c>
      <c r="H302">
        <f t="shared" si="4"/>
        <v>146874.3798372694</v>
      </c>
    </row>
    <row r="303" spans="1:8" x14ac:dyDescent="0.3">
      <c r="A303" s="7">
        <v>38639</v>
      </c>
      <c r="B303" s="6">
        <v>4440.6000000000004</v>
      </c>
      <c r="C303" s="6">
        <v>4479.8</v>
      </c>
      <c r="D303" s="6">
        <v>4393.2</v>
      </c>
      <c r="E303" s="6">
        <v>4406.1000000000004</v>
      </c>
      <c r="F303" s="8">
        <v>2168300000</v>
      </c>
      <c r="G303" s="8">
        <v>14912800000</v>
      </c>
      <c r="H303">
        <f t="shared" si="4"/>
        <v>145733.28041278041</v>
      </c>
    </row>
    <row r="304" spans="1:8" x14ac:dyDescent="0.3">
      <c r="A304" s="7">
        <v>38646</v>
      </c>
      <c r="B304" s="6">
        <v>4406.1000000000004</v>
      </c>
      <c r="C304" s="6">
        <v>4461.3</v>
      </c>
      <c r="D304" s="6">
        <v>4311.1000000000004</v>
      </c>
      <c r="E304" s="6">
        <v>4364.3</v>
      </c>
      <c r="F304" s="8">
        <v>2334000000</v>
      </c>
      <c r="G304" s="8">
        <v>16420500000</v>
      </c>
      <c r="H304">
        <f t="shared" si="4"/>
        <v>144350.73096513867</v>
      </c>
    </row>
    <row r="305" spans="1:8" x14ac:dyDescent="0.3">
      <c r="A305" s="7">
        <v>38653</v>
      </c>
      <c r="B305" s="6">
        <v>4364.3</v>
      </c>
      <c r="C305" s="6">
        <v>4453.8</v>
      </c>
      <c r="D305" s="6">
        <v>4337.7</v>
      </c>
      <c r="E305" s="6">
        <v>4383</v>
      </c>
      <c r="F305" s="8">
        <v>2467700000</v>
      </c>
      <c r="G305" s="8">
        <v>20156800000</v>
      </c>
      <c r="H305">
        <f t="shared" si="4"/>
        <v>144969.23992855733</v>
      </c>
    </row>
    <row r="306" spans="1:8" x14ac:dyDescent="0.3">
      <c r="A306" s="7">
        <v>38660</v>
      </c>
      <c r="B306" s="6">
        <v>4383</v>
      </c>
      <c r="C306" s="6">
        <v>4533.5</v>
      </c>
      <c r="D306" s="6">
        <v>4383</v>
      </c>
      <c r="E306" s="6">
        <v>4519.5</v>
      </c>
      <c r="F306" s="8">
        <v>1919400000</v>
      </c>
      <c r="G306" s="8">
        <v>14668200000</v>
      </c>
      <c r="H306">
        <f t="shared" si="4"/>
        <v>149484.02460805723</v>
      </c>
    </row>
    <row r="307" spans="1:8" x14ac:dyDescent="0.3">
      <c r="A307" s="7">
        <v>38667</v>
      </c>
      <c r="B307" s="6">
        <v>4519.5</v>
      </c>
      <c r="C307" s="6">
        <v>4583.1000000000004</v>
      </c>
      <c r="D307" s="6">
        <v>4497.3999999999996</v>
      </c>
      <c r="E307" s="6">
        <v>4574.3</v>
      </c>
      <c r="F307" s="8">
        <v>2132200000</v>
      </c>
      <c r="G307" s="8">
        <v>15818900000</v>
      </c>
      <c r="H307">
        <f t="shared" si="4"/>
        <v>151296.55354898467</v>
      </c>
    </row>
    <row r="308" spans="1:8" x14ac:dyDescent="0.3">
      <c r="A308" s="7">
        <v>38674</v>
      </c>
      <c r="B308" s="6">
        <v>4574.3</v>
      </c>
      <c r="C308" s="6">
        <v>4671.1000000000004</v>
      </c>
      <c r="D308" s="6">
        <v>4574.3</v>
      </c>
      <c r="E308" s="6">
        <v>4671.1000000000004</v>
      </c>
      <c r="F308" s="8">
        <v>2420000000</v>
      </c>
      <c r="G308" s="8">
        <v>16346900000</v>
      </c>
      <c r="H308">
        <f t="shared" si="4"/>
        <v>154498.24700668131</v>
      </c>
    </row>
    <row r="309" spans="1:8" x14ac:dyDescent="0.3">
      <c r="A309" s="7">
        <v>38681</v>
      </c>
      <c r="B309" s="6">
        <v>4671.1000000000004</v>
      </c>
      <c r="C309" s="6">
        <v>4680.1000000000004</v>
      </c>
      <c r="D309" s="6">
        <v>4614</v>
      </c>
      <c r="E309" s="6">
        <v>4648.8</v>
      </c>
      <c r="F309" s="8">
        <v>2614800000</v>
      </c>
      <c r="G309" s="8">
        <v>18986300000</v>
      </c>
      <c r="H309">
        <f t="shared" si="4"/>
        <v>153760.66679896813</v>
      </c>
    </row>
    <row r="310" spans="1:8" x14ac:dyDescent="0.3">
      <c r="A310" s="7">
        <v>38688</v>
      </c>
      <c r="B310" s="6">
        <v>4648.8</v>
      </c>
      <c r="C310" s="6">
        <v>4677.6000000000004</v>
      </c>
      <c r="D310" s="6">
        <v>4577.3999999999996</v>
      </c>
      <c r="E310" s="6">
        <v>4623.5</v>
      </c>
      <c r="F310" s="8">
        <v>2945500000</v>
      </c>
      <c r="G310" s="8">
        <v>18888300000</v>
      </c>
      <c r="H310">
        <f t="shared" si="4"/>
        <v>152923.86055434286</v>
      </c>
    </row>
    <row r="311" spans="1:8" x14ac:dyDescent="0.3">
      <c r="A311" s="7">
        <v>38695</v>
      </c>
      <c r="B311" s="6">
        <v>4623.5</v>
      </c>
      <c r="C311" s="6">
        <v>4636.2</v>
      </c>
      <c r="D311" s="6">
        <v>4549.3</v>
      </c>
      <c r="E311" s="6">
        <v>4580.1000000000004</v>
      </c>
      <c r="F311" s="8">
        <v>2041200000</v>
      </c>
      <c r="G311" s="8">
        <v>14372500000</v>
      </c>
      <c r="H311">
        <f t="shared" si="4"/>
        <v>151488.39055368135</v>
      </c>
    </row>
    <row r="312" spans="1:8" x14ac:dyDescent="0.3">
      <c r="A312" s="7">
        <v>38702</v>
      </c>
      <c r="B312" s="6">
        <v>4580.1000000000004</v>
      </c>
      <c r="C312" s="6">
        <v>4645.6000000000004</v>
      </c>
      <c r="D312" s="6">
        <v>4580.1000000000004</v>
      </c>
      <c r="E312" s="6">
        <v>4644</v>
      </c>
      <c r="F312" s="8">
        <v>2038900000</v>
      </c>
      <c r="G312" s="8">
        <v>14876300000</v>
      </c>
      <c r="H312">
        <f t="shared" si="4"/>
        <v>153601.90513990878</v>
      </c>
    </row>
    <row r="313" spans="1:8" x14ac:dyDescent="0.3">
      <c r="A313" s="7">
        <v>38709</v>
      </c>
      <c r="B313" s="6">
        <v>4644</v>
      </c>
      <c r="C313" s="6">
        <v>4732.8999999999996</v>
      </c>
      <c r="D313" s="6">
        <v>4638.2</v>
      </c>
      <c r="E313" s="6">
        <v>4727.7</v>
      </c>
      <c r="F313" s="8">
        <v>1874800000</v>
      </c>
      <c r="G313" s="8">
        <v>17007000000</v>
      </c>
      <c r="H313">
        <f t="shared" si="4"/>
        <v>156370.31156975596</v>
      </c>
    </row>
    <row r="314" spans="1:8" x14ac:dyDescent="0.3">
      <c r="A314" s="7">
        <v>38716</v>
      </c>
      <c r="B314" s="6">
        <v>4727.7</v>
      </c>
      <c r="C314" s="6">
        <v>4775.8</v>
      </c>
      <c r="D314" s="6">
        <v>4723.1000000000004</v>
      </c>
      <c r="E314" s="6">
        <v>4763.3999999999996</v>
      </c>
      <c r="F314" s="8">
        <v>546600000</v>
      </c>
      <c r="G314" s="8">
        <v>3747600000</v>
      </c>
      <c r="H314">
        <f t="shared" si="4"/>
        <v>157551.10140900977</v>
      </c>
    </row>
    <row r="315" spans="1:8" x14ac:dyDescent="0.3">
      <c r="A315" s="7">
        <v>38723</v>
      </c>
      <c r="B315" s="6">
        <v>4763.3999999999996</v>
      </c>
      <c r="C315" s="6">
        <v>4831</v>
      </c>
      <c r="D315" s="6">
        <v>4751.1000000000004</v>
      </c>
      <c r="E315" s="6">
        <v>4791.1000000000004</v>
      </c>
      <c r="F315" s="8">
        <v>1172600000</v>
      </c>
      <c r="G315" s="8">
        <v>8720900000</v>
      </c>
      <c r="H315">
        <f t="shared" si="4"/>
        <v>158467.28848316474</v>
      </c>
    </row>
    <row r="316" spans="1:8" x14ac:dyDescent="0.3">
      <c r="A316" s="7">
        <v>38730</v>
      </c>
      <c r="B316" s="6">
        <v>4791.1000000000004</v>
      </c>
      <c r="C316" s="6">
        <v>4857.8</v>
      </c>
      <c r="D316" s="6">
        <v>4791.1000000000004</v>
      </c>
      <c r="E316" s="6">
        <v>4836.7</v>
      </c>
      <c r="F316" s="8">
        <v>1891800000</v>
      </c>
      <c r="G316" s="8">
        <v>14192600000</v>
      </c>
      <c r="H316">
        <f t="shared" si="4"/>
        <v>159975.52424422844</v>
      </c>
    </row>
    <row r="317" spans="1:8" x14ac:dyDescent="0.3">
      <c r="A317" s="7">
        <v>38737</v>
      </c>
      <c r="B317" s="6">
        <v>4836.7</v>
      </c>
      <c r="C317" s="6">
        <v>4869.3</v>
      </c>
      <c r="D317" s="6">
        <v>4778</v>
      </c>
      <c r="E317" s="6">
        <v>4854.3999999999996</v>
      </c>
      <c r="F317" s="8">
        <v>2335700000</v>
      </c>
      <c r="G317" s="8">
        <v>17252600000</v>
      </c>
      <c r="H317">
        <f t="shared" si="4"/>
        <v>160560.95786200976</v>
      </c>
    </row>
    <row r="318" spans="1:8" x14ac:dyDescent="0.3">
      <c r="A318" s="7">
        <v>38744</v>
      </c>
      <c r="B318" s="6">
        <v>4854.3999999999996</v>
      </c>
      <c r="C318" s="6">
        <v>4923.1000000000004</v>
      </c>
      <c r="D318" s="6">
        <v>4773</v>
      </c>
      <c r="E318" s="6">
        <v>4919.3</v>
      </c>
      <c r="F318" s="8">
        <v>1864100000</v>
      </c>
      <c r="G318" s="8">
        <v>16355800000</v>
      </c>
      <c r="H318">
        <f t="shared" si="4"/>
        <v>162707.54779387458</v>
      </c>
    </row>
    <row r="319" spans="1:8" x14ac:dyDescent="0.3">
      <c r="A319" s="7">
        <v>38751</v>
      </c>
      <c r="B319" s="6">
        <v>4919.3</v>
      </c>
      <c r="C319" s="6">
        <v>4982.6000000000004</v>
      </c>
      <c r="D319" s="6">
        <v>4844.8999999999996</v>
      </c>
      <c r="E319" s="6">
        <v>4883.8</v>
      </c>
      <c r="F319" s="8">
        <v>2495400000</v>
      </c>
      <c r="G319" s="8">
        <v>20304600000</v>
      </c>
      <c r="H319">
        <f t="shared" si="4"/>
        <v>161533.37302374822</v>
      </c>
    </row>
    <row r="320" spans="1:8" x14ac:dyDescent="0.3">
      <c r="A320" s="7">
        <v>38758</v>
      </c>
      <c r="B320" s="6">
        <v>4883.8</v>
      </c>
      <c r="C320" s="6">
        <v>4923.7</v>
      </c>
      <c r="D320" s="6">
        <v>4824.8999999999996</v>
      </c>
      <c r="E320" s="6">
        <v>4871.5</v>
      </c>
      <c r="F320" s="8">
        <v>2399100000</v>
      </c>
      <c r="G320" s="8">
        <v>19105700000</v>
      </c>
      <c r="H320">
        <f t="shared" si="4"/>
        <v>161126.54627240868</v>
      </c>
    </row>
    <row r="321" spans="1:8" x14ac:dyDescent="0.3">
      <c r="A321" s="7">
        <v>38765</v>
      </c>
      <c r="B321" s="6">
        <v>4871.5</v>
      </c>
      <c r="C321" s="6">
        <v>4895.6000000000004</v>
      </c>
      <c r="D321" s="6">
        <v>4790.8</v>
      </c>
      <c r="E321" s="6">
        <v>4799.8999999999996</v>
      </c>
      <c r="F321" s="8">
        <v>2503800000</v>
      </c>
      <c r="G321" s="8">
        <v>19997200000</v>
      </c>
      <c r="H321">
        <f t="shared" si="4"/>
        <v>158758.35152477355</v>
      </c>
    </row>
    <row r="322" spans="1:8" x14ac:dyDescent="0.3">
      <c r="A322" s="7">
        <v>38772</v>
      </c>
      <c r="B322" s="6">
        <v>4799.8999999999996</v>
      </c>
      <c r="C322" s="6">
        <v>4929.2</v>
      </c>
      <c r="D322" s="6">
        <v>4799.8999999999996</v>
      </c>
      <c r="E322" s="6">
        <v>4893.3999999999996</v>
      </c>
      <c r="F322" s="8">
        <v>2836200000</v>
      </c>
      <c r="G322" s="8">
        <v>25517800000</v>
      </c>
      <c r="H322">
        <f t="shared" si="4"/>
        <v>161850.8963418669</v>
      </c>
    </row>
    <row r="323" spans="1:8" x14ac:dyDescent="0.3">
      <c r="A323" s="7">
        <v>38779</v>
      </c>
      <c r="B323" s="6">
        <v>4893.3999999999996</v>
      </c>
      <c r="C323" s="6">
        <v>4939.5</v>
      </c>
      <c r="D323" s="6">
        <v>4849.1000000000004</v>
      </c>
      <c r="E323" s="6">
        <v>4898.5</v>
      </c>
      <c r="F323" s="8">
        <v>2694600000</v>
      </c>
      <c r="G323" s="8">
        <v>20206000000</v>
      </c>
      <c r="H323">
        <f t="shared" si="4"/>
        <v>162019.58060461745</v>
      </c>
    </row>
    <row r="324" spans="1:8" x14ac:dyDescent="0.3">
      <c r="A324" s="7">
        <v>38786</v>
      </c>
      <c r="B324" s="6">
        <v>4898.5</v>
      </c>
      <c r="C324" s="6">
        <v>4904.8</v>
      </c>
      <c r="D324" s="6">
        <v>4844.8</v>
      </c>
      <c r="E324" s="6">
        <v>4888.1000000000004</v>
      </c>
      <c r="F324" s="8">
        <v>2293200000</v>
      </c>
      <c r="G324" s="8">
        <v>16977300000</v>
      </c>
      <c r="H324">
        <f t="shared" ref="H324:H387" si="5">H323*(E324/E323)</f>
        <v>161675.59700998891</v>
      </c>
    </row>
    <row r="325" spans="1:8" x14ac:dyDescent="0.3">
      <c r="A325" s="7">
        <v>38793</v>
      </c>
      <c r="B325" s="6">
        <v>4888.1000000000004</v>
      </c>
      <c r="C325" s="6">
        <v>4997.8</v>
      </c>
      <c r="D325" s="6">
        <v>4888.1000000000004</v>
      </c>
      <c r="E325" s="6">
        <v>4971.7</v>
      </c>
      <c r="F325" s="8">
        <v>2738700000</v>
      </c>
      <c r="G325" s="8">
        <v>20888100000</v>
      </c>
      <c r="H325">
        <f t="shared" si="5"/>
        <v>164440.69590527235</v>
      </c>
    </row>
    <row r="326" spans="1:8" x14ac:dyDescent="0.3">
      <c r="A326" s="7">
        <v>38800</v>
      </c>
      <c r="B326" s="6">
        <v>4971.7</v>
      </c>
      <c r="C326" s="6">
        <v>5051.8999999999996</v>
      </c>
      <c r="D326" s="6">
        <v>4971.7</v>
      </c>
      <c r="E326" s="6">
        <v>5040.1000000000004</v>
      </c>
      <c r="F326" s="8">
        <v>2541800000</v>
      </c>
      <c r="G326" s="8">
        <v>17580000000</v>
      </c>
      <c r="H326">
        <f t="shared" si="5"/>
        <v>166703.04954686793</v>
      </c>
    </row>
    <row r="327" spans="1:8" x14ac:dyDescent="0.3">
      <c r="A327" s="7">
        <v>38807</v>
      </c>
      <c r="B327" s="6">
        <v>5040.1000000000004</v>
      </c>
      <c r="C327" s="6">
        <v>5139.5</v>
      </c>
      <c r="D327" s="6">
        <v>5040.1000000000004</v>
      </c>
      <c r="E327" s="6">
        <v>5129.7</v>
      </c>
      <c r="F327" s="8">
        <v>3236100000</v>
      </c>
      <c r="G327" s="8">
        <v>25623900000</v>
      </c>
      <c r="H327">
        <f t="shared" si="5"/>
        <v>169666.60051597556</v>
      </c>
    </row>
    <row r="328" spans="1:8" x14ac:dyDescent="0.3">
      <c r="A328" s="7">
        <v>38814</v>
      </c>
      <c r="B328" s="6">
        <v>5129.7</v>
      </c>
      <c r="C328" s="6">
        <v>5248.8</v>
      </c>
      <c r="D328" s="6">
        <v>5122.1000000000004</v>
      </c>
      <c r="E328" s="6">
        <v>5232.8999999999996</v>
      </c>
      <c r="F328" s="8">
        <v>2533800000</v>
      </c>
      <c r="G328" s="8">
        <v>21342300000</v>
      </c>
      <c r="H328">
        <f t="shared" si="5"/>
        <v>173079.97618575129</v>
      </c>
    </row>
    <row r="329" spans="1:8" x14ac:dyDescent="0.3">
      <c r="A329" s="7">
        <v>38820</v>
      </c>
      <c r="B329" s="6">
        <v>5232.8999999999996</v>
      </c>
      <c r="C329" s="6">
        <v>5239.8</v>
      </c>
      <c r="D329" s="6">
        <v>5158.8999999999996</v>
      </c>
      <c r="E329" s="6">
        <v>5175.7</v>
      </c>
      <c r="F329" s="8">
        <v>1658700000</v>
      </c>
      <c r="G329" s="8">
        <v>13390300000</v>
      </c>
      <c r="H329">
        <f t="shared" si="5"/>
        <v>171188.06641529419</v>
      </c>
    </row>
    <row r="330" spans="1:8" x14ac:dyDescent="0.3">
      <c r="A330" s="7">
        <v>38828</v>
      </c>
      <c r="B330" s="6">
        <v>5175.7</v>
      </c>
      <c r="C330" s="6">
        <v>5301.8</v>
      </c>
      <c r="D330" s="6">
        <v>5175.7</v>
      </c>
      <c r="E330" s="6">
        <v>5250.1</v>
      </c>
      <c r="F330" s="8">
        <v>2347400000</v>
      </c>
      <c r="G330" s="8">
        <v>18679200000</v>
      </c>
      <c r="H330">
        <f t="shared" si="5"/>
        <v>173648.87213071392</v>
      </c>
    </row>
    <row r="331" spans="1:8" x14ac:dyDescent="0.3">
      <c r="A331" s="7">
        <v>38835</v>
      </c>
      <c r="B331" s="6">
        <v>5250.1</v>
      </c>
      <c r="C331" s="6">
        <v>5336.6</v>
      </c>
      <c r="D331" s="6">
        <v>5246.6</v>
      </c>
      <c r="E331" s="6">
        <v>5258.8</v>
      </c>
      <c r="F331" s="8">
        <v>2325200000</v>
      </c>
      <c r="G331" s="8">
        <v>19943700000</v>
      </c>
      <c r="H331">
        <f t="shared" si="5"/>
        <v>173936.62763775897</v>
      </c>
    </row>
    <row r="332" spans="1:8" x14ac:dyDescent="0.3">
      <c r="A332" s="7">
        <v>38842</v>
      </c>
      <c r="B332" s="6">
        <v>5258.8</v>
      </c>
      <c r="C332" s="6">
        <v>5315.7</v>
      </c>
      <c r="D332" s="6">
        <v>5189.2</v>
      </c>
      <c r="E332" s="6">
        <v>5255.4</v>
      </c>
      <c r="F332" s="8">
        <v>2473500000</v>
      </c>
      <c r="G332" s="8">
        <v>19073300000</v>
      </c>
      <c r="H332">
        <f t="shared" si="5"/>
        <v>173824.17146259191</v>
      </c>
    </row>
    <row r="333" spans="1:8" x14ac:dyDescent="0.3">
      <c r="A333" s="7">
        <v>38849</v>
      </c>
      <c r="B333" s="6">
        <v>5255.4</v>
      </c>
      <c r="C333" s="6">
        <v>5406.7</v>
      </c>
      <c r="D333" s="6">
        <v>5255.4</v>
      </c>
      <c r="E333" s="6">
        <v>5329.5</v>
      </c>
      <c r="F333" s="8">
        <v>2529000000</v>
      </c>
      <c r="G333" s="8">
        <v>19976200000</v>
      </c>
      <c r="H333">
        <f t="shared" si="5"/>
        <v>176275.05457432041</v>
      </c>
    </row>
    <row r="334" spans="1:8" x14ac:dyDescent="0.3">
      <c r="A334" s="7">
        <v>38856</v>
      </c>
      <c r="B334" s="6">
        <v>5329.5</v>
      </c>
      <c r="C334" s="6">
        <v>5329.5</v>
      </c>
      <c r="D334" s="6">
        <v>5096</v>
      </c>
      <c r="E334" s="6">
        <v>5100.8999999999996</v>
      </c>
      <c r="F334" s="8">
        <v>2875600000</v>
      </c>
      <c r="G334" s="8">
        <v>22764100000</v>
      </c>
      <c r="H334">
        <f t="shared" si="5"/>
        <v>168714.03056161947</v>
      </c>
    </row>
    <row r="335" spans="1:8" x14ac:dyDescent="0.3">
      <c r="A335" s="7">
        <v>38863</v>
      </c>
      <c r="B335" s="6">
        <v>5100.8999999999996</v>
      </c>
      <c r="C335" s="6">
        <v>5105.3999999999996</v>
      </c>
      <c r="D335" s="6">
        <v>4976.8</v>
      </c>
      <c r="E335" s="6">
        <v>5053.7</v>
      </c>
      <c r="F335" s="8">
        <v>2925000000</v>
      </c>
      <c r="G335" s="8">
        <v>25150900000</v>
      </c>
      <c r="H335">
        <f t="shared" si="5"/>
        <v>167152.874247536</v>
      </c>
    </row>
    <row r="336" spans="1:8" x14ac:dyDescent="0.3">
      <c r="A336" s="7">
        <v>38870</v>
      </c>
      <c r="B336" s="6">
        <v>5053.7</v>
      </c>
      <c r="C336" s="6">
        <v>5110.7</v>
      </c>
      <c r="D336" s="6">
        <v>5001.7</v>
      </c>
      <c r="E336" s="6">
        <v>5077.2</v>
      </c>
      <c r="F336" s="8">
        <v>2430100000</v>
      </c>
      <c r="G336" s="8">
        <v>18821900000</v>
      </c>
      <c r="H336">
        <f t="shared" si="5"/>
        <v>167930.14487001399</v>
      </c>
    </row>
    <row r="337" spans="1:8" x14ac:dyDescent="0.3">
      <c r="A337" s="7">
        <v>38877</v>
      </c>
      <c r="B337" s="6">
        <v>5077.2</v>
      </c>
      <c r="C337" s="6">
        <v>5120</v>
      </c>
      <c r="D337" s="6">
        <v>4903.8999999999996</v>
      </c>
      <c r="E337" s="6">
        <v>4966</v>
      </c>
      <c r="F337" s="8">
        <v>2812200000</v>
      </c>
      <c r="G337" s="8">
        <v>22049000000</v>
      </c>
      <c r="H337">
        <f t="shared" si="5"/>
        <v>164252.16643513934</v>
      </c>
    </row>
    <row r="338" spans="1:8" x14ac:dyDescent="0.3">
      <c r="A338" s="7">
        <v>38884</v>
      </c>
      <c r="B338" s="6">
        <v>4966</v>
      </c>
      <c r="C338" s="6">
        <v>4976.6000000000004</v>
      </c>
      <c r="D338" s="6">
        <v>4758.3</v>
      </c>
      <c r="E338" s="6">
        <v>4969</v>
      </c>
      <c r="F338" s="8">
        <v>2763800000</v>
      </c>
      <c r="G338" s="8">
        <v>20903800000</v>
      </c>
      <c r="H338">
        <f t="shared" si="5"/>
        <v>164351.39247205143</v>
      </c>
    </row>
    <row r="339" spans="1:8" x14ac:dyDescent="0.3">
      <c r="A339" s="7">
        <v>38891</v>
      </c>
      <c r="B339" s="6">
        <v>4969</v>
      </c>
      <c r="C339" s="6">
        <v>5011.8</v>
      </c>
      <c r="D339" s="6">
        <v>4843</v>
      </c>
      <c r="E339" s="6">
        <v>4964.8999999999996</v>
      </c>
      <c r="F339" s="8">
        <v>2487100000</v>
      </c>
      <c r="G339" s="8">
        <v>17313200000</v>
      </c>
      <c r="H339">
        <f t="shared" si="5"/>
        <v>164215.78355493824</v>
      </c>
    </row>
    <row r="340" spans="1:8" x14ac:dyDescent="0.3">
      <c r="A340" s="7">
        <v>38898</v>
      </c>
      <c r="B340" s="6">
        <v>4964.8999999999996</v>
      </c>
      <c r="C340" s="6">
        <v>5113.1000000000004</v>
      </c>
      <c r="D340" s="6">
        <v>4922.6000000000004</v>
      </c>
      <c r="E340" s="6">
        <v>5073.8999999999996</v>
      </c>
      <c r="F340" s="8">
        <v>2767200000</v>
      </c>
      <c r="G340" s="8">
        <v>23771500000</v>
      </c>
      <c r="H340">
        <f t="shared" si="5"/>
        <v>167820.9962294107</v>
      </c>
    </row>
    <row r="341" spans="1:8" x14ac:dyDescent="0.3">
      <c r="A341" s="7">
        <v>38905</v>
      </c>
      <c r="B341" s="6">
        <v>5073.8999999999996</v>
      </c>
      <c r="C341" s="6">
        <v>5146.6000000000004</v>
      </c>
      <c r="D341" s="6">
        <v>5053.5</v>
      </c>
      <c r="E341" s="6">
        <v>5135.3</v>
      </c>
      <c r="F341" s="8">
        <v>2418000000</v>
      </c>
      <c r="G341" s="8">
        <v>17117500000</v>
      </c>
      <c r="H341">
        <f t="shared" si="5"/>
        <v>169851.82245154472</v>
      </c>
    </row>
    <row r="342" spans="1:8" x14ac:dyDescent="0.3">
      <c r="A342" s="7">
        <v>38912</v>
      </c>
      <c r="B342" s="6">
        <v>5135.3</v>
      </c>
      <c r="C342" s="6">
        <v>5142.8</v>
      </c>
      <c r="D342" s="6">
        <v>4966.1000000000004</v>
      </c>
      <c r="E342" s="6">
        <v>4966.1000000000004</v>
      </c>
      <c r="F342" s="8">
        <v>2300000000</v>
      </c>
      <c r="G342" s="8">
        <v>17388000000</v>
      </c>
      <c r="H342">
        <f t="shared" si="5"/>
        <v>164255.4739697031</v>
      </c>
    </row>
    <row r="343" spans="1:8" x14ac:dyDescent="0.3">
      <c r="A343" s="7">
        <v>38919</v>
      </c>
      <c r="B343" s="6">
        <v>4966.1000000000004</v>
      </c>
      <c r="C343" s="6">
        <v>4996.5</v>
      </c>
      <c r="D343" s="6">
        <v>4899.8999999999996</v>
      </c>
      <c r="E343" s="6">
        <v>4960.6000000000004</v>
      </c>
      <c r="F343" s="8">
        <v>2203400000</v>
      </c>
      <c r="G343" s="8">
        <v>16715000000</v>
      </c>
      <c r="H343">
        <f t="shared" si="5"/>
        <v>164073.55956869762</v>
      </c>
    </row>
    <row r="344" spans="1:8" x14ac:dyDescent="0.3">
      <c r="A344" s="7">
        <v>38926</v>
      </c>
      <c r="B344" s="6">
        <v>4960.6000000000004</v>
      </c>
      <c r="C344" s="6">
        <v>5015.8999999999996</v>
      </c>
      <c r="D344" s="6">
        <v>4901.7</v>
      </c>
      <c r="E344" s="6">
        <v>4958.3</v>
      </c>
      <c r="F344" s="8">
        <v>2529600000</v>
      </c>
      <c r="G344" s="8">
        <v>19522600000</v>
      </c>
      <c r="H344">
        <f t="shared" si="5"/>
        <v>163997.48627373169</v>
      </c>
    </row>
    <row r="345" spans="1:8" x14ac:dyDescent="0.3">
      <c r="A345" s="7">
        <v>38933</v>
      </c>
      <c r="B345" s="6">
        <v>4958.3</v>
      </c>
      <c r="C345" s="6">
        <v>5027.1000000000004</v>
      </c>
      <c r="D345" s="6">
        <v>4919.5</v>
      </c>
      <c r="E345" s="6">
        <v>4956.1000000000004</v>
      </c>
      <c r="F345" s="8">
        <v>2463900000</v>
      </c>
      <c r="G345" s="8">
        <v>17928300000</v>
      </c>
      <c r="H345">
        <f t="shared" si="5"/>
        <v>163924.72051332949</v>
      </c>
    </row>
    <row r="346" spans="1:8" x14ac:dyDescent="0.3">
      <c r="A346" s="7">
        <v>38940</v>
      </c>
      <c r="B346" s="6">
        <v>4956.1000000000004</v>
      </c>
      <c r="C346" s="6">
        <v>5024.8</v>
      </c>
      <c r="D346" s="6">
        <v>4926.3</v>
      </c>
      <c r="E346" s="6">
        <v>4949.2</v>
      </c>
      <c r="F346" s="8">
        <v>2256100000</v>
      </c>
      <c r="G346" s="8">
        <v>17224100000</v>
      </c>
      <c r="H346">
        <f t="shared" si="5"/>
        <v>163696.50062843168</v>
      </c>
    </row>
    <row r="347" spans="1:8" x14ac:dyDescent="0.3">
      <c r="A347" s="7">
        <v>38947</v>
      </c>
      <c r="B347" s="6">
        <v>4949.2</v>
      </c>
      <c r="C347" s="6">
        <v>5059.1000000000004</v>
      </c>
      <c r="D347" s="6">
        <v>4927.3999999999996</v>
      </c>
      <c r="E347" s="6">
        <v>5052.5</v>
      </c>
      <c r="F347" s="8">
        <v>2878700000</v>
      </c>
      <c r="G347" s="8">
        <v>20241600000</v>
      </c>
      <c r="H347">
        <f t="shared" si="5"/>
        <v>167113.18383277117</v>
      </c>
    </row>
    <row r="348" spans="1:8" x14ac:dyDescent="0.3">
      <c r="A348" s="7">
        <v>38954</v>
      </c>
      <c r="B348" s="6">
        <v>5052.5</v>
      </c>
      <c r="C348" s="6">
        <v>5107.8</v>
      </c>
      <c r="D348" s="6">
        <v>4982.7</v>
      </c>
      <c r="E348" s="6">
        <v>5023.6000000000004</v>
      </c>
      <c r="F348" s="8">
        <v>3260900000</v>
      </c>
      <c r="G348" s="8">
        <v>24035800000</v>
      </c>
      <c r="H348">
        <f t="shared" si="5"/>
        <v>166157.30634385141</v>
      </c>
    </row>
    <row r="349" spans="1:8" x14ac:dyDescent="0.3">
      <c r="A349" s="7">
        <v>38961</v>
      </c>
      <c r="B349" s="6">
        <v>5023.6000000000004</v>
      </c>
      <c r="C349" s="6">
        <v>5121.3</v>
      </c>
      <c r="D349" s="6">
        <v>5014.3</v>
      </c>
      <c r="E349" s="6">
        <v>5097.1000000000004</v>
      </c>
      <c r="F349" s="8">
        <v>2675500000</v>
      </c>
      <c r="G349" s="8">
        <v>18831000000</v>
      </c>
      <c r="H349">
        <f t="shared" si="5"/>
        <v>168588.34424819751</v>
      </c>
    </row>
    <row r="350" spans="1:8" x14ac:dyDescent="0.3">
      <c r="A350" s="7">
        <v>38968</v>
      </c>
      <c r="B350" s="6">
        <v>5097.1000000000004</v>
      </c>
      <c r="C350" s="6">
        <v>5164.2</v>
      </c>
      <c r="D350" s="6">
        <v>5061.3999999999996</v>
      </c>
      <c r="E350" s="6">
        <v>5098.3</v>
      </c>
      <c r="F350" s="8">
        <v>2419500000</v>
      </c>
      <c r="G350" s="8">
        <v>17245900000</v>
      </c>
      <c r="H350">
        <f t="shared" si="5"/>
        <v>168628.03466296234</v>
      </c>
    </row>
    <row r="351" spans="1:8" x14ac:dyDescent="0.3">
      <c r="A351" s="7">
        <v>38975</v>
      </c>
      <c r="B351" s="6">
        <v>5098.3</v>
      </c>
      <c r="C351" s="6">
        <v>5099.5</v>
      </c>
      <c r="D351" s="6">
        <v>4961.3</v>
      </c>
      <c r="E351" s="6">
        <v>5036.3999999999996</v>
      </c>
      <c r="F351" s="8">
        <v>2776800000</v>
      </c>
      <c r="G351" s="8">
        <v>21603300000</v>
      </c>
      <c r="H351">
        <f t="shared" si="5"/>
        <v>166580.67076800962</v>
      </c>
    </row>
    <row r="352" spans="1:8" x14ac:dyDescent="0.3">
      <c r="A352" s="7">
        <v>38982</v>
      </c>
      <c r="B352" s="6">
        <v>5036.3999999999996</v>
      </c>
      <c r="C352" s="6">
        <v>5098.3999999999996</v>
      </c>
      <c r="D352" s="6">
        <v>4964.2</v>
      </c>
      <c r="E352" s="6">
        <v>4983.2</v>
      </c>
      <c r="F352" s="8">
        <v>3374000000</v>
      </c>
      <c r="G352" s="8">
        <v>24671100000</v>
      </c>
      <c r="H352">
        <f t="shared" si="5"/>
        <v>164821.06238010197</v>
      </c>
    </row>
    <row r="353" spans="1:8" x14ac:dyDescent="0.3">
      <c r="A353" s="7">
        <v>38989</v>
      </c>
      <c r="B353" s="6">
        <v>4983.2</v>
      </c>
      <c r="C353" s="6">
        <v>5155.3</v>
      </c>
      <c r="D353" s="6">
        <v>4963.3999999999996</v>
      </c>
      <c r="E353" s="6">
        <v>5154.1000000000004</v>
      </c>
      <c r="F353" s="8">
        <v>3274800000</v>
      </c>
      <c r="G353" s="8">
        <v>22947900000</v>
      </c>
      <c r="H353">
        <f t="shared" si="5"/>
        <v>170473.63894952714</v>
      </c>
    </row>
    <row r="354" spans="1:8" x14ac:dyDescent="0.3">
      <c r="A354" s="7">
        <v>38996</v>
      </c>
      <c r="B354" s="6">
        <v>5154.1000000000004</v>
      </c>
      <c r="C354" s="6">
        <v>5229.3</v>
      </c>
      <c r="D354" s="6">
        <v>5142.7</v>
      </c>
      <c r="E354" s="6">
        <v>5220.7</v>
      </c>
      <c r="F354" s="8">
        <v>2163700000</v>
      </c>
      <c r="G354" s="8">
        <v>16061500000</v>
      </c>
      <c r="H354">
        <f t="shared" si="5"/>
        <v>172676.45696897543</v>
      </c>
    </row>
    <row r="355" spans="1:8" x14ac:dyDescent="0.3">
      <c r="A355" s="7">
        <v>39003</v>
      </c>
      <c r="B355" s="6">
        <v>5220.7</v>
      </c>
      <c r="C355" s="6">
        <v>5314.5</v>
      </c>
      <c r="D355" s="6">
        <v>5173.1000000000004</v>
      </c>
      <c r="E355" s="6">
        <v>5290</v>
      </c>
      <c r="F355" s="8">
        <v>2658400000</v>
      </c>
      <c r="G355" s="8">
        <v>19283200000</v>
      </c>
      <c r="H355">
        <f t="shared" si="5"/>
        <v>174968.57842164463</v>
      </c>
    </row>
    <row r="356" spans="1:8" x14ac:dyDescent="0.3">
      <c r="A356" s="7">
        <v>39010</v>
      </c>
      <c r="B356" s="6">
        <v>5290</v>
      </c>
      <c r="C356" s="6">
        <v>5335.4</v>
      </c>
      <c r="D356" s="6">
        <v>5264.6</v>
      </c>
      <c r="E356" s="6">
        <v>5335.4</v>
      </c>
      <c r="F356" s="8">
        <v>3234200000</v>
      </c>
      <c r="G356" s="8">
        <v>23580600000</v>
      </c>
      <c r="H356">
        <f t="shared" si="5"/>
        <v>176470.19911358083</v>
      </c>
    </row>
    <row r="357" spans="1:8" x14ac:dyDescent="0.3">
      <c r="A357" s="7">
        <v>39017</v>
      </c>
      <c r="B357" s="6">
        <v>5335.4</v>
      </c>
      <c r="C357" s="6">
        <v>5391.1</v>
      </c>
      <c r="D357" s="6">
        <v>5315.9</v>
      </c>
      <c r="E357" s="6">
        <v>5358.5</v>
      </c>
      <c r="F357" s="8">
        <v>3219700000</v>
      </c>
      <c r="G357" s="8">
        <v>26396700000</v>
      </c>
      <c r="H357">
        <f t="shared" si="5"/>
        <v>177234.23959780391</v>
      </c>
    </row>
    <row r="358" spans="1:8" x14ac:dyDescent="0.3">
      <c r="A358" s="7">
        <v>39024</v>
      </c>
      <c r="B358" s="6">
        <v>5358.5</v>
      </c>
      <c r="C358" s="6">
        <v>5432.5</v>
      </c>
      <c r="D358" s="6">
        <v>5348.8</v>
      </c>
      <c r="E358" s="6">
        <v>5432</v>
      </c>
      <c r="F358" s="8">
        <v>2800700000</v>
      </c>
      <c r="G358" s="8">
        <v>22265100000</v>
      </c>
      <c r="H358">
        <f t="shared" si="5"/>
        <v>179665.27750215004</v>
      </c>
    </row>
    <row r="359" spans="1:8" x14ac:dyDescent="0.3">
      <c r="A359" s="7">
        <v>39031</v>
      </c>
      <c r="B359" s="6">
        <v>5432</v>
      </c>
      <c r="C359" s="6">
        <v>5496.3</v>
      </c>
      <c r="D359" s="6">
        <v>5406.3</v>
      </c>
      <c r="E359" s="6">
        <v>5436.7</v>
      </c>
      <c r="F359" s="8">
        <v>2513700000</v>
      </c>
      <c r="G359" s="8">
        <v>20879300000</v>
      </c>
      <c r="H359">
        <f t="shared" si="5"/>
        <v>179820.73162664563</v>
      </c>
    </row>
    <row r="360" spans="1:8" x14ac:dyDescent="0.3">
      <c r="A360" s="7">
        <v>39038</v>
      </c>
      <c r="B360" s="6">
        <v>5436.7</v>
      </c>
      <c r="C360" s="6">
        <v>5462</v>
      </c>
      <c r="D360" s="6">
        <v>5356.9</v>
      </c>
      <c r="E360" s="6">
        <v>5419.7</v>
      </c>
      <c r="F360" s="8">
        <v>2766000000</v>
      </c>
      <c r="G360" s="8">
        <v>22600800000</v>
      </c>
      <c r="H360">
        <f t="shared" si="5"/>
        <v>179258.45075081047</v>
      </c>
    </row>
    <row r="361" spans="1:8" x14ac:dyDescent="0.3">
      <c r="A361" s="7">
        <v>39045</v>
      </c>
      <c r="B361" s="6">
        <v>5419.7</v>
      </c>
      <c r="C361" s="6">
        <v>5473.8</v>
      </c>
      <c r="D361" s="6">
        <v>5322.4</v>
      </c>
      <c r="E361" s="6">
        <v>5453.6</v>
      </c>
      <c r="F361" s="8">
        <v>3872000000</v>
      </c>
      <c r="G361" s="8">
        <v>28922600000</v>
      </c>
      <c r="H361">
        <f t="shared" si="5"/>
        <v>180379.70496791706</v>
      </c>
    </row>
    <row r="362" spans="1:8" x14ac:dyDescent="0.3">
      <c r="A362" s="7">
        <v>39052</v>
      </c>
      <c r="B362" s="6">
        <v>5453.6</v>
      </c>
      <c r="C362" s="6">
        <v>5495.7</v>
      </c>
      <c r="D362" s="6">
        <v>5368.3</v>
      </c>
      <c r="E362" s="6">
        <v>5427.9</v>
      </c>
      <c r="F362" s="8">
        <v>3407800000</v>
      </c>
      <c r="G362" s="8">
        <v>23510500000</v>
      </c>
      <c r="H362">
        <f t="shared" si="5"/>
        <v>179529.66858503685</v>
      </c>
    </row>
    <row r="363" spans="1:8" x14ac:dyDescent="0.3">
      <c r="A363" s="7">
        <v>39059</v>
      </c>
      <c r="B363" s="6">
        <v>5427.9</v>
      </c>
      <c r="C363" s="6">
        <v>5471.6</v>
      </c>
      <c r="D363" s="6">
        <v>5411</v>
      </c>
      <c r="E363" s="6">
        <v>5425.8</v>
      </c>
      <c r="F363" s="8">
        <v>3214100000</v>
      </c>
      <c r="G363" s="8">
        <v>22136400000</v>
      </c>
      <c r="H363">
        <f t="shared" si="5"/>
        <v>179460.21035919842</v>
      </c>
    </row>
    <row r="364" spans="1:8" x14ac:dyDescent="0.3">
      <c r="A364" s="7">
        <v>39066</v>
      </c>
      <c r="B364" s="6">
        <v>5425.8</v>
      </c>
      <c r="C364" s="6">
        <v>5587.4</v>
      </c>
      <c r="D364" s="6">
        <v>5425.8</v>
      </c>
      <c r="E364" s="6">
        <v>5575.4</v>
      </c>
      <c r="F364" s="8">
        <v>3176100000</v>
      </c>
      <c r="G364" s="8">
        <v>21793100000</v>
      </c>
      <c r="H364">
        <f t="shared" si="5"/>
        <v>184408.28206654775</v>
      </c>
    </row>
    <row r="365" spans="1:8" x14ac:dyDescent="0.3">
      <c r="A365" s="7">
        <v>39073</v>
      </c>
      <c r="B365" s="6">
        <v>5575.4</v>
      </c>
      <c r="C365" s="6">
        <v>5618.4</v>
      </c>
      <c r="D365" s="6">
        <v>5557.1</v>
      </c>
      <c r="E365" s="6">
        <v>5603.7</v>
      </c>
      <c r="F365" s="8">
        <v>3692000000</v>
      </c>
      <c r="G365" s="8">
        <v>31534800000</v>
      </c>
      <c r="H365">
        <f t="shared" si="5"/>
        <v>185344.31434808508</v>
      </c>
    </row>
    <row r="366" spans="1:8" x14ac:dyDescent="0.3">
      <c r="A366" s="7">
        <v>39080</v>
      </c>
      <c r="B366" s="6">
        <v>5603.7</v>
      </c>
      <c r="C366" s="6">
        <v>5684.4</v>
      </c>
      <c r="D366" s="6">
        <v>5600.8</v>
      </c>
      <c r="E366" s="6">
        <v>5669.9</v>
      </c>
      <c r="F366" s="8">
        <v>736200000</v>
      </c>
      <c r="G366" s="8">
        <v>4973200000</v>
      </c>
      <c r="H366">
        <f t="shared" si="5"/>
        <v>187533.90222927844</v>
      </c>
    </row>
    <row r="367" spans="1:8" x14ac:dyDescent="0.3">
      <c r="A367" s="7">
        <v>39087</v>
      </c>
      <c r="B367" s="6">
        <v>5669.9</v>
      </c>
      <c r="C367" s="6">
        <v>5698.2</v>
      </c>
      <c r="D367" s="6">
        <v>5565.2</v>
      </c>
      <c r="E367" s="6">
        <v>5572</v>
      </c>
      <c r="F367" s="8">
        <v>1535900000</v>
      </c>
      <c r="G367" s="8">
        <v>12526500000</v>
      </c>
      <c r="H367">
        <f t="shared" si="5"/>
        <v>184295.82589138069</v>
      </c>
    </row>
    <row r="368" spans="1:8" x14ac:dyDescent="0.3">
      <c r="A368" s="7">
        <v>39094</v>
      </c>
      <c r="B368" s="6">
        <v>5572.1</v>
      </c>
      <c r="C368" s="6">
        <v>5638.8</v>
      </c>
      <c r="D368" s="6">
        <v>5499</v>
      </c>
      <c r="E368" s="6">
        <v>5638.8</v>
      </c>
      <c r="F368" s="8">
        <v>3129000000</v>
      </c>
      <c r="G368" s="8">
        <v>22530800000</v>
      </c>
      <c r="H368">
        <f t="shared" si="5"/>
        <v>186505.25897995647</v>
      </c>
    </row>
    <row r="369" spans="1:8" x14ac:dyDescent="0.3">
      <c r="A369" s="7">
        <v>39101</v>
      </c>
      <c r="B369" s="6">
        <v>5638.8</v>
      </c>
      <c r="C369" s="6">
        <v>5705.4</v>
      </c>
      <c r="D369" s="6">
        <v>5633.2</v>
      </c>
      <c r="E369" s="6">
        <v>5673.1</v>
      </c>
      <c r="F369" s="8">
        <v>2767500000</v>
      </c>
      <c r="G369" s="8">
        <v>20532900000</v>
      </c>
      <c r="H369">
        <f t="shared" si="5"/>
        <v>187639.74333531799</v>
      </c>
    </row>
    <row r="370" spans="1:8" x14ac:dyDescent="0.3">
      <c r="A370" s="7">
        <v>39107</v>
      </c>
      <c r="B370" s="6">
        <v>5673.1</v>
      </c>
      <c r="C370" s="6">
        <v>5802.1</v>
      </c>
      <c r="D370" s="6">
        <v>5673.1</v>
      </c>
      <c r="E370" s="6">
        <v>5769.9</v>
      </c>
      <c r="F370" s="8">
        <v>2516000000</v>
      </c>
      <c r="G370" s="8">
        <v>22127200000</v>
      </c>
      <c r="H370">
        <f t="shared" si="5"/>
        <v>190841.43679301461</v>
      </c>
    </row>
    <row r="371" spans="1:8" x14ac:dyDescent="0.3">
      <c r="A371" s="7">
        <v>39115</v>
      </c>
      <c r="B371" s="6">
        <v>5769.9</v>
      </c>
      <c r="C371" s="6">
        <v>5841.3</v>
      </c>
      <c r="D371" s="6">
        <v>5752.6</v>
      </c>
      <c r="E371" s="6">
        <v>5831.5</v>
      </c>
      <c r="F371" s="8">
        <v>3373900000</v>
      </c>
      <c r="G371" s="8">
        <v>26263600000</v>
      </c>
      <c r="H371">
        <f t="shared" si="5"/>
        <v>192878.8780842761</v>
      </c>
    </row>
    <row r="372" spans="1:8" x14ac:dyDescent="0.3">
      <c r="A372" s="7">
        <v>39122</v>
      </c>
      <c r="B372" s="6">
        <v>5831.5</v>
      </c>
      <c r="C372" s="6">
        <v>5927.2</v>
      </c>
      <c r="D372" s="6">
        <v>5801.4</v>
      </c>
      <c r="E372" s="6">
        <v>5927.2</v>
      </c>
      <c r="F372" s="8">
        <v>3371200000</v>
      </c>
      <c r="G372" s="8">
        <v>28248800000</v>
      </c>
      <c r="H372">
        <f t="shared" si="5"/>
        <v>196044.18866177162</v>
      </c>
    </row>
    <row r="373" spans="1:8" x14ac:dyDescent="0.3">
      <c r="A373" s="7">
        <v>39129</v>
      </c>
      <c r="B373" s="6">
        <v>5927.2</v>
      </c>
      <c r="C373" s="6">
        <v>6000</v>
      </c>
      <c r="D373" s="6">
        <v>5905.4</v>
      </c>
      <c r="E373" s="6">
        <v>5953.7</v>
      </c>
      <c r="F373" s="8">
        <v>3151100000</v>
      </c>
      <c r="G373" s="8">
        <v>25160300000</v>
      </c>
      <c r="H373">
        <f t="shared" si="5"/>
        <v>196920.68532116173</v>
      </c>
    </row>
    <row r="374" spans="1:8" x14ac:dyDescent="0.3">
      <c r="A374" s="7">
        <v>39136</v>
      </c>
      <c r="B374" s="6">
        <v>5953.7</v>
      </c>
      <c r="C374" s="6">
        <v>6052.1</v>
      </c>
      <c r="D374" s="6">
        <v>5950.5</v>
      </c>
      <c r="E374" s="6">
        <v>6036.1</v>
      </c>
      <c r="F374" s="8">
        <v>3311900000</v>
      </c>
      <c r="G374" s="8">
        <v>29417300000</v>
      </c>
      <c r="H374">
        <f t="shared" si="5"/>
        <v>199646.09380168037</v>
      </c>
    </row>
    <row r="375" spans="1:8" x14ac:dyDescent="0.3">
      <c r="A375" s="7">
        <v>39143</v>
      </c>
      <c r="B375" s="6">
        <v>6036.1</v>
      </c>
      <c r="C375" s="6">
        <v>6044</v>
      </c>
      <c r="D375" s="6">
        <v>5780.9</v>
      </c>
      <c r="E375" s="6">
        <v>5786</v>
      </c>
      <c r="F375" s="8">
        <v>3661000000</v>
      </c>
      <c r="G375" s="8">
        <v>30651500000</v>
      </c>
      <c r="H375">
        <f t="shared" si="5"/>
        <v>191373.94985777614</v>
      </c>
    </row>
    <row r="376" spans="1:8" x14ac:dyDescent="0.3">
      <c r="A376" s="7">
        <v>39150</v>
      </c>
      <c r="B376" s="6">
        <v>5786</v>
      </c>
      <c r="C376" s="6">
        <v>5852.6</v>
      </c>
      <c r="D376" s="6">
        <v>5641.1</v>
      </c>
      <c r="E376" s="6">
        <v>5830.2</v>
      </c>
      <c r="F376" s="8">
        <v>3482400000</v>
      </c>
      <c r="G376" s="8">
        <v>28779500000</v>
      </c>
      <c r="H376">
        <f t="shared" si="5"/>
        <v>192835.88013494754</v>
      </c>
    </row>
    <row r="377" spans="1:8" x14ac:dyDescent="0.3">
      <c r="A377" s="7">
        <v>39157</v>
      </c>
      <c r="B377" s="6">
        <v>5830.2</v>
      </c>
      <c r="C377" s="6">
        <v>5917.7</v>
      </c>
      <c r="D377" s="6">
        <v>5741.9</v>
      </c>
      <c r="E377" s="6">
        <v>5836.3</v>
      </c>
      <c r="F377" s="8">
        <v>3393800000</v>
      </c>
      <c r="G377" s="8">
        <v>27565900000</v>
      </c>
      <c r="H377">
        <f t="shared" si="5"/>
        <v>193037.63974333546</v>
      </c>
    </row>
    <row r="378" spans="1:8" x14ac:dyDescent="0.3">
      <c r="A378" s="7">
        <v>39164</v>
      </c>
      <c r="B378" s="6">
        <v>5836.3</v>
      </c>
      <c r="C378" s="6">
        <v>5968.1</v>
      </c>
      <c r="D378" s="6">
        <v>5818.6</v>
      </c>
      <c r="E378" s="6">
        <v>5952.3</v>
      </c>
      <c r="F378" s="8">
        <v>2726700000</v>
      </c>
      <c r="G378" s="8">
        <v>24036800000</v>
      </c>
      <c r="H378">
        <f t="shared" si="5"/>
        <v>196874.37983726946</v>
      </c>
    </row>
    <row r="379" spans="1:8" x14ac:dyDescent="0.3">
      <c r="A379" s="7">
        <v>39171</v>
      </c>
      <c r="B379" s="6">
        <v>5952.3</v>
      </c>
      <c r="C379" s="6">
        <v>5998.9</v>
      </c>
      <c r="D379" s="6">
        <v>5905.3</v>
      </c>
      <c r="E379" s="6">
        <v>5995</v>
      </c>
      <c r="F379" s="8">
        <v>3508900000</v>
      </c>
      <c r="G379" s="8">
        <v>31260500000</v>
      </c>
      <c r="H379">
        <f t="shared" si="5"/>
        <v>198286.69709598483</v>
      </c>
    </row>
    <row r="380" spans="1:8" x14ac:dyDescent="0.3">
      <c r="A380" s="7">
        <v>39177</v>
      </c>
      <c r="B380" s="6">
        <v>5995</v>
      </c>
      <c r="C380" s="6">
        <v>6097.2</v>
      </c>
      <c r="D380" s="6">
        <v>5915.8</v>
      </c>
      <c r="E380" s="6">
        <v>6077.1</v>
      </c>
      <c r="F380" s="8">
        <v>2450200000</v>
      </c>
      <c r="G380" s="8">
        <v>20109400000</v>
      </c>
      <c r="H380">
        <f t="shared" si="5"/>
        <v>201002.18297281227</v>
      </c>
    </row>
    <row r="381" spans="1:8" x14ac:dyDescent="0.3">
      <c r="A381" s="7">
        <v>39185</v>
      </c>
      <c r="B381" s="6">
        <v>6077.1</v>
      </c>
      <c r="C381" s="6">
        <v>6195.8</v>
      </c>
      <c r="D381" s="6">
        <v>6077.1</v>
      </c>
      <c r="E381" s="6">
        <v>6135.8</v>
      </c>
      <c r="F381" s="8">
        <v>2648700000</v>
      </c>
      <c r="G381" s="8">
        <v>22071000000</v>
      </c>
      <c r="H381">
        <f t="shared" si="5"/>
        <v>202943.70576172543</v>
      </c>
    </row>
    <row r="382" spans="1:8" x14ac:dyDescent="0.3">
      <c r="A382" s="7">
        <v>39192</v>
      </c>
      <c r="B382" s="6">
        <v>6135.8</v>
      </c>
      <c r="C382" s="6">
        <v>6265.2</v>
      </c>
      <c r="D382" s="6">
        <v>6135.8</v>
      </c>
      <c r="E382" s="6">
        <v>6207.5</v>
      </c>
      <c r="F382" s="8">
        <v>3406000000</v>
      </c>
      <c r="G382" s="8">
        <v>28507700000</v>
      </c>
      <c r="H382">
        <f t="shared" si="5"/>
        <v>205315.20804392424</v>
      </c>
    </row>
    <row r="383" spans="1:8" x14ac:dyDescent="0.3">
      <c r="A383" s="7">
        <v>39199</v>
      </c>
      <c r="B383" s="6">
        <v>6207.5</v>
      </c>
      <c r="C383" s="6">
        <v>6252.3</v>
      </c>
      <c r="D383" s="6">
        <v>6144.2</v>
      </c>
      <c r="E383" s="6">
        <v>6151.6</v>
      </c>
      <c r="F383" s="8">
        <v>2734100000</v>
      </c>
      <c r="G383" s="8">
        <v>25236200000</v>
      </c>
      <c r="H383">
        <f t="shared" si="5"/>
        <v>203466.2962227957</v>
      </c>
    </row>
    <row r="384" spans="1:8" x14ac:dyDescent="0.3">
      <c r="A384" s="7">
        <v>39206</v>
      </c>
      <c r="B384" s="6">
        <v>6151.6</v>
      </c>
      <c r="C384" s="6">
        <v>6304.9</v>
      </c>
      <c r="D384" s="6">
        <v>6134.2</v>
      </c>
      <c r="E384" s="6">
        <v>6304.9</v>
      </c>
      <c r="F384" s="8">
        <v>3244100000</v>
      </c>
      <c r="G384" s="8">
        <v>25738500000</v>
      </c>
      <c r="H384">
        <f t="shared" si="5"/>
        <v>208536.74670900329</v>
      </c>
    </row>
    <row r="385" spans="1:8" x14ac:dyDescent="0.3">
      <c r="A385" s="7">
        <v>39213</v>
      </c>
      <c r="B385" s="6">
        <v>6304.9</v>
      </c>
      <c r="C385" s="6">
        <v>6382.7</v>
      </c>
      <c r="D385" s="6">
        <v>6280.5</v>
      </c>
      <c r="E385" s="6">
        <v>6297.4</v>
      </c>
      <c r="F385" s="8">
        <v>3443100000</v>
      </c>
      <c r="G385" s="8">
        <v>31299100000</v>
      </c>
      <c r="H385">
        <f t="shared" si="5"/>
        <v>208288.68161672307</v>
      </c>
    </row>
    <row r="386" spans="1:8" x14ac:dyDescent="0.3">
      <c r="A386" s="7">
        <v>39220</v>
      </c>
      <c r="B386" s="6">
        <v>6297.4</v>
      </c>
      <c r="C386" s="6">
        <v>6365.9</v>
      </c>
      <c r="D386" s="6">
        <v>6267.3</v>
      </c>
      <c r="E386" s="6">
        <v>6312.5</v>
      </c>
      <c r="F386" s="8">
        <v>3128100000</v>
      </c>
      <c r="G386" s="8">
        <v>27017900000</v>
      </c>
      <c r="H386">
        <f t="shared" si="5"/>
        <v>208788.11933584724</v>
      </c>
    </row>
    <row r="387" spans="1:8" x14ac:dyDescent="0.3">
      <c r="A387" s="7">
        <v>39227</v>
      </c>
      <c r="B387" s="6">
        <v>6318.7</v>
      </c>
      <c r="C387" s="6">
        <v>6384.1</v>
      </c>
      <c r="D387" s="6">
        <v>6226.4</v>
      </c>
      <c r="E387" s="6">
        <v>6252.8</v>
      </c>
      <c r="F387" s="8">
        <v>3684700000</v>
      </c>
      <c r="G387" s="8">
        <v>31502000000</v>
      </c>
      <c r="H387">
        <f t="shared" si="5"/>
        <v>206813.52120129674</v>
      </c>
    </row>
    <row r="388" spans="1:8" x14ac:dyDescent="0.3">
      <c r="A388" s="7">
        <v>39234</v>
      </c>
      <c r="B388" s="6">
        <v>6252.8</v>
      </c>
      <c r="C388" s="6">
        <v>6352.5</v>
      </c>
      <c r="D388" s="6">
        <v>6231</v>
      </c>
      <c r="E388" s="6">
        <v>6333.5</v>
      </c>
      <c r="F388" s="8">
        <v>3473500000</v>
      </c>
      <c r="G388" s="8">
        <v>29081100000</v>
      </c>
      <c r="H388">
        <f t="shared" ref="H388:H451" si="6">H387*(E388/E387)</f>
        <v>209482.70159423185</v>
      </c>
    </row>
    <row r="389" spans="1:8" x14ac:dyDescent="0.3">
      <c r="A389" s="7">
        <v>39241</v>
      </c>
      <c r="B389" s="6">
        <v>6333.5</v>
      </c>
      <c r="C389" s="6">
        <v>6409.2</v>
      </c>
      <c r="D389" s="6">
        <v>6199.3</v>
      </c>
      <c r="E389" s="6">
        <v>6231.7</v>
      </c>
      <c r="F389" s="8">
        <v>3592000000</v>
      </c>
      <c r="G389" s="8">
        <v>29663100000</v>
      </c>
      <c r="H389">
        <f t="shared" si="6"/>
        <v>206115.63140834839</v>
      </c>
    </row>
    <row r="390" spans="1:8" x14ac:dyDescent="0.3">
      <c r="A390" s="7">
        <v>39248</v>
      </c>
      <c r="B390" s="6">
        <v>6231.7</v>
      </c>
      <c r="C390" s="6">
        <v>6298.5</v>
      </c>
      <c r="D390" s="6">
        <v>6170.2</v>
      </c>
      <c r="E390" s="6">
        <v>6293.8</v>
      </c>
      <c r="F390" s="8">
        <v>2834900000</v>
      </c>
      <c r="G390" s="8">
        <v>23654300000</v>
      </c>
      <c r="H390">
        <f t="shared" si="6"/>
        <v>208169.61037242858</v>
      </c>
    </row>
    <row r="391" spans="1:8" x14ac:dyDescent="0.3">
      <c r="A391" s="7">
        <v>39255</v>
      </c>
      <c r="B391" s="6">
        <v>6293.8</v>
      </c>
      <c r="C391" s="6">
        <v>6403.9</v>
      </c>
      <c r="D391" s="6">
        <v>6293.8</v>
      </c>
      <c r="E391" s="6">
        <v>6382.6</v>
      </c>
      <c r="F391" s="8">
        <v>4589600000</v>
      </c>
      <c r="G391" s="8">
        <v>38173300000</v>
      </c>
      <c r="H391">
        <f t="shared" si="6"/>
        <v>211106.70106502634</v>
      </c>
    </row>
    <row r="392" spans="1:8" x14ac:dyDescent="0.3">
      <c r="A392" s="7">
        <v>39262</v>
      </c>
      <c r="B392" s="6">
        <v>6382.6</v>
      </c>
      <c r="C392" s="6">
        <v>6382.6</v>
      </c>
      <c r="D392" s="6">
        <v>6184.2</v>
      </c>
      <c r="E392" s="6">
        <v>6274.9</v>
      </c>
      <c r="F392" s="8">
        <v>4524000000</v>
      </c>
      <c r="G392" s="8">
        <v>39198100000</v>
      </c>
      <c r="H392">
        <f t="shared" si="6"/>
        <v>207544.48633988242</v>
      </c>
    </row>
    <row r="393" spans="1:8" x14ac:dyDescent="0.3">
      <c r="A393" s="7">
        <v>39269</v>
      </c>
      <c r="B393" s="6">
        <v>6274.9</v>
      </c>
      <c r="C393" s="6">
        <v>6362.3</v>
      </c>
      <c r="D393" s="6">
        <v>6254.6</v>
      </c>
      <c r="E393" s="6">
        <v>6351.1</v>
      </c>
      <c r="F393" s="8">
        <v>3772500000</v>
      </c>
      <c r="G393" s="8">
        <v>29582800000</v>
      </c>
      <c r="H393">
        <f t="shared" si="6"/>
        <v>210064.82767744942</v>
      </c>
    </row>
    <row r="394" spans="1:8" x14ac:dyDescent="0.3">
      <c r="A394" s="7">
        <v>39276</v>
      </c>
      <c r="B394" s="6">
        <v>6351.1</v>
      </c>
      <c r="C394" s="6">
        <v>6436.7</v>
      </c>
      <c r="D394" s="6">
        <v>6300.8</v>
      </c>
      <c r="E394" s="6">
        <v>6389.4</v>
      </c>
      <c r="F394" s="8">
        <v>3207100000</v>
      </c>
      <c r="G394" s="8">
        <v>27861200000</v>
      </c>
      <c r="H394">
        <f t="shared" si="6"/>
        <v>211331.61341536033</v>
      </c>
    </row>
    <row r="395" spans="1:8" x14ac:dyDescent="0.3">
      <c r="A395" s="7">
        <v>39283</v>
      </c>
      <c r="B395" s="6">
        <v>6389.4</v>
      </c>
      <c r="C395" s="6">
        <v>6422.3</v>
      </c>
      <c r="D395" s="6">
        <v>6326.4</v>
      </c>
      <c r="E395" s="6">
        <v>6421.8</v>
      </c>
      <c r="F395" s="8">
        <v>3292200000</v>
      </c>
      <c r="G395" s="8">
        <v>27309000000</v>
      </c>
      <c r="H395">
        <f t="shared" si="6"/>
        <v>212403.25461401086</v>
      </c>
    </row>
    <row r="396" spans="1:8" x14ac:dyDescent="0.3">
      <c r="A396" s="7">
        <v>39290</v>
      </c>
      <c r="B396" s="6">
        <v>6421.8</v>
      </c>
      <c r="C396" s="6">
        <v>6432.2</v>
      </c>
      <c r="D396" s="6">
        <v>6082.9</v>
      </c>
      <c r="E396" s="6">
        <v>6082.9</v>
      </c>
      <c r="F396" s="8">
        <v>3856700000</v>
      </c>
      <c r="G396" s="8">
        <v>34767100000</v>
      </c>
      <c r="H396">
        <f t="shared" si="6"/>
        <v>201194.0199775089</v>
      </c>
    </row>
    <row r="397" spans="1:8" x14ac:dyDescent="0.3">
      <c r="A397" s="7">
        <v>39297</v>
      </c>
      <c r="B397" s="6">
        <v>6082.9</v>
      </c>
      <c r="C397" s="6">
        <v>6145.4</v>
      </c>
      <c r="D397" s="6">
        <v>5903.2</v>
      </c>
      <c r="E397" s="6">
        <v>6021</v>
      </c>
      <c r="F397" s="8">
        <v>3662900000</v>
      </c>
      <c r="G397" s="8">
        <v>31926400000</v>
      </c>
      <c r="H397">
        <f t="shared" si="6"/>
        <v>199146.6560825562</v>
      </c>
    </row>
    <row r="398" spans="1:8" x14ac:dyDescent="0.3">
      <c r="A398" s="7">
        <v>39304</v>
      </c>
      <c r="B398" s="6">
        <v>6021</v>
      </c>
      <c r="C398" s="6">
        <v>6165.6</v>
      </c>
      <c r="D398" s="6">
        <v>5891.1</v>
      </c>
      <c r="E398" s="6">
        <v>5936</v>
      </c>
      <c r="F398" s="8">
        <v>3861400000</v>
      </c>
      <c r="G398" s="8">
        <v>31548800000</v>
      </c>
      <c r="H398">
        <f t="shared" si="6"/>
        <v>196335.25170338046</v>
      </c>
    </row>
    <row r="399" spans="1:8" x14ac:dyDescent="0.3">
      <c r="A399" s="7">
        <v>39311</v>
      </c>
      <c r="B399" s="6">
        <v>5936</v>
      </c>
      <c r="C399" s="6">
        <v>6040.4</v>
      </c>
      <c r="D399" s="6">
        <v>5483.3</v>
      </c>
      <c r="E399" s="6">
        <v>5671</v>
      </c>
      <c r="F399" s="8">
        <v>4701400000</v>
      </c>
      <c r="G399" s="8">
        <v>38543500000</v>
      </c>
      <c r="H399">
        <f t="shared" si="6"/>
        <v>187570.28510947956</v>
      </c>
    </row>
    <row r="400" spans="1:8" x14ac:dyDescent="0.3">
      <c r="A400" s="7">
        <v>39318</v>
      </c>
      <c r="B400" s="6">
        <v>5671</v>
      </c>
      <c r="C400" s="6">
        <v>6177.7</v>
      </c>
      <c r="D400" s="6">
        <v>5671</v>
      </c>
      <c r="E400" s="6">
        <v>6088.5</v>
      </c>
      <c r="F400" s="8">
        <v>3735000000</v>
      </c>
      <c r="G400" s="8">
        <v>31511800000</v>
      </c>
      <c r="H400">
        <f t="shared" si="6"/>
        <v>201379.24191307818</v>
      </c>
    </row>
    <row r="401" spans="1:8" x14ac:dyDescent="0.3">
      <c r="A401" s="7">
        <v>39325</v>
      </c>
      <c r="B401" s="6">
        <v>6088.5</v>
      </c>
      <c r="C401" s="6">
        <v>6247.2</v>
      </c>
      <c r="D401" s="6">
        <v>6031.6</v>
      </c>
      <c r="E401" s="6">
        <v>6247.2</v>
      </c>
      <c r="F401" s="8">
        <v>3993200000</v>
      </c>
      <c r="G401" s="8">
        <v>33067300000</v>
      </c>
      <c r="H401">
        <f t="shared" si="6"/>
        <v>206628.29926572752</v>
      </c>
    </row>
    <row r="402" spans="1:8" x14ac:dyDescent="0.3">
      <c r="A402" s="7">
        <v>39332</v>
      </c>
      <c r="B402" s="6">
        <v>6247.2</v>
      </c>
      <c r="C402" s="6">
        <v>6355.7</v>
      </c>
      <c r="D402" s="6">
        <v>6189.7</v>
      </c>
      <c r="E402" s="6">
        <v>6278.4</v>
      </c>
      <c r="F402" s="8">
        <v>2773100000</v>
      </c>
      <c r="G402" s="8">
        <v>22733100000</v>
      </c>
      <c r="H402">
        <f t="shared" si="6"/>
        <v>207660.25004961318</v>
      </c>
    </row>
    <row r="403" spans="1:8" x14ac:dyDescent="0.3">
      <c r="A403" s="7">
        <v>39339</v>
      </c>
      <c r="B403" s="6">
        <v>6278.4</v>
      </c>
      <c r="C403" s="6">
        <v>6310.8</v>
      </c>
      <c r="D403" s="6">
        <v>6146.5</v>
      </c>
      <c r="E403" s="6">
        <v>6306.8</v>
      </c>
      <c r="F403" s="8">
        <v>3150700000</v>
      </c>
      <c r="G403" s="8">
        <v>26419200000</v>
      </c>
      <c r="H403">
        <f t="shared" si="6"/>
        <v>208599.58986571428</v>
      </c>
    </row>
    <row r="404" spans="1:8" x14ac:dyDescent="0.3">
      <c r="A404" s="7">
        <v>39346</v>
      </c>
      <c r="B404" s="6">
        <v>6306.8</v>
      </c>
      <c r="C404" s="6">
        <v>6416.4</v>
      </c>
      <c r="D404" s="6">
        <v>6166.2</v>
      </c>
      <c r="E404" s="6">
        <v>6357.9</v>
      </c>
      <c r="F404" s="8">
        <v>4121800000</v>
      </c>
      <c r="G404" s="8">
        <v>36427200000</v>
      </c>
      <c r="H404">
        <f t="shared" si="6"/>
        <v>210289.74002778347</v>
      </c>
    </row>
    <row r="405" spans="1:8" x14ac:dyDescent="0.3">
      <c r="A405" s="7">
        <v>39353</v>
      </c>
      <c r="B405" s="6">
        <v>6357.9</v>
      </c>
      <c r="C405" s="6">
        <v>6594.4</v>
      </c>
      <c r="D405" s="6">
        <v>6357.9</v>
      </c>
      <c r="E405" s="6">
        <v>6567.8</v>
      </c>
      <c r="F405" s="8">
        <v>3669900000</v>
      </c>
      <c r="G405" s="8">
        <v>37388100000</v>
      </c>
      <c r="H405">
        <f t="shared" si="6"/>
        <v>217232.25507706573</v>
      </c>
    </row>
    <row r="406" spans="1:8" x14ac:dyDescent="0.3">
      <c r="A406" s="7">
        <v>39360</v>
      </c>
      <c r="B406" s="6">
        <v>6567.8</v>
      </c>
      <c r="C406" s="6">
        <v>6680.3</v>
      </c>
      <c r="D406" s="6">
        <v>6551.7</v>
      </c>
      <c r="E406" s="6">
        <v>6605.4</v>
      </c>
      <c r="F406" s="8">
        <v>2890200000</v>
      </c>
      <c r="G406" s="8">
        <v>25537700000</v>
      </c>
      <c r="H406">
        <f t="shared" si="6"/>
        <v>218475.88807303051</v>
      </c>
    </row>
    <row r="407" spans="1:8" x14ac:dyDescent="0.3">
      <c r="A407" s="7">
        <v>39367</v>
      </c>
      <c r="B407" s="6">
        <v>6605.4</v>
      </c>
      <c r="C407" s="6">
        <v>6782.5</v>
      </c>
      <c r="D407" s="6">
        <v>6605.4</v>
      </c>
      <c r="E407" s="6">
        <v>6748.9</v>
      </c>
      <c r="F407" s="8">
        <v>2944700000</v>
      </c>
      <c r="G407" s="8">
        <v>26242500000</v>
      </c>
      <c r="H407">
        <f t="shared" si="6"/>
        <v>223222.20017199198</v>
      </c>
    </row>
    <row r="408" spans="1:8" x14ac:dyDescent="0.3">
      <c r="A408" s="7">
        <v>39374</v>
      </c>
      <c r="B408" s="6">
        <v>6748.9</v>
      </c>
      <c r="C408" s="6">
        <v>6800.2</v>
      </c>
      <c r="D408" s="6">
        <v>6648.4</v>
      </c>
      <c r="E408" s="6">
        <v>6706.3</v>
      </c>
      <c r="F408" s="8">
        <v>2825400000</v>
      </c>
      <c r="G408" s="8">
        <v>26956900000</v>
      </c>
      <c r="H408">
        <f t="shared" si="6"/>
        <v>221813.19044784037</v>
      </c>
    </row>
    <row r="409" spans="1:8" x14ac:dyDescent="0.3">
      <c r="A409" s="7">
        <v>39381</v>
      </c>
      <c r="B409" s="6">
        <v>6706.3</v>
      </c>
      <c r="C409" s="6">
        <v>6733.4</v>
      </c>
      <c r="D409" s="6">
        <v>6542.9</v>
      </c>
      <c r="E409" s="6">
        <v>6700.6</v>
      </c>
      <c r="F409" s="8">
        <v>3875700000</v>
      </c>
      <c r="G409" s="8">
        <v>39125100000</v>
      </c>
      <c r="H409">
        <f t="shared" si="6"/>
        <v>221624.66097770742</v>
      </c>
    </row>
    <row r="410" spans="1:8" x14ac:dyDescent="0.3">
      <c r="A410" s="7">
        <v>39388</v>
      </c>
      <c r="B410" s="6">
        <v>6700.6</v>
      </c>
      <c r="C410" s="6">
        <v>6851.5</v>
      </c>
      <c r="D410" s="6">
        <v>6674.7</v>
      </c>
      <c r="E410" s="6">
        <v>6696.6</v>
      </c>
      <c r="F410" s="8">
        <v>3294200000</v>
      </c>
      <c r="G410" s="8">
        <v>32119400000</v>
      </c>
      <c r="H410">
        <f t="shared" si="6"/>
        <v>221492.35959515796</v>
      </c>
    </row>
    <row r="411" spans="1:8" x14ac:dyDescent="0.3">
      <c r="A411" s="7">
        <v>39395</v>
      </c>
      <c r="B411" s="6">
        <v>6696.6</v>
      </c>
      <c r="C411" s="6">
        <v>6710.2</v>
      </c>
      <c r="D411" s="6">
        <v>6488.5</v>
      </c>
      <c r="E411" s="6">
        <v>6545.7</v>
      </c>
      <c r="F411" s="8">
        <v>3022400000</v>
      </c>
      <c r="G411" s="8">
        <v>32472900000</v>
      </c>
      <c r="H411">
        <f t="shared" si="6"/>
        <v>216501.28993848001</v>
      </c>
    </row>
    <row r="412" spans="1:8" x14ac:dyDescent="0.3">
      <c r="A412" s="7">
        <v>39402</v>
      </c>
      <c r="B412" s="6">
        <v>6545.7</v>
      </c>
      <c r="C412" s="6">
        <v>6616.5</v>
      </c>
      <c r="D412" s="6">
        <v>6437.3</v>
      </c>
      <c r="E412" s="6">
        <v>6461.9</v>
      </c>
      <c r="F412" s="8">
        <v>3209900000</v>
      </c>
      <c r="G412" s="8">
        <v>33954100000</v>
      </c>
      <c r="H412">
        <f t="shared" si="6"/>
        <v>213729.57597406907</v>
      </c>
    </row>
    <row r="413" spans="1:8" x14ac:dyDescent="0.3">
      <c r="A413" s="7">
        <v>39409</v>
      </c>
      <c r="B413" s="6">
        <v>6461.9</v>
      </c>
      <c r="C413" s="6">
        <v>6551.9</v>
      </c>
      <c r="D413" s="6">
        <v>6312.6</v>
      </c>
      <c r="E413" s="6">
        <v>6330.2</v>
      </c>
      <c r="F413" s="8">
        <v>2805600000</v>
      </c>
      <c r="G413" s="8">
        <v>27411100000</v>
      </c>
      <c r="H413">
        <f t="shared" si="6"/>
        <v>209373.55295362853</v>
      </c>
    </row>
    <row r="414" spans="1:8" x14ac:dyDescent="0.3">
      <c r="A414" s="7">
        <v>39416</v>
      </c>
      <c r="B414" s="6">
        <v>6330.2</v>
      </c>
      <c r="C414" s="6">
        <v>6552.9</v>
      </c>
      <c r="D414" s="6">
        <v>6330.2</v>
      </c>
      <c r="E414" s="6">
        <v>6533.1</v>
      </c>
      <c r="F414" s="8">
        <v>3937300000</v>
      </c>
      <c r="G414" s="8">
        <v>37309700000</v>
      </c>
      <c r="H414">
        <f t="shared" si="6"/>
        <v>216084.5405834493</v>
      </c>
    </row>
    <row r="415" spans="1:8" x14ac:dyDescent="0.3">
      <c r="A415" s="7">
        <v>39423</v>
      </c>
      <c r="B415" s="6">
        <v>6533.1</v>
      </c>
      <c r="C415" s="6">
        <v>6671.4</v>
      </c>
      <c r="D415" s="6">
        <v>6482</v>
      </c>
      <c r="E415" s="6">
        <v>6654.7</v>
      </c>
      <c r="F415" s="8">
        <v>3196500000</v>
      </c>
      <c r="G415" s="8">
        <v>28524800000</v>
      </c>
      <c r="H415">
        <f t="shared" si="6"/>
        <v>220106.50261295249</v>
      </c>
    </row>
    <row r="416" spans="1:8" x14ac:dyDescent="0.3">
      <c r="A416" s="7">
        <v>39430</v>
      </c>
      <c r="B416" s="6">
        <v>6654.7</v>
      </c>
      <c r="C416" s="6">
        <v>6684.4</v>
      </c>
      <c r="D416" s="6">
        <v>6466.7</v>
      </c>
      <c r="E416" s="6">
        <v>6491.7</v>
      </c>
      <c r="F416" s="8">
        <v>2981400000</v>
      </c>
      <c r="G416" s="8">
        <v>27414900000</v>
      </c>
      <c r="H416">
        <f t="shared" si="6"/>
        <v>214715.2212740625</v>
      </c>
    </row>
    <row r="417" spans="1:8" x14ac:dyDescent="0.3">
      <c r="A417" s="7">
        <v>39437</v>
      </c>
      <c r="B417" s="6">
        <v>6491.7</v>
      </c>
      <c r="C417" s="6">
        <v>6491.7</v>
      </c>
      <c r="D417" s="6">
        <v>6105.1</v>
      </c>
      <c r="E417" s="6">
        <v>6247</v>
      </c>
      <c r="F417" s="8">
        <v>5880400000</v>
      </c>
      <c r="G417" s="8">
        <v>45675800000</v>
      </c>
      <c r="H417">
        <f t="shared" si="6"/>
        <v>206621.68419660005</v>
      </c>
    </row>
    <row r="418" spans="1:8" x14ac:dyDescent="0.3">
      <c r="A418" s="7">
        <v>39444</v>
      </c>
      <c r="B418" s="6">
        <v>6247</v>
      </c>
      <c r="C418" s="6">
        <v>6366.5</v>
      </c>
      <c r="D418" s="6">
        <v>6247</v>
      </c>
      <c r="E418" s="6">
        <v>6339.9</v>
      </c>
      <c r="F418" s="8">
        <v>965700000</v>
      </c>
      <c r="G418" s="8">
        <v>6714500000</v>
      </c>
      <c r="H418">
        <f t="shared" si="6"/>
        <v>209694.38380631097</v>
      </c>
    </row>
    <row r="419" spans="1:8" x14ac:dyDescent="0.3">
      <c r="A419" s="7">
        <v>39451</v>
      </c>
      <c r="B419" s="6">
        <v>6339.9</v>
      </c>
      <c r="C419" s="6">
        <v>6385.7</v>
      </c>
      <c r="D419" s="6">
        <v>6251.4</v>
      </c>
      <c r="E419" s="6">
        <v>6306.8</v>
      </c>
      <c r="F419" s="8">
        <v>1500500000</v>
      </c>
      <c r="G419" s="8">
        <v>10323800000</v>
      </c>
      <c r="H419">
        <f t="shared" si="6"/>
        <v>208599.58986571431</v>
      </c>
    </row>
    <row r="420" spans="1:8" x14ac:dyDescent="0.3">
      <c r="A420" s="7">
        <v>39458</v>
      </c>
      <c r="B420" s="6">
        <v>6306.8</v>
      </c>
      <c r="C420" s="6">
        <v>6306.8</v>
      </c>
      <c r="D420" s="6">
        <v>5981.6</v>
      </c>
      <c r="E420" s="6">
        <v>5981.6</v>
      </c>
      <c r="F420" s="8">
        <v>3457100000</v>
      </c>
      <c r="G420" s="8">
        <v>25888300000</v>
      </c>
      <c r="H420">
        <f t="shared" si="6"/>
        <v>197843.48746444422</v>
      </c>
    </row>
    <row r="421" spans="1:8" x14ac:dyDescent="0.3">
      <c r="A421" s="7">
        <v>39465</v>
      </c>
      <c r="B421" s="6">
        <v>5981.6</v>
      </c>
      <c r="C421" s="6">
        <v>6042</v>
      </c>
      <c r="D421" s="6">
        <v>5619.3</v>
      </c>
      <c r="E421" s="6">
        <v>5747.3</v>
      </c>
      <c r="F421" s="8">
        <v>4420000000</v>
      </c>
      <c r="G421" s="8">
        <v>31540700000</v>
      </c>
      <c r="H421">
        <f t="shared" si="6"/>
        <v>190093.93398161029</v>
      </c>
    </row>
    <row r="422" spans="1:8" x14ac:dyDescent="0.3">
      <c r="A422" s="7">
        <v>39472</v>
      </c>
      <c r="B422" s="6">
        <v>5747.3</v>
      </c>
      <c r="C422" s="6">
        <v>5860.3</v>
      </c>
      <c r="D422" s="6">
        <v>5186.8</v>
      </c>
      <c r="E422" s="6">
        <v>5860.3</v>
      </c>
      <c r="F422" s="8">
        <v>5414800000</v>
      </c>
      <c r="G422" s="8">
        <v>40708600000</v>
      </c>
      <c r="H422">
        <f t="shared" si="6"/>
        <v>193831.4480386322</v>
      </c>
    </row>
    <row r="423" spans="1:8" x14ac:dyDescent="0.3">
      <c r="A423" s="7">
        <v>39479</v>
      </c>
      <c r="B423" s="6">
        <v>5860.3</v>
      </c>
      <c r="C423" s="6">
        <v>5862.1</v>
      </c>
      <c r="D423" s="6">
        <v>5448.5</v>
      </c>
      <c r="E423" s="6">
        <v>5842.9</v>
      </c>
      <c r="F423" s="8">
        <v>3480300000</v>
      </c>
      <c r="G423" s="8">
        <v>25693700000</v>
      </c>
      <c r="H423">
        <f t="shared" si="6"/>
        <v>193255.93702454207</v>
      </c>
    </row>
    <row r="424" spans="1:8" x14ac:dyDescent="0.3">
      <c r="A424" s="7">
        <v>39486</v>
      </c>
      <c r="B424" s="6">
        <v>5842.9</v>
      </c>
      <c r="C424" s="6">
        <v>6022</v>
      </c>
      <c r="D424" s="6">
        <v>5508.7</v>
      </c>
      <c r="E424" s="6">
        <v>5658</v>
      </c>
      <c r="F424" s="8">
        <v>3322300000</v>
      </c>
      <c r="G424" s="8">
        <v>27843900000</v>
      </c>
      <c r="H424">
        <f t="shared" si="6"/>
        <v>187140.30561619386</v>
      </c>
    </row>
    <row r="425" spans="1:8" x14ac:dyDescent="0.3">
      <c r="A425" s="7">
        <v>39493</v>
      </c>
      <c r="B425" s="6">
        <v>5658</v>
      </c>
      <c r="C425" s="6">
        <v>5690.5</v>
      </c>
      <c r="D425" s="6">
        <v>5513.2</v>
      </c>
      <c r="E425" s="6">
        <v>5606.6</v>
      </c>
      <c r="F425" s="8">
        <v>3564300000</v>
      </c>
      <c r="G425" s="8">
        <v>29725200000</v>
      </c>
      <c r="H425">
        <f t="shared" si="6"/>
        <v>185440.23285043347</v>
      </c>
    </row>
    <row r="426" spans="1:8" x14ac:dyDescent="0.3">
      <c r="A426" s="7">
        <v>39500</v>
      </c>
      <c r="B426" s="6">
        <v>5606.6</v>
      </c>
      <c r="C426" s="6">
        <v>5650.3</v>
      </c>
      <c r="D426" s="6">
        <v>5490.4</v>
      </c>
      <c r="E426" s="6">
        <v>5559.9</v>
      </c>
      <c r="F426" s="8">
        <v>3816800000</v>
      </c>
      <c r="G426" s="8">
        <v>30813000000</v>
      </c>
      <c r="H426">
        <f t="shared" si="6"/>
        <v>183895.61420916865</v>
      </c>
    </row>
    <row r="427" spans="1:8" x14ac:dyDescent="0.3">
      <c r="A427" s="7">
        <v>39507</v>
      </c>
      <c r="B427" s="6">
        <v>5559.9</v>
      </c>
      <c r="C427" s="6">
        <v>5769.8</v>
      </c>
      <c r="D427" s="6">
        <v>5515.6</v>
      </c>
      <c r="E427" s="6">
        <v>5572.1</v>
      </c>
      <c r="F427" s="8">
        <v>4178200000</v>
      </c>
      <c r="G427" s="8">
        <v>32744100000</v>
      </c>
      <c r="H427">
        <f t="shared" si="6"/>
        <v>184299.13342594448</v>
      </c>
    </row>
    <row r="428" spans="1:8" x14ac:dyDescent="0.3">
      <c r="A428" s="7">
        <v>39514</v>
      </c>
      <c r="B428" s="6">
        <v>5572.1</v>
      </c>
      <c r="C428" s="6">
        <v>5572.1</v>
      </c>
      <c r="D428" s="6">
        <v>5240.3</v>
      </c>
      <c r="E428" s="6">
        <v>5264</v>
      </c>
      <c r="F428" s="8">
        <v>4729700000</v>
      </c>
      <c r="G428" s="8">
        <v>32488300000</v>
      </c>
      <c r="H428">
        <f t="shared" si="6"/>
        <v>174108.61943507325</v>
      </c>
    </row>
    <row r="429" spans="1:8" x14ac:dyDescent="0.3">
      <c r="A429" s="7">
        <v>39521</v>
      </c>
      <c r="B429" s="6">
        <v>5264</v>
      </c>
      <c r="C429" s="6">
        <v>5369.7</v>
      </c>
      <c r="D429" s="6">
        <v>5082.1000000000004</v>
      </c>
      <c r="E429" s="6">
        <v>5206.8999999999996</v>
      </c>
      <c r="F429" s="8">
        <v>4282300000</v>
      </c>
      <c r="G429" s="8">
        <v>29549400000</v>
      </c>
      <c r="H429">
        <f t="shared" si="6"/>
        <v>172220.01719917989</v>
      </c>
    </row>
    <row r="430" spans="1:8" x14ac:dyDescent="0.3">
      <c r="A430" s="7">
        <v>39527</v>
      </c>
      <c r="B430" s="6">
        <v>5206.8999999999996</v>
      </c>
      <c r="C430" s="6">
        <v>5289.1</v>
      </c>
      <c r="D430" s="6">
        <v>5039.6000000000004</v>
      </c>
      <c r="E430" s="6">
        <v>5127.5</v>
      </c>
      <c r="F430" s="8">
        <v>4575700000</v>
      </c>
      <c r="G430" s="8">
        <v>32923400000</v>
      </c>
      <c r="H430">
        <f t="shared" si="6"/>
        <v>169593.83475557336</v>
      </c>
    </row>
    <row r="431" spans="1:8" x14ac:dyDescent="0.3">
      <c r="A431" s="7">
        <v>39535</v>
      </c>
      <c r="B431" s="6">
        <v>5127.5</v>
      </c>
      <c r="C431" s="6">
        <v>5389.7</v>
      </c>
      <c r="D431" s="6">
        <v>5127.5</v>
      </c>
      <c r="E431" s="6">
        <v>5351.1</v>
      </c>
      <c r="F431" s="8">
        <v>3758500000</v>
      </c>
      <c r="G431" s="8">
        <v>25998400000</v>
      </c>
      <c r="H431">
        <f t="shared" si="6"/>
        <v>176989.48204008752</v>
      </c>
    </row>
    <row r="432" spans="1:8" x14ac:dyDescent="0.3">
      <c r="A432" s="7">
        <v>39542</v>
      </c>
      <c r="B432" s="6">
        <v>5351.1</v>
      </c>
      <c r="C432" s="6">
        <v>5657.7</v>
      </c>
      <c r="D432" s="6">
        <v>5301</v>
      </c>
      <c r="E432" s="6">
        <v>5619.6</v>
      </c>
      <c r="F432" s="8">
        <v>4353200000</v>
      </c>
      <c r="G432" s="8">
        <v>27509500000</v>
      </c>
      <c r="H432">
        <f t="shared" si="6"/>
        <v>185870.21234371921</v>
      </c>
    </row>
    <row r="433" spans="1:8" x14ac:dyDescent="0.3">
      <c r="A433" s="7">
        <v>39549</v>
      </c>
      <c r="B433" s="6">
        <v>5619.6</v>
      </c>
      <c r="C433" s="6">
        <v>5643.7</v>
      </c>
      <c r="D433" s="6">
        <v>5386.1</v>
      </c>
      <c r="E433" s="6">
        <v>5439.3</v>
      </c>
      <c r="F433" s="8">
        <v>3550500000</v>
      </c>
      <c r="G433" s="8">
        <v>25352900000</v>
      </c>
      <c r="H433">
        <f t="shared" si="6"/>
        <v>179906.72752530285</v>
      </c>
    </row>
    <row r="434" spans="1:8" x14ac:dyDescent="0.3">
      <c r="A434" s="7">
        <v>39556</v>
      </c>
      <c r="B434" s="6">
        <v>5439.3</v>
      </c>
      <c r="C434" s="6">
        <v>5567.6</v>
      </c>
      <c r="D434" s="6">
        <v>5309.2</v>
      </c>
      <c r="E434" s="6">
        <v>5429.7</v>
      </c>
      <c r="F434" s="8">
        <v>3295500000</v>
      </c>
      <c r="G434" s="8">
        <v>23051900000</v>
      </c>
      <c r="H434">
        <f t="shared" si="6"/>
        <v>179589.20420718417</v>
      </c>
    </row>
    <row r="435" spans="1:8" x14ac:dyDescent="0.3">
      <c r="A435" s="7">
        <v>39562</v>
      </c>
      <c r="B435" s="6">
        <v>5429.7</v>
      </c>
      <c r="C435" s="6">
        <v>5653.9</v>
      </c>
      <c r="D435" s="6">
        <v>5429.7</v>
      </c>
      <c r="E435" s="6">
        <v>5587.3</v>
      </c>
      <c r="F435" s="8">
        <v>2809900000</v>
      </c>
      <c r="G435" s="8">
        <v>22387700000</v>
      </c>
      <c r="H435">
        <f t="shared" si="6"/>
        <v>184801.87867963244</v>
      </c>
    </row>
    <row r="436" spans="1:8" x14ac:dyDescent="0.3">
      <c r="A436" s="7">
        <v>39570</v>
      </c>
      <c r="B436" s="6">
        <v>5587.3</v>
      </c>
      <c r="C436" s="6">
        <v>5700.4</v>
      </c>
      <c r="D436" s="6">
        <v>5516</v>
      </c>
      <c r="E436" s="6">
        <v>5700.4</v>
      </c>
      <c r="F436" s="8">
        <v>3663400000</v>
      </c>
      <c r="G436" s="8">
        <v>25920500000</v>
      </c>
      <c r="H436">
        <f t="shared" si="6"/>
        <v>188542.70027121805</v>
      </c>
    </row>
    <row r="437" spans="1:8" x14ac:dyDescent="0.3">
      <c r="A437" s="7">
        <v>39577</v>
      </c>
      <c r="B437" s="6">
        <v>5700.4</v>
      </c>
      <c r="C437" s="6">
        <v>5810.7</v>
      </c>
      <c r="D437" s="6">
        <v>5590.6</v>
      </c>
      <c r="E437" s="6">
        <v>5771.8</v>
      </c>
      <c r="F437" s="8">
        <v>3456100000</v>
      </c>
      <c r="G437" s="8">
        <v>24842000000</v>
      </c>
      <c r="H437">
        <f t="shared" si="6"/>
        <v>190904.27994972572</v>
      </c>
    </row>
    <row r="438" spans="1:8" x14ac:dyDescent="0.3">
      <c r="A438" s="7">
        <v>39584</v>
      </c>
      <c r="B438" s="6">
        <v>5771.8</v>
      </c>
      <c r="C438" s="6">
        <v>5971.5</v>
      </c>
      <c r="D438" s="6">
        <v>5771.8</v>
      </c>
      <c r="E438" s="6">
        <v>5931</v>
      </c>
      <c r="F438" s="8">
        <v>3686400000</v>
      </c>
      <c r="G438" s="8">
        <v>29266300000</v>
      </c>
      <c r="H438">
        <f t="shared" si="6"/>
        <v>196169.87497519373</v>
      </c>
    </row>
    <row r="439" spans="1:8" x14ac:dyDescent="0.3">
      <c r="A439" s="7">
        <v>39591</v>
      </c>
      <c r="B439" s="6">
        <v>5931</v>
      </c>
      <c r="C439" s="6">
        <v>5980.8</v>
      </c>
      <c r="D439" s="6">
        <v>5738.9</v>
      </c>
      <c r="E439" s="6">
        <v>5768</v>
      </c>
      <c r="F439" s="8">
        <v>3832700000</v>
      </c>
      <c r="G439" s="8">
        <v>28303000000</v>
      </c>
      <c r="H439">
        <f t="shared" si="6"/>
        <v>190778.59363630373</v>
      </c>
    </row>
    <row r="440" spans="1:8" x14ac:dyDescent="0.3">
      <c r="A440" s="7">
        <v>39598</v>
      </c>
      <c r="B440" s="6">
        <v>5768</v>
      </c>
      <c r="C440" s="6">
        <v>5768</v>
      </c>
      <c r="D440" s="6">
        <v>5628.5</v>
      </c>
      <c r="E440" s="6">
        <v>5654.7</v>
      </c>
      <c r="F440" s="8">
        <v>4474900000</v>
      </c>
      <c r="G440" s="8">
        <v>30676100000</v>
      </c>
      <c r="H440">
        <f t="shared" si="6"/>
        <v>187031.15697559062</v>
      </c>
    </row>
    <row r="441" spans="1:8" x14ac:dyDescent="0.3">
      <c r="A441" s="7">
        <v>39605</v>
      </c>
      <c r="B441" s="6">
        <v>5654.7</v>
      </c>
      <c r="C441" s="6">
        <v>5681.5</v>
      </c>
      <c r="D441" s="6">
        <v>5514.3</v>
      </c>
      <c r="E441" s="6">
        <v>5592.1</v>
      </c>
      <c r="F441" s="8">
        <v>3869800000</v>
      </c>
      <c r="G441" s="8">
        <v>26981800000</v>
      </c>
      <c r="H441">
        <f t="shared" si="6"/>
        <v>184960.6403386918</v>
      </c>
    </row>
    <row r="442" spans="1:8" x14ac:dyDescent="0.3">
      <c r="A442" s="7">
        <v>39612</v>
      </c>
      <c r="B442" s="6">
        <v>5592.1</v>
      </c>
      <c r="C442" s="6">
        <v>5592.1</v>
      </c>
      <c r="D442" s="6">
        <v>5290</v>
      </c>
      <c r="E442" s="6">
        <v>5378.1</v>
      </c>
      <c r="F442" s="8">
        <v>3630100000</v>
      </c>
      <c r="G442" s="8">
        <v>24344800000</v>
      </c>
      <c r="H442">
        <f t="shared" si="6"/>
        <v>177882.51637229635</v>
      </c>
    </row>
    <row r="443" spans="1:8" x14ac:dyDescent="0.3">
      <c r="A443" s="7">
        <v>39619</v>
      </c>
      <c r="B443" s="6">
        <v>5378.1</v>
      </c>
      <c r="C443" s="6">
        <v>5444.2</v>
      </c>
      <c r="D443" s="6">
        <v>5276.2</v>
      </c>
      <c r="E443" s="6">
        <v>5288.3</v>
      </c>
      <c r="F443" s="8">
        <v>5429900000</v>
      </c>
      <c r="G443" s="8">
        <v>34997400000</v>
      </c>
      <c r="H443">
        <f t="shared" si="6"/>
        <v>174912.35033406122</v>
      </c>
    </row>
    <row r="444" spans="1:8" x14ac:dyDescent="0.3">
      <c r="A444" s="7">
        <v>39626</v>
      </c>
      <c r="B444" s="6">
        <v>5288.3</v>
      </c>
      <c r="C444" s="6">
        <v>5334.1</v>
      </c>
      <c r="D444" s="6">
        <v>5144.7</v>
      </c>
      <c r="E444" s="6">
        <v>5237</v>
      </c>
      <c r="F444" s="8">
        <v>5300400000</v>
      </c>
      <c r="G444" s="8">
        <v>36406400000</v>
      </c>
      <c r="H444">
        <f t="shared" si="6"/>
        <v>173215.58510286454</v>
      </c>
    </row>
    <row r="445" spans="1:8" x14ac:dyDescent="0.3">
      <c r="A445" s="7">
        <v>39633</v>
      </c>
      <c r="B445" s="6">
        <v>5237</v>
      </c>
      <c r="C445" s="6">
        <v>5305.9</v>
      </c>
      <c r="D445" s="6">
        <v>4969.1000000000004</v>
      </c>
      <c r="E445" s="6">
        <v>5082.1000000000004</v>
      </c>
      <c r="F445" s="8">
        <v>4399200000</v>
      </c>
      <c r="G445" s="8">
        <v>30162500000</v>
      </c>
      <c r="H445">
        <f t="shared" si="6"/>
        <v>168092.21406363719</v>
      </c>
    </row>
    <row r="446" spans="1:8" x14ac:dyDescent="0.3">
      <c r="A446" s="7">
        <v>39640</v>
      </c>
      <c r="B446" s="6">
        <v>5082.1000000000004</v>
      </c>
      <c r="C446" s="6">
        <v>5082.1000000000004</v>
      </c>
      <c r="D446" s="6">
        <v>4916.8999999999996</v>
      </c>
      <c r="E446" s="6">
        <v>4979.8999999999996</v>
      </c>
      <c r="F446" s="8">
        <v>3915100000</v>
      </c>
      <c r="G446" s="8">
        <v>24052900000</v>
      </c>
      <c r="H446">
        <f t="shared" si="6"/>
        <v>164711.91373949876</v>
      </c>
    </row>
    <row r="447" spans="1:8" x14ac:dyDescent="0.3">
      <c r="A447" s="7">
        <v>39647</v>
      </c>
      <c r="B447" s="6">
        <v>4979.8999999999996</v>
      </c>
      <c r="C447" s="6">
        <v>4979.8999999999996</v>
      </c>
      <c r="D447" s="6">
        <v>4787.5</v>
      </c>
      <c r="E447" s="6">
        <v>4840.3999999999996</v>
      </c>
      <c r="F447" s="8">
        <v>4038100000</v>
      </c>
      <c r="G447" s="8">
        <v>23872800000</v>
      </c>
      <c r="H447">
        <f t="shared" si="6"/>
        <v>160097.90302308678</v>
      </c>
    </row>
    <row r="448" spans="1:8" x14ac:dyDescent="0.3">
      <c r="A448" s="7">
        <v>39654</v>
      </c>
      <c r="B448" s="6">
        <v>4840.3999999999996</v>
      </c>
      <c r="C448" s="6">
        <v>5158.3</v>
      </c>
      <c r="D448" s="6">
        <v>4840.3999999999996</v>
      </c>
      <c r="E448" s="6">
        <v>4970.5</v>
      </c>
      <c r="F448" s="8">
        <v>4244900000</v>
      </c>
      <c r="G448" s="8">
        <v>30300000000</v>
      </c>
      <c r="H448">
        <f t="shared" si="6"/>
        <v>164401.00549050758</v>
      </c>
    </row>
    <row r="449" spans="1:8" x14ac:dyDescent="0.3">
      <c r="A449" s="7">
        <v>39661</v>
      </c>
      <c r="B449" s="6">
        <v>4970.5</v>
      </c>
      <c r="C449" s="6">
        <v>5015.2</v>
      </c>
      <c r="D449" s="6">
        <v>4819.3999999999996</v>
      </c>
      <c r="E449" s="6">
        <v>4904</v>
      </c>
      <c r="F449" s="8">
        <v>3525900000</v>
      </c>
      <c r="G449" s="8">
        <v>24475700000</v>
      </c>
      <c r="H449">
        <f t="shared" si="6"/>
        <v>162201.495005623</v>
      </c>
    </row>
    <row r="450" spans="1:8" x14ac:dyDescent="0.3">
      <c r="A450" s="7">
        <v>39668</v>
      </c>
      <c r="B450" s="6">
        <v>4904</v>
      </c>
      <c r="C450" s="6">
        <v>5004.8999999999996</v>
      </c>
      <c r="D450" s="6">
        <v>4758.5</v>
      </c>
      <c r="E450" s="6">
        <v>4986.2</v>
      </c>
      <c r="F450" s="8">
        <v>3929700000</v>
      </c>
      <c r="G450" s="8">
        <v>24512200000</v>
      </c>
      <c r="H450">
        <f t="shared" si="6"/>
        <v>164920.28841701415</v>
      </c>
    </row>
    <row r="451" spans="1:8" x14ac:dyDescent="0.3">
      <c r="A451" s="7">
        <v>39675</v>
      </c>
      <c r="B451" s="6">
        <v>4986.2</v>
      </c>
      <c r="C451" s="6">
        <v>5072.8999999999996</v>
      </c>
      <c r="D451" s="6">
        <v>4931.7</v>
      </c>
      <c r="E451" s="6">
        <v>4981.7</v>
      </c>
      <c r="F451" s="8">
        <v>3875100000</v>
      </c>
      <c r="G451" s="8">
        <v>25674100000</v>
      </c>
      <c r="H451">
        <f t="shared" si="6"/>
        <v>164771.44936164602</v>
      </c>
    </row>
    <row r="452" spans="1:8" x14ac:dyDescent="0.3">
      <c r="A452" s="7">
        <v>39682</v>
      </c>
      <c r="B452" s="6">
        <v>4981.7</v>
      </c>
      <c r="C452" s="6">
        <v>5031.6000000000004</v>
      </c>
      <c r="D452" s="6">
        <v>4866.3999999999996</v>
      </c>
      <c r="E452" s="6">
        <v>4931.3999999999996</v>
      </c>
      <c r="F452" s="8">
        <v>4125900000</v>
      </c>
      <c r="G452" s="8">
        <v>25039800000</v>
      </c>
      <c r="H452">
        <f t="shared" ref="H452:H515" si="7">H451*(E452/E451)</f>
        <v>163107.75947608671</v>
      </c>
    </row>
    <row r="453" spans="1:8" x14ac:dyDescent="0.3">
      <c r="A453" s="7">
        <v>39689</v>
      </c>
      <c r="B453" s="6">
        <v>4931.3999999999996</v>
      </c>
      <c r="C453" s="6">
        <v>5146.3</v>
      </c>
      <c r="D453" s="6">
        <v>4895</v>
      </c>
      <c r="E453" s="6">
        <v>5135.6000000000004</v>
      </c>
      <c r="F453" s="8">
        <v>3860700000</v>
      </c>
      <c r="G453" s="8">
        <v>25573900000</v>
      </c>
      <c r="H453">
        <f t="shared" si="7"/>
        <v>169861.74505523604</v>
      </c>
    </row>
    <row r="454" spans="1:8" x14ac:dyDescent="0.3">
      <c r="A454" s="7">
        <v>39696</v>
      </c>
      <c r="B454" s="6">
        <v>5135.6000000000004</v>
      </c>
      <c r="C454" s="6">
        <v>5177.2</v>
      </c>
      <c r="D454" s="6">
        <v>4837.6000000000004</v>
      </c>
      <c r="E454" s="6">
        <v>4877.1000000000004</v>
      </c>
      <c r="F454" s="8">
        <v>3863100000</v>
      </c>
      <c r="G454" s="8">
        <v>24939700000</v>
      </c>
      <c r="H454">
        <f t="shared" si="7"/>
        <v>161311.76820797796</v>
      </c>
    </row>
    <row r="455" spans="1:8" x14ac:dyDescent="0.3">
      <c r="A455" s="7">
        <v>39703</v>
      </c>
      <c r="B455" s="6">
        <v>4877.1000000000004</v>
      </c>
      <c r="C455" s="6">
        <v>5081.7</v>
      </c>
      <c r="D455" s="6">
        <v>4811.3999999999996</v>
      </c>
      <c r="E455" s="6">
        <v>4903.8</v>
      </c>
      <c r="F455" s="8">
        <v>4141300000</v>
      </c>
      <c r="G455" s="8">
        <v>28182700000</v>
      </c>
      <c r="H455">
        <f t="shared" si="7"/>
        <v>162194.8799364955</v>
      </c>
    </row>
    <row r="456" spans="1:8" x14ac:dyDescent="0.3">
      <c r="A456" s="7">
        <v>39710</v>
      </c>
      <c r="B456" s="6">
        <v>4903.8</v>
      </c>
      <c r="C456" s="6">
        <v>4905.1000000000004</v>
      </c>
      <c r="D456" s="6">
        <v>4527.3999999999996</v>
      </c>
      <c r="E456" s="6">
        <v>4804.1000000000004</v>
      </c>
      <c r="F456" s="8">
        <v>6767700000</v>
      </c>
      <c r="G456" s="8">
        <v>40827600000</v>
      </c>
      <c r="H456">
        <f t="shared" si="7"/>
        <v>158897.26797645053</v>
      </c>
    </row>
    <row r="457" spans="1:8" x14ac:dyDescent="0.3">
      <c r="A457" s="7">
        <v>39717</v>
      </c>
      <c r="B457" s="6">
        <v>4804.1000000000004</v>
      </c>
      <c r="C457" s="6">
        <v>5020.5</v>
      </c>
      <c r="D457" s="6">
        <v>4804.1000000000004</v>
      </c>
      <c r="E457" s="6">
        <v>4904.8</v>
      </c>
      <c r="F457" s="8">
        <v>4128800000</v>
      </c>
      <c r="G457" s="8">
        <v>28580700000</v>
      </c>
      <c r="H457">
        <f t="shared" si="7"/>
        <v>162227.95528213287</v>
      </c>
    </row>
    <row r="458" spans="1:8" x14ac:dyDescent="0.3">
      <c r="A458" s="7">
        <v>39724</v>
      </c>
      <c r="B458" s="6">
        <v>4904.8</v>
      </c>
      <c r="C458" s="6">
        <v>4956.6000000000004</v>
      </c>
      <c r="D458" s="6">
        <v>4540.7</v>
      </c>
      <c r="E458" s="6">
        <v>4695.3999999999996</v>
      </c>
      <c r="F458" s="8">
        <v>3026500000</v>
      </c>
      <c r="G458" s="8">
        <v>20763700000</v>
      </c>
      <c r="H458">
        <f t="shared" si="7"/>
        <v>155301.97790566925</v>
      </c>
    </row>
    <row r="459" spans="1:8" x14ac:dyDescent="0.3">
      <c r="A459" s="7">
        <v>39731</v>
      </c>
      <c r="B459" s="6">
        <v>4695.3999999999996</v>
      </c>
      <c r="C459" s="6">
        <v>4695.3999999999996</v>
      </c>
      <c r="D459" s="6">
        <v>3960.7</v>
      </c>
      <c r="E459" s="6">
        <v>3960.7</v>
      </c>
      <c r="F459" s="8">
        <v>3894000000</v>
      </c>
      <c r="G459" s="8">
        <v>22303000000</v>
      </c>
      <c r="H459">
        <f t="shared" si="7"/>
        <v>131001.52146589944</v>
      </c>
    </row>
    <row r="460" spans="1:8" x14ac:dyDescent="0.3">
      <c r="A460" s="7">
        <v>39738</v>
      </c>
      <c r="B460" s="6">
        <v>3960.7</v>
      </c>
      <c r="C460" s="6">
        <v>4442.3999999999996</v>
      </c>
      <c r="D460" s="6">
        <v>3960.7</v>
      </c>
      <c r="E460" s="6">
        <v>3970.8</v>
      </c>
      <c r="F460" s="8">
        <v>4626900000</v>
      </c>
      <c r="G460" s="8">
        <v>24753400000</v>
      </c>
      <c r="H460">
        <f t="shared" si="7"/>
        <v>131335.5824568368</v>
      </c>
    </row>
    <row r="461" spans="1:8" x14ac:dyDescent="0.3">
      <c r="A461" s="7">
        <v>39745</v>
      </c>
      <c r="B461" s="6">
        <v>3970.8</v>
      </c>
      <c r="C461" s="6">
        <v>4302.5</v>
      </c>
      <c r="D461" s="6">
        <v>3830</v>
      </c>
      <c r="E461" s="6">
        <v>3869.4</v>
      </c>
      <c r="F461" s="8">
        <v>3963100000</v>
      </c>
      <c r="G461" s="8">
        <v>20314200000</v>
      </c>
      <c r="H461">
        <f t="shared" si="7"/>
        <v>127981.74240920829</v>
      </c>
    </row>
    <row r="462" spans="1:8" x14ac:dyDescent="0.3">
      <c r="A462" s="7">
        <v>39752</v>
      </c>
      <c r="B462" s="6">
        <v>3869.4</v>
      </c>
      <c r="C462" s="6">
        <v>4022.4</v>
      </c>
      <c r="D462" s="6">
        <v>3724.8</v>
      </c>
      <c r="E462" s="6">
        <v>4018</v>
      </c>
      <c r="F462" s="8">
        <v>4847200000</v>
      </c>
      <c r="G462" s="8">
        <v>23124000000</v>
      </c>
      <c r="H462">
        <f t="shared" si="7"/>
        <v>132896.73877092029</v>
      </c>
    </row>
    <row r="463" spans="1:8" x14ac:dyDescent="0.3">
      <c r="A463" s="7">
        <v>39759</v>
      </c>
      <c r="B463" s="6">
        <v>4018</v>
      </c>
      <c r="C463" s="6">
        <v>4340.5</v>
      </c>
      <c r="D463" s="6">
        <v>3963.8</v>
      </c>
      <c r="E463" s="6">
        <v>4051.3</v>
      </c>
      <c r="F463" s="8">
        <v>4119000000</v>
      </c>
      <c r="G463" s="8">
        <v>20278400000</v>
      </c>
      <c r="H463">
        <f t="shared" si="7"/>
        <v>133998.14778064445</v>
      </c>
    </row>
    <row r="464" spans="1:8" x14ac:dyDescent="0.3">
      <c r="A464" s="7">
        <v>39766</v>
      </c>
      <c r="B464" s="6">
        <v>4051.3</v>
      </c>
      <c r="C464" s="6">
        <v>4159.8</v>
      </c>
      <c r="D464" s="6">
        <v>3697.3</v>
      </c>
      <c r="E464" s="6">
        <v>3748.1</v>
      </c>
      <c r="F464" s="8">
        <v>4200600000</v>
      </c>
      <c r="G464" s="8">
        <v>18234000000</v>
      </c>
      <c r="H464">
        <f t="shared" si="7"/>
        <v>123969.70298339629</v>
      </c>
    </row>
    <row r="465" spans="1:8" x14ac:dyDescent="0.3">
      <c r="A465" s="7">
        <v>39773</v>
      </c>
      <c r="B465" s="6">
        <v>3748.1</v>
      </c>
      <c r="C465" s="6">
        <v>3748.1</v>
      </c>
      <c r="D465" s="6">
        <v>3217.5</v>
      </c>
      <c r="E465" s="6">
        <v>3416.5</v>
      </c>
      <c r="F465" s="8">
        <v>4730700000</v>
      </c>
      <c r="G465" s="8">
        <v>21533700000</v>
      </c>
      <c r="H465">
        <f t="shared" si="7"/>
        <v>113001.91837004706</v>
      </c>
    </row>
    <row r="466" spans="1:8" x14ac:dyDescent="0.3">
      <c r="A466" s="7">
        <v>39780</v>
      </c>
      <c r="B466" s="6">
        <v>3416.5</v>
      </c>
      <c r="C466" s="6">
        <v>3742.5</v>
      </c>
      <c r="D466" s="6">
        <v>3362</v>
      </c>
      <c r="E466" s="6">
        <v>3742.5</v>
      </c>
      <c r="F466" s="8">
        <v>4670500000</v>
      </c>
      <c r="G466" s="8">
        <v>23597000000</v>
      </c>
      <c r="H466">
        <f t="shared" si="7"/>
        <v>123784.48104782705</v>
      </c>
    </row>
    <row r="467" spans="1:8" x14ac:dyDescent="0.3">
      <c r="A467" s="7">
        <v>39787</v>
      </c>
      <c r="B467" s="6">
        <v>3742.5</v>
      </c>
      <c r="C467" s="6">
        <v>3742.5</v>
      </c>
      <c r="D467" s="6">
        <v>3485.2</v>
      </c>
      <c r="E467" s="6">
        <v>3489.9</v>
      </c>
      <c r="F467" s="8">
        <v>3737000000</v>
      </c>
      <c r="G467" s="8">
        <v>17147300000</v>
      </c>
      <c r="H467">
        <f t="shared" si="7"/>
        <v>115429.64873982944</v>
      </c>
    </row>
    <row r="468" spans="1:8" x14ac:dyDescent="0.3">
      <c r="A468" s="7">
        <v>39794</v>
      </c>
      <c r="B468" s="6">
        <v>3489.9</v>
      </c>
      <c r="C468" s="6">
        <v>3670.8</v>
      </c>
      <c r="D468" s="6">
        <v>3474.1</v>
      </c>
      <c r="E468" s="6">
        <v>3510.4</v>
      </c>
      <c r="F468" s="8">
        <v>3887600000</v>
      </c>
      <c r="G468" s="8">
        <v>19235900000</v>
      </c>
      <c r="H468">
        <f t="shared" si="7"/>
        <v>116107.69332539538</v>
      </c>
    </row>
    <row r="469" spans="1:8" x14ac:dyDescent="0.3">
      <c r="A469" s="7">
        <v>39801</v>
      </c>
      <c r="B469" s="6">
        <v>3510.4</v>
      </c>
      <c r="C469" s="6">
        <v>3664.4</v>
      </c>
      <c r="D469" s="6">
        <v>3507.7</v>
      </c>
      <c r="E469" s="6">
        <v>3615.7</v>
      </c>
      <c r="F469" s="8">
        <v>6609800000</v>
      </c>
      <c r="G469" s="8">
        <v>28953300000</v>
      </c>
      <c r="H469">
        <f t="shared" si="7"/>
        <v>119590.52722100959</v>
      </c>
    </row>
    <row r="470" spans="1:8" x14ac:dyDescent="0.3">
      <c r="A470" s="7">
        <v>39806</v>
      </c>
      <c r="B470" s="6">
        <v>3615.7</v>
      </c>
      <c r="C470" s="6">
        <v>3627.7</v>
      </c>
      <c r="D470" s="6">
        <v>3494.3</v>
      </c>
      <c r="E470" s="6">
        <v>3582.2</v>
      </c>
      <c r="F470" s="8">
        <v>1541100000</v>
      </c>
      <c r="G470" s="8">
        <v>5324500000</v>
      </c>
      <c r="H470">
        <f t="shared" si="7"/>
        <v>118482.50314215796</v>
      </c>
    </row>
    <row r="471" spans="1:8" x14ac:dyDescent="0.3">
      <c r="A471" s="7">
        <v>39815</v>
      </c>
      <c r="B471" s="6">
        <v>3582.2</v>
      </c>
      <c r="C471" s="6">
        <v>3767.5</v>
      </c>
      <c r="D471" s="6">
        <v>3572.7</v>
      </c>
      <c r="E471" s="6">
        <v>3713.8</v>
      </c>
      <c r="F471" s="8">
        <v>1611200000</v>
      </c>
      <c r="G471" s="8">
        <v>5423900000</v>
      </c>
      <c r="H471">
        <f t="shared" si="7"/>
        <v>122835.21862803481</v>
      </c>
    </row>
    <row r="472" spans="1:8" x14ac:dyDescent="0.3">
      <c r="A472" s="7">
        <v>39822</v>
      </c>
      <c r="B472" s="6">
        <v>3742.5</v>
      </c>
      <c r="C472" s="6">
        <v>3817.9</v>
      </c>
      <c r="D472" s="6">
        <v>3662.6</v>
      </c>
      <c r="E472" s="6">
        <v>3735.7</v>
      </c>
      <c r="F472" s="8">
        <v>3605700000</v>
      </c>
      <c r="G472" s="8">
        <v>12774900000</v>
      </c>
      <c r="H472">
        <f t="shared" si="7"/>
        <v>123559.56869749303</v>
      </c>
    </row>
    <row r="473" spans="1:8" x14ac:dyDescent="0.3">
      <c r="A473" s="7">
        <v>39829</v>
      </c>
      <c r="B473" s="6">
        <v>3722</v>
      </c>
      <c r="C473" s="6">
        <v>3722</v>
      </c>
      <c r="D473" s="6">
        <v>3515.1</v>
      </c>
      <c r="E473" s="6">
        <v>3550.9</v>
      </c>
      <c r="F473" s="8">
        <v>2953800000</v>
      </c>
      <c r="G473" s="8">
        <v>11966300000</v>
      </c>
      <c r="H473">
        <f t="shared" si="7"/>
        <v>117447.24482370855</v>
      </c>
    </row>
    <row r="474" spans="1:8" x14ac:dyDescent="0.3">
      <c r="A474" s="7">
        <v>39836</v>
      </c>
      <c r="B474" s="6">
        <v>3556</v>
      </c>
      <c r="C474" s="6">
        <v>3602</v>
      </c>
      <c r="D474" s="6">
        <v>3342.7</v>
      </c>
      <c r="E474" s="6">
        <v>3342.7</v>
      </c>
      <c r="F474" s="8">
        <v>3111100000</v>
      </c>
      <c r="G474" s="8">
        <v>14541100000</v>
      </c>
      <c r="H474">
        <f t="shared" si="7"/>
        <v>110560.95786200977</v>
      </c>
    </row>
    <row r="475" spans="1:8" x14ac:dyDescent="0.3">
      <c r="A475" s="7">
        <v>39843</v>
      </c>
      <c r="B475" s="6">
        <v>3376</v>
      </c>
      <c r="C475" s="6">
        <v>3564.1</v>
      </c>
      <c r="D475" s="6">
        <v>3374</v>
      </c>
      <c r="E475" s="6">
        <v>3540.7</v>
      </c>
      <c r="F475" s="8">
        <v>2984300000</v>
      </c>
      <c r="G475" s="8">
        <v>16037200000</v>
      </c>
      <c r="H475">
        <f t="shared" si="7"/>
        <v>117109.87629820745</v>
      </c>
    </row>
    <row r="476" spans="1:8" x14ac:dyDescent="0.3">
      <c r="A476" s="7">
        <v>39850</v>
      </c>
      <c r="B476" s="6">
        <v>3519.4</v>
      </c>
      <c r="C476" s="6">
        <v>3578.7</v>
      </c>
      <c r="D476" s="6">
        <v>3414.5</v>
      </c>
      <c r="E476" s="6">
        <v>3469.9</v>
      </c>
      <c r="F476" s="8">
        <v>4095800000</v>
      </c>
      <c r="G476" s="8">
        <v>17231700000</v>
      </c>
      <c r="H476">
        <f t="shared" si="7"/>
        <v>114768.14182708223</v>
      </c>
    </row>
    <row r="477" spans="1:8" x14ac:dyDescent="0.3">
      <c r="A477" s="7">
        <v>39857</v>
      </c>
      <c r="B477" s="6">
        <v>3498.4</v>
      </c>
      <c r="C477" s="6">
        <v>3559.5</v>
      </c>
      <c r="D477" s="6">
        <v>3409.6</v>
      </c>
      <c r="E477" s="6">
        <v>3559.1</v>
      </c>
      <c r="F477" s="8">
        <v>3574200000</v>
      </c>
      <c r="G477" s="8">
        <v>15672900000</v>
      </c>
      <c r="H477">
        <f t="shared" si="7"/>
        <v>117718.46265793491</v>
      </c>
    </row>
    <row r="478" spans="1:8" x14ac:dyDescent="0.3">
      <c r="A478" s="7">
        <v>39864</v>
      </c>
      <c r="B478" s="6">
        <v>3548.8</v>
      </c>
      <c r="C478" s="6">
        <v>3548.8</v>
      </c>
      <c r="D478" s="6">
        <v>3368.1</v>
      </c>
      <c r="E478" s="6">
        <v>3402.4</v>
      </c>
      <c r="F478" s="8">
        <v>4204200000</v>
      </c>
      <c r="G478" s="8">
        <v>16124500000</v>
      </c>
      <c r="H478">
        <f t="shared" si="7"/>
        <v>112535.5559965603</v>
      </c>
    </row>
    <row r="479" spans="1:8" x14ac:dyDescent="0.3">
      <c r="A479" s="7">
        <v>39871</v>
      </c>
      <c r="B479" s="6">
        <v>3386.9</v>
      </c>
      <c r="C479" s="6">
        <v>3386.9</v>
      </c>
      <c r="D479" s="6">
        <v>3296.2</v>
      </c>
      <c r="E479" s="6">
        <v>3344.5</v>
      </c>
      <c r="F479" s="8">
        <v>4751400000</v>
      </c>
      <c r="G479" s="8">
        <v>16985500000</v>
      </c>
      <c r="H479">
        <f t="shared" si="7"/>
        <v>110620.49348415705</v>
      </c>
    </row>
    <row r="480" spans="1:8" x14ac:dyDescent="0.3">
      <c r="A480" s="7">
        <v>39878</v>
      </c>
      <c r="B480" s="6">
        <v>3329.4</v>
      </c>
      <c r="C480" s="6">
        <v>3330.4</v>
      </c>
      <c r="D480" s="6">
        <v>3124.3</v>
      </c>
      <c r="E480" s="6">
        <v>3145.5</v>
      </c>
      <c r="F480" s="8">
        <v>4622900000</v>
      </c>
      <c r="G480" s="8">
        <v>16612400000</v>
      </c>
      <c r="H480">
        <f t="shared" si="7"/>
        <v>104038.49970232202</v>
      </c>
    </row>
    <row r="481" spans="1:8" x14ac:dyDescent="0.3">
      <c r="A481" s="7">
        <v>39885</v>
      </c>
      <c r="B481" s="6">
        <v>3165.5</v>
      </c>
      <c r="C481" s="6">
        <v>3353.5</v>
      </c>
      <c r="D481" s="6">
        <v>3120.8</v>
      </c>
      <c r="E481" s="6">
        <v>3345.2</v>
      </c>
      <c r="F481" s="8">
        <v>4582600000</v>
      </c>
      <c r="G481" s="8">
        <v>17078700000</v>
      </c>
      <c r="H481">
        <f t="shared" si="7"/>
        <v>110643.64622610318</v>
      </c>
    </row>
    <row r="482" spans="1:8" x14ac:dyDescent="0.3">
      <c r="A482" s="7">
        <v>39892</v>
      </c>
      <c r="B482" s="6">
        <v>3345.8</v>
      </c>
      <c r="C482" s="6">
        <v>3500.7</v>
      </c>
      <c r="D482" s="6">
        <v>3339.9</v>
      </c>
      <c r="E482" s="6">
        <v>3465.8</v>
      </c>
      <c r="F482" s="8">
        <v>7689600000</v>
      </c>
      <c r="G482" s="8">
        <v>26475200000</v>
      </c>
      <c r="H482">
        <f t="shared" si="7"/>
        <v>114632.53290996906</v>
      </c>
    </row>
    <row r="483" spans="1:8" x14ac:dyDescent="0.3">
      <c r="A483" s="7">
        <v>39899</v>
      </c>
      <c r="B483" s="6">
        <v>3469.9</v>
      </c>
      <c r="C483" s="6">
        <v>3706.6</v>
      </c>
      <c r="D483" s="6">
        <v>3456.2</v>
      </c>
      <c r="E483" s="6">
        <v>3672.3</v>
      </c>
      <c r="F483" s="8">
        <v>5176700000</v>
      </c>
      <c r="G483" s="8">
        <v>22320000000</v>
      </c>
      <c r="H483">
        <f t="shared" si="7"/>
        <v>121462.59178408429</v>
      </c>
    </row>
    <row r="484" spans="1:8" x14ac:dyDescent="0.3">
      <c r="A484" s="7">
        <v>39906</v>
      </c>
      <c r="B484" s="6">
        <v>3658</v>
      </c>
      <c r="C484" s="6">
        <v>3750.1</v>
      </c>
      <c r="D484" s="6">
        <v>3550.9</v>
      </c>
      <c r="E484" s="6">
        <v>3735.6</v>
      </c>
      <c r="F484" s="8">
        <v>5148300000</v>
      </c>
      <c r="G484" s="8">
        <v>18160000000</v>
      </c>
      <c r="H484">
        <f t="shared" si="7"/>
        <v>123556.26116292928</v>
      </c>
    </row>
    <row r="485" spans="1:8" x14ac:dyDescent="0.3">
      <c r="A485" s="7">
        <v>39912</v>
      </c>
      <c r="B485" s="6">
        <v>3733.8</v>
      </c>
      <c r="C485" s="6">
        <v>3763.1</v>
      </c>
      <c r="D485" s="6">
        <v>3610.9</v>
      </c>
      <c r="E485" s="6">
        <v>3671.6</v>
      </c>
      <c r="F485" s="8">
        <v>3814000000</v>
      </c>
      <c r="G485" s="8">
        <v>13674000000</v>
      </c>
      <c r="H485">
        <f t="shared" si="7"/>
        <v>121439.43904213811</v>
      </c>
    </row>
    <row r="486" spans="1:8" x14ac:dyDescent="0.3">
      <c r="A486" s="7">
        <v>39920</v>
      </c>
      <c r="B486" s="6">
        <v>3697</v>
      </c>
      <c r="C486" s="6">
        <v>3851.2</v>
      </c>
      <c r="D486" s="6">
        <v>3696.4</v>
      </c>
      <c r="E486" s="6">
        <v>3776.7</v>
      </c>
      <c r="F486" s="8">
        <v>3732500000</v>
      </c>
      <c r="G486" s="8">
        <v>12763800000</v>
      </c>
      <c r="H486">
        <f t="shared" si="7"/>
        <v>124915.65786862485</v>
      </c>
    </row>
    <row r="487" spans="1:8" x14ac:dyDescent="0.3">
      <c r="A487" s="7">
        <v>39927</v>
      </c>
      <c r="B487" s="6">
        <v>3777.9</v>
      </c>
      <c r="C487" s="6">
        <v>3788</v>
      </c>
      <c r="D487" s="6">
        <v>3661</v>
      </c>
      <c r="E487" s="6">
        <v>3712.3</v>
      </c>
      <c r="F487" s="8">
        <v>4689000000</v>
      </c>
      <c r="G487" s="8">
        <v>17995600000</v>
      </c>
      <c r="H487">
        <f t="shared" si="7"/>
        <v>122785.60560957875</v>
      </c>
    </row>
    <row r="488" spans="1:8" x14ac:dyDescent="0.3">
      <c r="A488" s="7">
        <v>39934</v>
      </c>
      <c r="B488" s="6">
        <v>3725</v>
      </c>
      <c r="C488" s="6">
        <v>3799.3</v>
      </c>
      <c r="D488" s="6">
        <v>3679.8</v>
      </c>
      <c r="E488" s="6">
        <v>3769.6</v>
      </c>
      <c r="F488" s="8">
        <v>4587500000</v>
      </c>
      <c r="G488" s="8">
        <v>16347400000</v>
      </c>
      <c r="H488">
        <f t="shared" si="7"/>
        <v>124680.82291459959</v>
      </c>
    </row>
    <row r="489" spans="1:8" x14ac:dyDescent="0.3">
      <c r="A489" s="7">
        <v>39941</v>
      </c>
      <c r="B489" s="6">
        <v>3781.5</v>
      </c>
      <c r="C489" s="6">
        <v>3954.2</v>
      </c>
      <c r="D489" s="6">
        <v>3781.5</v>
      </c>
      <c r="E489" s="6">
        <v>3941.7</v>
      </c>
      <c r="F489" s="8">
        <v>5757400000</v>
      </c>
      <c r="G489" s="8">
        <v>21326600000</v>
      </c>
      <c r="H489">
        <f t="shared" si="7"/>
        <v>130373.08989878956</v>
      </c>
    </row>
    <row r="490" spans="1:8" x14ac:dyDescent="0.3">
      <c r="A490" s="7">
        <v>39948</v>
      </c>
      <c r="B490" s="6">
        <v>3943.2</v>
      </c>
      <c r="C490" s="6">
        <v>3960.4</v>
      </c>
      <c r="D490" s="6">
        <v>3722.7</v>
      </c>
      <c r="E490" s="6">
        <v>3773.2</v>
      </c>
      <c r="F490" s="8">
        <v>6348500000</v>
      </c>
      <c r="G490" s="8">
        <v>21955000000</v>
      </c>
      <c r="H490">
        <f t="shared" si="7"/>
        <v>124799.89415889408</v>
      </c>
    </row>
    <row r="491" spans="1:8" x14ac:dyDescent="0.3">
      <c r="A491" s="7">
        <v>39955</v>
      </c>
      <c r="B491" s="6">
        <v>3763.8</v>
      </c>
      <c r="C491" s="6">
        <v>3831.5</v>
      </c>
      <c r="D491" s="6">
        <v>3714.9</v>
      </c>
      <c r="E491" s="6">
        <v>3761.6</v>
      </c>
      <c r="F491" s="8">
        <v>5031000000</v>
      </c>
      <c r="G491" s="8">
        <v>18038100000</v>
      </c>
      <c r="H491">
        <f t="shared" si="7"/>
        <v>124416.22014950069</v>
      </c>
    </row>
    <row r="492" spans="1:8" x14ac:dyDescent="0.3">
      <c r="A492" s="7">
        <v>39962</v>
      </c>
      <c r="B492" s="6">
        <v>3763.7</v>
      </c>
      <c r="C492" s="6">
        <v>3836.9</v>
      </c>
      <c r="D492" s="6">
        <v>3722</v>
      </c>
      <c r="E492" s="6">
        <v>3818</v>
      </c>
      <c r="F492" s="8">
        <v>6327400000</v>
      </c>
      <c r="G492" s="8">
        <v>23985400000</v>
      </c>
      <c r="H492">
        <f t="shared" si="7"/>
        <v>126281.66964344792</v>
      </c>
    </row>
    <row r="493" spans="1:8" x14ac:dyDescent="0.3">
      <c r="A493" s="7">
        <v>39969</v>
      </c>
      <c r="B493" s="6">
        <v>3826.4</v>
      </c>
      <c r="C493" s="6">
        <v>4021.3</v>
      </c>
      <c r="D493" s="6">
        <v>3810.2</v>
      </c>
      <c r="E493" s="6">
        <v>3971.2</v>
      </c>
      <c r="F493" s="8">
        <v>7536000000</v>
      </c>
      <c r="G493" s="8">
        <v>29209500000</v>
      </c>
      <c r="H493">
        <f t="shared" si="7"/>
        <v>131348.81259509176</v>
      </c>
    </row>
    <row r="494" spans="1:8" x14ac:dyDescent="0.3">
      <c r="A494" s="7">
        <v>39976</v>
      </c>
      <c r="B494" s="6">
        <v>3959.2</v>
      </c>
      <c r="C494" s="6">
        <v>4079.4</v>
      </c>
      <c r="D494" s="6">
        <v>3934.9</v>
      </c>
      <c r="E494" s="6">
        <v>4062.2</v>
      </c>
      <c r="F494" s="8">
        <v>5962900000</v>
      </c>
      <c r="G494" s="8">
        <v>22209800000</v>
      </c>
      <c r="H494">
        <f t="shared" si="7"/>
        <v>134358.66904809169</v>
      </c>
    </row>
    <row r="495" spans="1:8" x14ac:dyDescent="0.3">
      <c r="A495" s="7">
        <v>39983</v>
      </c>
      <c r="B495" s="6">
        <v>4048.8</v>
      </c>
      <c r="C495" s="6">
        <v>4058.8</v>
      </c>
      <c r="D495" s="6">
        <v>3871.5</v>
      </c>
      <c r="E495" s="6">
        <v>3899.6</v>
      </c>
      <c r="F495" s="8">
        <v>7288800000</v>
      </c>
      <c r="G495" s="8">
        <v>27883800000</v>
      </c>
      <c r="H495">
        <f t="shared" si="7"/>
        <v>128980.61784745664</v>
      </c>
    </row>
    <row r="496" spans="1:8" x14ac:dyDescent="0.3">
      <c r="A496" s="7">
        <v>39990</v>
      </c>
      <c r="B496" s="6">
        <v>3908.9</v>
      </c>
      <c r="C496" s="6">
        <v>3931.2</v>
      </c>
      <c r="D496" s="6">
        <v>3767.9</v>
      </c>
      <c r="E496" s="6">
        <v>3903.8</v>
      </c>
      <c r="F496" s="8">
        <v>5329200000</v>
      </c>
      <c r="G496" s="8">
        <v>24787900000</v>
      </c>
      <c r="H496">
        <f t="shared" si="7"/>
        <v>129119.53429913355</v>
      </c>
    </row>
    <row r="497" spans="1:8" x14ac:dyDescent="0.3">
      <c r="A497" s="7">
        <v>39997</v>
      </c>
      <c r="B497" s="6">
        <v>3899.4</v>
      </c>
      <c r="C497" s="6">
        <v>3955.5</v>
      </c>
      <c r="D497" s="6">
        <v>3804.1</v>
      </c>
      <c r="E497" s="6">
        <v>3828.2</v>
      </c>
      <c r="F497" s="8">
        <v>4783200000</v>
      </c>
      <c r="G497" s="8">
        <v>19767900000</v>
      </c>
      <c r="H497">
        <f t="shared" si="7"/>
        <v>126619.03816894897</v>
      </c>
    </row>
    <row r="498" spans="1:8" x14ac:dyDescent="0.3">
      <c r="A498" s="7">
        <v>40004</v>
      </c>
      <c r="B498" s="6">
        <v>3821</v>
      </c>
      <c r="C498" s="6">
        <v>3821.4</v>
      </c>
      <c r="D498" s="6">
        <v>3709.2</v>
      </c>
      <c r="E498" s="6">
        <v>3794.1</v>
      </c>
      <c r="F498" s="8">
        <v>4234100000</v>
      </c>
      <c r="G498" s="8">
        <v>16859300000</v>
      </c>
      <c r="H498">
        <f t="shared" si="7"/>
        <v>125491.16888271493</v>
      </c>
    </row>
    <row r="499" spans="1:8" x14ac:dyDescent="0.3">
      <c r="A499" s="7">
        <v>40011</v>
      </c>
      <c r="B499" s="6">
        <v>3790.3</v>
      </c>
      <c r="C499" s="6">
        <v>4026.7</v>
      </c>
      <c r="D499" s="6">
        <v>3735.6</v>
      </c>
      <c r="E499" s="6">
        <v>4000.8</v>
      </c>
      <c r="F499" s="8">
        <v>4415700000</v>
      </c>
      <c r="G499" s="8">
        <v>19045500000</v>
      </c>
      <c r="H499">
        <f t="shared" si="7"/>
        <v>132327.84282595766</v>
      </c>
    </row>
    <row r="500" spans="1:8" x14ac:dyDescent="0.3">
      <c r="A500" s="7">
        <v>40018</v>
      </c>
      <c r="B500" s="6">
        <v>4006.8</v>
      </c>
      <c r="C500" s="6">
        <v>4122.1000000000004</v>
      </c>
      <c r="D500" s="6">
        <v>4006.8</v>
      </c>
      <c r="E500" s="6">
        <v>4089.8</v>
      </c>
      <c r="F500" s="8">
        <v>5156400000</v>
      </c>
      <c r="G500" s="8">
        <v>23390500000</v>
      </c>
      <c r="H500">
        <f t="shared" si="7"/>
        <v>135271.54858768289</v>
      </c>
    </row>
    <row r="501" spans="1:8" x14ac:dyDescent="0.3">
      <c r="A501" s="7">
        <v>40025</v>
      </c>
      <c r="B501" s="6">
        <v>4097.5</v>
      </c>
      <c r="C501" s="6">
        <v>4247.8999999999996</v>
      </c>
      <c r="D501" s="6">
        <v>4097.5</v>
      </c>
      <c r="E501" s="6">
        <v>4244</v>
      </c>
      <c r="F501" s="8">
        <v>6558200000</v>
      </c>
      <c r="G501" s="8">
        <v>28757500000</v>
      </c>
      <c r="H501">
        <f t="shared" si="7"/>
        <v>140371.7668849641</v>
      </c>
    </row>
    <row r="502" spans="1:8" x14ac:dyDescent="0.3">
      <c r="A502" s="7">
        <v>40032</v>
      </c>
      <c r="B502" s="6">
        <v>4245.8999999999996</v>
      </c>
      <c r="C502" s="6">
        <v>4340</v>
      </c>
      <c r="D502" s="6">
        <v>4244.6000000000004</v>
      </c>
      <c r="E502" s="6">
        <v>4299.3999999999996</v>
      </c>
      <c r="F502" s="8">
        <v>10620800000</v>
      </c>
      <c r="G502" s="8">
        <v>27146000000</v>
      </c>
      <c r="H502">
        <f t="shared" si="7"/>
        <v>142204.14103327395</v>
      </c>
    </row>
    <row r="503" spans="1:8" x14ac:dyDescent="0.3">
      <c r="A503" s="7">
        <v>40039</v>
      </c>
      <c r="B503" s="6">
        <v>4311.8999999999996</v>
      </c>
      <c r="C503" s="6">
        <v>4509.5</v>
      </c>
      <c r="D503" s="6">
        <v>4279</v>
      </c>
      <c r="E503" s="6">
        <v>4461</v>
      </c>
      <c r="F503" s="8">
        <v>7032000000</v>
      </c>
      <c r="G503" s="8">
        <v>26000900000</v>
      </c>
      <c r="H503">
        <f t="shared" si="7"/>
        <v>147549.11688827164</v>
      </c>
    </row>
    <row r="504" spans="1:8" x14ac:dyDescent="0.3">
      <c r="A504" s="7">
        <v>40046</v>
      </c>
      <c r="B504" s="6">
        <v>4451</v>
      </c>
      <c r="C504" s="6">
        <v>4451</v>
      </c>
      <c r="D504" s="6">
        <v>4260.7</v>
      </c>
      <c r="E504" s="6">
        <v>4290.6000000000004</v>
      </c>
      <c r="F504" s="8">
        <v>7274100000</v>
      </c>
      <c r="G504" s="8">
        <v>30266000000</v>
      </c>
      <c r="H504">
        <f t="shared" si="7"/>
        <v>141913.0779916652</v>
      </c>
    </row>
    <row r="505" spans="1:8" x14ac:dyDescent="0.3">
      <c r="A505" s="7">
        <v>40053</v>
      </c>
      <c r="B505" s="6">
        <v>4291.6000000000004</v>
      </c>
      <c r="C505" s="6">
        <v>4492.6000000000004</v>
      </c>
      <c r="D505" s="6">
        <v>4290.6000000000004</v>
      </c>
      <c r="E505" s="6">
        <v>4489.6000000000004</v>
      </c>
      <c r="F505" s="8">
        <v>7507600000</v>
      </c>
      <c r="G505" s="8">
        <v>28884300000</v>
      </c>
      <c r="H505">
        <f t="shared" si="7"/>
        <v>148495.07177350021</v>
      </c>
    </row>
    <row r="506" spans="1:8" x14ac:dyDescent="0.3">
      <c r="A506" s="7">
        <v>40060</v>
      </c>
      <c r="B506" s="6">
        <v>4485.7</v>
      </c>
      <c r="C506" s="6">
        <v>4537.2</v>
      </c>
      <c r="D506" s="6">
        <v>4410</v>
      </c>
      <c r="E506" s="6">
        <v>4435.5</v>
      </c>
      <c r="F506" s="8">
        <v>7030400000</v>
      </c>
      <c r="G506" s="8">
        <v>27990500000</v>
      </c>
      <c r="H506">
        <f t="shared" si="7"/>
        <v>146705.6955745189</v>
      </c>
    </row>
    <row r="507" spans="1:8" x14ac:dyDescent="0.3">
      <c r="A507" s="7">
        <v>40067</v>
      </c>
      <c r="B507" s="6">
        <v>4443.1000000000004</v>
      </c>
      <c r="C507" s="6">
        <v>4608.6000000000004</v>
      </c>
      <c r="D507" s="6">
        <v>4441</v>
      </c>
      <c r="E507" s="6">
        <v>4596.1000000000004</v>
      </c>
      <c r="F507" s="8">
        <v>7748400000</v>
      </c>
      <c r="G507" s="8">
        <v>28685400000</v>
      </c>
      <c r="H507">
        <f t="shared" si="7"/>
        <v>152017.59608387927</v>
      </c>
    </row>
    <row r="508" spans="1:8" x14ac:dyDescent="0.3">
      <c r="A508" s="7">
        <v>40074</v>
      </c>
      <c r="B508" s="6">
        <v>4595.7</v>
      </c>
      <c r="C508" s="6">
        <v>4749.7</v>
      </c>
      <c r="D508" s="6">
        <v>4518.8</v>
      </c>
      <c r="E508" s="6">
        <v>4693.2</v>
      </c>
      <c r="F508" s="8">
        <v>8086200000</v>
      </c>
      <c r="G508" s="8">
        <v>35245500000</v>
      </c>
      <c r="H508">
        <f t="shared" si="7"/>
        <v>155229.21214526708</v>
      </c>
    </row>
    <row r="509" spans="1:8" x14ac:dyDescent="0.3">
      <c r="A509" s="7">
        <v>40081</v>
      </c>
      <c r="B509" s="6">
        <v>4687.3999999999996</v>
      </c>
      <c r="C509" s="6">
        <v>4735.6000000000004</v>
      </c>
      <c r="D509" s="6">
        <v>4639.3999999999996</v>
      </c>
      <c r="E509" s="6">
        <v>4713.3</v>
      </c>
      <c r="F509" s="8">
        <v>6221700000</v>
      </c>
      <c r="G509" s="8">
        <v>26073300000</v>
      </c>
      <c r="H509">
        <f t="shared" si="7"/>
        <v>155894.02659257807</v>
      </c>
    </row>
    <row r="510" spans="1:8" x14ac:dyDescent="0.3">
      <c r="A510" s="7">
        <v>40088</v>
      </c>
      <c r="B510" s="6">
        <v>4703.8</v>
      </c>
      <c r="C510" s="6">
        <v>4767.8999999999996</v>
      </c>
      <c r="D510" s="6">
        <v>4601.5</v>
      </c>
      <c r="E510" s="6">
        <v>4601.7</v>
      </c>
      <c r="F510" s="8">
        <v>5470800000</v>
      </c>
      <c r="G510" s="8">
        <v>21273700000</v>
      </c>
      <c r="H510">
        <f t="shared" si="7"/>
        <v>152202.81801944846</v>
      </c>
    </row>
    <row r="511" spans="1:8" x14ac:dyDescent="0.3">
      <c r="A511" s="7">
        <v>40095</v>
      </c>
      <c r="B511" s="6">
        <v>4601.3</v>
      </c>
      <c r="C511" s="6">
        <v>4803.5</v>
      </c>
      <c r="D511" s="6">
        <v>4573.3</v>
      </c>
      <c r="E511" s="6">
        <v>4752.8999999999996</v>
      </c>
      <c r="F511" s="8">
        <v>5238700000</v>
      </c>
      <c r="G511" s="8">
        <v>23030000000</v>
      </c>
      <c r="H511">
        <f t="shared" si="7"/>
        <v>157203.81027981758</v>
      </c>
    </row>
    <row r="512" spans="1:8" x14ac:dyDescent="0.3">
      <c r="A512" s="7">
        <v>40102</v>
      </c>
      <c r="B512" s="6">
        <v>4761.2</v>
      </c>
      <c r="C512" s="6">
        <v>4895.3</v>
      </c>
      <c r="D512" s="6">
        <v>4736.8999999999996</v>
      </c>
      <c r="E512" s="6">
        <v>4836.3999999999996</v>
      </c>
      <c r="F512" s="8">
        <v>5328600000</v>
      </c>
      <c r="G512" s="8">
        <v>21914900000</v>
      </c>
      <c r="H512">
        <f t="shared" si="7"/>
        <v>159965.60164053732</v>
      </c>
    </row>
    <row r="513" spans="1:8" x14ac:dyDescent="0.3">
      <c r="A513" s="7">
        <v>40109</v>
      </c>
      <c r="B513" s="6">
        <v>4830.3999999999996</v>
      </c>
      <c r="C513" s="6">
        <v>4871.3</v>
      </c>
      <c r="D513" s="6">
        <v>4772.1000000000004</v>
      </c>
      <c r="E513" s="6">
        <v>4859.3999999999996</v>
      </c>
      <c r="F513" s="8">
        <v>6354200000</v>
      </c>
      <c r="G513" s="8">
        <v>25827300000</v>
      </c>
      <c r="H513">
        <f t="shared" si="7"/>
        <v>160726.33459019667</v>
      </c>
    </row>
    <row r="514" spans="1:8" x14ac:dyDescent="0.3">
      <c r="A514" s="7">
        <v>40116</v>
      </c>
      <c r="B514" s="6">
        <v>4845.8</v>
      </c>
      <c r="C514" s="6">
        <v>4848.8</v>
      </c>
      <c r="D514" s="6">
        <v>4562.5</v>
      </c>
      <c r="E514" s="6">
        <v>4643.2</v>
      </c>
      <c r="F514" s="8">
        <v>6735700000</v>
      </c>
      <c r="G514" s="8">
        <v>31112400000</v>
      </c>
      <c r="H514">
        <f t="shared" si="7"/>
        <v>153575.44486339903</v>
      </c>
    </row>
    <row r="515" spans="1:8" x14ac:dyDescent="0.3">
      <c r="A515" s="7">
        <v>40123</v>
      </c>
      <c r="B515" s="6">
        <v>4611</v>
      </c>
      <c r="C515" s="6">
        <v>4611.3</v>
      </c>
      <c r="D515" s="6">
        <v>4502.5</v>
      </c>
      <c r="E515" s="6">
        <v>4594</v>
      </c>
      <c r="F515" s="8">
        <v>5178100000</v>
      </c>
      <c r="G515" s="8">
        <v>20887300000</v>
      </c>
      <c r="H515">
        <f t="shared" si="7"/>
        <v>151948.13785804083</v>
      </c>
    </row>
    <row r="516" spans="1:8" x14ac:dyDescent="0.3">
      <c r="A516" s="7">
        <v>40130</v>
      </c>
      <c r="B516" s="6">
        <v>4596.8</v>
      </c>
      <c r="C516" s="6">
        <v>4796.6000000000004</v>
      </c>
      <c r="D516" s="6">
        <v>4596.5</v>
      </c>
      <c r="E516" s="6">
        <v>4706.3999999999996</v>
      </c>
      <c r="F516" s="8">
        <v>5782099000</v>
      </c>
      <c r="G516" s="8">
        <v>26373200000</v>
      </c>
      <c r="H516">
        <f t="shared" ref="H516:H579" si="8">H515*(E516/E515)</f>
        <v>155665.80670768031</v>
      </c>
    </row>
    <row r="517" spans="1:8" x14ac:dyDescent="0.3">
      <c r="A517" s="7">
        <v>40137</v>
      </c>
      <c r="B517" s="6">
        <v>4715.8999999999996</v>
      </c>
      <c r="C517" s="6">
        <v>4799</v>
      </c>
      <c r="D517" s="6">
        <v>4673.2</v>
      </c>
      <c r="E517" s="6">
        <v>4685.8</v>
      </c>
      <c r="F517" s="8">
        <v>5212300000</v>
      </c>
      <c r="G517" s="8">
        <v>22521600000</v>
      </c>
      <c r="H517">
        <f t="shared" si="8"/>
        <v>154984.45458755069</v>
      </c>
    </row>
    <row r="518" spans="1:8" x14ac:dyDescent="0.3">
      <c r="A518" s="7">
        <v>40144</v>
      </c>
      <c r="B518" s="6">
        <v>4688.8</v>
      </c>
      <c r="C518" s="6">
        <v>4763.8999999999996</v>
      </c>
      <c r="D518" s="6">
        <v>4562.7</v>
      </c>
      <c r="E518" s="6">
        <v>4572.1000000000004</v>
      </c>
      <c r="F518" s="8">
        <v>5213600000</v>
      </c>
      <c r="G518" s="8">
        <v>25062500000</v>
      </c>
      <c r="H518">
        <f t="shared" si="8"/>
        <v>151223.78778858265</v>
      </c>
    </row>
    <row r="519" spans="1:8" x14ac:dyDescent="0.3">
      <c r="A519" s="7">
        <v>40151</v>
      </c>
      <c r="B519" s="6">
        <v>4592.8</v>
      </c>
      <c r="C519" s="6">
        <v>4795.2</v>
      </c>
      <c r="D519" s="6">
        <v>4592.8</v>
      </c>
      <c r="E519" s="6">
        <v>4702.2</v>
      </c>
      <c r="F519" s="8">
        <v>5052400000</v>
      </c>
      <c r="G519" s="8">
        <v>23228200000</v>
      </c>
      <c r="H519">
        <f t="shared" si="8"/>
        <v>155526.89025600342</v>
      </c>
    </row>
    <row r="520" spans="1:8" x14ac:dyDescent="0.3">
      <c r="A520" s="7">
        <v>40158</v>
      </c>
      <c r="B520" s="6">
        <v>4707.3999999999996</v>
      </c>
      <c r="C520" s="6">
        <v>4723.1000000000004</v>
      </c>
      <c r="D520" s="6">
        <v>4596.2</v>
      </c>
      <c r="E520" s="6">
        <v>4635.2</v>
      </c>
      <c r="F520" s="8">
        <v>4942200000</v>
      </c>
      <c r="G520" s="8">
        <v>21639400000</v>
      </c>
      <c r="H520">
        <f t="shared" si="8"/>
        <v>153310.84209830017</v>
      </c>
    </row>
    <row r="521" spans="1:8" x14ac:dyDescent="0.3">
      <c r="A521" s="7">
        <v>40165</v>
      </c>
      <c r="B521" s="6">
        <v>4635.6000000000004</v>
      </c>
      <c r="C521" s="6">
        <v>4703.1000000000004</v>
      </c>
      <c r="D521" s="6">
        <v>4604.7</v>
      </c>
      <c r="E521" s="6">
        <v>4650.5</v>
      </c>
      <c r="F521" s="8">
        <v>5930500000</v>
      </c>
      <c r="G521" s="8">
        <v>29792900000</v>
      </c>
      <c r="H521">
        <f t="shared" si="8"/>
        <v>153816.89488655183</v>
      </c>
    </row>
    <row r="522" spans="1:8" x14ac:dyDescent="0.3">
      <c r="A522" s="7">
        <v>40171</v>
      </c>
      <c r="B522" s="6">
        <v>4660.3999999999996</v>
      </c>
      <c r="C522" s="6">
        <v>4790.8999999999996</v>
      </c>
      <c r="D522" s="6">
        <v>4635.1000000000004</v>
      </c>
      <c r="E522" s="6">
        <v>4790.8999999999996</v>
      </c>
      <c r="F522" s="8">
        <v>2298400000</v>
      </c>
      <c r="G522" s="8">
        <v>10975900000</v>
      </c>
      <c r="H522">
        <f t="shared" si="8"/>
        <v>158460.67341403745</v>
      </c>
    </row>
    <row r="523" spans="1:8" x14ac:dyDescent="0.3">
      <c r="A523" s="7">
        <v>40178</v>
      </c>
      <c r="B523" s="6">
        <v>4796.5</v>
      </c>
      <c r="C523" s="6">
        <v>4873.6000000000004</v>
      </c>
      <c r="D523" s="6">
        <v>4796.5</v>
      </c>
      <c r="E523" s="6">
        <v>4870.6000000000004</v>
      </c>
      <c r="F523" s="8">
        <v>1226200000</v>
      </c>
      <c r="G523" s="8">
        <v>5363200000</v>
      </c>
      <c r="H523">
        <f t="shared" si="8"/>
        <v>161096.77846133523</v>
      </c>
    </row>
    <row r="524" spans="1:8" x14ac:dyDescent="0.3">
      <c r="A524" s="7">
        <v>40186</v>
      </c>
      <c r="B524" s="6">
        <v>4864.8999999999996</v>
      </c>
      <c r="C524" s="6">
        <v>4938.5</v>
      </c>
      <c r="D524" s="6">
        <v>4862.3</v>
      </c>
      <c r="E524" s="6">
        <v>4912.1000000000004</v>
      </c>
      <c r="F524" s="8">
        <v>3709400000</v>
      </c>
      <c r="G524" s="8">
        <v>15701600000</v>
      </c>
      <c r="H524">
        <f t="shared" si="8"/>
        <v>162469.40530528573</v>
      </c>
    </row>
    <row r="525" spans="1:8" x14ac:dyDescent="0.3">
      <c r="A525" s="7">
        <v>40193</v>
      </c>
      <c r="B525" s="6">
        <v>4921.8999999999996</v>
      </c>
      <c r="C525" s="6">
        <v>4955.1000000000004</v>
      </c>
      <c r="D525" s="6">
        <v>4852.8999999999996</v>
      </c>
      <c r="E525" s="6">
        <v>4899.6000000000004</v>
      </c>
      <c r="F525" s="8">
        <v>3697600000</v>
      </c>
      <c r="G525" s="8">
        <v>19241500000</v>
      </c>
      <c r="H525">
        <f t="shared" si="8"/>
        <v>162055.96348481873</v>
      </c>
    </row>
    <row r="526" spans="1:8" x14ac:dyDescent="0.3">
      <c r="A526" s="7">
        <v>40200</v>
      </c>
      <c r="B526" s="6">
        <v>4890.6000000000004</v>
      </c>
      <c r="C526" s="6">
        <v>4930</v>
      </c>
      <c r="D526" s="6">
        <v>4716</v>
      </c>
      <c r="E526" s="6">
        <v>4750.6000000000004</v>
      </c>
      <c r="F526" s="8">
        <v>4817900000</v>
      </c>
      <c r="G526" s="8">
        <v>25630300000</v>
      </c>
      <c r="H526">
        <f t="shared" si="8"/>
        <v>157127.7369848518</v>
      </c>
    </row>
    <row r="527" spans="1:8" x14ac:dyDescent="0.3">
      <c r="A527" s="7">
        <v>40207</v>
      </c>
      <c r="B527" s="6">
        <v>4725.7</v>
      </c>
      <c r="C527" s="6">
        <v>4726.6000000000004</v>
      </c>
      <c r="D527" s="6">
        <v>4566.7</v>
      </c>
      <c r="E527" s="6">
        <v>4569.6000000000004</v>
      </c>
      <c r="F527" s="8">
        <v>4455200000</v>
      </c>
      <c r="G527" s="8">
        <v>22814800000</v>
      </c>
      <c r="H527">
        <f t="shared" si="8"/>
        <v>151141.09942448928</v>
      </c>
    </row>
    <row r="528" spans="1:8" x14ac:dyDescent="0.3">
      <c r="A528" s="7">
        <v>40214</v>
      </c>
      <c r="B528" s="6">
        <v>4569.8999999999996</v>
      </c>
      <c r="C528" s="6">
        <v>4656.8999999999996</v>
      </c>
      <c r="D528" s="6">
        <v>4488.3999999999996</v>
      </c>
      <c r="E528" s="6">
        <v>4514.1000000000004</v>
      </c>
      <c r="F528" s="8">
        <v>5625800000</v>
      </c>
      <c r="G528" s="8">
        <v>25905100000</v>
      </c>
      <c r="H528">
        <f t="shared" si="8"/>
        <v>149305.41774161567</v>
      </c>
    </row>
    <row r="529" spans="1:8" x14ac:dyDescent="0.3">
      <c r="A529" s="7">
        <v>40221</v>
      </c>
      <c r="B529" s="6">
        <v>4521.7</v>
      </c>
      <c r="C529" s="6">
        <v>4593.3</v>
      </c>
      <c r="D529" s="6">
        <v>4464.8999999999996</v>
      </c>
      <c r="E529" s="6">
        <v>4562.1000000000004</v>
      </c>
      <c r="F529" s="8">
        <v>4596700000</v>
      </c>
      <c r="G529" s="8">
        <v>22849400000</v>
      </c>
      <c r="H529">
        <f t="shared" si="8"/>
        <v>150893.03433220903</v>
      </c>
    </row>
    <row r="530" spans="1:8" x14ac:dyDescent="0.3">
      <c r="A530" s="7">
        <v>40228</v>
      </c>
      <c r="B530" s="6">
        <v>4558.5</v>
      </c>
      <c r="C530" s="6">
        <v>4673.1000000000004</v>
      </c>
      <c r="D530" s="6">
        <v>4537.8999999999996</v>
      </c>
      <c r="E530" s="6">
        <v>4635.1000000000004</v>
      </c>
      <c r="F530" s="8">
        <v>4791900000</v>
      </c>
      <c r="G530" s="8">
        <v>23992600000</v>
      </c>
      <c r="H530">
        <f t="shared" si="8"/>
        <v>153307.53456373644</v>
      </c>
    </row>
    <row r="531" spans="1:8" x14ac:dyDescent="0.3">
      <c r="A531" s="7">
        <v>40235</v>
      </c>
      <c r="B531" s="6">
        <v>4654.7</v>
      </c>
      <c r="C531" s="6">
        <v>4718.3</v>
      </c>
      <c r="D531" s="6">
        <v>4589.8999999999996</v>
      </c>
      <c r="E531" s="6">
        <v>4637.7</v>
      </c>
      <c r="F531" s="8">
        <v>5971800000</v>
      </c>
      <c r="G531" s="8">
        <v>29601500000</v>
      </c>
      <c r="H531">
        <f t="shared" si="8"/>
        <v>153393.53046239357</v>
      </c>
    </row>
    <row r="532" spans="1:8" x14ac:dyDescent="0.3">
      <c r="A532" s="7">
        <v>40242</v>
      </c>
      <c r="B532" s="6">
        <v>4633.1000000000004</v>
      </c>
      <c r="C532" s="6">
        <v>4780.3999999999996</v>
      </c>
      <c r="D532" s="6">
        <v>4633.1000000000004</v>
      </c>
      <c r="E532" s="6">
        <v>4767.2</v>
      </c>
      <c r="F532" s="8">
        <v>5701400000</v>
      </c>
      <c r="G532" s="8">
        <v>25471100000</v>
      </c>
      <c r="H532">
        <f t="shared" si="8"/>
        <v>157676.78772243194</v>
      </c>
    </row>
    <row r="533" spans="1:8" x14ac:dyDescent="0.3">
      <c r="A533" s="7">
        <v>40249</v>
      </c>
      <c r="B533" s="6">
        <v>4787.8</v>
      </c>
      <c r="C533" s="6">
        <v>4840.1000000000004</v>
      </c>
      <c r="D533" s="6">
        <v>4787.8</v>
      </c>
      <c r="E533" s="6">
        <v>4818.1000000000004</v>
      </c>
      <c r="F533" s="8">
        <v>5044600000</v>
      </c>
      <c r="G533" s="8">
        <v>24410100000</v>
      </c>
      <c r="H533">
        <f t="shared" si="8"/>
        <v>159360.32281537369</v>
      </c>
    </row>
    <row r="534" spans="1:8" x14ac:dyDescent="0.3">
      <c r="A534" s="7">
        <v>40256</v>
      </c>
      <c r="B534" s="6">
        <v>4820.6000000000004</v>
      </c>
      <c r="C534" s="6">
        <v>4875.8</v>
      </c>
      <c r="D534" s="6">
        <v>4781.1000000000004</v>
      </c>
      <c r="E534" s="6">
        <v>4872.2</v>
      </c>
      <c r="F534" s="8">
        <v>6280100000</v>
      </c>
      <c r="G534" s="8">
        <v>27607700000</v>
      </c>
      <c r="H534">
        <f t="shared" si="8"/>
        <v>161149.69901435496</v>
      </c>
    </row>
    <row r="535" spans="1:8" x14ac:dyDescent="0.3">
      <c r="A535" s="7">
        <v>40263</v>
      </c>
      <c r="B535" s="6">
        <v>4857.2</v>
      </c>
      <c r="C535" s="6">
        <v>4911.1000000000004</v>
      </c>
      <c r="D535" s="6">
        <v>4826.8999999999996</v>
      </c>
      <c r="E535" s="6">
        <v>4896.8999999999996</v>
      </c>
      <c r="F535" s="8">
        <v>5246400000</v>
      </c>
      <c r="G535" s="8">
        <v>27945300000</v>
      </c>
      <c r="H535">
        <f t="shared" si="8"/>
        <v>161966.66005159778</v>
      </c>
    </row>
    <row r="536" spans="1:8" x14ac:dyDescent="0.3">
      <c r="A536" s="7">
        <v>40269</v>
      </c>
      <c r="B536" s="6">
        <v>4902.5</v>
      </c>
      <c r="C536" s="6">
        <v>4928.8999999999996</v>
      </c>
      <c r="D536" s="6">
        <v>4875.5</v>
      </c>
      <c r="E536" s="6">
        <v>4907.7</v>
      </c>
      <c r="F536" s="8">
        <v>4458200000</v>
      </c>
      <c r="G536" s="8">
        <v>21666600000</v>
      </c>
      <c r="H536">
        <f t="shared" si="8"/>
        <v>162323.87378448129</v>
      </c>
    </row>
    <row r="537" spans="1:8" x14ac:dyDescent="0.3">
      <c r="A537" s="7">
        <v>40277</v>
      </c>
      <c r="B537" s="6">
        <v>4924.7</v>
      </c>
      <c r="C537" s="6">
        <v>4971.3</v>
      </c>
      <c r="D537" s="6">
        <v>4924.7</v>
      </c>
      <c r="E537" s="6">
        <v>4948.1000000000004</v>
      </c>
      <c r="F537" s="8">
        <v>4456500000</v>
      </c>
      <c r="G537" s="8">
        <v>19508400000</v>
      </c>
      <c r="H537">
        <f t="shared" si="8"/>
        <v>163660.11774823072</v>
      </c>
    </row>
    <row r="538" spans="1:8" x14ac:dyDescent="0.3">
      <c r="A538" s="7">
        <v>40284</v>
      </c>
      <c r="B538" s="6">
        <v>4957.5</v>
      </c>
      <c r="C538" s="6">
        <v>5025.1000000000004</v>
      </c>
      <c r="D538" s="6">
        <v>4944.5</v>
      </c>
      <c r="E538" s="6">
        <v>4984.7</v>
      </c>
      <c r="F538" s="8">
        <v>5526800000</v>
      </c>
      <c r="G538" s="8">
        <v>25765400000</v>
      </c>
      <c r="H538">
        <f t="shared" si="8"/>
        <v>164870.67539855815</v>
      </c>
    </row>
    <row r="539" spans="1:8" x14ac:dyDescent="0.3">
      <c r="A539" s="7">
        <v>40291</v>
      </c>
      <c r="B539" s="6">
        <v>4965.3999999999996</v>
      </c>
      <c r="C539" s="6">
        <v>4970.2</v>
      </c>
      <c r="D539" s="6">
        <v>4875.8</v>
      </c>
      <c r="E539" s="6">
        <v>4881.5</v>
      </c>
      <c r="F539" s="8">
        <v>4700700000</v>
      </c>
      <c r="G539" s="8">
        <v>27341300000</v>
      </c>
      <c r="H539">
        <f t="shared" si="8"/>
        <v>161457.29972878238</v>
      </c>
    </row>
    <row r="540" spans="1:8" x14ac:dyDescent="0.3">
      <c r="A540" s="7">
        <v>40298</v>
      </c>
      <c r="B540" s="6">
        <v>4886.8</v>
      </c>
      <c r="C540" s="6">
        <v>4911.8999999999996</v>
      </c>
      <c r="D540" s="6">
        <v>4779.3</v>
      </c>
      <c r="E540" s="6">
        <v>4807.3999999999996</v>
      </c>
      <c r="F540" s="8">
        <v>4555700000</v>
      </c>
      <c r="G540" s="8">
        <v>27075100000</v>
      </c>
      <c r="H540">
        <f t="shared" si="8"/>
        <v>159006.41661705385</v>
      </c>
    </row>
    <row r="541" spans="1:8" x14ac:dyDescent="0.3">
      <c r="A541" s="7">
        <v>40305</v>
      </c>
      <c r="B541" s="6">
        <v>4782.8</v>
      </c>
      <c r="C541" s="6">
        <v>4804.5</v>
      </c>
      <c r="D541" s="6">
        <v>4427.3</v>
      </c>
      <c r="E541" s="6">
        <v>4480.7</v>
      </c>
      <c r="F541" s="8">
        <v>7222000000</v>
      </c>
      <c r="G541" s="8">
        <v>37419900000</v>
      </c>
      <c r="H541">
        <f t="shared" si="8"/>
        <v>148200.7011973277</v>
      </c>
    </row>
    <row r="542" spans="1:8" x14ac:dyDescent="0.3">
      <c r="A542" s="7">
        <v>40312</v>
      </c>
      <c r="B542" s="6">
        <v>4497.2</v>
      </c>
      <c r="C542" s="6">
        <v>4652.8</v>
      </c>
      <c r="D542" s="6">
        <v>4497.2</v>
      </c>
      <c r="E542" s="6">
        <v>4611.1000000000004</v>
      </c>
      <c r="F542" s="8">
        <v>5277700000</v>
      </c>
      <c r="G542" s="8">
        <v>27908300000</v>
      </c>
      <c r="H542">
        <f t="shared" si="8"/>
        <v>152513.72626843973</v>
      </c>
    </row>
    <row r="543" spans="1:8" x14ac:dyDescent="0.3">
      <c r="A543" s="7">
        <v>40319</v>
      </c>
      <c r="B543" s="6">
        <v>4587.6000000000004</v>
      </c>
      <c r="C543" s="6">
        <v>4587.6000000000004</v>
      </c>
      <c r="D543" s="6">
        <v>4175.7</v>
      </c>
      <c r="E543" s="6">
        <v>4305.3999999999996</v>
      </c>
      <c r="F543" s="8">
        <v>6995500000</v>
      </c>
      <c r="G543" s="8">
        <v>36886700000</v>
      </c>
      <c r="H543">
        <f t="shared" si="8"/>
        <v>142402.59310709816</v>
      </c>
    </row>
    <row r="544" spans="1:8" x14ac:dyDescent="0.3">
      <c r="A544" s="7">
        <v>40326</v>
      </c>
      <c r="B544" s="6">
        <v>4319.8999999999996</v>
      </c>
      <c r="C544" s="6">
        <v>4460.8</v>
      </c>
      <c r="D544" s="6">
        <v>4265.3</v>
      </c>
      <c r="E544" s="6">
        <v>4457.5</v>
      </c>
      <c r="F544" s="8">
        <v>6622500000</v>
      </c>
      <c r="G544" s="8">
        <v>34893800000</v>
      </c>
      <c r="H544">
        <f t="shared" si="8"/>
        <v>147433.35317854094</v>
      </c>
    </row>
    <row r="545" spans="1:8" x14ac:dyDescent="0.3">
      <c r="A545" s="7">
        <v>40333</v>
      </c>
      <c r="B545" s="6">
        <v>4447.7</v>
      </c>
      <c r="C545" s="6">
        <v>4489.1000000000004</v>
      </c>
      <c r="D545" s="6">
        <v>4374.2</v>
      </c>
      <c r="E545" s="6">
        <v>4449.3999999999996</v>
      </c>
      <c r="F545" s="8">
        <v>4821900000</v>
      </c>
      <c r="G545" s="8">
        <v>23045800000</v>
      </c>
      <c r="H545">
        <f t="shared" si="8"/>
        <v>147165.4428788783</v>
      </c>
    </row>
    <row r="546" spans="1:8" x14ac:dyDescent="0.3">
      <c r="A546" s="7">
        <v>40340</v>
      </c>
      <c r="B546" s="6">
        <v>4410.3999999999996</v>
      </c>
      <c r="C546" s="6">
        <v>4506.7</v>
      </c>
      <c r="D546" s="6">
        <v>4299.8</v>
      </c>
      <c r="E546" s="6">
        <v>4505.5</v>
      </c>
      <c r="F546" s="8">
        <v>5232100000</v>
      </c>
      <c r="G546" s="8">
        <v>25475700000</v>
      </c>
      <c r="H546">
        <f t="shared" si="8"/>
        <v>149020.96976913433</v>
      </c>
    </row>
    <row r="547" spans="1:8" x14ac:dyDescent="0.3">
      <c r="A547" s="7">
        <v>40347</v>
      </c>
      <c r="B547" s="6">
        <v>4505.3999999999996</v>
      </c>
      <c r="C547" s="6">
        <v>4572.3999999999996</v>
      </c>
      <c r="D547" s="6">
        <v>4490.8999999999996</v>
      </c>
      <c r="E547" s="6">
        <v>4551.8999999999996</v>
      </c>
      <c r="F547" s="8">
        <v>4192500000</v>
      </c>
      <c r="G547" s="8">
        <v>20752100000</v>
      </c>
      <c r="H547">
        <f t="shared" si="8"/>
        <v>150555.66580670793</v>
      </c>
    </row>
    <row r="548" spans="1:8" x14ac:dyDescent="0.3">
      <c r="A548" s="7">
        <v>40354</v>
      </c>
      <c r="B548" s="6">
        <v>4568</v>
      </c>
      <c r="C548" s="6">
        <v>4622</v>
      </c>
      <c r="D548" s="6">
        <v>4409.3</v>
      </c>
      <c r="E548" s="6">
        <v>4413</v>
      </c>
      <c r="F548" s="8">
        <v>5122900000</v>
      </c>
      <c r="G548" s="8">
        <v>27597000000</v>
      </c>
      <c r="H548">
        <f t="shared" si="8"/>
        <v>145961.50029767837</v>
      </c>
    </row>
    <row r="549" spans="1:8" x14ac:dyDescent="0.3">
      <c r="A549" s="7">
        <v>40361</v>
      </c>
      <c r="B549" s="6">
        <v>4419.7</v>
      </c>
      <c r="C549" s="6">
        <v>4433.3999999999996</v>
      </c>
      <c r="D549" s="6">
        <v>4214.7</v>
      </c>
      <c r="E549" s="6">
        <v>4238.7</v>
      </c>
      <c r="F549" s="8">
        <v>4447000000</v>
      </c>
      <c r="G549" s="8">
        <v>22348100000</v>
      </c>
      <c r="H549">
        <f t="shared" si="8"/>
        <v>140196.46755308617</v>
      </c>
    </row>
    <row r="550" spans="1:8" x14ac:dyDescent="0.3">
      <c r="A550" s="7">
        <v>40368</v>
      </c>
      <c r="B550" s="6">
        <v>4239.7</v>
      </c>
      <c r="C550" s="6">
        <v>4397.5</v>
      </c>
      <c r="D550" s="6">
        <v>4182.3</v>
      </c>
      <c r="E550" s="6">
        <v>4396.3</v>
      </c>
      <c r="F550" s="8">
        <v>3957700000</v>
      </c>
      <c r="G550" s="8">
        <v>20493700000</v>
      </c>
      <c r="H550">
        <f t="shared" si="8"/>
        <v>145409.14202553444</v>
      </c>
    </row>
    <row r="551" spans="1:8" x14ac:dyDescent="0.3">
      <c r="A551" s="7">
        <v>40375</v>
      </c>
      <c r="B551" s="6">
        <v>4396.7</v>
      </c>
      <c r="C551" s="6">
        <v>4465.6000000000004</v>
      </c>
      <c r="D551" s="6">
        <v>4380.3</v>
      </c>
      <c r="E551" s="6">
        <v>4422.7</v>
      </c>
      <c r="F551" s="8">
        <v>3863300000</v>
      </c>
      <c r="G551" s="8">
        <v>17122400000</v>
      </c>
      <c r="H551">
        <f t="shared" si="8"/>
        <v>146282.33115036078</v>
      </c>
    </row>
    <row r="552" spans="1:8" x14ac:dyDescent="0.3">
      <c r="A552" s="7">
        <v>40382</v>
      </c>
      <c r="B552" s="6">
        <v>4404.2</v>
      </c>
      <c r="C552" s="6">
        <v>4472.3</v>
      </c>
      <c r="D552" s="6">
        <v>4345.2</v>
      </c>
      <c r="E552" s="6">
        <v>4458.3999999999996</v>
      </c>
      <c r="F552" s="8">
        <v>4316900000</v>
      </c>
      <c r="G552" s="8">
        <v>21031700000</v>
      </c>
      <c r="H552">
        <f t="shared" si="8"/>
        <v>147463.1209896146</v>
      </c>
    </row>
    <row r="553" spans="1:8" x14ac:dyDescent="0.3">
      <c r="A553" s="7">
        <v>40389</v>
      </c>
      <c r="B553" s="6">
        <v>4466.7</v>
      </c>
      <c r="C553" s="6">
        <v>4531.6000000000004</v>
      </c>
      <c r="D553" s="6">
        <v>4466.6000000000004</v>
      </c>
      <c r="E553" s="6">
        <v>4493.5</v>
      </c>
      <c r="F553" s="8">
        <v>4382700000</v>
      </c>
      <c r="G553" s="8">
        <v>26834800000</v>
      </c>
      <c r="H553">
        <f t="shared" si="8"/>
        <v>148624.06562148599</v>
      </c>
    </row>
    <row r="554" spans="1:8" x14ac:dyDescent="0.3">
      <c r="A554" s="7">
        <v>40396</v>
      </c>
      <c r="B554" s="6">
        <v>4495.1000000000004</v>
      </c>
      <c r="C554" s="6">
        <v>4584.1000000000004</v>
      </c>
      <c r="D554" s="6">
        <v>4494.3</v>
      </c>
      <c r="E554" s="6">
        <v>4566.1000000000004</v>
      </c>
      <c r="F554" s="8">
        <v>3827200000</v>
      </c>
      <c r="G554" s="8">
        <v>21106700000</v>
      </c>
      <c r="H554">
        <f t="shared" si="8"/>
        <v>151025.33571475849</v>
      </c>
    </row>
    <row r="555" spans="1:8" x14ac:dyDescent="0.3">
      <c r="A555" s="7">
        <v>40403</v>
      </c>
      <c r="B555" s="6">
        <v>4559.5</v>
      </c>
      <c r="C555" s="6">
        <v>4598.7</v>
      </c>
      <c r="D555" s="6">
        <v>4382.1000000000004</v>
      </c>
      <c r="E555" s="6">
        <v>4459.6000000000004</v>
      </c>
      <c r="F555" s="8">
        <v>5332000000</v>
      </c>
      <c r="G555" s="8">
        <v>29295400000</v>
      </c>
      <c r="H555">
        <f t="shared" si="8"/>
        <v>147502.81140437946</v>
      </c>
    </row>
    <row r="556" spans="1:8" x14ac:dyDescent="0.3">
      <c r="A556" s="7">
        <v>40410</v>
      </c>
      <c r="B556" s="6">
        <v>4448.7</v>
      </c>
      <c r="C556" s="6">
        <v>4494.8999999999996</v>
      </c>
      <c r="D556" s="6">
        <v>4402.6000000000004</v>
      </c>
      <c r="E556" s="6">
        <v>4430.8999999999996</v>
      </c>
      <c r="F556" s="8">
        <v>5724400000</v>
      </c>
      <c r="G556" s="8">
        <v>29201100000</v>
      </c>
      <c r="H556">
        <f t="shared" si="8"/>
        <v>146553.54898458716</v>
      </c>
    </row>
    <row r="557" spans="1:8" x14ac:dyDescent="0.3">
      <c r="A557" s="7">
        <v>40417</v>
      </c>
      <c r="B557" s="6">
        <v>4433</v>
      </c>
      <c r="C557" s="6">
        <v>4439.3999999999996</v>
      </c>
      <c r="D557" s="6">
        <v>4313.8999999999996</v>
      </c>
      <c r="E557" s="6">
        <v>4370.1000000000004</v>
      </c>
      <c r="F557" s="8">
        <v>5994800000</v>
      </c>
      <c r="G557" s="8">
        <v>30595200000</v>
      </c>
      <c r="H557">
        <f t="shared" si="8"/>
        <v>144542.56796983557</v>
      </c>
    </row>
    <row r="558" spans="1:8" x14ac:dyDescent="0.3">
      <c r="A558" s="7">
        <v>40424</v>
      </c>
      <c r="B558" s="6">
        <v>4381.2</v>
      </c>
      <c r="C558" s="6">
        <v>4558.7</v>
      </c>
      <c r="D558" s="6">
        <v>4379.5</v>
      </c>
      <c r="E558" s="6">
        <v>4541.2</v>
      </c>
      <c r="F558" s="8">
        <v>5559800000</v>
      </c>
      <c r="G558" s="8">
        <v>27675700000</v>
      </c>
      <c r="H558">
        <f t="shared" si="8"/>
        <v>150201.75960838818</v>
      </c>
    </row>
    <row r="559" spans="1:8" x14ac:dyDescent="0.3">
      <c r="A559" s="7">
        <v>40431</v>
      </c>
      <c r="B559" s="6">
        <v>4547.2</v>
      </c>
      <c r="C559" s="6">
        <v>4598.5</v>
      </c>
      <c r="D559" s="6">
        <v>4532.6000000000004</v>
      </c>
      <c r="E559" s="6">
        <v>4560.3</v>
      </c>
      <c r="F559" s="8">
        <v>5178500000</v>
      </c>
      <c r="G559" s="8">
        <v>23830900000</v>
      </c>
      <c r="H559">
        <f t="shared" si="8"/>
        <v>150833.4987100618</v>
      </c>
    </row>
    <row r="560" spans="1:8" x14ac:dyDescent="0.3">
      <c r="A560" s="7">
        <v>40438</v>
      </c>
      <c r="B560" s="6">
        <v>4575.2</v>
      </c>
      <c r="C560" s="6">
        <v>4670.1000000000004</v>
      </c>
      <c r="D560" s="6">
        <v>4574</v>
      </c>
      <c r="E560" s="6">
        <v>4638.8999999999996</v>
      </c>
      <c r="F560" s="8">
        <v>6233300000</v>
      </c>
      <c r="G560" s="8">
        <v>30730200000</v>
      </c>
      <c r="H560">
        <f t="shared" si="8"/>
        <v>153433.22087715843</v>
      </c>
    </row>
    <row r="561" spans="1:8" x14ac:dyDescent="0.3">
      <c r="A561" s="7">
        <v>40445</v>
      </c>
      <c r="B561" s="6">
        <v>4633.3999999999996</v>
      </c>
      <c r="C561" s="6">
        <v>4664.5</v>
      </c>
      <c r="D561" s="6">
        <v>4585.1000000000004</v>
      </c>
      <c r="E561" s="6">
        <v>4601.8999999999996</v>
      </c>
      <c r="F561" s="8">
        <v>4187700000</v>
      </c>
      <c r="G561" s="8">
        <v>24240500000</v>
      </c>
      <c r="H561">
        <f t="shared" si="8"/>
        <v>152209.43308857604</v>
      </c>
    </row>
    <row r="562" spans="1:8" x14ac:dyDescent="0.3">
      <c r="A562" s="7">
        <v>40452</v>
      </c>
      <c r="B562" s="6">
        <v>4620</v>
      </c>
      <c r="C562" s="6">
        <v>4698</v>
      </c>
      <c r="D562" s="6">
        <v>4559</v>
      </c>
      <c r="E562" s="6">
        <v>4579.2</v>
      </c>
      <c r="F562" s="8">
        <v>4704600000</v>
      </c>
      <c r="G562" s="8">
        <v>23293100000</v>
      </c>
      <c r="H562">
        <f t="shared" si="8"/>
        <v>151458.62274260793</v>
      </c>
    </row>
    <row r="563" spans="1:8" x14ac:dyDescent="0.3">
      <c r="A563" s="7">
        <v>40459</v>
      </c>
      <c r="B563" s="6">
        <v>4587.1000000000004</v>
      </c>
      <c r="C563" s="6">
        <v>4697.3</v>
      </c>
      <c r="D563" s="6">
        <v>4559.2</v>
      </c>
      <c r="E563" s="6">
        <v>4681.3999999999996</v>
      </c>
      <c r="F563" s="8">
        <v>4202000000</v>
      </c>
      <c r="G563" s="8">
        <v>21211400000</v>
      </c>
      <c r="H563">
        <f t="shared" si="8"/>
        <v>154838.92306674633</v>
      </c>
    </row>
    <row r="564" spans="1:8" x14ac:dyDescent="0.3">
      <c r="A564" s="7">
        <v>40466</v>
      </c>
      <c r="B564" s="6">
        <v>4686.8</v>
      </c>
      <c r="C564" s="6">
        <v>4713</v>
      </c>
      <c r="D564" s="6">
        <v>4617.3999999999996</v>
      </c>
      <c r="E564" s="6">
        <v>4689</v>
      </c>
      <c r="F564" s="8">
        <v>5095000000</v>
      </c>
      <c r="G564" s="8">
        <v>23995100000</v>
      </c>
      <c r="H564">
        <f t="shared" si="8"/>
        <v>155090.29569359031</v>
      </c>
    </row>
    <row r="565" spans="1:8" x14ac:dyDescent="0.3">
      <c r="A565" s="7">
        <v>40473</v>
      </c>
      <c r="B565" s="6">
        <v>4688.8</v>
      </c>
      <c r="C565" s="6">
        <v>4688.8</v>
      </c>
      <c r="D565" s="6">
        <v>4583</v>
      </c>
      <c r="E565" s="6">
        <v>4648.2</v>
      </c>
      <c r="F565" s="8">
        <v>5198400000</v>
      </c>
      <c r="G565" s="8">
        <v>25837300000</v>
      </c>
      <c r="H565">
        <f t="shared" si="8"/>
        <v>153740.82159158593</v>
      </c>
    </row>
    <row r="566" spans="1:8" x14ac:dyDescent="0.3">
      <c r="A566" s="7">
        <v>40480</v>
      </c>
      <c r="B566" s="6">
        <v>4644.3999999999996</v>
      </c>
      <c r="C566" s="6">
        <v>4725.8999999999996</v>
      </c>
      <c r="D566" s="6">
        <v>4641</v>
      </c>
      <c r="E566" s="6">
        <v>4661.6000000000004</v>
      </c>
      <c r="F566" s="8">
        <v>5463400000</v>
      </c>
      <c r="G566" s="8">
        <v>30666100000</v>
      </c>
      <c r="H566">
        <f t="shared" si="8"/>
        <v>154184.0312231266</v>
      </c>
    </row>
    <row r="567" spans="1:8" x14ac:dyDescent="0.3">
      <c r="A567" s="7">
        <v>40487</v>
      </c>
      <c r="B567" s="6">
        <v>4665.7</v>
      </c>
      <c r="C567" s="6">
        <v>4815</v>
      </c>
      <c r="D567" s="6">
        <v>4664.8</v>
      </c>
      <c r="E567" s="6">
        <v>4800.6000000000004</v>
      </c>
      <c r="F567" s="8">
        <v>4267500000</v>
      </c>
      <c r="G567" s="8">
        <v>23637400000</v>
      </c>
      <c r="H567">
        <f t="shared" si="8"/>
        <v>158781.50426671992</v>
      </c>
    </row>
    <row r="568" spans="1:8" x14ac:dyDescent="0.3">
      <c r="A568" s="7">
        <v>40494</v>
      </c>
      <c r="B568" s="6">
        <v>4802.3</v>
      </c>
      <c r="C568" s="6">
        <v>4810.5</v>
      </c>
      <c r="D568" s="6">
        <v>4681.6000000000004</v>
      </c>
      <c r="E568" s="6">
        <v>4692.7</v>
      </c>
      <c r="F568" s="8">
        <v>5408800000</v>
      </c>
      <c r="G568" s="8">
        <v>32624900000</v>
      </c>
      <c r="H568">
        <f t="shared" si="8"/>
        <v>155212.67447244853</v>
      </c>
    </row>
    <row r="569" spans="1:8" x14ac:dyDescent="0.3">
      <c r="A569" s="7">
        <v>40501</v>
      </c>
      <c r="B569" s="6">
        <v>4694.6000000000004</v>
      </c>
      <c r="C569" s="6">
        <v>4714.2</v>
      </c>
      <c r="D569" s="6">
        <v>4612</v>
      </c>
      <c r="E569" s="6">
        <v>4629.2</v>
      </c>
      <c r="F569" s="8">
        <v>4911100000</v>
      </c>
      <c r="G569" s="8">
        <v>25541600000</v>
      </c>
      <c r="H569">
        <f t="shared" si="8"/>
        <v>153112.39002447604</v>
      </c>
    </row>
    <row r="570" spans="1:8" x14ac:dyDescent="0.3">
      <c r="A570" s="7">
        <v>40508</v>
      </c>
      <c r="B570" s="6">
        <v>4639.2</v>
      </c>
      <c r="C570" s="6">
        <v>4672</v>
      </c>
      <c r="D570" s="6">
        <v>4551.2</v>
      </c>
      <c r="E570" s="6">
        <v>4598.3</v>
      </c>
      <c r="F570" s="8">
        <v>5729800000</v>
      </c>
      <c r="G570" s="8">
        <v>27182300000</v>
      </c>
      <c r="H570">
        <f t="shared" si="8"/>
        <v>152090.36184428158</v>
      </c>
    </row>
    <row r="571" spans="1:8" x14ac:dyDescent="0.3">
      <c r="A571" s="7">
        <v>40515</v>
      </c>
      <c r="B571" s="6">
        <v>4594.3</v>
      </c>
      <c r="C571" s="6">
        <v>4717.1000000000004</v>
      </c>
      <c r="D571" s="6">
        <v>4557</v>
      </c>
      <c r="E571" s="6">
        <v>4694.2</v>
      </c>
      <c r="F571" s="8">
        <v>4540000000</v>
      </c>
      <c r="G571" s="8">
        <v>23626900000</v>
      </c>
      <c r="H571">
        <f t="shared" si="8"/>
        <v>155262.28749090459</v>
      </c>
    </row>
    <row r="572" spans="1:8" x14ac:dyDescent="0.3">
      <c r="A572" s="7">
        <v>40522</v>
      </c>
      <c r="B572" s="6">
        <v>4696.3</v>
      </c>
      <c r="C572" s="6">
        <v>4750</v>
      </c>
      <c r="D572" s="6">
        <v>4688</v>
      </c>
      <c r="E572" s="6">
        <v>4745.8999999999996</v>
      </c>
      <c r="F572" s="8">
        <v>5144100000</v>
      </c>
      <c r="G572" s="8">
        <v>24864800000</v>
      </c>
      <c r="H572">
        <f t="shared" si="8"/>
        <v>156972.28286035618</v>
      </c>
    </row>
    <row r="573" spans="1:8" x14ac:dyDescent="0.3">
      <c r="A573" s="7">
        <v>40529</v>
      </c>
      <c r="B573" s="6">
        <v>4750.1000000000004</v>
      </c>
      <c r="C573" s="6">
        <v>4784.3</v>
      </c>
      <c r="D573" s="6">
        <v>4749.6000000000004</v>
      </c>
      <c r="E573" s="6">
        <v>4763.1000000000004</v>
      </c>
      <c r="F573" s="8">
        <v>5541599000</v>
      </c>
      <c r="G573" s="8">
        <v>24678000000</v>
      </c>
      <c r="H573">
        <f t="shared" si="8"/>
        <v>157541.17880531884</v>
      </c>
    </row>
    <row r="574" spans="1:8" x14ac:dyDescent="0.3">
      <c r="A574" s="7">
        <v>40536</v>
      </c>
      <c r="B574" s="6">
        <v>4763.6000000000004</v>
      </c>
      <c r="C574" s="6">
        <v>4811.8999999999996</v>
      </c>
      <c r="D574" s="6">
        <v>4736.6000000000004</v>
      </c>
      <c r="E574" s="6">
        <v>4777.3</v>
      </c>
      <c r="F574" s="8">
        <v>3307800000</v>
      </c>
      <c r="G574" s="8">
        <v>19165500000</v>
      </c>
      <c r="H574">
        <f t="shared" si="8"/>
        <v>158010.84871336937</v>
      </c>
    </row>
    <row r="575" spans="1:8" x14ac:dyDescent="0.3">
      <c r="A575" s="7">
        <v>40543</v>
      </c>
      <c r="B575" s="6">
        <v>4768.3999999999996</v>
      </c>
      <c r="C575" s="6">
        <v>4799.8999999999996</v>
      </c>
      <c r="D575" s="6">
        <v>4745.2</v>
      </c>
      <c r="E575" s="6">
        <v>4745.2</v>
      </c>
      <c r="F575" s="8">
        <v>1398300000</v>
      </c>
      <c r="G575" s="8">
        <v>5895300000</v>
      </c>
      <c r="H575">
        <f t="shared" si="8"/>
        <v>156949.13011841004</v>
      </c>
    </row>
    <row r="576" spans="1:8" x14ac:dyDescent="0.3">
      <c r="A576" s="7">
        <v>40550</v>
      </c>
      <c r="B576" s="6">
        <v>4758.3</v>
      </c>
      <c r="C576" s="6">
        <v>4775</v>
      </c>
      <c r="D576" s="6">
        <v>4690.3</v>
      </c>
      <c r="E576" s="6">
        <v>4705</v>
      </c>
      <c r="F576" s="8">
        <v>3284900000</v>
      </c>
      <c r="G576" s="8">
        <v>15158800000</v>
      </c>
      <c r="H576">
        <f t="shared" si="8"/>
        <v>155619.5012237881</v>
      </c>
    </row>
    <row r="577" spans="1:8" x14ac:dyDescent="0.3">
      <c r="A577" s="7">
        <v>40557</v>
      </c>
      <c r="B577" s="6">
        <v>4702.2</v>
      </c>
      <c r="C577" s="6">
        <v>4802.8</v>
      </c>
      <c r="D577" s="6">
        <v>4686.5</v>
      </c>
      <c r="E577" s="6">
        <v>4801.5</v>
      </c>
      <c r="F577" s="8">
        <v>3995400000</v>
      </c>
      <c r="G577" s="8">
        <v>18876500000</v>
      </c>
      <c r="H577">
        <f t="shared" si="8"/>
        <v>158811.27207779355</v>
      </c>
    </row>
    <row r="578" spans="1:8" x14ac:dyDescent="0.3">
      <c r="A578" s="7">
        <v>40564</v>
      </c>
      <c r="B578" s="6">
        <v>4802.7</v>
      </c>
      <c r="C578" s="6">
        <v>4839.2</v>
      </c>
      <c r="D578" s="6">
        <v>4740.5</v>
      </c>
      <c r="E578" s="6">
        <v>4755.7</v>
      </c>
      <c r="F578" s="8">
        <v>4416500000</v>
      </c>
      <c r="G578" s="8">
        <v>21967800000</v>
      </c>
      <c r="H578">
        <f t="shared" si="8"/>
        <v>157296.42124760235</v>
      </c>
    </row>
    <row r="579" spans="1:8" x14ac:dyDescent="0.3">
      <c r="A579" s="7">
        <v>40571</v>
      </c>
      <c r="B579" s="6">
        <v>4755.3999999999996</v>
      </c>
      <c r="C579" s="6">
        <v>4825.3999999999996</v>
      </c>
      <c r="D579" s="6">
        <v>4750.2</v>
      </c>
      <c r="E579" s="6">
        <v>4774.8999999999996</v>
      </c>
      <c r="F579" s="8">
        <v>3614900000</v>
      </c>
      <c r="G579" s="8">
        <v>19363600000</v>
      </c>
      <c r="H579">
        <f t="shared" si="8"/>
        <v>157931.46788383971</v>
      </c>
    </row>
    <row r="580" spans="1:8" x14ac:dyDescent="0.3">
      <c r="A580" s="7">
        <v>40578</v>
      </c>
      <c r="B580" s="6">
        <v>4757.8999999999996</v>
      </c>
      <c r="C580" s="6">
        <v>4870.2</v>
      </c>
      <c r="D580" s="6">
        <v>4717.6000000000004</v>
      </c>
      <c r="E580" s="6">
        <v>4862.7</v>
      </c>
      <c r="F580" s="8">
        <v>4773600000</v>
      </c>
      <c r="G580" s="8">
        <v>24438200000</v>
      </c>
      <c r="H580">
        <f t="shared" ref="H580:H643" si="9">H579*(E580/E579)</f>
        <v>160835.48323080008</v>
      </c>
    </row>
    <row r="581" spans="1:8" x14ac:dyDescent="0.3">
      <c r="A581" s="7">
        <v>40585</v>
      </c>
      <c r="B581" s="6">
        <v>4860.1000000000004</v>
      </c>
      <c r="C581" s="6">
        <v>4931.2</v>
      </c>
      <c r="D581" s="6">
        <v>4859.5</v>
      </c>
      <c r="E581" s="6">
        <v>4880.8999999999996</v>
      </c>
      <c r="F581" s="8">
        <v>4277300000</v>
      </c>
      <c r="G581" s="8">
        <v>23916100000</v>
      </c>
      <c r="H581">
        <f t="shared" si="9"/>
        <v>161437.45452140007</v>
      </c>
    </row>
    <row r="582" spans="1:8" x14ac:dyDescent="0.3">
      <c r="A582" s="7">
        <v>40592</v>
      </c>
      <c r="B582" s="6">
        <v>4891.6000000000004</v>
      </c>
      <c r="C582" s="6">
        <v>4944.3999999999996</v>
      </c>
      <c r="D582" s="6">
        <v>4885.1000000000004</v>
      </c>
      <c r="E582" s="6">
        <v>4936.7</v>
      </c>
      <c r="F582" s="8">
        <v>4164600000</v>
      </c>
      <c r="G582" s="8">
        <v>23412400000</v>
      </c>
      <c r="H582">
        <f t="shared" si="9"/>
        <v>163283.05880796487</v>
      </c>
    </row>
    <row r="583" spans="1:8" x14ac:dyDescent="0.3">
      <c r="A583" s="7">
        <v>40599</v>
      </c>
      <c r="B583" s="6">
        <v>4923.3999999999996</v>
      </c>
      <c r="C583" s="6">
        <v>4924.3</v>
      </c>
      <c r="D583" s="6">
        <v>4799.2</v>
      </c>
      <c r="E583" s="6">
        <v>4836.5</v>
      </c>
      <c r="F583" s="8">
        <v>4818600000</v>
      </c>
      <c r="G583" s="8">
        <v>29844900000</v>
      </c>
      <c r="H583">
        <f t="shared" si="9"/>
        <v>159968.9091751012</v>
      </c>
    </row>
    <row r="584" spans="1:8" x14ac:dyDescent="0.3">
      <c r="A584" s="7">
        <v>40606</v>
      </c>
      <c r="B584" s="6">
        <v>4839.7</v>
      </c>
      <c r="C584" s="6">
        <v>4864.3</v>
      </c>
      <c r="D584" s="6">
        <v>4779.3999999999996</v>
      </c>
      <c r="E584" s="6">
        <v>4864.3</v>
      </c>
      <c r="F584" s="8">
        <v>5351800000</v>
      </c>
      <c r="G584" s="8">
        <v>23994200000</v>
      </c>
      <c r="H584">
        <f t="shared" si="9"/>
        <v>160888.40378381987</v>
      </c>
    </row>
    <row r="585" spans="1:8" x14ac:dyDescent="0.3">
      <c r="A585" s="7">
        <v>40613</v>
      </c>
      <c r="B585" s="6">
        <v>4850.7</v>
      </c>
      <c r="C585" s="6">
        <v>4852.3999999999996</v>
      </c>
      <c r="D585" s="6">
        <v>4630.7</v>
      </c>
      <c r="E585" s="6">
        <v>4644.8</v>
      </c>
      <c r="F585" s="8">
        <v>5445900000</v>
      </c>
      <c r="G585" s="8">
        <v>27050900000</v>
      </c>
      <c r="H585">
        <f t="shared" si="9"/>
        <v>153628.36541641891</v>
      </c>
    </row>
    <row r="586" spans="1:8" x14ac:dyDescent="0.3">
      <c r="A586" s="7">
        <v>40620</v>
      </c>
      <c r="B586" s="6">
        <v>4634.8</v>
      </c>
      <c r="C586" s="6">
        <v>4634.8</v>
      </c>
      <c r="D586" s="6">
        <v>4477.3999999999996</v>
      </c>
      <c r="E586" s="6">
        <v>4626.3999999999996</v>
      </c>
      <c r="F586" s="8">
        <v>7614200000</v>
      </c>
      <c r="G586" s="8">
        <v>34577000000</v>
      </c>
      <c r="H586">
        <f t="shared" si="9"/>
        <v>153019.77905669142</v>
      </c>
    </row>
    <row r="587" spans="1:8" x14ac:dyDescent="0.3">
      <c r="A587" s="7">
        <v>40627</v>
      </c>
      <c r="B587" s="6">
        <v>4625.3</v>
      </c>
      <c r="C587" s="6">
        <v>4763</v>
      </c>
      <c r="D587" s="6">
        <v>4606.3999999999996</v>
      </c>
      <c r="E587" s="6">
        <v>4742.6000000000004</v>
      </c>
      <c r="F587" s="8">
        <v>4504900000</v>
      </c>
      <c r="G587" s="8">
        <v>25599000000</v>
      </c>
      <c r="H587">
        <f t="shared" si="9"/>
        <v>156863.13421975292</v>
      </c>
    </row>
    <row r="588" spans="1:8" x14ac:dyDescent="0.3">
      <c r="A588" s="7">
        <v>40634</v>
      </c>
      <c r="B588" s="6">
        <v>4733.3999999999996</v>
      </c>
      <c r="C588" s="6">
        <v>4878.8</v>
      </c>
      <c r="D588" s="6">
        <v>4721.5</v>
      </c>
      <c r="E588" s="6">
        <v>4861.8</v>
      </c>
      <c r="F588" s="8">
        <v>4461800000</v>
      </c>
      <c r="G588" s="8">
        <v>24442600000</v>
      </c>
      <c r="H588">
        <f t="shared" si="9"/>
        <v>160805.71541972645</v>
      </c>
    </row>
    <row r="589" spans="1:8" x14ac:dyDescent="0.3">
      <c r="A589" s="7">
        <v>40641</v>
      </c>
      <c r="B589" s="6">
        <v>4868.6000000000004</v>
      </c>
      <c r="C589" s="6">
        <v>4941.6000000000004</v>
      </c>
      <c r="D589" s="6">
        <v>4868.6000000000004</v>
      </c>
      <c r="E589" s="6">
        <v>4940.6000000000004</v>
      </c>
      <c r="F589" s="8">
        <v>4724900000</v>
      </c>
      <c r="G589" s="8">
        <v>26775600000</v>
      </c>
      <c r="H589">
        <f t="shared" si="9"/>
        <v>163412.05265595057</v>
      </c>
    </row>
    <row r="590" spans="1:8" x14ac:dyDescent="0.3">
      <c r="A590" s="7">
        <v>40648</v>
      </c>
      <c r="B590" s="6">
        <v>4943.3</v>
      </c>
      <c r="C590" s="6">
        <v>4976.3999999999996</v>
      </c>
      <c r="D590" s="6">
        <v>4852.1000000000004</v>
      </c>
      <c r="E590" s="6">
        <v>4852.1000000000004</v>
      </c>
      <c r="F590" s="8">
        <v>4819000000</v>
      </c>
      <c r="G590" s="8">
        <v>30022700000</v>
      </c>
      <c r="H590">
        <f t="shared" si="9"/>
        <v>160484.88456704404</v>
      </c>
    </row>
    <row r="591" spans="1:8" x14ac:dyDescent="0.3">
      <c r="A591" s="7">
        <v>40654</v>
      </c>
      <c r="B591" s="6">
        <v>4852.6000000000004</v>
      </c>
      <c r="C591" s="6">
        <v>4915.5</v>
      </c>
      <c r="D591" s="6">
        <v>4788.6000000000004</v>
      </c>
      <c r="E591" s="6">
        <v>4913.8</v>
      </c>
      <c r="F591" s="8">
        <v>3096100000</v>
      </c>
      <c r="G591" s="8">
        <v>18175600000</v>
      </c>
      <c r="H591">
        <f t="shared" si="9"/>
        <v>162525.63339286923</v>
      </c>
    </row>
    <row r="592" spans="1:8" x14ac:dyDescent="0.3">
      <c r="A592" s="7">
        <v>40662</v>
      </c>
      <c r="B592" s="6">
        <v>4919.3</v>
      </c>
      <c r="C592" s="6">
        <v>4930.6000000000004</v>
      </c>
      <c r="D592" s="6">
        <v>4794.8</v>
      </c>
      <c r="E592" s="6">
        <v>4823.2</v>
      </c>
      <c r="F592" s="8">
        <v>3057800000</v>
      </c>
      <c r="G592" s="8">
        <v>18652600000</v>
      </c>
      <c r="H592">
        <f t="shared" si="9"/>
        <v>159529.00707812424</v>
      </c>
    </row>
    <row r="593" spans="1:8" x14ac:dyDescent="0.3">
      <c r="A593" s="7">
        <v>40669</v>
      </c>
      <c r="B593" s="6">
        <v>4826.3</v>
      </c>
      <c r="C593" s="6">
        <v>4835.5</v>
      </c>
      <c r="D593" s="6">
        <v>4713.3999999999996</v>
      </c>
      <c r="E593" s="6">
        <v>4743</v>
      </c>
      <c r="F593" s="8">
        <v>5335200000</v>
      </c>
      <c r="G593" s="8">
        <v>27353500000</v>
      </c>
      <c r="H593">
        <f t="shared" si="9"/>
        <v>156876.36435800782</v>
      </c>
    </row>
    <row r="594" spans="1:8" x14ac:dyDescent="0.3">
      <c r="A594" s="7">
        <v>40676</v>
      </c>
      <c r="B594" s="6">
        <v>4752.8999999999996</v>
      </c>
      <c r="C594" s="6">
        <v>4795.8999999999996</v>
      </c>
      <c r="D594" s="6">
        <v>4675.3999999999996</v>
      </c>
      <c r="E594" s="6">
        <v>4711.3999999999996</v>
      </c>
      <c r="F594" s="8">
        <v>4551300000</v>
      </c>
      <c r="G594" s="8">
        <v>24665900000</v>
      </c>
      <c r="H594">
        <f t="shared" si="9"/>
        <v>155831.18343586716</v>
      </c>
    </row>
    <row r="595" spans="1:8" x14ac:dyDescent="0.3">
      <c r="A595" s="7">
        <v>40683</v>
      </c>
      <c r="B595" s="6">
        <v>4692.5</v>
      </c>
      <c r="C595" s="6">
        <v>4763.8999999999996</v>
      </c>
      <c r="D595" s="6">
        <v>4641.3999999999996</v>
      </c>
      <c r="E595" s="6">
        <v>4732.2</v>
      </c>
      <c r="F595" s="8">
        <v>4457100000</v>
      </c>
      <c r="G595" s="8">
        <v>22225000000</v>
      </c>
      <c r="H595">
        <f t="shared" si="9"/>
        <v>156519.15062512431</v>
      </c>
    </row>
    <row r="596" spans="1:8" x14ac:dyDescent="0.3">
      <c r="A596" s="7">
        <v>40690</v>
      </c>
      <c r="B596" s="6">
        <v>4720.3</v>
      </c>
      <c r="C596" s="6">
        <v>4720.3</v>
      </c>
      <c r="D596" s="6">
        <v>4582.7</v>
      </c>
      <c r="E596" s="6">
        <v>4684</v>
      </c>
      <c r="F596" s="8">
        <v>4802000000</v>
      </c>
      <c r="G596" s="8">
        <v>27069600000</v>
      </c>
      <c r="H596">
        <f t="shared" si="9"/>
        <v>154924.91896540346</v>
      </c>
    </row>
    <row r="597" spans="1:8" x14ac:dyDescent="0.3">
      <c r="A597" s="7">
        <v>40697</v>
      </c>
      <c r="B597" s="6">
        <v>4684.6000000000004</v>
      </c>
      <c r="C597" s="6">
        <v>4724.8</v>
      </c>
      <c r="D597" s="6">
        <v>4578</v>
      </c>
      <c r="E597" s="6">
        <v>4583.1000000000004</v>
      </c>
      <c r="F597" s="8">
        <v>4660900000</v>
      </c>
      <c r="G597" s="8">
        <v>23846000000</v>
      </c>
      <c r="H597">
        <f t="shared" si="9"/>
        <v>151587.61659059365</v>
      </c>
    </row>
    <row r="598" spans="1:8" x14ac:dyDescent="0.3">
      <c r="A598" s="7">
        <v>40704</v>
      </c>
      <c r="B598" s="6">
        <v>4577.3</v>
      </c>
      <c r="C598" s="6">
        <v>4589.2</v>
      </c>
      <c r="D598" s="6">
        <v>4518.1000000000004</v>
      </c>
      <c r="E598" s="6">
        <v>4562.1000000000004</v>
      </c>
      <c r="F598" s="8">
        <v>4565000000</v>
      </c>
      <c r="G598" s="8">
        <v>22454500000</v>
      </c>
      <c r="H598">
        <f t="shared" si="9"/>
        <v>150893.03433220906</v>
      </c>
    </row>
    <row r="599" spans="1:8" x14ac:dyDescent="0.3">
      <c r="A599" s="7">
        <v>40711</v>
      </c>
      <c r="B599" s="6">
        <v>4549.7</v>
      </c>
      <c r="C599" s="6">
        <v>4593.3</v>
      </c>
      <c r="D599" s="6">
        <v>4465.8999999999996</v>
      </c>
      <c r="E599" s="6">
        <v>4484.8999999999996</v>
      </c>
      <c r="F599" s="8">
        <v>4549100000</v>
      </c>
      <c r="G599" s="8">
        <v>24287700000</v>
      </c>
      <c r="H599">
        <f t="shared" si="9"/>
        <v>148339.61764900471</v>
      </c>
    </row>
    <row r="600" spans="1:8" x14ac:dyDescent="0.3">
      <c r="A600" s="7">
        <v>40718</v>
      </c>
      <c r="B600" s="6">
        <v>4487.2</v>
      </c>
      <c r="C600" s="6">
        <v>4565.8999999999996</v>
      </c>
      <c r="D600" s="6">
        <v>4451.7</v>
      </c>
      <c r="E600" s="6">
        <v>4508.1000000000004</v>
      </c>
      <c r="F600" s="8">
        <v>4968600000</v>
      </c>
      <c r="G600" s="8">
        <v>27720700000</v>
      </c>
      <c r="H600">
        <f t="shared" si="9"/>
        <v>149106.96566779152</v>
      </c>
    </row>
    <row r="601" spans="1:8" x14ac:dyDescent="0.3">
      <c r="A601" s="7">
        <v>40725</v>
      </c>
      <c r="B601" s="6">
        <v>4502.1000000000004</v>
      </c>
      <c r="C601" s="6">
        <v>4622</v>
      </c>
      <c r="D601" s="6">
        <v>4453.7</v>
      </c>
      <c r="E601" s="6">
        <v>4591.2</v>
      </c>
      <c r="F601" s="8">
        <v>4469300000</v>
      </c>
      <c r="G601" s="8">
        <v>22625600000</v>
      </c>
      <c r="H601">
        <f t="shared" si="9"/>
        <v>151855.52689025627</v>
      </c>
    </row>
    <row r="602" spans="1:8" x14ac:dyDescent="0.3">
      <c r="A602" s="7">
        <v>40732</v>
      </c>
      <c r="B602" s="6">
        <v>4602.7</v>
      </c>
      <c r="C602" s="6">
        <v>4657.3999999999996</v>
      </c>
      <c r="D602" s="6">
        <v>4582.5</v>
      </c>
      <c r="E602" s="6">
        <v>4654.7</v>
      </c>
      <c r="F602" s="8">
        <v>3768900000</v>
      </c>
      <c r="G602" s="8">
        <v>19800300000</v>
      </c>
      <c r="H602">
        <f t="shared" si="9"/>
        <v>153955.81133822876</v>
      </c>
    </row>
    <row r="603" spans="1:8" x14ac:dyDescent="0.3">
      <c r="A603" s="7">
        <v>40739</v>
      </c>
      <c r="B603" s="6">
        <v>4641.5</v>
      </c>
      <c r="C603" s="6">
        <v>4641.5</v>
      </c>
      <c r="D603" s="6">
        <v>4454.3</v>
      </c>
      <c r="E603" s="6">
        <v>4473.5</v>
      </c>
      <c r="F603" s="8">
        <v>4305900000</v>
      </c>
      <c r="G603" s="8">
        <v>24279500000</v>
      </c>
      <c r="H603">
        <f t="shared" si="9"/>
        <v>147962.55870873877</v>
      </c>
    </row>
    <row r="604" spans="1:8" x14ac:dyDescent="0.3">
      <c r="A604" s="7">
        <v>40746</v>
      </c>
      <c r="B604" s="6">
        <v>4473.1000000000004</v>
      </c>
      <c r="C604" s="6">
        <v>4612.2</v>
      </c>
      <c r="D604" s="6">
        <v>4445</v>
      </c>
      <c r="E604" s="6">
        <v>4602.8999999999996</v>
      </c>
      <c r="F604" s="8">
        <v>4596700000</v>
      </c>
      <c r="G604" s="8">
        <v>22370800000</v>
      </c>
      <c r="H604">
        <f t="shared" si="9"/>
        <v>152242.50843421341</v>
      </c>
    </row>
    <row r="605" spans="1:8" x14ac:dyDescent="0.3">
      <c r="A605" s="7">
        <v>40753</v>
      </c>
      <c r="B605" s="6">
        <v>4595.3</v>
      </c>
      <c r="C605" s="6">
        <v>4595.3999999999996</v>
      </c>
      <c r="D605" s="6">
        <v>4421.1000000000004</v>
      </c>
      <c r="E605" s="6">
        <v>4424.6000000000004</v>
      </c>
      <c r="F605" s="8">
        <v>4974400000</v>
      </c>
      <c r="G605" s="8">
        <v>27013900000</v>
      </c>
      <c r="H605">
        <f t="shared" si="9"/>
        <v>146345.17430707181</v>
      </c>
    </row>
    <row r="606" spans="1:8" x14ac:dyDescent="0.3">
      <c r="A606" s="7">
        <v>40760</v>
      </c>
      <c r="B606" s="6">
        <v>4440.8999999999996</v>
      </c>
      <c r="C606" s="6">
        <v>4517.3999999999996</v>
      </c>
      <c r="D606" s="6">
        <v>4087.7</v>
      </c>
      <c r="E606" s="6">
        <v>4105.3999999999996</v>
      </c>
      <c r="F606" s="8">
        <v>5556800000</v>
      </c>
      <c r="G606" s="8">
        <v>30252000000</v>
      </c>
      <c r="H606">
        <f t="shared" si="9"/>
        <v>135787.52397962584</v>
      </c>
    </row>
    <row r="607" spans="1:8" x14ac:dyDescent="0.3">
      <c r="A607" s="7">
        <v>40767</v>
      </c>
      <c r="B607" s="6">
        <v>4078.6</v>
      </c>
      <c r="C607" s="6">
        <v>4216.1000000000004</v>
      </c>
      <c r="D607" s="6">
        <v>3765.9</v>
      </c>
      <c r="E607" s="6">
        <v>4172.6000000000004</v>
      </c>
      <c r="F607" s="8">
        <v>7537400000</v>
      </c>
      <c r="G607" s="8">
        <v>39356800000</v>
      </c>
      <c r="H607">
        <f t="shared" si="9"/>
        <v>138010.18720645658</v>
      </c>
    </row>
    <row r="608" spans="1:8" x14ac:dyDescent="0.3">
      <c r="A608" s="7">
        <v>40774</v>
      </c>
      <c r="B608" s="6">
        <v>4193.5</v>
      </c>
      <c r="C608" s="6">
        <v>4324.7</v>
      </c>
      <c r="D608" s="6">
        <v>4099.3999999999996</v>
      </c>
      <c r="E608" s="6">
        <v>4101.8999999999996</v>
      </c>
      <c r="F608" s="8">
        <v>5162800000</v>
      </c>
      <c r="G608" s="8">
        <v>28498800000</v>
      </c>
      <c r="H608">
        <f t="shared" si="9"/>
        <v>135671.76026989508</v>
      </c>
    </row>
    <row r="609" spans="1:8" x14ac:dyDescent="0.3">
      <c r="A609" s="7">
        <v>40781</v>
      </c>
      <c r="B609" s="6">
        <v>4099</v>
      </c>
      <c r="C609" s="6">
        <v>4238.6000000000004</v>
      </c>
      <c r="D609" s="6">
        <v>4075.1</v>
      </c>
      <c r="E609" s="6">
        <v>4200</v>
      </c>
      <c r="F609" s="8">
        <v>5459600000</v>
      </c>
      <c r="G609" s="8">
        <v>28965800000</v>
      </c>
      <c r="H609">
        <f t="shared" si="9"/>
        <v>138916.45167692029</v>
      </c>
    </row>
    <row r="610" spans="1:8" x14ac:dyDescent="0.3">
      <c r="A610" s="7">
        <v>40788</v>
      </c>
      <c r="B610" s="6">
        <v>4209.5</v>
      </c>
      <c r="C610" s="6">
        <v>4354.6000000000004</v>
      </c>
      <c r="D610" s="6">
        <v>4209.5</v>
      </c>
      <c r="E610" s="6">
        <v>4242.8999999999996</v>
      </c>
      <c r="F610" s="8">
        <v>4892800000</v>
      </c>
      <c r="G610" s="8">
        <v>24981000000</v>
      </c>
      <c r="H610">
        <f t="shared" si="9"/>
        <v>140335.38400476312</v>
      </c>
    </row>
    <row r="611" spans="1:8" x14ac:dyDescent="0.3">
      <c r="A611" s="7">
        <v>40795</v>
      </c>
      <c r="B611" s="6">
        <v>4221.2</v>
      </c>
      <c r="C611" s="6">
        <v>4232</v>
      </c>
      <c r="D611" s="6">
        <v>4072.7</v>
      </c>
      <c r="E611" s="6">
        <v>4194.7</v>
      </c>
      <c r="F611" s="8">
        <v>4534900000</v>
      </c>
      <c r="G611" s="8">
        <v>24196800000</v>
      </c>
      <c r="H611">
        <f t="shared" si="9"/>
        <v>138741.15234504227</v>
      </c>
    </row>
    <row r="612" spans="1:8" x14ac:dyDescent="0.3">
      <c r="A612" s="7">
        <v>40802</v>
      </c>
      <c r="B612" s="6">
        <v>4169.3</v>
      </c>
      <c r="C612" s="6">
        <v>4170</v>
      </c>
      <c r="D612" s="6">
        <v>3997.6</v>
      </c>
      <c r="E612" s="6">
        <v>4149.3999999999996</v>
      </c>
      <c r="F612" s="8">
        <v>5373000000</v>
      </c>
      <c r="G612" s="8">
        <v>26581900000</v>
      </c>
      <c r="H612">
        <f t="shared" si="9"/>
        <v>137242.83918766977</v>
      </c>
    </row>
    <row r="613" spans="1:8" x14ac:dyDescent="0.3">
      <c r="A613" s="7">
        <v>40809</v>
      </c>
      <c r="B613" s="6">
        <v>4140.1000000000004</v>
      </c>
      <c r="C613" s="6">
        <v>4141.3999999999996</v>
      </c>
      <c r="D613" s="6">
        <v>3882.2</v>
      </c>
      <c r="E613" s="6">
        <v>3903.2</v>
      </c>
      <c r="F613" s="8">
        <v>5120400000</v>
      </c>
      <c r="G613" s="8">
        <v>26697400000</v>
      </c>
      <c r="H613">
        <f t="shared" si="9"/>
        <v>129099.68909175125</v>
      </c>
    </row>
    <row r="614" spans="1:8" x14ac:dyDescent="0.3">
      <c r="A614" s="7">
        <v>40816</v>
      </c>
      <c r="B614" s="6">
        <v>3917.8</v>
      </c>
      <c r="C614" s="6">
        <v>4053.8</v>
      </c>
      <c r="D614" s="6">
        <v>3862.4</v>
      </c>
      <c r="E614" s="6">
        <v>4008.6</v>
      </c>
      <c r="F614" s="8">
        <v>6422100000</v>
      </c>
      <c r="G614" s="8">
        <v>29736900000</v>
      </c>
      <c r="H614">
        <f t="shared" si="9"/>
        <v>132585.83052192922</v>
      </c>
    </row>
    <row r="615" spans="1:8" x14ac:dyDescent="0.3">
      <c r="A615" s="7">
        <v>40823</v>
      </c>
      <c r="B615" s="6">
        <v>3990.6</v>
      </c>
      <c r="C615" s="6">
        <v>4182</v>
      </c>
      <c r="D615" s="6">
        <v>3840.2</v>
      </c>
      <c r="E615" s="6">
        <v>4162.8999999999996</v>
      </c>
      <c r="F615" s="8">
        <v>5623200000</v>
      </c>
      <c r="G615" s="8">
        <v>25575900000</v>
      </c>
      <c r="H615">
        <f t="shared" si="9"/>
        <v>137689.35635377414</v>
      </c>
    </row>
    <row r="616" spans="1:8" x14ac:dyDescent="0.3">
      <c r="A616" s="7">
        <v>40830</v>
      </c>
      <c r="B616" s="6">
        <v>4157.6000000000004</v>
      </c>
      <c r="C616" s="6">
        <v>4256.1000000000004</v>
      </c>
      <c r="D616" s="6">
        <v>4146.8999999999996</v>
      </c>
      <c r="E616" s="6">
        <v>4205.6000000000004</v>
      </c>
      <c r="F616" s="8">
        <v>4143800000</v>
      </c>
      <c r="G616" s="8">
        <v>21934800000</v>
      </c>
      <c r="H616">
        <f t="shared" si="9"/>
        <v>139101.67361248951</v>
      </c>
    </row>
    <row r="617" spans="1:8" x14ac:dyDescent="0.3">
      <c r="A617" s="7">
        <v>40837</v>
      </c>
      <c r="B617" s="6">
        <v>4221.7</v>
      </c>
      <c r="C617" s="6">
        <v>4287.7</v>
      </c>
      <c r="D617" s="6">
        <v>4131.8999999999996</v>
      </c>
      <c r="E617" s="6">
        <v>4141.8999999999996</v>
      </c>
      <c r="F617" s="8">
        <v>3620800000</v>
      </c>
      <c r="G617" s="8">
        <v>20411900000</v>
      </c>
      <c r="H617">
        <f t="shared" si="9"/>
        <v>136994.77409538953</v>
      </c>
    </row>
    <row r="618" spans="1:8" x14ac:dyDescent="0.3">
      <c r="A618" s="7">
        <v>40844</v>
      </c>
      <c r="B618" s="6">
        <v>4155.2</v>
      </c>
      <c r="C618" s="6">
        <v>4417.6000000000004</v>
      </c>
      <c r="D618" s="6">
        <v>4155</v>
      </c>
      <c r="E618" s="6">
        <v>4353.3</v>
      </c>
      <c r="F618" s="8">
        <v>4002000000</v>
      </c>
      <c r="G618" s="8">
        <v>24837000000</v>
      </c>
      <c r="H618">
        <f t="shared" si="9"/>
        <v>143986.90216312787</v>
      </c>
    </row>
    <row r="619" spans="1:8" x14ac:dyDescent="0.3">
      <c r="A619" s="7">
        <v>40851</v>
      </c>
      <c r="B619" s="6">
        <v>4348.8999999999996</v>
      </c>
      <c r="C619" s="6">
        <v>4358.2</v>
      </c>
      <c r="D619" s="6">
        <v>4141.3</v>
      </c>
      <c r="E619" s="6">
        <v>4281.1000000000004</v>
      </c>
      <c r="F619" s="8">
        <v>3761000000</v>
      </c>
      <c r="G619" s="8">
        <v>20363800000</v>
      </c>
      <c r="H619">
        <f t="shared" si="9"/>
        <v>141598.86220811034</v>
      </c>
    </row>
    <row r="620" spans="1:8" x14ac:dyDescent="0.3">
      <c r="A620" s="7">
        <v>40858</v>
      </c>
      <c r="B620" s="6">
        <v>4281.8999999999996</v>
      </c>
      <c r="C620" s="6">
        <v>4365</v>
      </c>
      <c r="D620" s="6">
        <v>4205</v>
      </c>
      <c r="E620" s="6">
        <v>4296.5</v>
      </c>
      <c r="F620" s="8">
        <v>3706600000</v>
      </c>
      <c r="G620" s="8">
        <v>20511900000</v>
      </c>
      <c r="H620">
        <f t="shared" si="9"/>
        <v>142108.2225309257</v>
      </c>
    </row>
    <row r="621" spans="1:8" x14ac:dyDescent="0.3">
      <c r="A621" s="7">
        <v>40865</v>
      </c>
      <c r="B621" s="6">
        <v>4310.5</v>
      </c>
      <c r="C621" s="6">
        <v>4363.1000000000004</v>
      </c>
      <c r="D621" s="6">
        <v>4172.6000000000004</v>
      </c>
      <c r="E621" s="6">
        <v>4177</v>
      </c>
      <c r="F621" s="8">
        <v>3291400000</v>
      </c>
      <c r="G621" s="8">
        <v>19060500000</v>
      </c>
      <c r="H621">
        <f t="shared" si="9"/>
        <v>138155.71872726094</v>
      </c>
    </row>
    <row r="622" spans="1:8" x14ac:dyDescent="0.3">
      <c r="A622" s="7">
        <v>40872</v>
      </c>
      <c r="B622" s="6">
        <v>4174.2</v>
      </c>
      <c r="C622" s="6">
        <v>4181.3999999999996</v>
      </c>
      <c r="D622" s="6">
        <v>3973.8</v>
      </c>
      <c r="E622" s="6">
        <v>3984.3</v>
      </c>
      <c r="F622" s="8">
        <v>4355600000</v>
      </c>
      <c r="G622" s="8">
        <v>23605700000</v>
      </c>
      <c r="H622">
        <f t="shared" si="9"/>
        <v>131782.09962294128</v>
      </c>
    </row>
    <row r="623" spans="1:8" x14ac:dyDescent="0.3">
      <c r="A623" s="7">
        <v>40879</v>
      </c>
      <c r="B623" s="6">
        <v>3984.3</v>
      </c>
      <c r="C623" s="6">
        <v>4288</v>
      </c>
      <c r="D623" s="6">
        <v>3984.3</v>
      </c>
      <c r="E623" s="6">
        <v>4288</v>
      </c>
      <c r="F623" s="8">
        <v>4650100000</v>
      </c>
      <c r="G623" s="8">
        <v>23875600000</v>
      </c>
      <c r="H623">
        <f t="shared" si="9"/>
        <v>141827.08209300812</v>
      </c>
    </row>
    <row r="624" spans="1:8" x14ac:dyDescent="0.3">
      <c r="A624" s="7">
        <v>40886</v>
      </c>
      <c r="B624" s="6">
        <v>4292.6000000000004</v>
      </c>
      <c r="C624" s="6">
        <v>4335.2</v>
      </c>
      <c r="D624" s="6">
        <v>4186.1000000000004</v>
      </c>
      <c r="E624" s="6">
        <v>4203</v>
      </c>
      <c r="F624" s="8">
        <v>3870400000</v>
      </c>
      <c r="G624" s="8">
        <v>20083600000</v>
      </c>
      <c r="H624">
        <f t="shared" si="9"/>
        <v>139015.67771383235</v>
      </c>
    </row>
    <row r="625" spans="1:8" x14ac:dyDescent="0.3">
      <c r="A625" s="7">
        <v>40893</v>
      </c>
      <c r="B625" s="6">
        <v>4222</v>
      </c>
      <c r="C625" s="6">
        <v>4271.8999999999996</v>
      </c>
      <c r="D625" s="6">
        <v>4115.2</v>
      </c>
      <c r="E625" s="6">
        <v>4159.2</v>
      </c>
      <c r="F625" s="8">
        <v>4207200000</v>
      </c>
      <c r="G625" s="8">
        <v>21745300000</v>
      </c>
      <c r="H625">
        <f t="shared" si="9"/>
        <v>137566.97757491589</v>
      </c>
    </row>
    <row r="626" spans="1:8" x14ac:dyDescent="0.3">
      <c r="A626" s="7">
        <v>40900</v>
      </c>
      <c r="B626" s="6">
        <v>4147.8</v>
      </c>
      <c r="C626" s="6">
        <v>4148.2</v>
      </c>
      <c r="D626" s="6">
        <v>4050.3</v>
      </c>
      <c r="E626" s="6">
        <v>4140.3999999999996</v>
      </c>
      <c r="F626" s="8">
        <v>3264200000</v>
      </c>
      <c r="G626" s="8">
        <v>18874800000</v>
      </c>
      <c r="H626">
        <f t="shared" si="9"/>
        <v>136945.16107693347</v>
      </c>
    </row>
    <row r="627" spans="1:8" x14ac:dyDescent="0.3">
      <c r="A627" s="7">
        <v>40907</v>
      </c>
      <c r="B627" s="6">
        <v>4140.1000000000004</v>
      </c>
      <c r="C627" s="6">
        <v>4142.6000000000004</v>
      </c>
      <c r="D627" s="6">
        <v>4038.1</v>
      </c>
      <c r="E627" s="6">
        <v>4056.6</v>
      </c>
      <c r="F627" s="8">
        <v>1018200000</v>
      </c>
      <c r="G627" s="8">
        <v>4660900000</v>
      </c>
      <c r="H627">
        <f t="shared" si="9"/>
        <v>134173.44711252252</v>
      </c>
    </row>
    <row r="628" spans="1:8" x14ac:dyDescent="0.3">
      <c r="A628" s="7">
        <v>40914</v>
      </c>
      <c r="B628" s="6">
        <v>4069.3</v>
      </c>
      <c r="C628" s="6">
        <v>4202.3999999999996</v>
      </c>
      <c r="D628" s="6">
        <v>4069.1</v>
      </c>
      <c r="E628" s="6">
        <v>4108.5</v>
      </c>
      <c r="F628" s="8">
        <v>2059500000</v>
      </c>
      <c r="G628" s="8">
        <v>10776100000</v>
      </c>
      <c r="H628">
        <f t="shared" si="9"/>
        <v>135890.05755110161</v>
      </c>
    </row>
    <row r="629" spans="1:8" x14ac:dyDescent="0.3">
      <c r="A629" s="7">
        <v>40921</v>
      </c>
      <c r="B629" s="6">
        <v>4118.1000000000004</v>
      </c>
      <c r="C629" s="6">
        <v>4203.6000000000004</v>
      </c>
      <c r="D629" s="6">
        <v>4088.7</v>
      </c>
      <c r="E629" s="6">
        <v>4195.8999999999996</v>
      </c>
      <c r="F629" s="8">
        <v>3053500000</v>
      </c>
      <c r="G629" s="8">
        <v>16088300000</v>
      </c>
      <c r="H629">
        <f t="shared" si="9"/>
        <v>138780.84275980704</v>
      </c>
    </row>
    <row r="630" spans="1:8" x14ac:dyDescent="0.3">
      <c r="A630" s="7">
        <v>40928</v>
      </c>
      <c r="B630" s="6">
        <v>4191.3</v>
      </c>
      <c r="C630" s="6">
        <v>4258.3999999999996</v>
      </c>
      <c r="D630" s="6">
        <v>4138.5</v>
      </c>
      <c r="E630" s="6">
        <v>4239.6000000000004</v>
      </c>
      <c r="F630" s="8">
        <v>3698200000</v>
      </c>
      <c r="G630" s="8">
        <v>18815300000</v>
      </c>
      <c r="H630">
        <f t="shared" si="9"/>
        <v>140226.2353641598</v>
      </c>
    </row>
    <row r="631" spans="1:8" x14ac:dyDescent="0.3">
      <c r="A631" s="7">
        <v>40935</v>
      </c>
      <c r="B631" s="6">
        <v>4239.6000000000004</v>
      </c>
      <c r="C631" s="6">
        <v>4315.6000000000004</v>
      </c>
      <c r="D631" s="6">
        <v>4218.3999999999996</v>
      </c>
      <c r="E631" s="6">
        <v>4288.3999999999996</v>
      </c>
      <c r="F631" s="8">
        <v>2571000000</v>
      </c>
      <c r="G631" s="8">
        <v>16328100000</v>
      </c>
      <c r="H631">
        <f t="shared" si="9"/>
        <v>141840.31223126303</v>
      </c>
    </row>
    <row r="632" spans="1:8" x14ac:dyDescent="0.3">
      <c r="A632" s="7">
        <v>40942</v>
      </c>
      <c r="B632" s="6">
        <v>4288.3999999999996</v>
      </c>
      <c r="C632" s="6">
        <v>4294.7</v>
      </c>
      <c r="D632" s="6">
        <v>4225.7</v>
      </c>
      <c r="E632" s="6">
        <v>4251.2</v>
      </c>
      <c r="F632" s="8">
        <v>3881600000</v>
      </c>
      <c r="G632" s="8">
        <v>20258400000</v>
      </c>
      <c r="H632">
        <f t="shared" si="9"/>
        <v>140609.90937355318</v>
      </c>
    </row>
    <row r="633" spans="1:8" x14ac:dyDescent="0.3">
      <c r="A633" s="7">
        <v>40949</v>
      </c>
      <c r="B633" s="6">
        <v>4266</v>
      </c>
      <c r="C633" s="6">
        <v>4312</v>
      </c>
      <c r="D633" s="6">
        <v>4244.8999999999996</v>
      </c>
      <c r="E633" s="6">
        <v>4245.3</v>
      </c>
      <c r="F633" s="8">
        <v>3986100000</v>
      </c>
      <c r="G633" s="8">
        <v>22520300000</v>
      </c>
      <c r="H633">
        <f t="shared" si="9"/>
        <v>140414.76483429276</v>
      </c>
    </row>
    <row r="634" spans="1:8" x14ac:dyDescent="0.3">
      <c r="A634" s="7">
        <v>40956</v>
      </c>
      <c r="B634" s="6">
        <v>4245.3</v>
      </c>
      <c r="C634" s="6">
        <v>4289.7</v>
      </c>
      <c r="D634" s="6">
        <v>4170.2</v>
      </c>
      <c r="E634" s="6">
        <v>4195.8999999999996</v>
      </c>
      <c r="F634" s="8">
        <v>4153000000</v>
      </c>
      <c r="G634" s="8">
        <v>21792500000</v>
      </c>
      <c r="H634">
        <f t="shared" si="9"/>
        <v>138780.84275980707</v>
      </c>
    </row>
    <row r="635" spans="1:8" x14ac:dyDescent="0.3">
      <c r="A635" s="7">
        <v>40963</v>
      </c>
      <c r="B635" s="6">
        <v>4195.8999999999996</v>
      </c>
      <c r="C635" s="6">
        <v>4307.5</v>
      </c>
      <c r="D635" s="6">
        <v>4195.8999999999996</v>
      </c>
      <c r="E635" s="6">
        <v>4306.8</v>
      </c>
      <c r="F635" s="8">
        <v>4515100000</v>
      </c>
      <c r="G635" s="8">
        <v>23569700000</v>
      </c>
      <c r="H635">
        <f t="shared" si="9"/>
        <v>142448.89859099052</v>
      </c>
    </row>
    <row r="636" spans="1:8" x14ac:dyDescent="0.3">
      <c r="A636" s="7">
        <v>40970</v>
      </c>
      <c r="B636" s="6">
        <v>4306.8</v>
      </c>
      <c r="C636" s="6">
        <v>4318.8</v>
      </c>
      <c r="D636" s="6">
        <v>4248</v>
      </c>
      <c r="E636" s="6">
        <v>4273.1000000000004</v>
      </c>
      <c r="F636" s="8">
        <v>4454000000</v>
      </c>
      <c r="G636" s="8">
        <v>22156100000</v>
      </c>
      <c r="H636">
        <f t="shared" si="9"/>
        <v>141334.25944301143</v>
      </c>
    </row>
    <row r="637" spans="1:8" x14ac:dyDescent="0.3">
      <c r="A637" s="7">
        <v>40977</v>
      </c>
      <c r="B637" s="6">
        <v>4269</v>
      </c>
      <c r="C637" s="6">
        <v>4273.6000000000004</v>
      </c>
      <c r="D637" s="6">
        <v>4143.7</v>
      </c>
      <c r="E637" s="6">
        <v>4212</v>
      </c>
      <c r="F637" s="8">
        <v>4401900000</v>
      </c>
      <c r="G637" s="8">
        <v>22698600000</v>
      </c>
      <c r="H637">
        <f t="shared" si="9"/>
        <v>139313.3558245686</v>
      </c>
    </row>
    <row r="638" spans="1:8" x14ac:dyDescent="0.3">
      <c r="A638" s="7">
        <v>40984</v>
      </c>
      <c r="B638" s="6">
        <v>4215.1000000000004</v>
      </c>
      <c r="C638" s="6">
        <v>4294.8999999999996</v>
      </c>
      <c r="D638" s="6">
        <v>4193.8999999999996</v>
      </c>
      <c r="E638" s="6">
        <v>4276.2</v>
      </c>
      <c r="F638" s="8">
        <v>4942600000</v>
      </c>
      <c r="G638" s="8">
        <v>23888500000</v>
      </c>
      <c r="H638">
        <f t="shared" si="9"/>
        <v>141436.79301448725</v>
      </c>
    </row>
    <row r="639" spans="1:8" x14ac:dyDescent="0.3">
      <c r="A639" s="7">
        <v>40991</v>
      </c>
      <c r="B639" s="6">
        <v>4282.7</v>
      </c>
      <c r="C639" s="6">
        <v>4309</v>
      </c>
      <c r="D639" s="6">
        <v>4238.3999999999996</v>
      </c>
      <c r="E639" s="6">
        <v>4270.3999999999996</v>
      </c>
      <c r="F639" s="8">
        <v>3972500000</v>
      </c>
      <c r="G639" s="8">
        <v>20749300000</v>
      </c>
      <c r="H639">
        <f t="shared" si="9"/>
        <v>141244.95600979053</v>
      </c>
    </row>
    <row r="640" spans="1:8" x14ac:dyDescent="0.3">
      <c r="A640" s="7">
        <v>40998</v>
      </c>
      <c r="B640" s="6">
        <v>4270.3</v>
      </c>
      <c r="C640" s="6">
        <v>4361.1000000000004</v>
      </c>
      <c r="D640" s="6">
        <v>4262.8</v>
      </c>
      <c r="E640" s="6">
        <v>4335.2</v>
      </c>
      <c r="F640" s="8">
        <v>4349500000</v>
      </c>
      <c r="G640" s="8">
        <v>25116500000</v>
      </c>
      <c r="H640">
        <f t="shared" si="9"/>
        <v>143388.23840709162</v>
      </c>
    </row>
    <row r="641" spans="1:8" x14ac:dyDescent="0.3">
      <c r="A641" s="7">
        <v>41004</v>
      </c>
      <c r="B641" s="6">
        <v>4348.8</v>
      </c>
      <c r="C641" s="6">
        <v>4377.5</v>
      </c>
      <c r="D641" s="6">
        <v>4286.3</v>
      </c>
      <c r="E641" s="6">
        <v>4319.8</v>
      </c>
      <c r="F641" s="8">
        <v>3179400000</v>
      </c>
      <c r="G641" s="8">
        <v>16980400000</v>
      </c>
      <c r="H641">
        <f t="shared" si="9"/>
        <v>142878.87808427625</v>
      </c>
    </row>
    <row r="642" spans="1:8" x14ac:dyDescent="0.3">
      <c r="A642" s="7">
        <v>41012</v>
      </c>
      <c r="B642" s="6">
        <v>4308.8999999999996</v>
      </c>
      <c r="C642" s="6">
        <v>4330.5</v>
      </c>
      <c r="D642" s="6">
        <v>4246.1000000000004</v>
      </c>
      <c r="E642" s="6">
        <v>4323.3</v>
      </c>
      <c r="F642" s="8">
        <v>2743400000</v>
      </c>
      <c r="G642" s="8">
        <v>14741100000</v>
      </c>
      <c r="H642">
        <f t="shared" si="9"/>
        <v>142994.64179400701</v>
      </c>
    </row>
    <row r="643" spans="1:8" x14ac:dyDescent="0.3">
      <c r="A643" s="7">
        <v>41019</v>
      </c>
      <c r="B643" s="6">
        <v>4323.3</v>
      </c>
      <c r="C643" s="6">
        <v>4377.1000000000004</v>
      </c>
      <c r="D643" s="6">
        <v>4286.3999999999996</v>
      </c>
      <c r="E643" s="6">
        <v>4366.5</v>
      </c>
      <c r="F643" s="8">
        <v>3427800000</v>
      </c>
      <c r="G643" s="8">
        <v>19156400000</v>
      </c>
      <c r="H643">
        <f t="shared" si="9"/>
        <v>144423.49672554104</v>
      </c>
    </row>
    <row r="644" spans="1:8" x14ac:dyDescent="0.3">
      <c r="A644" s="7">
        <v>41026</v>
      </c>
      <c r="B644" s="6">
        <v>4366.5</v>
      </c>
      <c r="C644" s="6">
        <v>4393.8</v>
      </c>
      <c r="D644" s="6">
        <v>4337.7</v>
      </c>
      <c r="E644" s="6">
        <v>4362.1000000000004</v>
      </c>
      <c r="F644" s="8">
        <v>2857500000</v>
      </c>
      <c r="G644" s="8">
        <v>16593800000</v>
      </c>
      <c r="H644">
        <f t="shared" ref="H644:H707" si="10">H643*(E644/E643)</f>
        <v>144277.96520473668</v>
      </c>
    </row>
    <row r="645" spans="1:8" x14ac:dyDescent="0.3">
      <c r="A645" s="7">
        <v>41033</v>
      </c>
      <c r="B645" s="6">
        <v>4373.1000000000004</v>
      </c>
      <c r="C645" s="6">
        <v>4448.5</v>
      </c>
      <c r="D645" s="6">
        <v>4373</v>
      </c>
      <c r="E645" s="6">
        <v>4396</v>
      </c>
      <c r="F645" s="8">
        <v>3944900000</v>
      </c>
      <c r="G645" s="8">
        <v>20500300000</v>
      </c>
      <c r="H645">
        <f t="shared" si="10"/>
        <v>145399.21942184327</v>
      </c>
    </row>
    <row r="646" spans="1:8" x14ac:dyDescent="0.3">
      <c r="A646" s="7">
        <v>41040</v>
      </c>
      <c r="B646" s="6">
        <v>4396</v>
      </c>
      <c r="C646" s="6">
        <v>4396</v>
      </c>
      <c r="D646" s="6">
        <v>4257.8999999999996</v>
      </c>
      <c r="E646" s="6">
        <v>4285.1000000000004</v>
      </c>
      <c r="F646" s="8">
        <v>4443200000</v>
      </c>
      <c r="G646" s="8">
        <v>23651500000</v>
      </c>
      <c r="H646">
        <f t="shared" si="10"/>
        <v>141731.16359065985</v>
      </c>
    </row>
    <row r="647" spans="1:8" x14ac:dyDescent="0.3">
      <c r="A647" s="7">
        <v>41047</v>
      </c>
      <c r="B647" s="6">
        <v>4285.1000000000004</v>
      </c>
      <c r="C647" s="6">
        <v>4304.3999999999996</v>
      </c>
      <c r="D647" s="6">
        <v>4026.5</v>
      </c>
      <c r="E647" s="6">
        <v>4046.5</v>
      </c>
      <c r="F647" s="8">
        <v>4812100000</v>
      </c>
      <c r="G647" s="8">
        <v>24421200000</v>
      </c>
      <c r="H647">
        <f t="shared" si="10"/>
        <v>133839.38612158527</v>
      </c>
    </row>
    <row r="648" spans="1:8" x14ac:dyDescent="0.3">
      <c r="A648" s="7">
        <v>41054</v>
      </c>
      <c r="B648" s="6">
        <v>4051.7</v>
      </c>
      <c r="C648" s="6">
        <v>4122.6000000000004</v>
      </c>
      <c r="D648" s="6">
        <v>4024.8</v>
      </c>
      <c r="E648" s="6">
        <v>4029.2</v>
      </c>
      <c r="F648" s="8">
        <v>4025200000</v>
      </c>
      <c r="G648" s="8">
        <v>21550900000</v>
      </c>
      <c r="H648">
        <f t="shared" si="10"/>
        <v>133267.18264205891</v>
      </c>
    </row>
    <row r="649" spans="1:8" x14ac:dyDescent="0.3">
      <c r="A649" s="7">
        <v>41061</v>
      </c>
      <c r="B649" s="6">
        <v>4029.2</v>
      </c>
      <c r="C649" s="6">
        <v>4118</v>
      </c>
      <c r="D649" s="6">
        <v>4029.2</v>
      </c>
      <c r="E649" s="6">
        <v>4063.9</v>
      </c>
      <c r="F649" s="8">
        <v>4019400000</v>
      </c>
      <c r="G649" s="8">
        <v>20225300000</v>
      </c>
      <c r="H649">
        <f t="shared" si="10"/>
        <v>134414.89713567539</v>
      </c>
    </row>
    <row r="650" spans="1:8" x14ac:dyDescent="0.3">
      <c r="A650" s="7">
        <v>41068</v>
      </c>
      <c r="B650" s="6">
        <v>4063.9</v>
      </c>
      <c r="C650" s="6">
        <v>4121.3999999999996</v>
      </c>
      <c r="D650" s="6">
        <v>3985</v>
      </c>
      <c r="E650" s="6">
        <v>4063.7</v>
      </c>
      <c r="F650" s="8">
        <v>4424100000</v>
      </c>
      <c r="G650" s="8">
        <v>20795500000</v>
      </c>
      <c r="H650">
        <f t="shared" si="10"/>
        <v>134408.28206654792</v>
      </c>
    </row>
    <row r="651" spans="1:8" x14ac:dyDescent="0.3">
      <c r="A651" s="7">
        <v>41075</v>
      </c>
      <c r="B651" s="6">
        <v>4062.3</v>
      </c>
      <c r="C651" s="6">
        <v>4087.8</v>
      </c>
      <c r="D651" s="6">
        <v>4026.5</v>
      </c>
      <c r="E651" s="6">
        <v>4057.3</v>
      </c>
      <c r="F651" s="8">
        <v>3362700000</v>
      </c>
      <c r="G651" s="8">
        <v>13902200000</v>
      </c>
      <c r="H651">
        <f t="shared" si="10"/>
        <v>134196.5998544688</v>
      </c>
    </row>
    <row r="652" spans="1:8" x14ac:dyDescent="0.3">
      <c r="A652" s="7">
        <v>41082</v>
      </c>
      <c r="B652" s="6">
        <v>4057.3</v>
      </c>
      <c r="C652" s="6">
        <v>4159.3</v>
      </c>
      <c r="D652" s="6">
        <v>4038.6</v>
      </c>
      <c r="E652" s="6">
        <v>4048.2</v>
      </c>
      <c r="F652" s="8">
        <v>4431800000</v>
      </c>
      <c r="G652" s="8">
        <v>21883200000</v>
      </c>
      <c r="H652">
        <f t="shared" si="10"/>
        <v>133895.61420916879</v>
      </c>
    </row>
    <row r="653" spans="1:8" x14ac:dyDescent="0.3">
      <c r="A653" s="7">
        <v>41089</v>
      </c>
      <c r="B653" s="6">
        <v>4048.2</v>
      </c>
      <c r="C653" s="6">
        <v>4117</v>
      </c>
      <c r="D653" s="6">
        <v>3993.8</v>
      </c>
      <c r="E653" s="6">
        <v>4094.6</v>
      </c>
      <c r="F653" s="8">
        <v>4081700000</v>
      </c>
      <c r="G653" s="8">
        <v>20994800000</v>
      </c>
      <c r="H653">
        <f t="shared" si="10"/>
        <v>135430.31024674239</v>
      </c>
    </row>
    <row r="654" spans="1:8" x14ac:dyDescent="0.3">
      <c r="A654" s="7">
        <v>41096</v>
      </c>
      <c r="B654" s="6">
        <v>4098</v>
      </c>
      <c r="C654" s="6">
        <v>4175.8</v>
      </c>
      <c r="D654" s="6">
        <v>4098</v>
      </c>
      <c r="E654" s="6">
        <v>4157.8</v>
      </c>
      <c r="F654" s="8">
        <v>3086800000</v>
      </c>
      <c r="G654" s="8">
        <v>15569300000</v>
      </c>
      <c r="H654">
        <f t="shared" si="10"/>
        <v>137520.67209102365</v>
      </c>
    </row>
    <row r="655" spans="1:8" x14ac:dyDescent="0.3">
      <c r="A655" s="7">
        <v>41103</v>
      </c>
      <c r="B655" s="6">
        <v>4148.3999999999996</v>
      </c>
      <c r="C655" s="6">
        <v>4148.3999999999996</v>
      </c>
      <c r="D655" s="6">
        <v>4062.3</v>
      </c>
      <c r="E655" s="6">
        <v>4082.2</v>
      </c>
      <c r="F655" s="8">
        <v>3119700000</v>
      </c>
      <c r="G655" s="8">
        <v>15882500000</v>
      </c>
      <c r="H655">
        <f t="shared" si="10"/>
        <v>135020.17596083906</v>
      </c>
    </row>
    <row r="656" spans="1:8" x14ac:dyDescent="0.3">
      <c r="A656" s="7">
        <v>41110</v>
      </c>
      <c r="B656" s="6">
        <v>4082.2</v>
      </c>
      <c r="C656" s="6">
        <v>4215.6000000000004</v>
      </c>
      <c r="D656" s="6">
        <v>4082.2</v>
      </c>
      <c r="E656" s="6">
        <v>4199.1000000000004</v>
      </c>
      <c r="F656" s="8">
        <v>3395300000</v>
      </c>
      <c r="G656" s="8">
        <v>17449400000</v>
      </c>
      <c r="H656">
        <f t="shared" si="10"/>
        <v>138886.68386584669</v>
      </c>
    </row>
    <row r="657" spans="1:8" x14ac:dyDescent="0.3">
      <c r="A657" s="7">
        <v>41117</v>
      </c>
      <c r="B657" s="6">
        <v>4199.1000000000004</v>
      </c>
      <c r="C657" s="6">
        <v>4209.8</v>
      </c>
      <c r="D657" s="6">
        <v>4084.4</v>
      </c>
      <c r="E657" s="6">
        <v>4209.8</v>
      </c>
      <c r="F657" s="8">
        <v>3342800000</v>
      </c>
      <c r="G657" s="8">
        <v>18333100000</v>
      </c>
      <c r="H657">
        <f t="shared" si="10"/>
        <v>139240.59006416646</v>
      </c>
    </row>
    <row r="658" spans="1:8" x14ac:dyDescent="0.3">
      <c r="A658" s="7">
        <v>41124</v>
      </c>
      <c r="B658" s="6">
        <v>4219.3999999999996</v>
      </c>
      <c r="C658" s="6">
        <v>4288.1000000000004</v>
      </c>
      <c r="D658" s="6">
        <v>4212.7</v>
      </c>
      <c r="E658" s="6">
        <v>4221.5</v>
      </c>
      <c r="F658" s="8">
        <v>3530300000</v>
      </c>
      <c r="G658" s="8">
        <v>18046100000</v>
      </c>
      <c r="H658">
        <f t="shared" si="10"/>
        <v>139627.57160812357</v>
      </c>
    </row>
    <row r="659" spans="1:8" x14ac:dyDescent="0.3">
      <c r="A659" s="7">
        <v>41131</v>
      </c>
      <c r="B659" s="6">
        <v>4221.5</v>
      </c>
      <c r="C659" s="6">
        <v>4330.3999999999996</v>
      </c>
      <c r="D659" s="6">
        <v>4221.5</v>
      </c>
      <c r="E659" s="6">
        <v>4277.3</v>
      </c>
      <c r="F659" s="8">
        <v>3490200000</v>
      </c>
      <c r="G659" s="8">
        <v>17311100000</v>
      </c>
      <c r="H659">
        <f t="shared" si="10"/>
        <v>141473.17589468838</v>
      </c>
    </row>
    <row r="660" spans="1:8" x14ac:dyDescent="0.3">
      <c r="A660" s="7">
        <v>41138</v>
      </c>
      <c r="B660" s="6">
        <v>4284.3999999999996</v>
      </c>
      <c r="C660" s="6">
        <v>4370.1000000000004</v>
      </c>
      <c r="D660" s="6">
        <v>4267.1000000000004</v>
      </c>
      <c r="E660" s="6">
        <v>4370.1000000000004</v>
      </c>
      <c r="F660" s="8">
        <v>4028100000</v>
      </c>
      <c r="G660" s="8">
        <v>18493000000</v>
      </c>
      <c r="H660">
        <f t="shared" si="10"/>
        <v>144542.5679698356</v>
      </c>
    </row>
    <row r="661" spans="1:8" x14ac:dyDescent="0.3">
      <c r="A661" s="7">
        <v>41145</v>
      </c>
      <c r="B661" s="6">
        <v>4372.5</v>
      </c>
      <c r="C661" s="6">
        <v>4403.8999999999996</v>
      </c>
      <c r="D661" s="6">
        <v>4339.1000000000004</v>
      </c>
      <c r="E661" s="6">
        <v>4349</v>
      </c>
      <c r="F661" s="8">
        <v>3944800000</v>
      </c>
      <c r="G661" s="8">
        <v>20967300000</v>
      </c>
      <c r="H661">
        <f t="shared" si="10"/>
        <v>143844.67817688725</v>
      </c>
    </row>
    <row r="662" spans="1:8" x14ac:dyDescent="0.3">
      <c r="A662" s="7">
        <v>41152</v>
      </c>
      <c r="B662" s="6">
        <v>4351.3999999999996</v>
      </c>
      <c r="C662" s="6">
        <v>4375.8</v>
      </c>
      <c r="D662" s="6">
        <v>4302.5</v>
      </c>
      <c r="E662" s="6">
        <v>4316.1000000000004</v>
      </c>
      <c r="F662" s="8">
        <v>4111600000</v>
      </c>
      <c r="G662" s="8">
        <v>21075000000</v>
      </c>
      <c r="H662">
        <f t="shared" si="10"/>
        <v>142756.49930541805</v>
      </c>
    </row>
    <row r="663" spans="1:8" x14ac:dyDescent="0.3">
      <c r="A663" s="7">
        <v>41159</v>
      </c>
      <c r="B663" s="6">
        <v>4310</v>
      </c>
      <c r="C663" s="6">
        <v>4358.3</v>
      </c>
      <c r="D663" s="6">
        <v>4261.2</v>
      </c>
      <c r="E663" s="6">
        <v>4325.8</v>
      </c>
      <c r="F663" s="8">
        <v>4532900000</v>
      </c>
      <c r="G663" s="8">
        <v>20948200000</v>
      </c>
      <c r="H663">
        <f t="shared" si="10"/>
        <v>143077.33015810046</v>
      </c>
    </row>
    <row r="664" spans="1:8" x14ac:dyDescent="0.3">
      <c r="A664" s="7">
        <v>41166</v>
      </c>
      <c r="B664" s="6">
        <v>4325.8</v>
      </c>
      <c r="C664" s="6">
        <v>4398.3</v>
      </c>
      <c r="D664" s="6">
        <v>4316.7</v>
      </c>
      <c r="E664" s="6">
        <v>4390</v>
      </c>
      <c r="F664" s="8">
        <v>3645900000</v>
      </c>
      <c r="G664" s="8">
        <v>18221900000</v>
      </c>
      <c r="H664">
        <f t="shared" si="10"/>
        <v>145200.76734801909</v>
      </c>
    </row>
    <row r="665" spans="1:8" x14ac:dyDescent="0.3">
      <c r="A665" s="7">
        <v>41173</v>
      </c>
      <c r="B665" s="6">
        <v>4404.2</v>
      </c>
      <c r="C665" s="6">
        <v>4421</v>
      </c>
      <c r="D665" s="6">
        <v>4383.3</v>
      </c>
      <c r="E665" s="6">
        <v>4408.3</v>
      </c>
      <c r="F665" s="8">
        <v>4845500000</v>
      </c>
      <c r="G665" s="8">
        <v>23914500000</v>
      </c>
      <c r="H665">
        <f t="shared" si="10"/>
        <v>145806.04617318281</v>
      </c>
    </row>
    <row r="666" spans="1:8" x14ac:dyDescent="0.3">
      <c r="A666" s="7">
        <v>41180</v>
      </c>
      <c r="B666" s="6">
        <v>4408.3</v>
      </c>
      <c r="C666" s="6">
        <v>4408.3</v>
      </c>
      <c r="D666" s="6">
        <v>4336.8999999999996</v>
      </c>
      <c r="E666" s="6">
        <v>4387</v>
      </c>
      <c r="F666" s="8">
        <v>3500800000</v>
      </c>
      <c r="G666" s="8">
        <v>20707700000</v>
      </c>
      <c r="H666">
        <f t="shared" si="10"/>
        <v>145101.54131110699</v>
      </c>
    </row>
    <row r="667" spans="1:8" x14ac:dyDescent="0.3">
      <c r="A667" s="7">
        <v>41187</v>
      </c>
      <c r="B667" s="6">
        <v>4387</v>
      </c>
      <c r="C667" s="6">
        <v>4495.8</v>
      </c>
      <c r="D667" s="6">
        <v>4375</v>
      </c>
      <c r="E667" s="6">
        <v>4494.3999999999996</v>
      </c>
      <c r="F667" s="8">
        <v>2948500000</v>
      </c>
      <c r="G667" s="8">
        <v>14100800000</v>
      </c>
      <c r="H667">
        <f t="shared" si="10"/>
        <v>148653.83343255968</v>
      </c>
    </row>
    <row r="668" spans="1:8" x14ac:dyDescent="0.3">
      <c r="A668" s="7">
        <v>41194</v>
      </c>
      <c r="B668" s="6">
        <v>4494.3999999999996</v>
      </c>
      <c r="C668" s="6">
        <v>4512.8</v>
      </c>
      <c r="D668" s="6">
        <v>4460.3999999999996</v>
      </c>
      <c r="E668" s="6">
        <v>4486.6000000000004</v>
      </c>
      <c r="F668" s="8">
        <v>3014900000</v>
      </c>
      <c r="G668" s="8">
        <v>14982700000</v>
      </c>
      <c r="H668">
        <f t="shared" si="10"/>
        <v>148395.84573658829</v>
      </c>
    </row>
    <row r="669" spans="1:8" x14ac:dyDescent="0.3">
      <c r="A669" s="7">
        <v>41201</v>
      </c>
      <c r="B669" s="6">
        <v>4486.6000000000004</v>
      </c>
      <c r="C669" s="6">
        <v>4581.8</v>
      </c>
      <c r="D669" s="6">
        <v>4479.2</v>
      </c>
      <c r="E669" s="6">
        <v>4571.1000000000004</v>
      </c>
      <c r="F669" s="8">
        <v>3650500000</v>
      </c>
      <c r="G669" s="8">
        <v>19463600000</v>
      </c>
      <c r="H669">
        <f t="shared" si="10"/>
        <v>151190.71244294537</v>
      </c>
    </row>
    <row r="670" spans="1:8" x14ac:dyDescent="0.3">
      <c r="A670" s="7">
        <v>41208</v>
      </c>
      <c r="B670" s="6">
        <v>4558.5</v>
      </c>
      <c r="C670" s="6">
        <v>4565</v>
      </c>
      <c r="D670" s="6">
        <v>4472.1000000000004</v>
      </c>
      <c r="E670" s="6">
        <v>4472.3999999999996</v>
      </c>
      <c r="F670" s="8">
        <v>3655100000</v>
      </c>
      <c r="G670" s="8">
        <v>20260600000</v>
      </c>
      <c r="H670">
        <f t="shared" si="10"/>
        <v>147926.17582853773</v>
      </c>
    </row>
    <row r="671" spans="1:8" x14ac:dyDescent="0.3">
      <c r="A671" s="7">
        <v>41215</v>
      </c>
      <c r="B671" s="6">
        <v>4475.3999999999996</v>
      </c>
      <c r="C671" s="6">
        <v>4524.8</v>
      </c>
      <c r="D671" s="6">
        <v>4457.3</v>
      </c>
      <c r="E671" s="6">
        <v>4460.1000000000004</v>
      </c>
      <c r="F671" s="8">
        <v>3674300000</v>
      </c>
      <c r="G671" s="8">
        <v>18085700000</v>
      </c>
      <c r="H671">
        <f t="shared" si="10"/>
        <v>147519.34907719819</v>
      </c>
    </row>
    <row r="672" spans="1:8" x14ac:dyDescent="0.3">
      <c r="A672" s="7">
        <v>41222</v>
      </c>
      <c r="B672" s="6">
        <v>4457.3999999999996</v>
      </c>
      <c r="C672" s="6">
        <v>4519.3</v>
      </c>
      <c r="D672" s="6">
        <v>4436.2</v>
      </c>
      <c r="E672" s="6">
        <v>4462</v>
      </c>
      <c r="F672" s="8">
        <v>3130800000</v>
      </c>
      <c r="G672" s="8">
        <v>19048300000</v>
      </c>
      <c r="H672">
        <f t="shared" si="10"/>
        <v>147582.19223390918</v>
      </c>
    </row>
    <row r="673" spans="1:8" x14ac:dyDescent="0.3">
      <c r="A673" s="7">
        <v>41229</v>
      </c>
      <c r="B673" s="6">
        <v>4458.5</v>
      </c>
      <c r="C673" s="6">
        <v>4465.2</v>
      </c>
      <c r="D673" s="6">
        <v>4334.3</v>
      </c>
      <c r="E673" s="6">
        <v>4336.8</v>
      </c>
      <c r="F673" s="8">
        <v>3653600000</v>
      </c>
      <c r="G673" s="8">
        <v>18486700000</v>
      </c>
      <c r="H673">
        <f t="shared" si="10"/>
        <v>143441.15896011147</v>
      </c>
    </row>
    <row r="674" spans="1:8" x14ac:dyDescent="0.3">
      <c r="A674" s="7">
        <v>41236</v>
      </c>
      <c r="B674" s="6">
        <v>4345.1000000000004</v>
      </c>
      <c r="C674" s="6">
        <v>4428.6000000000004</v>
      </c>
      <c r="D674" s="6">
        <v>4340</v>
      </c>
      <c r="E674" s="6">
        <v>4413</v>
      </c>
      <c r="F674" s="8">
        <v>3157200000</v>
      </c>
      <c r="G674" s="8">
        <v>14589800000</v>
      </c>
      <c r="H674">
        <f t="shared" si="10"/>
        <v>145961.50029767843</v>
      </c>
    </row>
    <row r="675" spans="1:8" x14ac:dyDescent="0.3">
      <c r="A675" s="7">
        <v>41243</v>
      </c>
      <c r="B675" s="6">
        <v>4413</v>
      </c>
      <c r="C675" s="6">
        <v>4514.2</v>
      </c>
      <c r="D675" s="6">
        <v>4413</v>
      </c>
      <c r="E675" s="6">
        <v>4506</v>
      </c>
      <c r="F675" s="8">
        <v>4297900000</v>
      </c>
      <c r="G675" s="8">
        <v>20407300000</v>
      </c>
      <c r="H675">
        <f t="shared" si="10"/>
        <v>149037.50744195309</v>
      </c>
    </row>
    <row r="676" spans="1:8" x14ac:dyDescent="0.3">
      <c r="A676" s="7">
        <v>41250</v>
      </c>
      <c r="B676" s="6">
        <v>4506</v>
      </c>
      <c r="C676" s="6">
        <v>4554.1000000000004</v>
      </c>
      <c r="D676" s="6">
        <v>4500.2</v>
      </c>
      <c r="E676" s="6">
        <v>4551.8</v>
      </c>
      <c r="F676" s="8">
        <v>3284600000</v>
      </c>
      <c r="G676" s="8">
        <v>16367200000</v>
      </c>
      <c r="H676">
        <f t="shared" si="10"/>
        <v>150552.35827214428</v>
      </c>
    </row>
    <row r="677" spans="1:8" x14ac:dyDescent="0.3">
      <c r="A677" s="7">
        <v>41257</v>
      </c>
      <c r="B677" s="6">
        <v>4552.2</v>
      </c>
      <c r="C677" s="6">
        <v>4603.5</v>
      </c>
      <c r="D677" s="6">
        <v>4552.2</v>
      </c>
      <c r="E677" s="6">
        <v>4583.1000000000004</v>
      </c>
      <c r="F677" s="8">
        <v>3725500000</v>
      </c>
      <c r="G677" s="8">
        <v>18370300000</v>
      </c>
      <c r="H677">
        <f t="shared" si="10"/>
        <v>151587.61659059371</v>
      </c>
    </row>
    <row r="678" spans="1:8" x14ac:dyDescent="0.3">
      <c r="A678" s="7">
        <v>41264</v>
      </c>
      <c r="B678" s="6">
        <v>4583.1000000000004</v>
      </c>
      <c r="C678" s="6">
        <v>4658.7</v>
      </c>
      <c r="D678" s="6">
        <v>4569.3999999999996</v>
      </c>
      <c r="E678" s="6">
        <v>4623.6000000000004</v>
      </c>
      <c r="F678" s="8">
        <v>4665600000</v>
      </c>
      <c r="G678" s="8">
        <v>25589600000</v>
      </c>
      <c r="H678">
        <f t="shared" si="10"/>
        <v>152927.16808890685</v>
      </c>
    </row>
    <row r="679" spans="1:8" x14ac:dyDescent="0.3">
      <c r="A679" s="7">
        <v>41271</v>
      </c>
      <c r="B679" s="6">
        <v>4625.7</v>
      </c>
      <c r="C679" s="6">
        <v>4688.6000000000004</v>
      </c>
      <c r="D679" s="6">
        <v>4625.7</v>
      </c>
      <c r="E679" s="6">
        <v>4671.3</v>
      </c>
      <c r="F679" s="8">
        <v>663900000</v>
      </c>
      <c r="G679" s="8">
        <v>3378900000</v>
      </c>
      <c r="H679">
        <f t="shared" si="10"/>
        <v>154504.86207580901</v>
      </c>
    </row>
    <row r="680" spans="1:8" x14ac:dyDescent="0.3">
      <c r="A680" s="7">
        <v>41278</v>
      </c>
      <c r="B680" s="6">
        <v>4666</v>
      </c>
      <c r="C680" s="6">
        <v>4743.3999999999996</v>
      </c>
      <c r="D680" s="6">
        <v>4644.8</v>
      </c>
      <c r="E680" s="6">
        <v>4723.8</v>
      </c>
      <c r="F680" s="8">
        <v>1663300000</v>
      </c>
      <c r="G680" s="8">
        <v>8076200000</v>
      </c>
      <c r="H680">
        <f t="shared" si="10"/>
        <v>156241.31772177049</v>
      </c>
    </row>
    <row r="681" spans="1:8" x14ac:dyDescent="0.3">
      <c r="A681" s="7">
        <v>41285</v>
      </c>
      <c r="B681" s="6">
        <v>4726.8</v>
      </c>
      <c r="C681" s="6">
        <v>4750.7</v>
      </c>
      <c r="D681" s="6">
        <v>4689.8</v>
      </c>
      <c r="E681" s="6">
        <v>4709.5</v>
      </c>
      <c r="F681" s="8">
        <v>2846400000</v>
      </c>
      <c r="G681" s="8">
        <v>16229900000</v>
      </c>
      <c r="H681">
        <f t="shared" si="10"/>
        <v>155768.34027915623</v>
      </c>
    </row>
    <row r="682" spans="1:8" x14ac:dyDescent="0.3">
      <c r="A682" s="7">
        <v>41292</v>
      </c>
      <c r="B682" s="6">
        <v>4709.5</v>
      </c>
      <c r="C682" s="6">
        <v>4787.2</v>
      </c>
      <c r="D682" s="6">
        <v>4706.3999999999996</v>
      </c>
      <c r="E682" s="6">
        <v>4771.2</v>
      </c>
      <c r="F682" s="8">
        <v>3174300000</v>
      </c>
      <c r="G682" s="8">
        <v>17212900000</v>
      </c>
      <c r="H682">
        <f t="shared" si="10"/>
        <v>157809.08910498145</v>
      </c>
    </row>
    <row r="683" spans="1:8" x14ac:dyDescent="0.3">
      <c r="A683" s="7">
        <v>41299</v>
      </c>
      <c r="B683" s="6">
        <v>4773.3</v>
      </c>
      <c r="C683" s="6">
        <v>4835.2</v>
      </c>
      <c r="D683" s="6">
        <v>4762.6000000000004</v>
      </c>
      <c r="E683" s="6">
        <v>4835.2</v>
      </c>
      <c r="F683" s="8">
        <v>3219000000</v>
      </c>
      <c r="G683" s="8">
        <v>19899100000</v>
      </c>
      <c r="H683">
        <f t="shared" si="10"/>
        <v>159925.91122577261</v>
      </c>
    </row>
    <row r="684" spans="1:8" x14ac:dyDescent="0.3">
      <c r="A684" s="7">
        <v>41306</v>
      </c>
      <c r="B684" s="6">
        <v>4842.3999999999996</v>
      </c>
      <c r="C684" s="6">
        <v>4922.6000000000004</v>
      </c>
      <c r="D684" s="6">
        <v>4841.6000000000004</v>
      </c>
      <c r="E684" s="6">
        <v>4921.1000000000004</v>
      </c>
      <c r="F684" s="8">
        <v>2864400000</v>
      </c>
      <c r="G684" s="8">
        <v>16443800000</v>
      </c>
      <c r="H684">
        <f t="shared" si="10"/>
        <v>162767.08341602201</v>
      </c>
    </row>
    <row r="685" spans="1:8" x14ac:dyDescent="0.3">
      <c r="A685" s="7">
        <v>41313</v>
      </c>
      <c r="B685" s="6">
        <v>4921.1000000000004</v>
      </c>
      <c r="C685" s="6">
        <v>4971.3</v>
      </c>
      <c r="D685" s="6">
        <v>4869.5</v>
      </c>
      <c r="E685" s="6">
        <v>4971.3</v>
      </c>
      <c r="F685" s="8">
        <v>3379000000</v>
      </c>
      <c r="G685" s="8">
        <v>19482100000</v>
      </c>
      <c r="H685">
        <f t="shared" si="10"/>
        <v>164427.46576701757</v>
      </c>
    </row>
    <row r="686" spans="1:8" x14ac:dyDescent="0.3">
      <c r="A686" s="7">
        <v>41320</v>
      </c>
      <c r="B686" s="6">
        <v>4971.3</v>
      </c>
      <c r="C686" s="6">
        <v>5045.3999999999996</v>
      </c>
      <c r="D686" s="6">
        <v>4959</v>
      </c>
      <c r="E686" s="6">
        <v>5033.8999999999996</v>
      </c>
      <c r="F686" s="8">
        <v>3425900000</v>
      </c>
      <c r="G686" s="8">
        <v>20141200000</v>
      </c>
      <c r="H686">
        <f t="shared" si="10"/>
        <v>166497.98240391642</v>
      </c>
    </row>
    <row r="687" spans="1:8" x14ac:dyDescent="0.3">
      <c r="A687" s="7">
        <v>41327</v>
      </c>
      <c r="B687" s="6">
        <v>5041.2</v>
      </c>
      <c r="C687" s="6">
        <v>5106.6000000000004</v>
      </c>
      <c r="D687" s="6">
        <v>4975.8999999999996</v>
      </c>
      <c r="E687" s="6">
        <v>5018.1000000000004</v>
      </c>
      <c r="F687" s="8">
        <v>4429400000</v>
      </c>
      <c r="G687" s="8">
        <v>31018000000</v>
      </c>
      <c r="H687">
        <f t="shared" si="10"/>
        <v>165975.39194284612</v>
      </c>
    </row>
    <row r="688" spans="1:8" x14ac:dyDescent="0.3">
      <c r="A688" s="7">
        <v>41334</v>
      </c>
      <c r="B688" s="6">
        <v>5016.8</v>
      </c>
      <c r="C688" s="6">
        <v>5112.5</v>
      </c>
      <c r="D688" s="6">
        <v>4978.3999999999996</v>
      </c>
      <c r="E688" s="6">
        <v>5086.1000000000004</v>
      </c>
      <c r="F688" s="8">
        <v>4263600000</v>
      </c>
      <c r="G688" s="8">
        <v>23978200000</v>
      </c>
      <c r="H688">
        <f t="shared" si="10"/>
        <v>168224.51544618676</v>
      </c>
    </row>
    <row r="689" spans="1:8" x14ac:dyDescent="0.3">
      <c r="A689" s="7">
        <v>41341</v>
      </c>
      <c r="B689" s="6">
        <v>5086.1000000000004</v>
      </c>
      <c r="C689" s="6">
        <v>5135.7</v>
      </c>
      <c r="D689" s="6">
        <v>5009.6000000000004</v>
      </c>
      <c r="E689" s="6">
        <v>5123.3999999999996</v>
      </c>
      <c r="F689" s="8">
        <v>3776800000</v>
      </c>
      <c r="G689" s="8">
        <v>23121500000</v>
      </c>
      <c r="H689">
        <f t="shared" si="10"/>
        <v>169458.22583846035</v>
      </c>
    </row>
    <row r="690" spans="1:8" x14ac:dyDescent="0.3">
      <c r="A690" s="7">
        <v>41348</v>
      </c>
      <c r="B690" s="6">
        <v>5120.8</v>
      </c>
      <c r="C690" s="6">
        <v>5163.5</v>
      </c>
      <c r="D690" s="6">
        <v>5032.2</v>
      </c>
      <c r="E690" s="6">
        <v>5120.2</v>
      </c>
      <c r="F690" s="8">
        <v>4155600000</v>
      </c>
      <c r="G690" s="8">
        <v>24195900000</v>
      </c>
      <c r="H690">
        <f t="shared" si="10"/>
        <v>169352.38473242079</v>
      </c>
    </row>
    <row r="691" spans="1:8" x14ac:dyDescent="0.3">
      <c r="A691" s="7">
        <v>41355</v>
      </c>
      <c r="B691" s="6">
        <v>5101.7</v>
      </c>
      <c r="C691" s="6">
        <v>5101.7</v>
      </c>
      <c r="D691" s="6">
        <v>4927.8999999999996</v>
      </c>
      <c r="E691" s="6">
        <v>4967.3</v>
      </c>
      <c r="F691" s="8">
        <v>3874400000</v>
      </c>
      <c r="G691" s="8">
        <v>25138400000</v>
      </c>
      <c r="H691">
        <f t="shared" si="10"/>
        <v>164295.16438446814</v>
      </c>
    </row>
    <row r="692" spans="1:8" x14ac:dyDescent="0.3">
      <c r="A692" s="7">
        <v>41361</v>
      </c>
      <c r="B692" s="6">
        <v>4968.8</v>
      </c>
      <c r="C692" s="6">
        <v>5023.2</v>
      </c>
      <c r="D692" s="6">
        <v>4942.5</v>
      </c>
      <c r="E692" s="6">
        <v>4966.5</v>
      </c>
      <c r="F692" s="8">
        <v>2548300000</v>
      </c>
      <c r="G692" s="8">
        <v>18393200000</v>
      </c>
      <c r="H692">
        <f t="shared" si="10"/>
        <v>164268.70410795824</v>
      </c>
    </row>
    <row r="693" spans="1:8" x14ac:dyDescent="0.3">
      <c r="A693" s="7">
        <v>41369</v>
      </c>
      <c r="B693" s="6">
        <v>4966.5</v>
      </c>
      <c r="C693" s="6">
        <v>5011.8999999999996</v>
      </c>
      <c r="D693" s="6">
        <v>4883.7</v>
      </c>
      <c r="E693" s="6">
        <v>4891.3999999999996</v>
      </c>
      <c r="F693" s="8">
        <v>2815100000</v>
      </c>
      <c r="G693" s="8">
        <v>17068700000</v>
      </c>
      <c r="H693">
        <f t="shared" si="10"/>
        <v>161784.74565059235</v>
      </c>
    </row>
    <row r="694" spans="1:8" x14ac:dyDescent="0.3">
      <c r="A694" s="7">
        <v>41376</v>
      </c>
      <c r="B694" s="6">
        <v>4891.3999999999996</v>
      </c>
      <c r="C694" s="6">
        <v>5023</v>
      </c>
      <c r="D694" s="6">
        <v>4889.6000000000004</v>
      </c>
      <c r="E694" s="6">
        <v>5013.5</v>
      </c>
      <c r="F694" s="8">
        <v>3937400000</v>
      </c>
      <c r="G694" s="8">
        <v>20374400000</v>
      </c>
      <c r="H694">
        <f t="shared" si="10"/>
        <v>165823.24535291424</v>
      </c>
    </row>
    <row r="695" spans="1:8" x14ac:dyDescent="0.3">
      <c r="A695" s="7">
        <v>41383</v>
      </c>
      <c r="B695" s="6">
        <v>5005.3</v>
      </c>
      <c r="C695" s="6">
        <v>5006.1000000000004</v>
      </c>
      <c r="D695" s="6">
        <v>4914</v>
      </c>
      <c r="E695" s="6">
        <v>4931.8999999999996</v>
      </c>
      <c r="F695" s="8">
        <v>4004200000</v>
      </c>
      <c r="G695" s="8">
        <v>21694700000</v>
      </c>
      <c r="H695">
        <f t="shared" si="10"/>
        <v>163124.29714890549</v>
      </c>
    </row>
    <row r="696" spans="1:8" x14ac:dyDescent="0.3">
      <c r="A696" s="7">
        <v>41390</v>
      </c>
      <c r="B696" s="6">
        <v>4931.8999999999996</v>
      </c>
      <c r="C696" s="6">
        <v>5135</v>
      </c>
      <c r="D696" s="6">
        <v>4931.8999999999996</v>
      </c>
      <c r="E696" s="6">
        <v>5097.5</v>
      </c>
      <c r="F696" s="8">
        <v>2742100000</v>
      </c>
      <c r="G696" s="8">
        <v>17828700000</v>
      </c>
      <c r="H696">
        <f t="shared" si="10"/>
        <v>168601.57438645262</v>
      </c>
    </row>
    <row r="697" spans="1:8" x14ac:dyDescent="0.3">
      <c r="A697" s="7">
        <v>41397</v>
      </c>
      <c r="B697" s="6">
        <v>5097.5</v>
      </c>
      <c r="C697" s="6">
        <v>5195.1000000000004</v>
      </c>
      <c r="D697" s="6">
        <v>5097.5</v>
      </c>
      <c r="E697" s="6">
        <v>5129.5</v>
      </c>
      <c r="F697" s="8">
        <v>2713400000</v>
      </c>
      <c r="G697" s="8">
        <v>17174200000</v>
      </c>
      <c r="H697">
        <f t="shared" si="10"/>
        <v>169659.98544684821</v>
      </c>
    </row>
    <row r="698" spans="1:8" x14ac:dyDescent="0.3">
      <c r="A698" s="7">
        <v>41404</v>
      </c>
      <c r="B698" s="6">
        <v>5146.7</v>
      </c>
      <c r="C698" s="6">
        <v>5242.5</v>
      </c>
      <c r="D698" s="6">
        <v>5118.8999999999996</v>
      </c>
      <c r="E698" s="6">
        <v>5206.1000000000004</v>
      </c>
      <c r="F698" s="8">
        <v>3398900000</v>
      </c>
      <c r="G698" s="8">
        <v>21836900000</v>
      </c>
      <c r="H698">
        <f t="shared" si="10"/>
        <v>172193.55692267013</v>
      </c>
    </row>
    <row r="699" spans="1:8" x14ac:dyDescent="0.3">
      <c r="A699" s="7">
        <v>41411</v>
      </c>
      <c r="B699" s="6">
        <v>5203.5</v>
      </c>
      <c r="C699" s="6">
        <v>5249.6</v>
      </c>
      <c r="D699" s="6">
        <v>5156.8</v>
      </c>
      <c r="E699" s="6">
        <v>5180.8</v>
      </c>
      <c r="F699" s="8">
        <v>3470300000</v>
      </c>
      <c r="G699" s="8">
        <v>22071100000</v>
      </c>
      <c r="H699">
        <f t="shared" si="10"/>
        <v>171356.75067804486</v>
      </c>
    </row>
    <row r="700" spans="1:8" x14ac:dyDescent="0.3">
      <c r="A700" s="7">
        <v>41418</v>
      </c>
      <c r="B700" s="6">
        <v>5187.2</v>
      </c>
      <c r="C700" s="6">
        <v>5246.9</v>
      </c>
      <c r="D700" s="6">
        <v>4954.8999999999996</v>
      </c>
      <c r="E700" s="6">
        <v>4983.5</v>
      </c>
      <c r="F700" s="8">
        <v>4605000000</v>
      </c>
      <c r="G700" s="8">
        <v>24408400000</v>
      </c>
      <c r="H700">
        <f t="shared" si="10"/>
        <v>164830.98498379334</v>
      </c>
    </row>
    <row r="701" spans="1:8" x14ac:dyDescent="0.3">
      <c r="A701" s="7">
        <v>41425</v>
      </c>
      <c r="B701" s="6">
        <v>4983.8</v>
      </c>
      <c r="C701" s="6">
        <v>4993.2</v>
      </c>
      <c r="D701" s="6">
        <v>4897.8999999999996</v>
      </c>
      <c r="E701" s="6">
        <v>4926.6000000000004</v>
      </c>
      <c r="F701" s="8">
        <v>4095800000</v>
      </c>
      <c r="G701" s="8">
        <v>26624500000</v>
      </c>
      <c r="H701">
        <f t="shared" si="10"/>
        <v>162948.99781702747</v>
      </c>
    </row>
    <row r="702" spans="1:8" x14ac:dyDescent="0.3">
      <c r="A702" s="7">
        <v>41432</v>
      </c>
      <c r="B702" s="6">
        <v>4926.6000000000004</v>
      </c>
      <c r="C702" s="6">
        <v>4933.3</v>
      </c>
      <c r="D702" s="6">
        <v>4732.3</v>
      </c>
      <c r="E702" s="6">
        <v>4737.7</v>
      </c>
      <c r="F702" s="8">
        <v>3632500000</v>
      </c>
      <c r="G702" s="8">
        <v>21134000000</v>
      </c>
      <c r="H702">
        <f t="shared" si="10"/>
        <v>156701.06502612977</v>
      </c>
    </row>
    <row r="703" spans="1:8" x14ac:dyDescent="0.3">
      <c r="A703" s="7">
        <v>41439</v>
      </c>
      <c r="B703" s="6">
        <v>4737.7</v>
      </c>
      <c r="C703" s="6">
        <v>4792.6000000000004</v>
      </c>
      <c r="D703" s="6">
        <v>4658.6000000000004</v>
      </c>
      <c r="E703" s="6">
        <v>4791.8</v>
      </c>
      <c r="F703" s="8">
        <v>2981300000</v>
      </c>
      <c r="G703" s="8">
        <v>18304900000</v>
      </c>
      <c r="H703">
        <f t="shared" si="10"/>
        <v>158490.44122511108</v>
      </c>
    </row>
    <row r="704" spans="1:8" x14ac:dyDescent="0.3">
      <c r="A704" s="7">
        <v>41446</v>
      </c>
      <c r="B704" s="6">
        <v>4791.8</v>
      </c>
      <c r="C704" s="6">
        <v>4861.3999999999996</v>
      </c>
      <c r="D704" s="6">
        <v>4683.3</v>
      </c>
      <c r="E704" s="6">
        <v>4738.8</v>
      </c>
      <c r="F704" s="8">
        <v>4442800000</v>
      </c>
      <c r="G704" s="8">
        <v>25219500000</v>
      </c>
      <c r="H704">
        <f t="shared" si="10"/>
        <v>156737.4479063309</v>
      </c>
    </row>
    <row r="705" spans="1:8" x14ac:dyDescent="0.3">
      <c r="A705" s="7">
        <v>41453</v>
      </c>
      <c r="B705" s="6">
        <v>4738.8</v>
      </c>
      <c r="C705" s="6">
        <v>4833.3999999999996</v>
      </c>
      <c r="D705" s="6">
        <v>4632.3</v>
      </c>
      <c r="E705" s="6">
        <v>4802.6000000000004</v>
      </c>
      <c r="F705" s="8">
        <v>4122600000</v>
      </c>
      <c r="G705" s="8">
        <v>24905300000</v>
      </c>
      <c r="H705">
        <f t="shared" si="10"/>
        <v>158847.65495799459</v>
      </c>
    </row>
    <row r="706" spans="1:8" x14ac:dyDescent="0.3">
      <c r="A706" s="7">
        <v>41460</v>
      </c>
      <c r="B706" s="6">
        <v>4802.6000000000004</v>
      </c>
      <c r="C706" s="6">
        <v>4853.3999999999996</v>
      </c>
      <c r="D706" s="6">
        <v>4702.7</v>
      </c>
      <c r="E706" s="6">
        <v>4841.7</v>
      </c>
      <c r="F706" s="8">
        <v>3043000000</v>
      </c>
      <c r="G706" s="8">
        <v>17361200000</v>
      </c>
      <c r="H706">
        <f t="shared" si="10"/>
        <v>160140.9009724154</v>
      </c>
    </row>
    <row r="707" spans="1:8" x14ac:dyDescent="0.3">
      <c r="A707" s="7">
        <v>41467</v>
      </c>
      <c r="B707" s="6">
        <v>4841.7</v>
      </c>
      <c r="C707" s="6">
        <v>5012.5</v>
      </c>
      <c r="D707" s="6">
        <v>4786.1000000000004</v>
      </c>
      <c r="E707" s="6">
        <v>4973.8999999999996</v>
      </c>
      <c r="F707" s="8">
        <v>3119800000</v>
      </c>
      <c r="G707" s="8">
        <v>17717000000</v>
      </c>
      <c r="H707">
        <f t="shared" si="10"/>
        <v>164513.46166567464</v>
      </c>
    </row>
    <row r="708" spans="1:8" x14ac:dyDescent="0.3">
      <c r="A708" s="7">
        <v>41474</v>
      </c>
      <c r="B708" s="6">
        <v>4973.8999999999996</v>
      </c>
      <c r="C708" s="6">
        <v>5010.1000000000004</v>
      </c>
      <c r="D708" s="6">
        <v>4960.1000000000004</v>
      </c>
      <c r="E708" s="6">
        <v>4972.1000000000004</v>
      </c>
      <c r="F708" s="8">
        <v>3038800000</v>
      </c>
      <c r="G708" s="8">
        <v>16428700000</v>
      </c>
      <c r="H708">
        <f t="shared" ref="H708:H771" si="11">H707*(E708/E707)</f>
        <v>164453.9260435274</v>
      </c>
    </row>
    <row r="709" spans="1:8" x14ac:dyDescent="0.3">
      <c r="A709" s="7">
        <v>41481</v>
      </c>
      <c r="B709" s="6">
        <v>4974.8999999999996</v>
      </c>
      <c r="C709" s="6">
        <v>5062.6000000000004</v>
      </c>
      <c r="D709" s="6">
        <v>4974.8999999999996</v>
      </c>
      <c r="E709" s="6">
        <v>5042</v>
      </c>
      <c r="F709" s="8">
        <v>3406700000</v>
      </c>
      <c r="G709" s="8">
        <v>20918600000</v>
      </c>
      <c r="H709">
        <f t="shared" si="11"/>
        <v>166765.89270357898</v>
      </c>
    </row>
    <row r="710" spans="1:8" x14ac:dyDescent="0.3">
      <c r="A710" s="7">
        <v>41488</v>
      </c>
      <c r="B710" s="6">
        <v>5042</v>
      </c>
      <c r="C710" s="6">
        <v>5116.8</v>
      </c>
      <c r="D710" s="6">
        <v>5025.6000000000004</v>
      </c>
      <c r="E710" s="6">
        <v>5116.8</v>
      </c>
      <c r="F710" s="8">
        <v>3063100000</v>
      </c>
      <c r="G710" s="8">
        <v>18328900000</v>
      </c>
      <c r="H710">
        <f t="shared" si="11"/>
        <v>169239.92855725365</v>
      </c>
    </row>
    <row r="711" spans="1:8" x14ac:dyDescent="0.3">
      <c r="A711" s="7">
        <v>41495</v>
      </c>
      <c r="B711" s="6">
        <v>5116.8</v>
      </c>
      <c r="C711" s="6">
        <v>5117.7</v>
      </c>
      <c r="D711" s="6">
        <v>5007.8999999999996</v>
      </c>
      <c r="E711" s="6">
        <v>5055.2</v>
      </c>
      <c r="F711" s="8">
        <v>3020900000</v>
      </c>
      <c r="G711" s="8">
        <v>17171600000</v>
      </c>
      <c r="H711">
        <f t="shared" si="11"/>
        <v>167202.48726599215</v>
      </c>
    </row>
    <row r="712" spans="1:8" x14ac:dyDescent="0.3">
      <c r="A712" s="7">
        <v>41502</v>
      </c>
      <c r="B712" s="6">
        <v>5055.2</v>
      </c>
      <c r="C712" s="6">
        <v>5168.2</v>
      </c>
      <c r="D712" s="6">
        <v>5048.1000000000004</v>
      </c>
      <c r="E712" s="6">
        <v>5113.8999999999996</v>
      </c>
      <c r="F712" s="8">
        <v>3402600000</v>
      </c>
      <c r="G712" s="8">
        <v>20946000000</v>
      </c>
      <c r="H712">
        <f t="shared" si="11"/>
        <v>169144.01005490529</v>
      </c>
    </row>
    <row r="713" spans="1:8" x14ac:dyDescent="0.3">
      <c r="A713" s="7">
        <v>41509</v>
      </c>
      <c r="B713" s="6">
        <v>5113.8999999999996</v>
      </c>
      <c r="C713" s="6">
        <v>5142.1000000000004</v>
      </c>
      <c r="D713" s="6">
        <v>5028</v>
      </c>
      <c r="E713" s="6">
        <v>5123.3999999999996</v>
      </c>
      <c r="F713" s="8">
        <v>3625700000</v>
      </c>
      <c r="G713" s="8">
        <v>21670000000</v>
      </c>
      <c r="H713">
        <f t="shared" si="11"/>
        <v>169458.22583846023</v>
      </c>
    </row>
    <row r="714" spans="1:8" x14ac:dyDescent="0.3">
      <c r="A714" s="7">
        <v>41516</v>
      </c>
      <c r="B714" s="6">
        <v>5123.3999999999996</v>
      </c>
      <c r="C714" s="6">
        <v>5157.1000000000004</v>
      </c>
      <c r="D714" s="6">
        <v>5064.1000000000004</v>
      </c>
      <c r="E714" s="6">
        <v>5135</v>
      </c>
      <c r="F714" s="8">
        <v>3594900000</v>
      </c>
      <c r="G714" s="8">
        <v>22450300000</v>
      </c>
      <c r="H714">
        <f t="shared" si="11"/>
        <v>169841.89984785367</v>
      </c>
    </row>
    <row r="715" spans="1:8" x14ac:dyDescent="0.3">
      <c r="A715" s="7">
        <v>41523</v>
      </c>
      <c r="B715" s="6">
        <v>5135</v>
      </c>
      <c r="C715" s="6">
        <v>5207.7</v>
      </c>
      <c r="D715" s="6">
        <v>5115.1000000000004</v>
      </c>
      <c r="E715" s="6">
        <v>5145</v>
      </c>
      <c r="F715" s="8">
        <v>3351600000</v>
      </c>
      <c r="G715" s="8">
        <v>19247100000</v>
      </c>
      <c r="H715">
        <f t="shared" si="11"/>
        <v>170172.65330422728</v>
      </c>
    </row>
    <row r="716" spans="1:8" x14ac:dyDescent="0.3">
      <c r="A716" s="7">
        <v>41530</v>
      </c>
      <c r="B716" s="6">
        <v>5145</v>
      </c>
      <c r="C716" s="6">
        <v>5252.1</v>
      </c>
      <c r="D716" s="6">
        <v>5145</v>
      </c>
      <c r="E716" s="6">
        <v>5219.6000000000004</v>
      </c>
      <c r="F716" s="8">
        <v>3189300000</v>
      </c>
      <c r="G716" s="8">
        <v>19121900000</v>
      </c>
      <c r="H716">
        <f t="shared" si="11"/>
        <v>172640.07408877448</v>
      </c>
    </row>
    <row r="717" spans="1:8" x14ac:dyDescent="0.3">
      <c r="A717" s="7">
        <v>41537</v>
      </c>
      <c r="B717" s="6">
        <v>5219.6000000000004</v>
      </c>
      <c r="C717" s="6">
        <v>5300.1</v>
      </c>
      <c r="D717" s="6">
        <v>5219.6000000000004</v>
      </c>
      <c r="E717" s="6">
        <v>5276.7</v>
      </c>
      <c r="F717" s="8">
        <v>4067400000</v>
      </c>
      <c r="G717" s="8">
        <v>23162300000</v>
      </c>
      <c r="H717">
        <f t="shared" si="11"/>
        <v>174528.67632466782</v>
      </c>
    </row>
    <row r="718" spans="1:8" x14ac:dyDescent="0.3">
      <c r="A718" s="7">
        <v>41544</v>
      </c>
      <c r="B718" s="6">
        <v>5276.7</v>
      </c>
      <c r="C718" s="6">
        <v>5314.3</v>
      </c>
      <c r="D718" s="6">
        <v>5217.8999999999996</v>
      </c>
      <c r="E718" s="6">
        <v>5307.1</v>
      </c>
      <c r="F718" s="8">
        <v>2551600000</v>
      </c>
      <c r="G718" s="8">
        <v>18757900000</v>
      </c>
      <c r="H718">
        <f t="shared" si="11"/>
        <v>175534.16683204364</v>
      </c>
    </row>
    <row r="719" spans="1:8" x14ac:dyDescent="0.3">
      <c r="A719" s="7">
        <v>41551</v>
      </c>
      <c r="B719" s="6">
        <v>5307.1</v>
      </c>
      <c r="C719" s="6">
        <v>5307.1</v>
      </c>
      <c r="D719" s="6">
        <v>5197.7</v>
      </c>
      <c r="E719" s="6">
        <v>5208</v>
      </c>
      <c r="F719" s="8">
        <v>2446600000</v>
      </c>
      <c r="G719" s="8">
        <v>15350900000</v>
      </c>
      <c r="H719">
        <f t="shared" si="11"/>
        <v>172256.40007938107</v>
      </c>
    </row>
    <row r="720" spans="1:8" x14ac:dyDescent="0.3">
      <c r="A720" s="7">
        <v>41558</v>
      </c>
      <c r="B720" s="6">
        <v>5208</v>
      </c>
      <c r="C720" s="6">
        <v>5239.6000000000004</v>
      </c>
      <c r="D720" s="6">
        <v>5118.8999999999996</v>
      </c>
      <c r="E720" s="6">
        <v>5230.8999999999996</v>
      </c>
      <c r="F720" s="8">
        <v>2488800000</v>
      </c>
      <c r="G720" s="8">
        <v>15258300000</v>
      </c>
      <c r="H720">
        <f t="shared" si="11"/>
        <v>173013.82549447665</v>
      </c>
    </row>
    <row r="721" spans="1:8" x14ac:dyDescent="0.3">
      <c r="A721" s="7">
        <v>41565</v>
      </c>
      <c r="B721" s="6">
        <v>5230.8999999999996</v>
      </c>
      <c r="C721" s="6">
        <v>5326.5</v>
      </c>
      <c r="D721" s="6">
        <v>5186.8</v>
      </c>
      <c r="E721" s="6">
        <v>5321.5</v>
      </c>
      <c r="F721" s="8">
        <v>2878300000</v>
      </c>
      <c r="G721" s="8">
        <v>16950100000</v>
      </c>
      <c r="H721">
        <f t="shared" si="11"/>
        <v>176010.45180922167</v>
      </c>
    </row>
    <row r="722" spans="1:8" x14ac:dyDescent="0.3">
      <c r="A722" s="7">
        <v>41572</v>
      </c>
      <c r="B722" s="6">
        <v>5321.5</v>
      </c>
      <c r="C722" s="6">
        <v>5402.4</v>
      </c>
      <c r="D722" s="6">
        <v>5321.5</v>
      </c>
      <c r="E722" s="6">
        <v>5386.3</v>
      </c>
      <c r="F722" s="8">
        <v>3131900000</v>
      </c>
      <c r="G722" s="8">
        <v>19399300000</v>
      </c>
      <c r="H722">
        <f t="shared" si="11"/>
        <v>178153.73420652273</v>
      </c>
    </row>
    <row r="723" spans="1:8" x14ac:dyDescent="0.3">
      <c r="A723" s="7">
        <v>41579</v>
      </c>
      <c r="B723" s="6">
        <v>5386.3</v>
      </c>
      <c r="C723" s="6">
        <v>5457.3</v>
      </c>
      <c r="D723" s="6">
        <v>5386.3</v>
      </c>
      <c r="E723" s="6">
        <v>5411.1</v>
      </c>
      <c r="F723" s="8">
        <v>3162900000</v>
      </c>
      <c r="G723" s="8">
        <v>20934100000</v>
      </c>
      <c r="H723">
        <f t="shared" si="11"/>
        <v>178974.0027783293</v>
      </c>
    </row>
    <row r="724" spans="1:8" x14ac:dyDescent="0.3">
      <c r="A724" s="7">
        <v>41586</v>
      </c>
      <c r="B724" s="6">
        <v>5411.1</v>
      </c>
      <c r="C724" s="6">
        <v>5438.4</v>
      </c>
      <c r="D724" s="6">
        <v>5379.9</v>
      </c>
      <c r="E724" s="6">
        <v>5400.7</v>
      </c>
      <c r="F724" s="8">
        <v>2738000000</v>
      </c>
      <c r="G724" s="8">
        <v>18765100000</v>
      </c>
      <c r="H724">
        <f t="shared" si="11"/>
        <v>178630.01918370073</v>
      </c>
    </row>
    <row r="725" spans="1:8" x14ac:dyDescent="0.3">
      <c r="A725" s="7">
        <v>41593</v>
      </c>
      <c r="B725" s="6">
        <v>5400.7</v>
      </c>
      <c r="C725" s="6">
        <v>5439.2</v>
      </c>
      <c r="D725" s="6">
        <v>5308.5</v>
      </c>
      <c r="E725" s="6">
        <v>5401.7</v>
      </c>
      <c r="F725" s="8">
        <v>3100300000</v>
      </c>
      <c r="G725" s="8">
        <v>18290500000</v>
      </c>
      <c r="H725">
        <f t="shared" si="11"/>
        <v>178663.09452933809</v>
      </c>
    </row>
    <row r="726" spans="1:8" x14ac:dyDescent="0.3">
      <c r="A726" s="7">
        <v>41600</v>
      </c>
      <c r="B726" s="6">
        <v>5401.7</v>
      </c>
      <c r="C726" s="6">
        <v>5404</v>
      </c>
      <c r="D726" s="6">
        <v>5284.9</v>
      </c>
      <c r="E726" s="6">
        <v>5335.9</v>
      </c>
      <c r="F726" s="8">
        <v>2880900000</v>
      </c>
      <c r="G726" s="8">
        <v>16631200000</v>
      </c>
      <c r="H726">
        <f t="shared" si="11"/>
        <v>176486.73678639968</v>
      </c>
    </row>
    <row r="727" spans="1:8" x14ac:dyDescent="0.3">
      <c r="A727" s="7">
        <v>41607</v>
      </c>
      <c r="B727" s="6">
        <v>5335.9</v>
      </c>
      <c r="C727" s="6">
        <v>5375.1</v>
      </c>
      <c r="D727" s="6">
        <v>5308.1</v>
      </c>
      <c r="E727" s="6">
        <v>5320</v>
      </c>
      <c r="F727" s="8">
        <v>3290800000</v>
      </c>
      <c r="G727" s="8">
        <v>21616300000</v>
      </c>
      <c r="H727">
        <f t="shared" si="11"/>
        <v>175960.83879076564</v>
      </c>
    </row>
    <row r="728" spans="1:8" x14ac:dyDescent="0.3">
      <c r="A728" s="7">
        <v>41614</v>
      </c>
      <c r="B728" s="6">
        <v>5320</v>
      </c>
      <c r="C728" s="6">
        <v>5332.7</v>
      </c>
      <c r="D728" s="6">
        <v>5154.6000000000004</v>
      </c>
      <c r="E728" s="6">
        <v>5186</v>
      </c>
      <c r="F728" s="8">
        <v>3396600000</v>
      </c>
      <c r="G728" s="8">
        <v>19361900000</v>
      </c>
      <c r="H728">
        <f t="shared" si="11"/>
        <v>171528.74247535915</v>
      </c>
    </row>
    <row r="729" spans="1:8" x14ac:dyDescent="0.3">
      <c r="A729" s="7">
        <v>41621</v>
      </c>
      <c r="B729" s="6">
        <v>5186</v>
      </c>
      <c r="C729" s="6">
        <v>5207.6000000000004</v>
      </c>
      <c r="D729" s="6">
        <v>5028.2</v>
      </c>
      <c r="E729" s="6">
        <v>5098.3999999999996</v>
      </c>
      <c r="F729" s="8">
        <v>3547500000</v>
      </c>
      <c r="G729" s="8">
        <v>21871300000</v>
      </c>
      <c r="H729">
        <f t="shared" si="11"/>
        <v>168631.34219752625</v>
      </c>
    </row>
    <row r="730" spans="1:8" x14ac:dyDescent="0.3">
      <c r="A730" s="7">
        <v>41628</v>
      </c>
      <c r="B730" s="6">
        <v>5098.3999999999996</v>
      </c>
      <c r="C730" s="6">
        <v>5265.2</v>
      </c>
      <c r="D730" s="6">
        <v>5059.7</v>
      </c>
      <c r="E730" s="6">
        <v>5265.2</v>
      </c>
      <c r="F730" s="8">
        <v>3968300000</v>
      </c>
      <c r="G730" s="8">
        <v>25906300000</v>
      </c>
      <c r="H730">
        <f t="shared" si="11"/>
        <v>174148.30984983823</v>
      </c>
    </row>
    <row r="731" spans="1:8" x14ac:dyDescent="0.3">
      <c r="A731" s="7">
        <v>41635</v>
      </c>
      <c r="B731" s="6">
        <v>5265.2</v>
      </c>
      <c r="C731" s="6">
        <v>5365.3</v>
      </c>
      <c r="D731" s="6">
        <v>5257.4</v>
      </c>
      <c r="E731" s="6">
        <v>5324.1</v>
      </c>
      <c r="F731" s="8">
        <v>956100000</v>
      </c>
      <c r="G731" s="8">
        <v>5817100000</v>
      </c>
      <c r="H731">
        <f t="shared" si="11"/>
        <v>176096.44770787886</v>
      </c>
    </row>
    <row r="732" spans="1:8" x14ac:dyDescent="0.3">
      <c r="A732" s="7">
        <v>41642</v>
      </c>
      <c r="B732" s="6">
        <v>5324.1</v>
      </c>
      <c r="C732" s="6">
        <v>5383.4</v>
      </c>
      <c r="D732" s="6">
        <v>5324.1</v>
      </c>
      <c r="E732" s="6">
        <v>5350.1</v>
      </c>
      <c r="F732" s="8">
        <v>1173000000</v>
      </c>
      <c r="G732" s="8">
        <v>6485400000</v>
      </c>
      <c r="H732">
        <f t="shared" si="11"/>
        <v>176956.4066944503</v>
      </c>
    </row>
    <row r="733" spans="1:8" x14ac:dyDescent="0.3">
      <c r="A733" s="7">
        <v>41649</v>
      </c>
      <c r="B733" s="6">
        <v>5350.1</v>
      </c>
      <c r="C733" s="6">
        <v>5362</v>
      </c>
      <c r="D733" s="6">
        <v>5295.4</v>
      </c>
      <c r="E733" s="6">
        <v>5312.4</v>
      </c>
      <c r="F733" s="8">
        <v>2288700000</v>
      </c>
      <c r="G733" s="8">
        <v>12486400000</v>
      </c>
      <c r="H733">
        <f t="shared" si="11"/>
        <v>175709.46616392172</v>
      </c>
    </row>
    <row r="734" spans="1:8" x14ac:dyDescent="0.3">
      <c r="A734" s="7">
        <v>41656</v>
      </c>
      <c r="B734" s="6">
        <v>5312.4</v>
      </c>
      <c r="C734" s="6">
        <v>5319.3</v>
      </c>
      <c r="D734" s="6">
        <v>5207.5</v>
      </c>
      <c r="E734" s="6">
        <v>5305.9</v>
      </c>
      <c r="F734" s="8">
        <v>2709700000</v>
      </c>
      <c r="G734" s="8">
        <v>16394800000</v>
      </c>
      <c r="H734">
        <f t="shared" si="11"/>
        <v>175494.47641727887</v>
      </c>
    </row>
    <row r="735" spans="1:8" x14ac:dyDescent="0.3">
      <c r="A735" s="7">
        <v>41663</v>
      </c>
      <c r="B735" s="6">
        <v>5305.9</v>
      </c>
      <c r="C735" s="6">
        <v>5331.5</v>
      </c>
      <c r="D735" s="6">
        <v>5240.8999999999996</v>
      </c>
      <c r="E735" s="6">
        <v>5240.8999999999996</v>
      </c>
      <c r="F735" s="8">
        <v>2676100000</v>
      </c>
      <c r="G735" s="8">
        <v>16092200000</v>
      </c>
      <c r="H735">
        <f t="shared" si="11"/>
        <v>173344.57895085035</v>
      </c>
    </row>
    <row r="736" spans="1:8" x14ac:dyDescent="0.3">
      <c r="A736" s="7">
        <v>41670</v>
      </c>
      <c r="B736" s="6">
        <v>5240.8999999999996</v>
      </c>
      <c r="C736" s="6">
        <v>5240.8999999999996</v>
      </c>
      <c r="D736" s="6">
        <v>5158.8999999999996</v>
      </c>
      <c r="E736" s="6">
        <v>5190</v>
      </c>
      <c r="F736" s="8">
        <v>2587500000</v>
      </c>
      <c r="G736" s="8">
        <v>18246200000</v>
      </c>
      <c r="H736">
        <f t="shared" si="11"/>
        <v>171661.04385790863</v>
      </c>
    </row>
    <row r="737" spans="1:8" x14ac:dyDescent="0.3">
      <c r="A737" s="7">
        <v>41677</v>
      </c>
      <c r="B737" s="6">
        <v>5190</v>
      </c>
      <c r="C737" s="6">
        <v>5198.3</v>
      </c>
      <c r="D737" s="6">
        <v>5052.2</v>
      </c>
      <c r="E737" s="6">
        <v>5166.5</v>
      </c>
      <c r="F737" s="8">
        <v>3142000000</v>
      </c>
      <c r="G737" s="8">
        <v>20833000000</v>
      </c>
      <c r="H737">
        <f t="shared" si="11"/>
        <v>170883.77323543062</v>
      </c>
    </row>
    <row r="738" spans="1:8" x14ac:dyDescent="0.3">
      <c r="A738" s="7">
        <v>41684</v>
      </c>
      <c r="B738" s="6">
        <v>5166.5</v>
      </c>
      <c r="C738" s="6">
        <v>5356.3</v>
      </c>
      <c r="D738" s="6">
        <v>5166.5</v>
      </c>
      <c r="E738" s="6">
        <v>5356.3</v>
      </c>
      <c r="F738" s="8">
        <v>2980000000</v>
      </c>
      <c r="G738" s="8">
        <v>19727300000</v>
      </c>
      <c r="H738">
        <f t="shared" si="11"/>
        <v>177161.47383740192</v>
      </c>
    </row>
    <row r="739" spans="1:8" x14ac:dyDescent="0.3">
      <c r="A739" s="7">
        <v>41691</v>
      </c>
      <c r="B739" s="6">
        <v>5359.9</v>
      </c>
      <c r="C739" s="6">
        <v>5452.4</v>
      </c>
      <c r="D739" s="6">
        <v>5355.4</v>
      </c>
      <c r="E739" s="6">
        <v>5438.7</v>
      </c>
      <c r="F739" s="8">
        <v>3722400000</v>
      </c>
      <c r="G739" s="8">
        <v>23922600000</v>
      </c>
      <c r="H739">
        <f t="shared" si="11"/>
        <v>179886.88231792054</v>
      </c>
    </row>
    <row r="740" spans="1:8" x14ac:dyDescent="0.3">
      <c r="A740" s="7">
        <v>41698</v>
      </c>
      <c r="B740" s="6">
        <v>5438.7</v>
      </c>
      <c r="C740" s="6">
        <v>5461.7</v>
      </c>
      <c r="D740" s="6">
        <v>5401.6</v>
      </c>
      <c r="E740" s="6">
        <v>5404.8</v>
      </c>
      <c r="F740" s="8">
        <v>3833600000</v>
      </c>
      <c r="G740" s="8">
        <v>25211600000</v>
      </c>
      <c r="H740">
        <f t="shared" si="11"/>
        <v>178765.62810081398</v>
      </c>
    </row>
    <row r="741" spans="1:8" x14ac:dyDescent="0.3">
      <c r="A741" s="7">
        <v>41705</v>
      </c>
      <c r="B741" s="6">
        <v>5404.8</v>
      </c>
      <c r="C741" s="6">
        <v>5462.3</v>
      </c>
      <c r="D741" s="6">
        <v>5340.3</v>
      </c>
      <c r="E741" s="6">
        <v>5462.3</v>
      </c>
      <c r="F741" s="8">
        <v>3413900000</v>
      </c>
      <c r="G741" s="8">
        <v>20763800000</v>
      </c>
      <c r="H741">
        <f t="shared" si="11"/>
        <v>180667.46047496228</v>
      </c>
    </row>
    <row r="742" spans="1:8" x14ac:dyDescent="0.3">
      <c r="A742" s="7">
        <v>41712</v>
      </c>
      <c r="B742" s="6">
        <v>5462.3</v>
      </c>
      <c r="C742" s="6">
        <v>5462.3</v>
      </c>
      <c r="D742" s="6">
        <v>5329.4</v>
      </c>
      <c r="E742" s="6">
        <v>5329.4</v>
      </c>
      <c r="F742" s="8">
        <v>3370500000</v>
      </c>
      <c r="G742" s="8">
        <v>20196600000</v>
      </c>
      <c r="H742">
        <f t="shared" si="11"/>
        <v>176271.74703975685</v>
      </c>
    </row>
    <row r="743" spans="1:8" x14ac:dyDescent="0.3">
      <c r="A743" s="7">
        <v>41719</v>
      </c>
      <c r="B743" s="6">
        <v>5329.4</v>
      </c>
      <c r="C743" s="6">
        <v>5362.2</v>
      </c>
      <c r="D743" s="6">
        <v>5288.5</v>
      </c>
      <c r="E743" s="6">
        <v>5338.1</v>
      </c>
      <c r="F743" s="8">
        <v>4353200000</v>
      </c>
      <c r="G743" s="8">
        <v>24876700000</v>
      </c>
      <c r="H743">
        <f t="shared" si="11"/>
        <v>176559.5025468019</v>
      </c>
    </row>
    <row r="744" spans="1:8" x14ac:dyDescent="0.3">
      <c r="A744" s="7">
        <v>41726</v>
      </c>
      <c r="B744" s="6">
        <v>5338.1</v>
      </c>
      <c r="C744" s="6">
        <v>5394.2</v>
      </c>
      <c r="D744" s="6">
        <v>5301.4</v>
      </c>
      <c r="E744" s="6">
        <v>5366.9</v>
      </c>
      <c r="F744" s="8">
        <v>3230700000</v>
      </c>
      <c r="G744" s="8">
        <v>21567300000</v>
      </c>
      <c r="H744">
        <f t="shared" si="11"/>
        <v>177512.07250115791</v>
      </c>
    </row>
    <row r="745" spans="1:8" x14ac:dyDescent="0.3">
      <c r="A745" s="7">
        <v>41733</v>
      </c>
      <c r="B745" s="6">
        <v>5366.9</v>
      </c>
      <c r="C745" s="6">
        <v>5422.8</v>
      </c>
      <c r="D745" s="6">
        <v>5350.5</v>
      </c>
      <c r="E745" s="6">
        <v>5422.8</v>
      </c>
      <c r="F745" s="8">
        <v>2858400000</v>
      </c>
      <c r="G745" s="8">
        <v>17295600000</v>
      </c>
      <c r="H745">
        <f t="shared" si="11"/>
        <v>179360.98432228647</v>
      </c>
    </row>
    <row r="746" spans="1:8" x14ac:dyDescent="0.3">
      <c r="A746" s="7">
        <v>41740</v>
      </c>
      <c r="B746" s="6">
        <v>5422.8</v>
      </c>
      <c r="C746" s="6">
        <v>5503.5</v>
      </c>
      <c r="D746" s="6">
        <v>5391.3</v>
      </c>
      <c r="E746" s="6">
        <v>5428.6</v>
      </c>
      <c r="F746" s="8">
        <v>2819200000</v>
      </c>
      <c r="G746" s="8">
        <v>17113200000</v>
      </c>
      <c r="H746">
        <f t="shared" si="11"/>
        <v>179552.82132698316</v>
      </c>
    </row>
    <row r="747" spans="1:8" x14ac:dyDescent="0.3">
      <c r="A747" s="7">
        <v>41746</v>
      </c>
      <c r="B747" s="6">
        <v>5428.6</v>
      </c>
      <c r="C747" s="6">
        <v>5459.4</v>
      </c>
      <c r="D747" s="6">
        <v>5358.9</v>
      </c>
      <c r="E747" s="6">
        <v>5454.2</v>
      </c>
      <c r="F747" s="8">
        <v>2083900000</v>
      </c>
      <c r="G747" s="8">
        <v>12996900000</v>
      </c>
      <c r="H747">
        <f t="shared" si="11"/>
        <v>180399.55017529964</v>
      </c>
    </row>
    <row r="748" spans="1:8" x14ac:dyDescent="0.3">
      <c r="A748" s="7">
        <v>41753</v>
      </c>
      <c r="B748" s="6">
        <v>5454.2</v>
      </c>
      <c r="C748" s="6">
        <v>5537.8</v>
      </c>
      <c r="D748" s="6">
        <v>5452.4</v>
      </c>
      <c r="E748" s="6">
        <v>5531</v>
      </c>
      <c r="F748" s="8">
        <v>1518000000</v>
      </c>
      <c r="G748" s="8">
        <v>12143600000</v>
      </c>
      <c r="H748">
        <f t="shared" si="11"/>
        <v>182939.73672024906</v>
      </c>
    </row>
    <row r="749" spans="1:8" x14ac:dyDescent="0.3">
      <c r="A749" s="7">
        <v>41761</v>
      </c>
      <c r="B749" s="6">
        <v>5531</v>
      </c>
      <c r="C749" s="6">
        <v>5554.5</v>
      </c>
      <c r="D749" s="6">
        <v>5430.4</v>
      </c>
      <c r="E749" s="6">
        <v>5458.1</v>
      </c>
      <c r="F749" s="8">
        <v>2948800000</v>
      </c>
      <c r="G749" s="8">
        <v>19817300000</v>
      </c>
      <c r="H749">
        <f t="shared" si="11"/>
        <v>180528.54402328539</v>
      </c>
    </row>
    <row r="750" spans="1:8" x14ac:dyDescent="0.3">
      <c r="A750" s="7">
        <v>41768</v>
      </c>
      <c r="B750" s="6">
        <v>5464.1</v>
      </c>
      <c r="C750" s="6">
        <v>5493</v>
      </c>
      <c r="D750" s="6">
        <v>5417.4</v>
      </c>
      <c r="E750" s="6">
        <v>5460.8</v>
      </c>
      <c r="F750" s="8">
        <v>2507800000</v>
      </c>
      <c r="G750" s="8">
        <v>15875100000</v>
      </c>
      <c r="H750">
        <f t="shared" si="11"/>
        <v>180617.84745650628</v>
      </c>
    </row>
    <row r="751" spans="1:8" x14ac:dyDescent="0.3">
      <c r="A751" s="7">
        <v>41775</v>
      </c>
      <c r="B751" s="6">
        <v>5460.8</v>
      </c>
      <c r="C751" s="6">
        <v>5510.8</v>
      </c>
      <c r="D751" s="6">
        <v>5432</v>
      </c>
      <c r="E751" s="6">
        <v>5479</v>
      </c>
      <c r="F751" s="8">
        <v>2820200000</v>
      </c>
      <c r="G751" s="8">
        <v>17460700000</v>
      </c>
      <c r="H751">
        <f t="shared" si="11"/>
        <v>181219.81874710627</v>
      </c>
    </row>
    <row r="752" spans="1:8" x14ac:dyDescent="0.3">
      <c r="A752" s="7">
        <v>41782</v>
      </c>
      <c r="B752" s="6">
        <v>5479</v>
      </c>
      <c r="C752" s="6">
        <v>5507.4</v>
      </c>
      <c r="D752" s="6">
        <v>5372.1</v>
      </c>
      <c r="E752" s="6">
        <v>5492.8</v>
      </c>
      <c r="F752" s="8">
        <v>3045800000</v>
      </c>
      <c r="G752" s="8">
        <v>18227500000</v>
      </c>
      <c r="H752">
        <f t="shared" si="11"/>
        <v>181676.25851690187</v>
      </c>
    </row>
    <row r="753" spans="1:8" x14ac:dyDescent="0.3">
      <c r="A753" s="7">
        <v>41789</v>
      </c>
      <c r="B753" s="6">
        <v>5492.8</v>
      </c>
      <c r="C753" s="6">
        <v>5541.7</v>
      </c>
      <c r="D753" s="6">
        <v>5492.5</v>
      </c>
      <c r="E753" s="6">
        <v>5492.5</v>
      </c>
      <c r="F753" s="8">
        <v>2950300000</v>
      </c>
      <c r="G753" s="8">
        <v>18305500000</v>
      </c>
      <c r="H753">
        <f t="shared" si="11"/>
        <v>181666.33591321067</v>
      </c>
    </row>
    <row r="754" spans="1:8" x14ac:dyDescent="0.3">
      <c r="A754" s="7">
        <v>41796</v>
      </c>
      <c r="B754" s="6">
        <v>5484.1</v>
      </c>
      <c r="C754" s="6">
        <v>5526</v>
      </c>
      <c r="D754" s="6">
        <v>5416.8</v>
      </c>
      <c r="E754" s="6">
        <v>5464</v>
      </c>
      <c r="F754" s="8">
        <v>2904700000</v>
      </c>
      <c r="G754" s="8">
        <v>18032100000</v>
      </c>
      <c r="H754">
        <f t="shared" si="11"/>
        <v>180723.68856254584</v>
      </c>
    </row>
    <row r="755" spans="1:8" x14ac:dyDescent="0.3">
      <c r="A755" s="7">
        <v>41803</v>
      </c>
      <c r="B755" s="6">
        <v>5464</v>
      </c>
      <c r="C755" s="6">
        <v>5496.3</v>
      </c>
      <c r="D755" s="6">
        <v>5373.6</v>
      </c>
      <c r="E755" s="6">
        <v>5405.1</v>
      </c>
      <c r="F755" s="8">
        <v>2200800000</v>
      </c>
      <c r="G755" s="8">
        <v>13900500000</v>
      </c>
      <c r="H755">
        <f t="shared" si="11"/>
        <v>178775.55070450524</v>
      </c>
    </row>
    <row r="756" spans="1:8" x14ac:dyDescent="0.3">
      <c r="A756" s="7">
        <v>41810</v>
      </c>
      <c r="B756" s="6">
        <v>5405.1</v>
      </c>
      <c r="C756" s="6">
        <v>5468.2</v>
      </c>
      <c r="D756" s="6">
        <v>5380.3</v>
      </c>
      <c r="E756" s="6">
        <v>5419.5</v>
      </c>
      <c r="F756" s="8">
        <v>3649100000</v>
      </c>
      <c r="G756" s="8">
        <v>23828200000</v>
      </c>
      <c r="H756">
        <f t="shared" si="11"/>
        <v>179251.83568168324</v>
      </c>
    </row>
    <row r="757" spans="1:8" x14ac:dyDescent="0.3">
      <c r="A757" s="7">
        <v>41817</v>
      </c>
      <c r="B757" s="6">
        <v>5419.5</v>
      </c>
      <c r="C757" s="6">
        <v>5480.1</v>
      </c>
      <c r="D757" s="6">
        <v>5378.8</v>
      </c>
      <c r="E757" s="6">
        <v>5445.1</v>
      </c>
      <c r="F757" s="8">
        <v>3146400000</v>
      </c>
      <c r="G757" s="8">
        <v>21717300000</v>
      </c>
      <c r="H757">
        <f t="shared" si="11"/>
        <v>180098.56452999971</v>
      </c>
    </row>
    <row r="758" spans="1:8" x14ac:dyDescent="0.3">
      <c r="A758" s="7">
        <v>41824</v>
      </c>
      <c r="B758" s="6">
        <v>5444.8</v>
      </c>
      <c r="C758" s="6">
        <v>5531.7</v>
      </c>
      <c r="D758" s="6">
        <v>5370.9</v>
      </c>
      <c r="E758" s="6">
        <v>5525</v>
      </c>
      <c r="F758" s="8">
        <v>2832700000</v>
      </c>
      <c r="G758" s="8">
        <v>18136700000</v>
      </c>
      <c r="H758">
        <f t="shared" si="11"/>
        <v>182741.28464642493</v>
      </c>
    </row>
    <row r="759" spans="1:8" x14ac:dyDescent="0.3">
      <c r="A759" s="7">
        <v>41831</v>
      </c>
      <c r="B759" s="6">
        <v>5525</v>
      </c>
      <c r="C759" s="6">
        <v>5535.9</v>
      </c>
      <c r="D759" s="6">
        <v>5439.5</v>
      </c>
      <c r="E759" s="6">
        <v>5486.8</v>
      </c>
      <c r="F759" s="8">
        <v>2398500000</v>
      </c>
      <c r="G759" s="8">
        <v>14911600000</v>
      </c>
      <c r="H759">
        <f t="shared" si="11"/>
        <v>181477.80644307772</v>
      </c>
    </row>
    <row r="760" spans="1:8" x14ac:dyDescent="0.3">
      <c r="A760" s="7">
        <v>41838</v>
      </c>
      <c r="B760" s="6">
        <v>5486.8</v>
      </c>
      <c r="C760" s="6">
        <v>5561.1</v>
      </c>
      <c r="D760" s="6">
        <v>5484.1</v>
      </c>
      <c r="E760" s="6">
        <v>5531.7</v>
      </c>
      <c r="F760" s="8">
        <v>2663000000</v>
      </c>
      <c r="G760" s="8">
        <v>16444900000</v>
      </c>
      <c r="H760">
        <f t="shared" si="11"/>
        <v>182962.88946219525</v>
      </c>
    </row>
    <row r="761" spans="1:8" x14ac:dyDescent="0.3">
      <c r="A761" s="7">
        <v>41845</v>
      </c>
      <c r="B761" s="6">
        <v>5531.7</v>
      </c>
      <c r="C761" s="6">
        <v>5598.2</v>
      </c>
      <c r="D761" s="6">
        <v>5530.1</v>
      </c>
      <c r="E761" s="6">
        <v>5583.5</v>
      </c>
      <c r="F761" s="8">
        <v>2626600000</v>
      </c>
      <c r="G761" s="8">
        <v>18083300000</v>
      </c>
      <c r="H761">
        <f t="shared" si="11"/>
        <v>184676.1923662106</v>
      </c>
    </row>
    <row r="762" spans="1:8" x14ac:dyDescent="0.3">
      <c r="A762" s="7">
        <v>41852</v>
      </c>
      <c r="B762" s="6">
        <v>5583.5</v>
      </c>
      <c r="C762" s="6">
        <v>5644.2</v>
      </c>
      <c r="D762" s="6">
        <v>5544</v>
      </c>
      <c r="E762" s="6">
        <v>5556.4</v>
      </c>
      <c r="F762" s="8">
        <v>2733400000</v>
      </c>
      <c r="G762" s="8">
        <v>17474300000</v>
      </c>
      <c r="H762">
        <f t="shared" si="11"/>
        <v>183779.85049943809</v>
      </c>
    </row>
    <row r="763" spans="1:8" x14ac:dyDescent="0.3">
      <c r="A763" s="7">
        <v>41859</v>
      </c>
      <c r="B763" s="6">
        <v>5556.4</v>
      </c>
      <c r="C763" s="6">
        <v>5556.4</v>
      </c>
      <c r="D763" s="6">
        <v>5425.2</v>
      </c>
      <c r="E763" s="6">
        <v>5435.3</v>
      </c>
      <c r="F763" s="8">
        <v>2760900000</v>
      </c>
      <c r="G763" s="8">
        <v>17906000000</v>
      </c>
      <c r="H763">
        <f t="shared" si="11"/>
        <v>179774.42614275357</v>
      </c>
    </row>
    <row r="764" spans="1:8" x14ac:dyDescent="0.3">
      <c r="A764" s="7">
        <v>41866</v>
      </c>
      <c r="B764" s="6">
        <v>5435.3</v>
      </c>
      <c r="C764" s="6">
        <v>5578.5</v>
      </c>
      <c r="D764" s="6">
        <v>5435.3</v>
      </c>
      <c r="E764" s="6">
        <v>5566.5</v>
      </c>
      <c r="F764" s="8">
        <v>2675800000</v>
      </c>
      <c r="G764" s="8">
        <v>19465500000</v>
      </c>
      <c r="H764">
        <f t="shared" si="11"/>
        <v>184113.91149037544</v>
      </c>
    </row>
    <row r="765" spans="1:8" x14ac:dyDescent="0.3">
      <c r="A765" s="7">
        <v>41873</v>
      </c>
      <c r="B765" s="6">
        <v>5566.5</v>
      </c>
      <c r="C765" s="6">
        <v>5679.5</v>
      </c>
      <c r="D765" s="6">
        <v>5566.5</v>
      </c>
      <c r="E765" s="6">
        <v>5645.6</v>
      </c>
      <c r="F765" s="8">
        <v>2989400000</v>
      </c>
      <c r="G765" s="8">
        <v>21437500000</v>
      </c>
      <c r="H765">
        <f t="shared" si="11"/>
        <v>186730.17133029076</v>
      </c>
    </row>
    <row r="766" spans="1:8" x14ac:dyDescent="0.3">
      <c r="A766" s="7">
        <v>41880</v>
      </c>
      <c r="B766" s="6">
        <v>5645.6</v>
      </c>
      <c r="C766" s="6">
        <v>5652.3</v>
      </c>
      <c r="D766" s="6">
        <v>5614.3</v>
      </c>
      <c r="E766" s="6">
        <v>5625.9</v>
      </c>
      <c r="F766" s="8">
        <v>3599600000</v>
      </c>
      <c r="G766" s="8">
        <v>23522400000</v>
      </c>
      <c r="H766">
        <f t="shared" si="11"/>
        <v>186078.58702123471</v>
      </c>
    </row>
    <row r="767" spans="1:8" x14ac:dyDescent="0.3">
      <c r="A767" s="7">
        <v>41887</v>
      </c>
      <c r="B767" s="6">
        <v>5625.9</v>
      </c>
      <c r="C767" s="6">
        <v>5672.7</v>
      </c>
      <c r="D767" s="6">
        <v>5592.9</v>
      </c>
      <c r="E767" s="6">
        <v>5598.7</v>
      </c>
      <c r="F767" s="8">
        <v>2573900000</v>
      </c>
      <c r="G767" s="8">
        <v>15913800000</v>
      </c>
      <c r="H767">
        <f t="shared" si="11"/>
        <v>185178.93761989847</v>
      </c>
    </row>
    <row r="768" spans="1:8" x14ac:dyDescent="0.3">
      <c r="A768" s="7">
        <v>41894</v>
      </c>
      <c r="B768" s="6">
        <v>5598.7</v>
      </c>
      <c r="C768" s="6">
        <v>5607.9</v>
      </c>
      <c r="D768" s="6">
        <v>5509.8</v>
      </c>
      <c r="E768" s="6">
        <v>5531.1</v>
      </c>
      <c r="F768" s="8">
        <v>2557700000</v>
      </c>
      <c r="G768" s="8">
        <v>17087900000</v>
      </c>
      <c r="H768">
        <f t="shared" si="11"/>
        <v>182943.04425481282</v>
      </c>
    </row>
    <row r="769" spans="1:8" x14ac:dyDescent="0.3">
      <c r="A769" s="7">
        <v>41901</v>
      </c>
      <c r="B769" s="6">
        <v>5531.1</v>
      </c>
      <c r="C769" s="6">
        <v>5531.1</v>
      </c>
      <c r="D769" s="6">
        <v>5373.4</v>
      </c>
      <c r="E769" s="6">
        <v>5433.1</v>
      </c>
      <c r="F769" s="8">
        <v>3769400000</v>
      </c>
      <c r="G769" s="8">
        <v>22942100000</v>
      </c>
      <c r="H769">
        <f t="shared" si="11"/>
        <v>179701.66038235134</v>
      </c>
    </row>
    <row r="770" spans="1:8" x14ac:dyDescent="0.3">
      <c r="A770" s="7">
        <v>41908</v>
      </c>
      <c r="B770" s="6">
        <v>5433.2</v>
      </c>
      <c r="C770" s="6">
        <v>5434</v>
      </c>
      <c r="D770" s="6">
        <v>5309.8</v>
      </c>
      <c r="E770" s="6">
        <v>5313.4</v>
      </c>
      <c r="F770" s="8">
        <v>3019900000</v>
      </c>
      <c r="G770" s="8">
        <v>21373900000</v>
      </c>
      <c r="H770">
        <f t="shared" si="11"/>
        <v>175742.54150955909</v>
      </c>
    </row>
    <row r="771" spans="1:8" x14ac:dyDescent="0.3">
      <c r="A771" s="7">
        <v>41915</v>
      </c>
      <c r="B771" s="6">
        <v>5313.4</v>
      </c>
      <c r="C771" s="6">
        <v>5337.2</v>
      </c>
      <c r="D771" s="6">
        <v>5244</v>
      </c>
      <c r="E771" s="6">
        <v>5318.2</v>
      </c>
      <c r="F771" s="8">
        <v>2871700000</v>
      </c>
      <c r="G771" s="8">
        <v>17521000000</v>
      </c>
      <c r="H771">
        <f t="shared" si="11"/>
        <v>175901.30316861844</v>
      </c>
    </row>
    <row r="772" spans="1:8" x14ac:dyDescent="0.3">
      <c r="A772" s="7">
        <v>41922</v>
      </c>
      <c r="B772" s="6">
        <v>5318.2</v>
      </c>
      <c r="C772" s="6">
        <v>5324.6</v>
      </c>
      <c r="D772" s="6">
        <v>5187.6000000000004</v>
      </c>
      <c r="E772" s="6">
        <v>5188.3</v>
      </c>
      <c r="F772" s="8">
        <v>2933100000</v>
      </c>
      <c r="G772" s="8">
        <v>18618100000</v>
      </c>
      <c r="H772">
        <f t="shared" ref="H772:H835" si="12">H771*(E772/E771)</f>
        <v>171604.81577032513</v>
      </c>
    </row>
    <row r="773" spans="1:8" x14ac:dyDescent="0.3">
      <c r="A773" s="7">
        <v>41929</v>
      </c>
      <c r="B773" s="6">
        <v>5188.3</v>
      </c>
      <c r="C773" s="6">
        <v>5308.5</v>
      </c>
      <c r="D773" s="6">
        <v>5122</v>
      </c>
      <c r="E773" s="6">
        <v>5271.7</v>
      </c>
      <c r="F773" s="8">
        <v>3715900000</v>
      </c>
      <c r="G773" s="8">
        <v>22610600000</v>
      </c>
      <c r="H773">
        <f t="shared" si="12"/>
        <v>174363.29959648111</v>
      </c>
    </row>
    <row r="774" spans="1:8" x14ac:dyDescent="0.3">
      <c r="A774" s="7">
        <v>41936</v>
      </c>
      <c r="B774" s="6">
        <v>5271.7</v>
      </c>
      <c r="C774" s="6">
        <v>5425.7</v>
      </c>
      <c r="D774" s="6">
        <v>5271.7</v>
      </c>
      <c r="E774" s="6">
        <v>5412.2</v>
      </c>
      <c r="F774" s="8">
        <v>3003400000</v>
      </c>
      <c r="G774" s="8">
        <v>17082200000</v>
      </c>
      <c r="H774">
        <f t="shared" si="12"/>
        <v>179010.38565853046</v>
      </c>
    </row>
    <row r="775" spans="1:8" x14ac:dyDescent="0.3">
      <c r="A775" s="7">
        <v>41943</v>
      </c>
      <c r="B775" s="6">
        <v>5412.2</v>
      </c>
      <c r="C775" s="6">
        <v>5526.6</v>
      </c>
      <c r="D775" s="6">
        <v>5412.2</v>
      </c>
      <c r="E775" s="6">
        <v>5526.6</v>
      </c>
      <c r="F775" s="8">
        <v>3279400000</v>
      </c>
      <c r="G775" s="8">
        <v>21962300000</v>
      </c>
      <c r="H775">
        <f t="shared" si="12"/>
        <v>182794.2051994447</v>
      </c>
    </row>
    <row r="776" spans="1:8" x14ac:dyDescent="0.3">
      <c r="A776" s="7">
        <v>41950</v>
      </c>
      <c r="B776" s="6">
        <v>5526.6</v>
      </c>
      <c r="C776" s="6">
        <v>5549.1</v>
      </c>
      <c r="D776" s="6">
        <v>5481</v>
      </c>
      <c r="E776" s="6">
        <v>5549.1</v>
      </c>
      <c r="F776" s="8">
        <v>2907000000</v>
      </c>
      <c r="G776" s="8">
        <v>19280800000</v>
      </c>
      <c r="H776">
        <f t="shared" si="12"/>
        <v>183538.40047628534</v>
      </c>
    </row>
    <row r="777" spans="1:8" x14ac:dyDescent="0.3">
      <c r="A777" s="7">
        <v>41957</v>
      </c>
      <c r="B777" s="6">
        <v>5549.1</v>
      </c>
      <c r="C777" s="6">
        <v>5550.3</v>
      </c>
      <c r="D777" s="6">
        <v>5419.3</v>
      </c>
      <c r="E777" s="6">
        <v>5454.3</v>
      </c>
      <c r="F777" s="8">
        <v>2778700000</v>
      </c>
      <c r="G777" s="8">
        <v>18393500000</v>
      </c>
      <c r="H777">
        <f t="shared" si="12"/>
        <v>180402.85770986343</v>
      </c>
    </row>
    <row r="778" spans="1:8" x14ac:dyDescent="0.3">
      <c r="A778" s="7">
        <v>41964</v>
      </c>
      <c r="B778" s="6">
        <v>5454.3</v>
      </c>
      <c r="C778" s="6">
        <v>5460.3</v>
      </c>
      <c r="D778" s="6">
        <v>5292.9</v>
      </c>
      <c r="E778" s="6">
        <v>5304.3</v>
      </c>
      <c r="F778" s="8">
        <v>2728900000</v>
      </c>
      <c r="G778" s="8">
        <v>16853200000</v>
      </c>
      <c r="H778">
        <f t="shared" si="12"/>
        <v>175441.55586425913</v>
      </c>
    </row>
    <row r="779" spans="1:8" x14ac:dyDescent="0.3">
      <c r="A779" s="7">
        <v>41971</v>
      </c>
      <c r="B779" s="6">
        <v>5304.3</v>
      </c>
      <c r="C779" s="6">
        <v>5411.9</v>
      </c>
      <c r="D779" s="6">
        <v>5296.8</v>
      </c>
      <c r="E779" s="6">
        <v>5313</v>
      </c>
      <c r="F779" s="8">
        <v>3131700000</v>
      </c>
      <c r="G779" s="8">
        <v>20824600000</v>
      </c>
      <c r="H779">
        <f t="shared" si="12"/>
        <v>175729.31137130415</v>
      </c>
    </row>
    <row r="780" spans="1:8" x14ac:dyDescent="0.3">
      <c r="A780" s="7">
        <v>41978</v>
      </c>
      <c r="B780" s="6">
        <v>5313</v>
      </c>
      <c r="C780" s="6">
        <v>5389.4</v>
      </c>
      <c r="D780" s="6">
        <v>5207.7</v>
      </c>
      <c r="E780" s="6">
        <v>5335.3</v>
      </c>
      <c r="F780" s="8">
        <v>3360400000</v>
      </c>
      <c r="G780" s="8">
        <v>20297000000</v>
      </c>
      <c r="H780">
        <f t="shared" si="12"/>
        <v>176466.89157901733</v>
      </c>
    </row>
    <row r="781" spans="1:8" x14ac:dyDescent="0.3">
      <c r="A781" s="7">
        <v>41985</v>
      </c>
      <c r="B781" s="6">
        <v>5335.3</v>
      </c>
      <c r="C781" s="6">
        <v>5404.1</v>
      </c>
      <c r="D781" s="6">
        <v>5188</v>
      </c>
      <c r="E781" s="6">
        <v>5219.6000000000004</v>
      </c>
      <c r="F781" s="8">
        <v>3427700000</v>
      </c>
      <c r="G781" s="8">
        <v>21267800000</v>
      </c>
      <c r="H781">
        <f t="shared" si="12"/>
        <v>172640.07408877456</v>
      </c>
    </row>
    <row r="782" spans="1:8" x14ac:dyDescent="0.3">
      <c r="A782" s="7">
        <v>41992</v>
      </c>
      <c r="B782" s="6">
        <v>5219.6000000000004</v>
      </c>
      <c r="C782" s="6">
        <v>5343.1</v>
      </c>
      <c r="D782" s="6">
        <v>5142.8</v>
      </c>
      <c r="E782" s="6">
        <v>5338.6</v>
      </c>
      <c r="F782" s="8">
        <v>4091200000</v>
      </c>
      <c r="G782" s="8">
        <v>26696500000</v>
      </c>
      <c r="H782">
        <f t="shared" si="12"/>
        <v>176576.04021962063</v>
      </c>
    </row>
    <row r="783" spans="1:8" x14ac:dyDescent="0.3">
      <c r="A783" s="7">
        <v>41997</v>
      </c>
      <c r="B783" s="6">
        <v>5338.6</v>
      </c>
      <c r="C783" s="6">
        <v>5442</v>
      </c>
      <c r="D783" s="6">
        <v>5338.6</v>
      </c>
      <c r="E783" s="6">
        <v>5394.5</v>
      </c>
      <c r="F783" s="8">
        <v>1376600000</v>
      </c>
      <c r="G783" s="8">
        <v>8214300000</v>
      </c>
      <c r="H783">
        <f t="shared" si="12"/>
        <v>178424.95204074914</v>
      </c>
    </row>
    <row r="784" spans="1:8" x14ac:dyDescent="0.3">
      <c r="A784" s="7">
        <v>42006</v>
      </c>
      <c r="B784" s="6">
        <v>5394.5</v>
      </c>
      <c r="C784" s="6">
        <v>5486.7</v>
      </c>
      <c r="D784" s="6">
        <v>5387</v>
      </c>
      <c r="E784" s="6">
        <v>5435.9</v>
      </c>
      <c r="F784" s="8">
        <v>1228700000</v>
      </c>
      <c r="G784" s="8">
        <v>7028199000</v>
      </c>
      <c r="H784">
        <f t="shared" si="12"/>
        <v>179794.27135013591</v>
      </c>
    </row>
    <row r="785" spans="1:8" x14ac:dyDescent="0.3">
      <c r="A785" s="7">
        <v>42013</v>
      </c>
      <c r="B785" s="6">
        <v>5435.9</v>
      </c>
      <c r="C785" s="6">
        <v>5470.4</v>
      </c>
      <c r="D785" s="6">
        <v>5318.7</v>
      </c>
      <c r="E785" s="6">
        <v>5465.6</v>
      </c>
      <c r="F785" s="8">
        <v>2725900000</v>
      </c>
      <c r="G785" s="8">
        <v>16028500000</v>
      </c>
      <c r="H785">
        <f t="shared" si="12"/>
        <v>180776.60911556557</v>
      </c>
    </row>
    <row r="786" spans="1:8" x14ac:dyDescent="0.3">
      <c r="A786" s="7">
        <v>42020</v>
      </c>
      <c r="B786" s="6">
        <v>5465.6</v>
      </c>
      <c r="C786" s="6">
        <v>5465.6</v>
      </c>
      <c r="D786" s="6">
        <v>5267.4</v>
      </c>
      <c r="E786" s="6">
        <v>5299.2</v>
      </c>
      <c r="F786" s="8">
        <v>2819400000</v>
      </c>
      <c r="G786" s="8">
        <v>17768000000</v>
      </c>
      <c r="H786">
        <f t="shared" si="12"/>
        <v>175272.87160150852</v>
      </c>
    </row>
    <row r="787" spans="1:8" x14ac:dyDescent="0.3">
      <c r="A787" s="7">
        <v>42027</v>
      </c>
      <c r="B787" s="6">
        <v>5299.2</v>
      </c>
      <c r="C787" s="6">
        <v>5501.8</v>
      </c>
      <c r="D787" s="6">
        <v>5282.4</v>
      </c>
      <c r="E787" s="6">
        <v>5501.8</v>
      </c>
      <c r="F787" s="8">
        <v>2982200000</v>
      </c>
      <c r="G787" s="8">
        <v>18970800000</v>
      </c>
      <c r="H787">
        <f t="shared" si="12"/>
        <v>181973.93662763809</v>
      </c>
    </row>
    <row r="788" spans="1:8" x14ac:dyDescent="0.3">
      <c r="A788" s="7">
        <v>42034</v>
      </c>
      <c r="B788" s="6">
        <v>5501.8</v>
      </c>
      <c r="C788" s="6">
        <v>5619.5</v>
      </c>
      <c r="D788" s="6">
        <v>5497.3</v>
      </c>
      <c r="E788" s="6">
        <v>5588.3</v>
      </c>
      <c r="F788" s="8">
        <v>2892100000</v>
      </c>
      <c r="G788" s="8">
        <v>20728000000</v>
      </c>
      <c r="H788">
        <f t="shared" si="12"/>
        <v>184834.95402526989</v>
      </c>
    </row>
    <row r="789" spans="1:8" x14ac:dyDescent="0.3">
      <c r="A789" s="7">
        <v>42041</v>
      </c>
      <c r="B789" s="6">
        <v>5588.3</v>
      </c>
      <c r="C789" s="6">
        <v>5850.9</v>
      </c>
      <c r="D789" s="6">
        <v>5588.3</v>
      </c>
      <c r="E789" s="6">
        <v>5820.2</v>
      </c>
      <c r="F789" s="8">
        <v>3548500000</v>
      </c>
      <c r="G789" s="8">
        <v>23546600000</v>
      </c>
      <c r="H789">
        <f t="shared" si="12"/>
        <v>192505.12667857413</v>
      </c>
    </row>
    <row r="790" spans="1:8" x14ac:dyDescent="0.3">
      <c r="A790" s="7">
        <v>42048</v>
      </c>
      <c r="B790" s="6">
        <v>5820.2</v>
      </c>
      <c r="C790" s="6">
        <v>5893.5</v>
      </c>
      <c r="D790" s="6">
        <v>5739.8</v>
      </c>
      <c r="E790" s="6">
        <v>5877.5</v>
      </c>
      <c r="F790" s="8">
        <v>3632100000</v>
      </c>
      <c r="G790" s="8">
        <v>23373900000</v>
      </c>
      <c r="H790">
        <f t="shared" si="12"/>
        <v>194400.343983595</v>
      </c>
    </row>
    <row r="791" spans="1:8" x14ac:dyDescent="0.3">
      <c r="A791" s="7">
        <v>42055</v>
      </c>
      <c r="B791" s="6">
        <v>5877.5</v>
      </c>
      <c r="C791" s="6">
        <v>5946.8</v>
      </c>
      <c r="D791" s="6">
        <v>5841.9</v>
      </c>
      <c r="E791" s="6">
        <v>5881.5</v>
      </c>
      <c r="F791" s="8">
        <v>3298000000</v>
      </c>
      <c r="G791" s="8">
        <v>22603700000</v>
      </c>
      <c r="H791">
        <f t="shared" si="12"/>
        <v>194532.64536614442</v>
      </c>
    </row>
    <row r="792" spans="1:8" x14ac:dyDescent="0.3">
      <c r="A792" s="7">
        <v>42062</v>
      </c>
      <c r="B792" s="6">
        <v>5881.5</v>
      </c>
      <c r="C792" s="6">
        <v>5955.5</v>
      </c>
      <c r="D792" s="6">
        <v>5869.2</v>
      </c>
      <c r="E792" s="6">
        <v>5928.8</v>
      </c>
      <c r="F792" s="8">
        <v>4054900000</v>
      </c>
      <c r="G792" s="8">
        <v>27356100000</v>
      </c>
      <c r="H792">
        <f t="shared" si="12"/>
        <v>196097.10921479165</v>
      </c>
    </row>
    <row r="793" spans="1:8" x14ac:dyDescent="0.3">
      <c r="A793" s="7">
        <v>42069</v>
      </c>
      <c r="B793" s="6">
        <v>5928.8</v>
      </c>
      <c r="C793" s="6">
        <v>5996.9</v>
      </c>
      <c r="D793" s="6">
        <v>5869.2</v>
      </c>
      <c r="E793" s="6">
        <v>5898.9</v>
      </c>
      <c r="F793" s="8">
        <v>3263000000</v>
      </c>
      <c r="G793" s="8">
        <v>22823000000</v>
      </c>
      <c r="H793">
        <f t="shared" si="12"/>
        <v>195108.15638023452</v>
      </c>
    </row>
    <row r="794" spans="1:8" x14ac:dyDescent="0.3">
      <c r="A794" s="7">
        <v>42076</v>
      </c>
      <c r="B794" s="6">
        <v>5898.9</v>
      </c>
      <c r="C794" s="6">
        <v>5898.9</v>
      </c>
      <c r="D794" s="6">
        <v>5748.7</v>
      </c>
      <c r="E794" s="6">
        <v>5814.5</v>
      </c>
      <c r="F794" s="8">
        <v>3222200000</v>
      </c>
      <c r="G794" s="8">
        <v>19859600000</v>
      </c>
      <c r="H794">
        <f t="shared" si="12"/>
        <v>192316.59720844118</v>
      </c>
    </row>
    <row r="795" spans="1:8" x14ac:dyDescent="0.3">
      <c r="A795" s="7">
        <v>42083</v>
      </c>
      <c r="B795" s="6">
        <v>5814.5</v>
      </c>
      <c r="C795" s="6">
        <v>5979.8</v>
      </c>
      <c r="D795" s="6">
        <v>5761.6</v>
      </c>
      <c r="E795" s="6">
        <v>5975.5</v>
      </c>
      <c r="F795" s="8">
        <v>4278405000</v>
      </c>
      <c r="G795" s="8">
        <v>25815400000</v>
      </c>
      <c r="H795">
        <f t="shared" si="12"/>
        <v>197641.72785605644</v>
      </c>
    </row>
    <row r="796" spans="1:8" x14ac:dyDescent="0.3">
      <c r="A796" s="7">
        <v>42090</v>
      </c>
      <c r="B796" s="6">
        <v>5975.5</v>
      </c>
      <c r="C796" s="6">
        <v>5995</v>
      </c>
      <c r="D796" s="6">
        <v>5877.1</v>
      </c>
      <c r="E796" s="6">
        <v>5919.9</v>
      </c>
      <c r="F796" s="8">
        <v>2853280000</v>
      </c>
      <c r="G796" s="8">
        <v>22217450000</v>
      </c>
      <c r="H796">
        <f t="shared" si="12"/>
        <v>195802.73863861911</v>
      </c>
    </row>
    <row r="797" spans="1:8" x14ac:dyDescent="0.3">
      <c r="A797" s="7">
        <v>42096</v>
      </c>
      <c r="B797" s="6">
        <v>5919.9</v>
      </c>
      <c r="C797" s="6">
        <v>5931.5</v>
      </c>
      <c r="D797" s="6">
        <v>5828.1</v>
      </c>
      <c r="E797" s="6">
        <v>5898.6</v>
      </c>
      <c r="F797" s="8">
        <v>2656092000</v>
      </c>
      <c r="G797" s="8">
        <v>23090620000</v>
      </c>
      <c r="H797">
        <f t="shared" si="12"/>
        <v>195098.23377654332</v>
      </c>
    </row>
    <row r="798" spans="1:8" x14ac:dyDescent="0.3">
      <c r="A798" s="7">
        <v>42104</v>
      </c>
      <c r="B798" s="6">
        <v>5898.6</v>
      </c>
      <c r="C798" s="6">
        <v>5981.7</v>
      </c>
      <c r="D798" s="6">
        <v>5898.6</v>
      </c>
      <c r="E798" s="6">
        <v>5968.4</v>
      </c>
      <c r="F798" s="8">
        <v>1942460000</v>
      </c>
      <c r="G798" s="8">
        <v>14788490000</v>
      </c>
      <c r="H798">
        <f t="shared" si="12"/>
        <v>197406.89290203116</v>
      </c>
    </row>
    <row r="799" spans="1:8" x14ac:dyDescent="0.3">
      <c r="A799" s="7">
        <v>42111</v>
      </c>
      <c r="B799" s="6">
        <v>5968.4</v>
      </c>
      <c r="C799" s="6">
        <v>5996.4</v>
      </c>
      <c r="D799" s="6">
        <v>5869.5</v>
      </c>
      <c r="E799" s="6">
        <v>5877.9</v>
      </c>
      <c r="F799" s="8">
        <v>2684244000</v>
      </c>
      <c r="G799" s="8">
        <v>19445630000</v>
      </c>
      <c r="H799">
        <f t="shared" si="12"/>
        <v>194413.5741218499</v>
      </c>
    </row>
    <row r="800" spans="1:8" x14ac:dyDescent="0.3">
      <c r="A800" s="7">
        <v>42118</v>
      </c>
      <c r="B800" s="6">
        <v>5877.9</v>
      </c>
      <c r="C800" s="6">
        <v>5935</v>
      </c>
      <c r="D800" s="6">
        <v>5807.8</v>
      </c>
      <c r="E800" s="6">
        <v>5933.3</v>
      </c>
      <c r="F800" s="8">
        <v>2844536000</v>
      </c>
      <c r="G800" s="8">
        <v>21457770000</v>
      </c>
      <c r="H800">
        <f t="shared" si="12"/>
        <v>196245.94827015977</v>
      </c>
    </row>
    <row r="801" spans="1:8" x14ac:dyDescent="0.3">
      <c r="A801" s="7">
        <v>42125</v>
      </c>
      <c r="B801" s="6">
        <v>5933.3</v>
      </c>
      <c r="C801" s="6">
        <v>5985.6</v>
      </c>
      <c r="D801" s="6">
        <v>5749.9</v>
      </c>
      <c r="E801" s="6">
        <v>5814.4</v>
      </c>
      <c r="F801" s="8">
        <v>3009897000</v>
      </c>
      <c r="G801" s="8">
        <v>23225660000</v>
      </c>
      <c r="H801">
        <f t="shared" si="12"/>
        <v>192313.28967387741</v>
      </c>
    </row>
    <row r="802" spans="1:8" x14ac:dyDescent="0.3">
      <c r="A802" s="7">
        <v>42132</v>
      </c>
      <c r="B802" s="6">
        <v>5814.4</v>
      </c>
      <c r="C802" s="6">
        <v>5901.8</v>
      </c>
      <c r="D802" s="6">
        <v>5606.7</v>
      </c>
      <c r="E802" s="6">
        <v>5634.6</v>
      </c>
      <c r="F802" s="8">
        <v>3126331000</v>
      </c>
      <c r="G802" s="8">
        <v>25243850000</v>
      </c>
      <c r="H802">
        <f t="shared" si="12"/>
        <v>186366.34252827975</v>
      </c>
    </row>
    <row r="803" spans="1:8" x14ac:dyDescent="0.3">
      <c r="A803" s="7">
        <v>42139</v>
      </c>
      <c r="B803" s="6">
        <v>5634.6</v>
      </c>
      <c r="C803" s="6">
        <v>5747</v>
      </c>
      <c r="D803" s="6">
        <v>5616</v>
      </c>
      <c r="E803" s="6">
        <v>5735.5</v>
      </c>
      <c r="F803" s="8">
        <v>3251495000</v>
      </c>
      <c r="G803" s="8">
        <v>24159530000</v>
      </c>
      <c r="H803">
        <f t="shared" si="12"/>
        <v>189703.64490308959</v>
      </c>
    </row>
    <row r="804" spans="1:8" x14ac:dyDescent="0.3">
      <c r="A804" s="7">
        <v>42146</v>
      </c>
      <c r="B804" s="6">
        <v>5735.5</v>
      </c>
      <c r="C804" s="6">
        <v>5735.5</v>
      </c>
      <c r="D804" s="6">
        <v>5574.6</v>
      </c>
      <c r="E804" s="6">
        <v>5664.7</v>
      </c>
      <c r="F804" s="8">
        <v>3376377000</v>
      </c>
      <c r="G804" s="8">
        <v>23117180000</v>
      </c>
      <c r="H804">
        <f t="shared" si="12"/>
        <v>187361.91043196435</v>
      </c>
    </row>
    <row r="805" spans="1:8" x14ac:dyDescent="0.3">
      <c r="A805" s="7">
        <v>42153</v>
      </c>
      <c r="B805" s="6">
        <v>5664.7</v>
      </c>
      <c r="C805" s="6">
        <v>5803</v>
      </c>
      <c r="D805" s="6">
        <v>5664.7</v>
      </c>
      <c r="E805" s="6">
        <v>5777.2</v>
      </c>
      <c r="F805" s="8">
        <v>3310058000</v>
      </c>
      <c r="G805" s="8">
        <v>24422390000</v>
      </c>
      <c r="H805">
        <f t="shared" si="12"/>
        <v>191082.88681616756</v>
      </c>
    </row>
    <row r="806" spans="1:8" x14ac:dyDescent="0.3">
      <c r="A806" s="7">
        <v>42160</v>
      </c>
      <c r="B806" s="6">
        <v>5777.2</v>
      </c>
      <c r="C806" s="6">
        <v>5777.2</v>
      </c>
      <c r="D806" s="6">
        <v>5470</v>
      </c>
      <c r="E806" s="6">
        <v>5498.5</v>
      </c>
      <c r="F806" s="8">
        <v>2984498000</v>
      </c>
      <c r="G806" s="8">
        <v>21324940000</v>
      </c>
      <c r="H806">
        <f t="shared" si="12"/>
        <v>181864.7879870348</v>
      </c>
    </row>
    <row r="807" spans="1:8" x14ac:dyDescent="0.3">
      <c r="A807" s="7">
        <v>42167</v>
      </c>
      <c r="B807" s="6">
        <v>5498.5</v>
      </c>
      <c r="C807" s="6">
        <v>5556.7</v>
      </c>
      <c r="D807" s="6">
        <v>5453.1</v>
      </c>
      <c r="E807" s="6">
        <v>5545.3</v>
      </c>
      <c r="F807" s="8">
        <v>2260442000</v>
      </c>
      <c r="G807" s="8">
        <v>14955940000</v>
      </c>
      <c r="H807">
        <f t="shared" si="12"/>
        <v>183412.71416286335</v>
      </c>
    </row>
    <row r="808" spans="1:8" x14ac:dyDescent="0.3">
      <c r="A808" s="7">
        <v>42174</v>
      </c>
      <c r="B808" s="6">
        <v>5545.3</v>
      </c>
      <c r="C808" s="6">
        <v>5612.2</v>
      </c>
      <c r="D808" s="6">
        <v>5492.1</v>
      </c>
      <c r="E808" s="6">
        <v>5597</v>
      </c>
      <c r="F808" s="8">
        <v>4002037000</v>
      </c>
      <c r="G808" s="8">
        <v>26140280000</v>
      </c>
      <c r="H808">
        <f t="shared" si="12"/>
        <v>185122.70953231497</v>
      </c>
    </row>
    <row r="809" spans="1:8" x14ac:dyDescent="0.3">
      <c r="A809" s="7">
        <v>42181</v>
      </c>
      <c r="B809" s="6">
        <v>5597</v>
      </c>
      <c r="C809" s="6">
        <v>5705.8</v>
      </c>
      <c r="D809" s="6">
        <v>5524.1</v>
      </c>
      <c r="E809" s="6">
        <v>5545.9</v>
      </c>
      <c r="F809" s="8">
        <v>3288528000</v>
      </c>
      <c r="G809" s="8">
        <v>23981460000</v>
      </c>
      <c r="H809">
        <f t="shared" si="12"/>
        <v>183432.55937024576</v>
      </c>
    </row>
    <row r="810" spans="1:8" x14ac:dyDescent="0.3">
      <c r="A810" s="7">
        <v>42188</v>
      </c>
      <c r="B810" s="6">
        <v>5545.9</v>
      </c>
      <c r="C810" s="6">
        <v>5609.9</v>
      </c>
      <c r="D810" s="6">
        <v>5390.5</v>
      </c>
      <c r="E810" s="6">
        <v>5538.3</v>
      </c>
      <c r="F810" s="8">
        <v>3399940000</v>
      </c>
      <c r="G810" s="8">
        <v>21705090000</v>
      </c>
      <c r="H810">
        <f t="shared" si="12"/>
        <v>183181.18674340181</v>
      </c>
    </row>
    <row r="811" spans="1:8" x14ac:dyDescent="0.3">
      <c r="A811" s="7">
        <v>42195</v>
      </c>
      <c r="B811" s="6">
        <v>5538.3</v>
      </c>
      <c r="C811" s="6">
        <v>5586.2</v>
      </c>
      <c r="D811" s="6">
        <v>5383.7</v>
      </c>
      <c r="E811" s="6">
        <v>5492</v>
      </c>
      <c r="F811" s="8">
        <v>2915049000</v>
      </c>
      <c r="G811" s="8">
        <v>19897660000</v>
      </c>
      <c r="H811">
        <f t="shared" si="12"/>
        <v>181649.79824039195</v>
      </c>
    </row>
    <row r="812" spans="1:8" x14ac:dyDescent="0.3">
      <c r="A812" s="7">
        <v>42202</v>
      </c>
      <c r="B812" s="6">
        <v>5492</v>
      </c>
      <c r="C812" s="6">
        <v>5691.2</v>
      </c>
      <c r="D812" s="6">
        <v>5451.1</v>
      </c>
      <c r="E812" s="6">
        <v>5670.1</v>
      </c>
      <c r="F812" s="8">
        <v>2596439000</v>
      </c>
      <c r="G812" s="8">
        <v>17602810000</v>
      </c>
      <c r="H812">
        <f t="shared" si="12"/>
        <v>187540.51729840614</v>
      </c>
    </row>
    <row r="813" spans="1:8" x14ac:dyDescent="0.3">
      <c r="A813" s="7">
        <v>42209</v>
      </c>
      <c r="B813" s="6">
        <v>5670.1</v>
      </c>
      <c r="C813" s="6">
        <v>5718.9</v>
      </c>
      <c r="D813" s="6">
        <v>5548</v>
      </c>
      <c r="E813" s="6">
        <v>5566.1</v>
      </c>
      <c r="F813" s="8">
        <v>2593404000</v>
      </c>
      <c r="G813" s="8">
        <v>17512910000</v>
      </c>
      <c r="H813">
        <f t="shared" si="12"/>
        <v>184100.6813521205</v>
      </c>
    </row>
    <row r="814" spans="1:8" x14ac:dyDescent="0.3">
      <c r="A814" s="7">
        <v>42216</v>
      </c>
      <c r="B814" s="6">
        <v>5565.9</v>
      </c>
      <c r="C814" s="6">
        <v>5699.5</v>
      </c>
      <c r="D814" s="6">
        <v>5530.9</v>
      </c>
      <c r="E814" s="6">
        <v>5699.2</v>
      </c>
      <c r="F814" s="8">
        <v>2884478000</v>
      </c>
      <c r="G814" s="8">
        <v>20920350000</v>
      </c>
      <c r="H814">
        <f t="shared" si="12"/>
        <v>188503.00985645334</v>
      </c>
    </row>
    <row r="815" spans="1:8" x14ac:dyDescent="0.3">
      <c r="A815" s="7">
        <v>42223</v>
      </c>
      <c r="B815" s="6">
        <v>5699.2</v>
      </c>
      <c r="C815" s="6">
        <v>5727.7</v>
      </c>
      <c r="D815" s="6">
        <v>5474.8</v>
      </c>
      <c r="E815" s="6">
        <v>5474.8</v>
      </c>
      <c r="F815" s="8">
        <v>2799559000</v>
      </c>
      <c r="G815" s="8">
        <v>19853080000</v>
      </c>
      <c r="H815">
        <f t="shared" si="12"/>
        <v>181080.90229542932</v>
      </c>
    </row>
    <row r="816" spans="1:8" x14ac:dyDescent="0.3">
      <c r="A816" s="7">
        <v>42230</v>
      </c>
      <c r="B816" s="6">
        <v>5474.8</v>
      </c>
      <c r="C816" s="6">
        <v>5543.2</v>
      </c>
      <c r="D816" s="6">
        <v>5351.5</v>
      </c>
      <c r="E816" s="6">
        <v>5356.5</v>
      </c>
      <c r="F816" s="8">
        <v>3074173000</v>
      </c>
      <c r="G816" s="8">
        <v>21542660000</v>
      </c>
      <c r="H816">
        <f t="shared" si="12"/>
        <v>177168.08890652939</v>
      </c>
    </row>
    <row r="817" spans="1:8" x14ac:dyDescent="0.3">
      <c r="A817" s="7">
        <v>42237</v>
      </c>
      <c r="B817" s="6">
        <v>5356.5</v>
      </c>
      <c r="C817" s="6">
        <v>5397</v>
      </c>
      <c r="D817" s="6">
        <v>5171.5</v>
      </c>
      <c r="E817" s="6">
        <v>5214.6000000000004</v>
      </c>
      <c r="F817" s="8">
        <v>3530497000</v>
      </c>
      <c r="G817" s="8">
        <v>26654030000</v>
      </c>
      <c r="H817">
        <f t="shared" si="12"/>
        <v>172474.69736058774</v>
      </c>
    </row>
    <row r="818" spans="1:8" x14ac:dyDescent="0.3">
      <c r="A818" s="7">
        <v>42244</v>
      </c>
      <c r="B818" s="6">
        <v>5207.6000000000004</v>
      </c>
      <c r="C818" s="6">
        <v>5305</v>
      </c>
      <c r="D818" s="6">
        <v>4928.3</v>
      </c>
      <c r="E818" s="6">
        <v>5263.6</v>
      </c>
      <c r="F818" s="8">
        <v>5153021000</v>
      </c>
      <c r="G818" s="8">
        <v>35264520000</v>
      </c>
      <c r="H818">
        <f t="shared" si="12"/>
        <v>174095.38929681847</v>
      </c>
    </row>
    <row r="819" spans="1:8" x14ac:dyDescent="0.3">
      <c r="A819" s="7">
        <v>42251</v>
      </c>
      <c r="B819" s="6">
        <v>5263.6</v>
      </c>
      <c r="C819" s="6">
        <v>5263.6</v>
      </c>
      <c r="D819" s="6">
        <v>4995.6000000000004</v>
      </c>
      <c r="E819" s="6">
        <v>5040.6000000000004</v>
      </c>
      <c r="F819" s="8">
        <v>4134574000</v>
      </c>
      <c r="G819" s="8">
        <v>25682070000</v>
      </c>
      <c r="H819">
        <f t="shared" si="12"/>
        <v>166719.58721968674</v>
      </c>
    </row>
    <row r="820" spans="1:8" x14ac:dyDescent="0.3">
      <c r="A820" s="7">
        <v>42258</v>
      </c>
      <c r="B820" s="6">
        <v>5040.6000000000004</v>
      </c>
      <c r="C820" s="6">
        <v>5221.1000000000004</v>
      </c>
      <c r="D820" s="6">
        <v>4973.3999999999996</v>
      </c>
      <c r="E820" s="6">
        <v>5071.1000000000004</v>
      </c>
      <c r="F820" s="8">
        <v>3619583000</v>
      </c>
      <c r="G820" s="8">
        <v>23291290000</v>
      </c>
      <c r="H820">
        <f t="shared" si="12"/>
        <v>167728.3852616263</v>
      </c>
    </row>
    <row r="821" spans="1:8" x14ac:dyDescent="0.3">
      <c r="A821" s="7">
        <v>42265</v>
      </c>
      <c r="B821" s="6">
        <v>5071.1000000000004</v>
      </c>
      <c r="C821" s="6">
        <v>5195</v>
      </c>
      <c r="D821" s="6">
        <v>5017.8</v>
      </c>
      <c r="E821" s="6">
        <v>5170.5</v>
      </c>
      <c r="F821" s="8">
        <v>3993982000</v>
      </c>
      <c r="G821" s="8">
        <v>24971320000</v>
      </c>
      <c r="H821">
        <f t="shared" si="12"/>
        <v>171016.07461798008</v>
      </c>
    </row>
    <row r="822" spans="1:8" x14ac:dyDescent="0.3">
      <c r="A822" s="7">
        <v>42272</v>
      </c>
      <c r="B822" s="6">
        <v>5170.5</v>
      </c>
      <c r="C822" s="6">
        <v>5170.5</v>
      </c>
      <c r="D822" s="6">
        <v>4988.8</v>
      </c>
      <c r="E822" s="6">
        <v>5042.1000000000004</v>
      </c>
      <c r="F822" s="8">
        <v>3110852000</v>
      </c>
      <c r="G822" s="8">
        <v>21608820000</v>
      </c>
      <c r="H822">
        <f t="shared" si="12"/>
        <v>166769.2002381428</v>
      </c>
    </row>
    <row r="823" spans="1:8" x14ac:dyDescent="0.3">
      <c r="A823" s="7">
        <v>42279</v>
      </c>
      <c r="B823" s="6">
        <v>5042.1000000000004</v>
      </c>
      <c r="C823" s="6">
        <v>5119.2</v>
      </c>
      <c r="D823" s="6">
        <v>4918.3999999999996</v>
      </c>
      <c r="E823" s="6">
        <v>5052</v>
      </c>
      <c r="F823" s="8">
        <v>3245816000</v>
      </c>
      <c r="G823" s="8">
        <v>21220890000</v>
      </c>
      <c r="H823">
        <f t="shared" si="12"/>
        <v>167096.64615995265</v>
      </c>
    </row>
    <row r="824" spans="1:8" x14ac:dyDescent="0.3">
      <c r="A824" s="7">
        <v>42286</v>
      </c>
      <c r="B824" s="6">
        <v>5052</v>
      </c>
      <c r="C824" s="6">
        <v>5284</v>
      </c>
      <c r="D824" s="6">
        <v>5052</v>
      </c>
      <c r="E824" s="6">
        <v>5279.7</v>
      </c>
      <c r="F824" s="8">
        <v>2846176000</v>
      </c>
      <c r="G824" s="8">
        <v>19634390000</v>
      </c>
      <c r="H824">
        <f t="shared" si="12"/>
        <v>174627.90236157997</v>
      </c>
    </row>
    <row r="825" spans="1:8" x14ac:dyDescent="0.3">
      <c r="A825" s="7">
        <v>42293</v>
      </c>
      <c r="B825" s="6">
        <v>5279.7</v>
      </c>
      <c r="C825" s="6">
        <v>5294.3</v>
      </c>
      <c r="D825" s="6">
        <v>5164.2</v>
      </c>
      <c r="E825" s="6">
        <v>5268.2</v>
      </c>
      <c r="F825" s="8">
        <v>3072248000</v>
      </c>
      <c r="G825" s="8">
        <v>19887090000</v>
      </c>
      <c r="H825">
        <f t="shared" si="12"/>
        <v>174247.53588675029</v>
      </c>
    </row>
    <row r="826" spans="1:8" x14ac:dyDescent="0.3">
      <c r="A826" s="7">
        <v>42300</v>
      </c>
      <c r="B826" s="6">
        <v>5268.2</v>
      </c>
      <c r="C826" s="6">
        <v>5374.5</v>
      </c>
      <c r="D826" s="6">
        <v>5195.3999999999996</v>
      </c>
      <c r="E826" s="6">
        <v>5351.6</v>
      </c>
      <c r="F826" s="8">
        <v>2879281000</v>
      </c>
      <c r="G826" s="8">
        <v>18837890000</v>
      </c>
      <c r="H826">
        <f t="shared" si="12"/>
        <v>177006.0197129063</v>
      </c>
    </row>
    <row r="827" spans="1:8" x14ac:dyDescent="0.3">
      <c r="A827" s="7">
        <v>42307</v>
      </c>
      <c r="B827" s="6">
        <v>5351.6</v>
      </c>
      <c r="C827" s="6">
        <v>5384.8</v>
      </c>
      <c r="D827" s="6">
        <v>5204</v>
      </c>
      <c r="E827" s="6">
        <v>5239.3999999999996</v>
      </c>
      <c r="F827" s="8">
        <v>3044601000</v>
      </c>
      <c r="G827" s="8">
        <v>22687240000</v>
      </c>
      <c r="H827">
        <f t="shared" si="12"/>
        <v>173294.96593239426</v>
      </c>
    </row>
    <row r="828" spans="1:8" x14ac:dyDescent="0.3">
      <c r="A828" s="7">
        <v>42314</v>
      </c>
      <c r="B828" s="6">
        <v>5239.3999999999996</v>
      </c>
      <c r="C828" s="6">
        <v>5313.7</v>
      </c>
      <c r="D828" s="6">
        <v>5152.8</v>
      </c>
      <c r="E828" s="6">
        <v>5215</v>
      </c>
      <c r="F828" s="8">
        <v>2758206000</v>
      </c>
      <c r="G828" s="8">
        <v>20532660000</v>
      </c>
      <c r="H828">
        <f t="shared" si="12"/>
        <v>172487.92749884265</v>
      </c>
    </row>
    <row r="829" spans="1:8" x14ac:dyDescent="0.3">
      <c r="A829" s="7">
        <v>42321</v>
      </c>
      <c r="B829" s="6">
        <v>5215</v>
      </c>
      <c r="C829" s="6">
        <v>5215</v>
      </c>
      <c r="D829" s="6">
        <v>5010.3999999999996</v>
      </c>
      <c r="E829" s="6">
        <v>5051.3</v>
      </c>
      <c r="F829" s="8">
        <v>3164264000</v>
      </c>
      <c r="G829" s="8">
        <v>22125480000</v>
      </c>
      <c r="H829">
        <f t="shared" si="12"/>
        <v>167073.49341800652</v>
      </c>
    </row>
    <row r="830" spans="1:8" x14ac:dyDescent="0.3">
      <c r="A830" s="7">
        <v>42328</v>
      </c>
      <c r="B830" s="6">
        <v>5051.3</v>
      </c>
      <c r="C830" s="6">
        <v>5272</v>
      </c>
      <c r="D830" s="6">
        <v>4979.2</v>
      </c>
      <c r="E830" s="6">
        <v>5256.1</v>
      </c>
      <c r="F830" s="8">
        <v>3061880000</v>
      </c>
      <c r="G830" s="8">
        <v>20542100000</v>
      </c>
      <c r="H830">
        <f t="shared" si="12"/>
        <v>173847.32420453828</v>
      </c>
    </row>
    <row r="831" spans="1:8" x14ac:dyDescent="0.3">
      <c r="A831" s="7">
        <v>42335</v>
      </c>
      <c r="B831" s="6">
        <v>5256.1</v>
      </c>
      <c r="C831" s="6">
        <v>5285.5</v>
      </c>
      <c r="D831" s="6">
        <v>5185.8</v>
      </c>
      <c r="E831" s="6">
        <v>5202.6000000000004</v>
      </c>
      <c r="F831" s="8">
        <v>3436125000</v>
      </c>
      <c r="G831" s="8">
        <v>20595240000</v>
      </c>
      <c r="H831">
        <f t="shared" si="12"/>
        <v>172077.7932129394</v>
      </c>
    </row>
    <row r="832" spans="1:8" x14ac:dyDescent="0.3">
      <c r="A832" s="7">
        <v>42342</v>
      </c>
      <c r="B832" s="6">
        <v>5202.6000000000004</v>
      </c>
      <c r="C832" s="6">
        <v>5279.3</v>
      </c>
      <c r="D832" s="6">
        <v>5117.6000000000004</v>
      </c>
      <c r="E832" s="6">
        <v>5151.6000000000004</v>
      </c>
      <c r="F832" s="8">
        <v>4347590000</v>
      </c>
      <c r="G832" s="8">
        <v>25699150000</v>
      </c>
      <c r="H832">
        <f t="shared" si="12"/>
        <v>170390.95058543392</v>
      </c>
    </row>
    <row r="833" spans="1:8" x14ac:dyDescent="0.3">
      <c r="A833" s="7">
        <v>42349</v>
      </c>
      <c r="B833" s="6">
        <v>5151.6000000000004</v>
      </c>
      <c r="C833" s="6">
        <v>5229.8999999999996</v>
      </c>
      <c r="D833" s="6">
        <v>4995.6000000000004</v>
      </c>
      <c r="E833" s="6">
        <v>5029.3999999999996</v>
      </c>
      <c r="F833" s="8">
        <v>3636746000</v>
      </c>
      <c r="G833" s="8">
        <v>20812930000</v>
      </c>
      <c r="H833">
        <f t="shared" si="12"/>
        <v>166349.14334854827</v>
      </c>
    </row>
    <row r="834" spans="1:8" x14ac:dyDescent="0.3">
      <c r="A834" s="7">
        <v>42356</v>
      </c>
      <c r="B834" s="6">
        <v>5029.5</v>
      </c>
      <c r="C834" s="6">
        <v>5129.1000000000004</v>
      </c>
      <c r="D834" s="6">
        <v>4909.6000000000004</v>
      </c>
      <c r="E834" s="6">
        <v>5106.7</v>
      </c>
      <c r="F834" s="8">
        <v>4342177000</v>
      </c>
      <c r="G834" s="8">
        <v>28115090000</v>
      </c>
      <c r="H834">
        <f t="shared" si="12"/>
        <v>168905.86756631636</v>
      </c>
    </row>
    <row r="835" spans="1:8" x14ac:dyDescent="0.3">
      <c r="A835" s="7">
        <v>42362</v>
      </c>
      <c r="B835" s="6">
        <v>5106.7</v>
      </c>
      <c r="C835" s="6">
        <v>5211.5</v>
      </c>
      <c r="D835" s="6">
        <v>5075.2</v>
      </c>
      <c r="E835" s="6">
        <v>5207.6000000000004</v>
      </c>
      <c r="F835" s="8">
        <v>1566529000</v>
      </c>
      <c r="G835" s="8">
        <v>10391490000</v>
      </c>
      <c r="H835">
        <f t="shared" si="12"/>
        <v>172243.16994112619</v>
      </c>
    </row>
    <row r="836" spans="1:8" x14ac:dyDescent="0.3">
      <c r="A836" s="7">
        <v>42369</v>
      </c>
      <c r="B836" s="6">
        <v>5207.6000000000004</v>
      </c>
      <c r="C836" s="6">
        <v>5325.8</v>
      </c>
      <c r="D836" s="6">
        <v>5189.1000000000004</v>
      </c>
      <c r="E836" s="6">
        <v>5295.9</v>
      </c>
      <c r="F836" s="8">
        <v>961458200</v>
      </c>
      <c r="G836" s="8">
        <v>7191158000</v>
      </c>
      <c r="H836">
        <f t="shared" ref="H836:H899" si="13">H835*(E836/E835)</f>
        <v>175163.72296090526</v>
      </c>
    </row>
    <row r="837" spans="1:8" x14ac:dyDescent="0.3">
      <c r="A837" s="7">
        <v>42377</v>
      </c>
      <c r="B837" s="6">
        <v>5295.9</v>
      </c>
      <c r="C837" s="6">
        <v>5331.4</v>
      </c>
      <c r="D837" s="6">
        <v>4940.3</v>
      </c>
      <c r="E837" s="6">
        <v>4990.8</v>
      </c>
      <c r="F837" s="8">
        <v>2622828000</v>
      </c>
      <c r="G837" s="8">
        <v>17930010000</v>
      </c>
      <c r="H837">
        <f t="shared" si="13"/>
        <v>165072.43500694612</v>
      </c>
    </row>
    <row r="838" spans="1:8" x14ac:dyDescent="0.3">
      <c r="A838" s="7">
        <v>42384</v>
      </c>
      <c r="B838" s="6">
        <v>4990.8</v>
      </c>
      <c r="C838" s="6">
        <v>4997.1000000000004</v>
      </c>
      <c r="D838" s="6">
        <v>4865</v>
      </c>
      <c r="E838" s="6">
        <v>4892.8</v>
      </c>
      <c r="F838" s="8">
        <v>2974969000</v>
      </c>
      <c r="G838" s="8">
        <v>18948490000</v>
      </c>
      <c r="H838">
        <f t="shared" si="13"/>
        <v>161831.05113448465</v>
      </c>
    </row>
    <row r="839" spans="1:8" x14ac:dyDescent="0.3">
      <c r="A839" s="7">
        <v>42391</v>
      </c>
      <c r="B839" s="6">
        <v>4892.8</v>
      </c>
      <c r="C839" s="6">
        <v>4932.1000000000004</v>
      </c>
      <c r="D839" s="6">
        <v>4803.8999999999996</v>
      </c>
      <c r="E839" s="6">
        <v>4916</v>
      </c>
      <c r="F839" s="8">
        <v>3117732000</v>
      </c>
      <c r="G839" s="8">
        <v>20800140000</v>
      </c>
      <c r="H839">
        <f t="shared" si="13"/>
        <v>162598.39915327143</v>
      </c>
    </row>
    <row r="840" spans="1:8" x14ac:dyDescent="0.3">
      <c r="A840" s="7">
        <v>42398</v>
      </c>
      <c r="B840" s="6">
        <v>4916</v>
      </c>
      <c r="C840" s="6">
        <v>5009.5</v>
      </c>
      <c r="D840" s="6">
        <v>4909.3999999999996</v>
      </c>
      <c r="E840" s="6">
        <v>5005.5</v>
      </c>
      <c r="F840" s="8">
        <v>2672769000</v>
      </c>
      <c r="G840" s="8">
        <v>17955070000</v>
      </c>
      <c r="H840">
        <f t="shared" si="13"/>
        <v>165558.64258781532</v>
      </c>
    </row>
    <row r="841" spans="1:8" x14ac:dyDescent="0.3">
      <c r="A841" s="7">
        <v>42405</v>
      </c>
      <c r="B841" s="6">
        <v>5005.5</v>
      </c>
      <c r="C841" s="6">
        <v>5073</v>
      </c>
      <c r="D841" s="6">
        <v>4873.6000000000004</v>
      </c>
      <c r="E841" s="6">
        <v>4976.2</v>
      </c>
      <c r="F841" s="8">
        <v>3362587000</v>
      </c>
      <c r="G841" s="8">
        <v>21715060000</v>
      </c>
      <c r="H841">
        <f t="shared" si="13"/>
        <v>164589.53496064059</v>
      </c>
    </row>
    <row r="842" spans="1:8" x14ac:dyDescent="0.3">
      <c r="A842" s="7">
        <v>42412</v>
      </c>
      <c r="B842" s="6">
        <v>4976.2</v>
      </c>
      <c r="C842" s="6">
        <v>4980</v>
      </c>
      <c r="D842" s="6">
        <v>4706.7</v>
      </c>
      <c r="E842" s="6">
        <v>4765.3</v>
      </c>
      <c r="F842" s="8">
        <v>3491737000</v>
      </c>
      <c r="G842" s="8">
        <v>23644500000</v>
      </c>
      <c r="H842">
        <f t="shared" si="13"/>
        <v>157613.94456572097</v>
      </c>
    </row>
    <row r="843" spans="1:8" x14ac:dyDescent="0.3">
      <c r="A843" s="7">
        <v>42419</v>
      </c>
      <c r="B843" s="6">
        <v>4765.3</v>
      </c>
      <c r="C843" s="6">
        <v>4992.6000000000004</v>
      </c>
      <c r="D843" s="6">
        <v>4765.3</v>
      </c>
      <c r="E843" s="6">
        <v>4952.8</v>
      </c>
      <c r="F843" s="8">
        <v>3728049000</v>
      </c>
      <c r="G843" s="8">
        <v>23782230000</v>
      </c>
      <c r="H843">
        <f t="shared" si="13"/>
        <v>163815.57187272632</v>
      </c>
    </row>
    <row r="844" spans="1:8" x14ac:dyDescent="0.3">
      <c r="A844" s="7">
        <v>42426</v>
      </c>
      <c r="B844" s="6">
        <v>4952.8</v>
      </c>
      <c r="C844" s="6">
        <v>5035.6000000000004</v>
      </c>
      <c r="D844" s="6">
        <v>4838.3</v>
      </c>
      <c r="E844" s="6">
        <v>4880</v>
      </c>
      <c r="F844" s="8">
        <v>3615045000</v>
      </c>
      <c r="G844" s="8">
        <v>24828630000</v>
      </c>
      <c r="H844">
        <f t="shared" si="13"/>
        <v>161407.68671032635</v>
      </c>
    </row>
    <row r="845" spans="1:8" x14ac:dyDescent="0.3">
      <c r="A845" s="7">
        <v>42433</v>
      </c>
      <c r="B845" s="6">
        <v>4880</v>
      </c>
      <c r="C845" s="6">
        <v>5105</v>
      </c>
      <c r="D845" s="6">
        <v>4868.1000000000004</v>
      </c>
      <c r="E845" s="6">
        <v>5090</v>
      </c>
      <c r="F845" s="8">
        <v>4076148000</v>
      </c>
      <c r="G845" s="8">
        <v>26372020000</v>
      </c>
      <c r="H845">
        <f t="shared" si="13"/>
        <v>168353.50929417234</v>
      </c>
    </row>
    <row r="846" spans="1:8" x14ac:dyDescent="0.3">
      <c r="A846" s="7">
        <v>42440</v>
      </c>
      <c r="B846" s="6">
        <v>5090</v>
      </c>
      <c r="C846" s="6">
        <v>5182.5</v>
      </c>
      <c r="D846" s="6">
        <v>5081.8999999999996</v>
      </c>
      <c r="E846" s="6">
        <v>5166.3999999999996</v>
      </c>
      <c r="F846" s="8">
        <v>3634562000</v>
      </c>
      <c r="G846" s="8">
        <v>22615610000</v>
      </c>
      <c r="H846">
        <f t="shared" si="13"/>
        <v>170880.4657008668</v>
      </c>
    </row>
    <row r="847" spans="1:8" x14ac:dyDescent="0.3">
      <c r="A847" s="7">
        <v>42447</v>
      </c>
      <c r="B847" s="6">
        <v>5166.3999999999996</v>
      </c>
      <c r="C847" s="6">
        <v>5216.2</v>
      </c>
      <c r="D847" s="6">
        <v>5088.2</v>
      </c>
      <c r="E847" s="6">
        <v>5183.1000000000004</v>
      </c>
      <c r="F847" s="8">
        <v>3911298000</v>
      </c>
      <c r="G847" s="8">
        <v>24717220000</v>
      </c>
      <c r="H847">
        <f t="shared" si="13"/>
        <v>171432.82397301079</v>
      </c>
    </row>
    <row r="848" spans="1:8" x14ac:dyDescent="0.3">
      <c r="A848" s="7">
        <v>42453</v>
      </c>
      <c r="B848" s="6">
        <v>5183.1000000000004</v>
      </c>
      <c r="C848" s="6">
        <v>5195.7</v>
      </c>
      <c r="D848" s="6">
        <v>5069.2</v>
      </c>
      <c r="E848" s="6">
        <v>5084.2</v>
      </c>
      <c r="F848" s="8">
        <v>2217786000</v>
      </c>
      <c r="G848" s="8">
        <v>17047970000</v>
      </c>
      <c r="H848">
        <f t="shared" si="13"/>
        <v>168161.67228947565</v>
      </c>
    </row>
    <row r="849" spans="1:8" x14ac:dyDescent="0.3">
      <c r="A849" s="7">
        <v>42461</v>
      </c>
      <c r="B849" s="6">
        <v>5084.2</v>
      </c>
      <c r="C849" s="6">
        <v>5098.2</v>
      </c>
      <c r="D849" s="6">
        <v>4976.3</v>
      </c>
      <c r="E849" s="6">
        <v>4999.3999999999996</v>
      </c>
      <c r="F849" s="8">
        <v>2209478000</v>
      </c>
      <c r="G849" s="8">
        <v>16089920000</v>
      </c>
      <c r="H849">
        <f t="shared" si="13"/>
        <v>165356.88297942735</v>
      </c>
    </row>
    <row r="850" spans="1:8" x14ac:dyDescent="0.3">
      <c r="A850" s="7">
        <v>42468</v>
      </c>
      <c r="B850" s="6">
        <v>4999.3999999999996</v>
      </c>
      <c r="C850" s="6">
        <v>5046.3</v>
      </c>
      <c r="D850" s="6">
        <v>4893.5</v>
      </c>
      <c r="E850" s="6">
        <v>4937.6000000000004</v>
      </c>
      <c r="F850" s="8">
        <v>2496564000</v>
      </c>
      <c r="G850" s="8">
        <v>17359850000</v>
      </c>
      <c r="H850">
        <f t="shared" si="13"/>
        <v>163312.82661903839</v>
      </c>
    </row>
    <row r="851" spans="1:8" x14ac:dyDescent="0.3">
      <c r="A851" s="7">
        <v>42475</v>
      </c>
      <c r="B851" s="6">
        <v>4937.6000000000004</v>
      </c>
      <c r="C851" s="6">
        <v>5157.5</v>
      </c>
      <c r="D851" s="6">
        <v>4910.8</v>
      </c>
      <c r="E851" s="6">
        <v>5157.5</v>
      </c>
      <c r="F851" s="8">
        <v>2706320000</v>
      </c>
      <c r="G851" s="8">
        <v>19472440000</v>
      </c>
      <c r="H851">
        <f t="shared" si="13"/>
        <v>170586.09512469426</v>
      </c>
    </row>
    <row r="852" spans="1:8" x14ac:dyDescent="0.3">
      <c r="A852" s="7">
        <v>42482</v>
      </c>
      <c r="B852" s="6">
        <v>5157.5</v>
      </c>
      <c r="C852" s="6">
        <v>5279.9</v>
      </c>
      <c r="D852" s="6">
        <v>5118.5</v>
      </c>
      <c r="E852" s="6">
        <v>5236.3999999999996</v>
      </c>
      <c r="F852" s="8">
        <v>3209001000</v>
      </c>
      <c r="G852" s="8">
        <v>22609270000</v>
      </c>
      <c r="H852">
        <f t="shared" si="13"/>
        <v>173195.73989548211</v>
      </c>
    </row>
    <row r="853" spans="1:8" x14ac:dyDescent="0.3">
      <c r="A853" s="7">
        <v>42489</v>
      </c>
      <c r="B853" s="6">
        <v>5236.3999999999996</v>
      </c>
      <c r="C853" s="6">
        <v>5281.6</v>
      </c>
      <c r="D853" s="6">
        <v>5179.5</v>
      </c>
      <c r="E853" s="6">
        <v>5252.2</v>
      </c>
      <c r="F853" s="8">
        <v>2630550000</v>
      </c>
      <c r="G853" s="8">
        <v>18905020000</v>
      </c>
      <c r="H853">
        <f t="shared" si="13"/>
        <v>173718.33035655244</v>
      </c>
    </row>
    <row r="854" spans="1:8" x14ac:dyDescent="0.3">
      <c r="A854" s="7">
        <v>42496</v>
      </c>
      <c r="B854" s="6">
        <v>5252.2</v>
      </c>
      <c r="C854" s="6">
        <v>5357</v>
      </c>
      <c r="D854" s="6">
        <v>5182.2</v>
      </c>
      <c r="E854" s="6">
        <v>5292</v>
      </c>
      <c r="F854" s="8">
        <v>3299945000</v>
      </c>
      <c r="G854" s="8">
        <v>24492880000</v>
      </c>
      <c r="H854">
        <f t="shared" si="13"/>
        <v>175034.72911291945</v>
      </c>
    </row>
    <row r="855" spans="1:8" x14ac:dyDescent="0.3">
      <c r="A855" s="7">
        <v>42503</v>
      </c>
      <c r="B855" s="6">
        <v>5292</v>
      </c>
      <c r="C855" s="6">
        <v>5425.2</v>
      </c>
      <c r="D855" s="6">
        <v>5264.4</v>
      </c>
      <c r="E855" s="6">
        <v>5329</v>
      </c>
      <c r="F855" s="8">
        <v>3201835000</v>
      </c>
      <c r="G855" s="8">
        <v>24592100000</v>
      </c>
      <c r="H855">
        <f t="shared" si="13"/>
        <v>176258.51690150183</v>
      </c>
    </row>
    <row r="856" spans="1:8" x14ac:dyDescent="0.3">
      <c r="A856" s="7">
        <v>42510</v>
      </c>
      <c r="B856" s="6">
        <v>5329</v>
      </c>
      <c r="C856" s="6">
        <v>5395.9</v>
      </c>
      <c r="D856" s="6">
        <v>5303.1</v>
      </c>
      <c r="E856" s="6">
        <v>5351.3</v>
      </c>
      <c r="F856" s="8">
        <v>2989193000</v>
      </c>
      <c r="G856" s="8">
        <v>21411420000</v>
      </c>
      <c r="H856">
        <f t="shared" si="13"/>
        <v>176996.09710921501</v>
      </c>
    </row>
    <row r="857" spans="1:8" x14ac:dyDescent="0.3">
      <c r="A857" s="7">
        <v>42517</v>
      </c>
      <c r="B857" s="6">
        <v>5351.3</v>
      </c>
      <c r="C857" s="6">
        <v>5427.7</v>
      </c>
      <c r="D857" s="6">
        <v>5295.6</v>
      </c>
      <c r="E857" s="6">
        <v>5405.9</v>
      </c>
      <c r="F857" s="8">
        <v>2897865000</v>
      </c>
      <c r="G857" s="8">
        <v>22106340000</v>
      </c>
      <c r="H857">
        <f t="shared" si="13"/>
        <v>178802.01098101496</v>
      </c>
    </row>
    <row r="858" spans="1:8" x14ac:dyDescent="0.3">
      <c r="A858" s="7">
        <v>42524</v>
      </c>
      <c r="B858" s="6">
        <v>5405.9</v>
      </c>
      <c r="C858" s="6">
        <v>5415</v>
      </c>
      <c r="D858" s="6">
        <v>5270.9</v>
      </c>
      <c r="E858" s="6">
        <v>5318.9</v>
      </c>
      <c r="F858" s="8">
        <v>3050592000</v>
      </c>
      <c r="G858" s="8">
        <v>21796100000</v>
      </c>
      <c r="H858">
        <f t="shared" si="13"/>
        <v>175924.45591056446</v>
      </c>
    </row>
    <row r="859" spans="1:8" x14ac:dyDescent="0.3">
      <c r="A859" s="7">
        <v>42531</v>
      </c>
      <c r="B859" s="6">
        <v>5318.9</v>
      </c>
      <c r="C859" s="6">
        <v>5392.5</v>
      </c>
      <c r="D859" s="6">
        <v>5294.2</v>
      </c>
      <c r="E859" s="6">
        <v>5312.6</v>
      </c>
      <c r="F859" s="8">
        <v>2783590000</v>
      </c>
      <c r="G859" s="8">
        <v>19498670000</v>
      </c>
      <c r="H859">
        <f t="shared" si="13"/>
        <v>175716.0812330491</v>
      </c>
    </row>
    <row r="860" spans="1:8" x14ac:dyDescent="0.3">
      <c r="A860" s="7">
        <v>42538</v>
      </c>
      <c r="B860" s="6">
        <v>5312.6</v>
      </c>
      <c r="C860" s="6">
        <v>5312.6</v>
      </c>
      <c r="D860" s="6">
        <v>5141</v>
      </c>
      <c r="E860" s="6">
        <v>5162.7</v>
      </c>
      <c r="F860" s="8">
        <v>3219285000</v>
      </c>
      <c r="G860" s="8">
        <v>20965730000</v>
      </c>
      <c r="H860">
        <f t="shared" si="13"/>
        <v>170758.08692200852</v>
      </c>
    </row>
    <row r="861" spans="1:8" x14ac:dyDescent="0.3">
      <c r="A861" s="7">
        <v>42545</v>
      </c>
      <c r="B861" s="6">
        <v>5162.7</v>
      </c>
      <c r="C861" s="6">
        <v>5325.4</v>
      </c>
      <c r="D861" s="6">
        <v>5080</v>
      </c>
      <c r="E861" s="6">
        <v>5113.2</v>
      </c>
      <c r="F861" s="8">
        <v>3224904000</v>
      </c>
      <c r="G861" s="8">
        <v>24221240000</v>
      </c>
      <c r="H861">
        <f t="shared" si="13"/>
        <v>169120.85731295909</v>
      </c>
    </row>
    <row r="862" spans="1:8" x14ac:dyDescent="0.3">
      <c r="A862" s="7">
        <v>42552</v>
      </c>
      <c r="B862" s="6">
        <v>5113.2</v>
      </c>
      <c r="C862" s="6">
        <v>5278.9</v>
      </c>
      <c r="D862" s="6">
        <v>5051</v>
      </c>
      <c r="E862" s="6">
        <v>5246.6</v>
      </c>
      <c r="F862" s="8">
        <v>3553670000</v>
      </c>
      <c r="G862" s="8">
        <v>25265770000</v>
      </c>
      <c r="H862">
        <f t="shared" si="13"/>
        <v>173533.10842098319</v>
      </c>
    </row>
    <row r="863" spans="1:8" x14ac:dyDescent="0.3">
      <c r="A863" s="7">
        <v>42559</v>
      </c>
      <c r="B863" s="6">
        <v>5246.6</v>
      </c>
      <c r="C863" s="6">
        <v>5282.3</v>
      </c>
      <c r="D863" s="6">
        <v>5148.7</v>
      </c>
      <c r="E863" s="6">
        <v>5230.5</v>
      </c>
      <c r="F863" s="8">
        <v>2646530000</v>
      </c>
      <c r="G863" s="8">
        <v>18999500000</v>
      </c>
      <c r="H863">
        <f t="shared" si="13"/>
        <v>173000.59535622166</v>
      </c>
    </row>
    <row r="864" spans="1:8" x14ac:dyDescent="0.3">
      <c r="A864" s="7">
        <v>42566</v>
      </c>
      <c r="B864" s="6">
        <v>5230.5</v>
      </c>
      <c r="C864" s="6">
        <v>5452.7</v>
      </c>
      <c r="D864" s="6">
        <v>5230.5</v>
      </c>
      <c r="E864" s="6">
        <v>5429.6</v>
      </c>
      <c r="F864" s="8">
        <v>2651613000</v>
      </c>
      <c r="G864" s="8">
        <v>18973370000</v>
      </c>
      <c r="H864">
        <f t="shared" si="13"/>
        <v>179585.89667262044</v>
      </c>
    </row>
    <row r="865" spans="1:8" x14ac:dyDescent="0.3">
      <c r="A865" s="7">
        <v>42573</v>
      </c>
      <c r="B865" s="6">
        <v>5429.6</v>
      </c>
      <c r="C865" s="6">
        <v>5531.9</v>
      </c>
      <c r="D865" s="6">
        <v>5428.9</v>
      </c>
      <c r="E865" s="6">
        <v>5498.2</v>
      </c>
      <c r="F865" s="8">
        <v>2723110000</v>
      </c>
      <c r="G865" s="8">
        <v>19421550000</v>
      </c>
      <c r="H865">
        <f t="shared" si="13"/>
        <v>181854.86538334345</v>
      </c>
    </row>
    <row r="866" spans="1:8" x14ac:dyDescent="0.3">
      <c r="A866" s="7">
        <v>42580</v>
      </c>
      <c r="B866" s="6">
        <v>5498.2</v>
      </c>
      <c r="C866" s="6">
        <v>5570.4</v>
      </c>
      <c r="D866" s="6">
        <v>5498.2</v>
      </c>
      <c r="E866" s="6">
        <v>5562.4</v>
      </c>
      <c r="F866" s="8">
        <v>2859549000</v>
      </c>
      <c r="G866" s="8">
        <v>22806790000</v>
      </c>
      <c r="H866">
        <f t="shared" si="13"/>
        <v>183978.30257326207</v>
      </c>
    </row>
    <row r="867" spans="1:8" x14ac:dyDescent="0.3">
      <c r="A867" s="7">
        <v>42587</v>
      </c>
      <c r="B867" s="6">
        <v>5562.4</v>
      </c>
      <c r="C867" s="6">
        <v>5611.2</v>
      </c>
      <c r="D867" s="6">
        <v>5465.7</v>
      </c>
      <c r="E867" s="6">
        <v>5497.4</v>
      </c>
      <c r="F867" s="8">
        <v>2760118000</v>
      </c>
      <c r="G867" s="8">
        <v>19919490000</v>
      </c>
      <c r="H867">
        <f t="shared" si="13"/>
        <v>181828.40510683355</v>
      </c>
    </row>
    <row r="868" spans="1:8" x14ac:dyDescent="0.3">
      <c r="A868" s="7">
        <v>42594</v>
      </c>
      <c r="B868" s="6">
        <v>5497.4</v>
      </c>
      <c r="C868" s="6">
        <v>5553.8</v>
      </c>
      <c r="D868" s="6">
        <v>5483.7</v>
      </c>
      <c r="E868" s="6">
        <v>5530.9</v>
      </c>
      <c r="F868" s="8">
        <v>2701534000</v>
      </c>
      <c r="G868" s="8">
        <v>21612380000</v>
      </c>
      <c r="H868">
        <f t="shared" si="13"/>
        <v>182936.42918568518</v>
      </c>
    </row>
    <row r="869" spans="1:8" x14ac:dyDescent="0.3">
      <c r="A869" s="7">
        <v>42601</v>
      </c>
      <c r="B869" s="6">
        <v>5530.9</v>
      </c>
      <c r="C869" s="6">
        <v>5549.8</v>
      </c>
      <c r="D869" s="6">
        <v>5498.7</v>
      </c>
      <c r="E869" s="6">
        <v>5526.7</v>
      </c>
      <c r="F869" s="8">
        <v>2814840000</v>
      </c>
      <c r="G869" s="8">
        <v>21593190000</v>
      </c>
      <c r="H869">
        <f t="shared" si="13"/>
        <v>182797.51273400825</v>
      </c>
    </row>
    <row r="870" spans="1:8" x14ac:dyDescent="0.3">
      <c r="A870" s="7">
        <v>42608</v>
      </c>
      <c r="B870" s="6">
        <v>5526.7</v>
      </c>
      <c r="C870" s="6">
        <v>5574</v>
      </c>
      <c r="D870" s="6">
        <v>5508.7</v>
      </c>
      <c r="E870" s="6">
        <v>5515.5</v>
      </c>
      <c r="F870" s="8">
        <v>3046142000</v>
      </c>
      <c r="G870" s="8">
        <v>22566670000</v>
      </c>
      <c r="H870">
        <f t="shared" si="13"/>
        <v>182427.06886286978</v>
      </c>
    </row>
    <row r="871" spans="1:8" x14ac:dyDescent="0.3">
      <c r="A871" s="7">
        <v>42615</v>
      </c>
      <c r="B871" s="6">
        <v>5515.5</v>
      </c>
      <c r="C871" s="6">
        <v>5516.7</v>
      </c>
      <c r="D871" s="6">
        <v>5361.7</v>
      </c>
      <c r="E871" s="6">
        <v>5372.8</v>
      </c>
      <c r="F871" s="8">
        <v>3082719000</v>
      </c>
      <c r="G871" s="8">
        <v>22520240000</v>
      </c>
      <c r="H871">
        <f t="shared" si="13"/>
        <v>177707.21704041824</v>
      </c>
    </row>
    <row r="872" spans="1:8" x14ac:dyDescent="0.3">
      <c r="A872" s="7">
        <v>42622</v>
      </c>
      <c r="B872" s="6">
        <v>5372.8</v>
      </c>
      <c r="C872" s="6">
        <v>5440.2</v>
      </c>
      <c r="D872" s="6">
        <v>5332.4</v>
      </c>
      <c r="E872" s="6">
        <v>5339.2</v>
      </c>
      <c r="F872" s="8">
        <v>3110912000</v>
      </c>
      <c r="G872" s="8">
        <v>21703350000</v>
      </c>
      <c r="H872">
        <f t="shared" si="13"/>
        <v>176595.88542700288</v>
      </c>
    </row>
    <row r="873" spans="1:8" x14ac:dyDescent="0.3">
      <c r="A873" s="7">
        <v>42629</v>
      </c>
      <c r="B873" s="6">
        <v>5339.2</v>
      </c>
      <c r="C873" s="6">
        <v>5339.2</v>
      </c>
      <c r="D873" s="6">
        <v>5192.2</v>
      </c>
      <c r="E873" s="6">
        <v>5296.7</v>
      </c>
      <c r="F873" s="8">
        <v>3818024000</v>
      </c>
      <c r="G873" s="8">
        <v>27310800000</v>
      </c>
      <c r="H873">
        <f t="shared" si="13"/>
        <v>175190.18323741501</v>
      </c>
    </row>
    <row r="874" spans="1:8" x14ac:dyDescent="0.3">
      <c r="A874" s="7">
        <v>42636</v>
      </c>
      <c r="B874" s="6">
        <v>5296.7</v>
      </c>
      <c r="C874" s="6">
        <v>5434.3</v>
      </c>
      <c r="D874" s="6">
        <v>5273</v>
      </c>
      <c r="E874" s="6">
        <v>5431.3</v>
      </c>
      <c r="F874" s="8">
        <v>2809475000</v>
      </c>
      <c r="G874" s="8">
        <v>19889620000</v>
      </c>
      <c r="H874">
        <f t="shared" si="13"/>
        <v>179642.12476020394</v>
      </c>
    </row>
    <row r="875" spans="1:8" x14ac:dyDescent="0.3">
      <c r="A875" s="7">
        <v>42643</v>
      </c>
      <c r="B875" s="6">
        <v>5431.3</v>
      </c>
      <c r="C875" s="6">
        <v>5473.3</v>
      </c>
      <c r="D875" s="6">
        <v>5372.3</v>
      </c>
      <c r="E875" s="6">
        <v>5435.9</v>
      </c>
      <c r="F875" s="8">
        <v>2929663000</v>
      </c>
      <c r="G875" s="8">
        <v>22145960000</v>
      </c>
      <c r="H875">
        <f t="shared" si="13"/>
        <v>179794.27135013579</v>
      </c>
    </row>
    <row r="876" spans="1:8" x14ac:dyDescent="0.3">
      <c r="A876" s="7">
        <v>42650</v>
      </c>
      <c r="B876" s="6">
        <v>5435.9</v>
      </c>
      <c r="C876" s="6">
        <v>5493.1</v>
      </c>
      <c r="D876" s="6">
        <v>5435.9</v>
      </c>
      <c r="E876" s="6">
        <v>5467.4</v>
      </c>
      <c r="F876" s="8">
        <v>2797313000</v>
      </c>
      <c r="G876" s="8">
        <v>18852450000</v>
      </c>
      <c r="H876">
        <f t="shared" si="13"/>
        <v>180836.14473771269</v>
      </c>
    </row>
    <row r="877" spans="1:8" x14ac:dyDescent="0.3">
      <c r="A877" s="7">
        <v>42657</v>
      </c>
      <c r="B877" s="6">
        <v>5467.4</v>
      </c>
      <c r="C877" s="6">
        <v>5498</v>
      </c>
      <c r="D877" s="6">
        <v>5420.8</v>
      </c>
      <c r="E877" s="6">
        <v>5434</v>
      </c>
      <c r="F877" s="8">
        <v>2838691000</v>
      </c>
      <c r="G877" s="8">
        <v>19379210000</v>
      </c>
      <c r="H877">
        <f t="shared" si="13"/>
        <v>179731.42819342483</v>
      </c>
    </row>
    <row r="878" spans="1:8" x14ac:dyDescent="0.3">
      <c r="A878" s="7">
        <v>42664</v>
      </c>
      <c r="B878" s="6">
        <v>5434</v>
      </c>
      <c r="C878" s="6">
        <v>5457.9</v>
      </c>
      <c r="D878" s="6">
        <v>5386.1</v>
      </c>
      <c r="E878" s="6">
        <v>5430.3</v>
      </c>
      <c r="F878" s="8">
        <v>2884131000</v>
      </c>
      <c r="G878" s="8">
        <v>19905800000</v>
      </c>
      <c r="H878">
        <f t="shared" si="13"/>
        <v>179609.0494145666</v>
      </c>
    </row>
    <row r="879" spans="1:8" x14ac:dyDescent="0.3">
      <c r="A879" s="7">
        <v>42671</v>
      </c>
      <c r="B879" s="6">
        <v>5430.3</v>
      </c>
      <c r="C879" s="6">
        <v>5455.7</v>
      </c>
      <c r="D879" s="6">
        <v>5261.4</v>
      </c>
      <c r="E879" s="6">
        <v>5283.8</v>
      </c>
      <c r="F879" s="8">
        <v>3171519000</v>
      </c>
      <c r="G879" s="8">
        <v>23298180000</v>
      </c>
      <c r="H879">
        <f t="shared" si="13"/>
        <v>174763.51127869307</v>
      </c>
    </row>
    <row r="880" spans="1:8" x14ac:dyDescent="0.3">
      <c r="A880" s="7">
        <v>42678</v>
      </c>
      <c r="B880" s="6">
        <v>5283.8</v>
      </c>
      <c r="C880" s="6">
        <v>5329.1</v>
      </c>
      <c r="D880" s="6">
        <v>5178</v>
      </c>
      <c r="E880" s="6">
        <v>5180.8</v>
      </c>
      <c r="F880" s="8">
        <v>2906541000</v>
      </c>
      <c r="G880" s="8">
        <v>19429650000</v>
      </c>
      <c r="H880">
        <f t="shared" si="13"/>
        <v>171356.7506780448</v>
      </c>
    </row>
    <row r="881" spans="1:8" x14ac:dyDescent="0.3">
      <c r="A881" s="7">
        <v>42685</v>
      </c>
      <c r="B881" s="6">
        <v>5180.8</v>
      </c>
      <c r="C881" s="6">
        <v>5370.7</v>
      </c>
      <c r="D881" s="6">
        <v>5052.1000000000004</v>
      </c>
      <c r="E881" s="6">
        <v>5370.7</v>
      </c>
      <c r="F881" s="8">
        <v>3936488000</v>
      </c>
      <c r="G881" s="8">
        <v>29062120000</v>
      </c>
      <c r="H881">
        <f t="shared" si="13"/>
        <v>177637.75881457981</v>
      </c>
    </row>
    <row r="882" spans="1:8" x14ac:dyDescent="0.3">
      <c r="A882" s="7">
        <v>42692</v>
      </c>
      <c r="B882" s="6">
        <v>5370.7</v>
      </c>
      <c r="C882" s="6">
        <v>5370.7</v>
      </c>
      <c r="D882" s="6">
        <v>5286.2</v>
      </c>
      <c r="E882" s="6">
        <v>5359.4</v>
      </c>
      <c r="F882" s="8">
        <v>3444248000</v>
      </c>
      <c r="G882" s="8">
        <v>24182970000</v>
      </c>
      <c r="H882">
        <f t="shared" si="13"/>
        <v>177264.00740887763</v>
      </c>
    </row>
    <row r="883" spans="1:8" x14ac:dyDescent="0.3">
      <c r="A883" s="7">
        <v>42699</v>
      </c>
      <c r="B883" s="6">
        <v>5359.4</v>
      </c>
      <c r="C883" s="6">
        <v>5520.9</v>
      </c>
      <c r="D883" s="6">
        <v>5334.9</v>
      </c>
      <c r="E883" s="6">
        <v>5507.8</v>
      </c>
      <c r="F883" s="8">
        <v>3200018000</v>
      </c>
      <c r="G883" s="8">
        <v>23077150000</v>
      </c>
      <c r="H883">
        <f t="shared" si="13"/>
        <v>182172.38870146216</v>
      </c>
    </row>
    <row r="884" spans="1:8" x14ac:dyDescent="0.3">
      <c r="A884" s="7">
        <v>42706</v>
      </c>
      <c r="B884" s="6">
        <v>5507.8</v>
      </c>
      <c r="C884" s="6">
        <v>5507.8</v>
      </c>
      <c r="D884" s="6">
        <v>5423.2</v>
      </c>
      <c r="E884" s="6">
        <v>5444</v>
      </c>
      <c r="F884" s="8">
        <v>3799215000</v>
      </c>
      <c r="G884" s="8">
        <v>27045170000</v>
      </c>
      <c r="H884">
        <f t="shared" si="13"/>
        <v>180062.18164979844</v>
      </c>
    </row>
    <row r="885" spans="1:8" x14ac:dyDescent="0.3">
      <c r="A885" s="7">
        <v>42713</v>
      </c>
      <c r="B885" s="6">
        <v>5444</v>
      </c>
      <c r="C885" s="6">
        <v>5566.1</v>
      </c>
      <c r="D885" s="6">
        <v>5383.8</v>
      </c>
      <c r="E885" s="6">
        <v>5560.6</v>
      </c>
      <c r="F885" s="8">
        <v>3253220000</v>
      </c>
      <c r="G885" s="8">
        <v>23268200000</v>
      </c>
      <c r="H885">
        <f t="shared" si="13"/>
        <v>183918.76695111487</v>
      </c>
    </row>
    <row r="886" spans="1:8" x14ac:dyDescent="0.3">
      <c r="A886" s="7">
        <v>42720</v>
      </c>
      <c r="B886" s="6">
        <v>5560.6</v>
      </c>
      <c r="C886" s="6">
        <v>5595.7</v>
      </c>
      <c r="D886" s="6">
        <v>5510</v>
      </c>
      <c r="E886" s="6">
        <v>5532.9</v>
      </c>
      <c r="F886" s="8">
        <v>3937451000</v>
      </c>
      <c r="G886" s="8">
        <v>26800400000</v>
      </c>
      <c r="H886">
        <f t="shared" si="13"/>
        <v>183002.57987695991</v>
      </c>
    </row>
    <row r="887" spans="1:8" x14ac:dyDescent="0.3">
      <c r="A887" s="7">
        <v>42727</v>
      </c>
      <c r="B887" s="6">
        <v>5532.9</v>
      </c>
      <c r="C887" s="6">
        <v>5649.8</v>
      </c>
      <c r="D887" s="6">
        <v>5530.9</v>
      </c>
      <c r="E887" s="6">
        <v>5627.9</v>
      </c>
      <c r="F887" s="8">
        <v>2704509000</v>
      </c>
      <c r="G887" s="8">
        <v>20512900000</v>
      </c>
      <c r="H887">
        <f t="shared" si="13"/>
        <v>186144.73771250932</v>
      </c>
    </row>
    <row r="888" spans="1:8" x14ac:dyDescent="0.3">
      <c r="A888" s="7">
        <v>42734</v>
      </c>
      <c r="B888" s="6">
        <v>5627.9</v>
      </c>
      <c r="C888" s="6">
        <v>5699.1</v>
      </c>
      <c r="D888" s="6">
        <v>5627.9</v>
      </c>
      <c r="E888" s="6">
        <v>5665.8</v>
      </c>
      <c r="F888" s="8">
        <v>996214500</v>
      </c>
      <c r="G888" s="8">
        <v>7206827000</v>
      </c>
      <c r="H888">
        <f t="shared" si="13"/>
        <v>187398.29331216536</v>
      </c>
    </row>
    <row r="889" spans="1:8" x14ac:dyDescent="0.3">
      <c r="A889" s="7">
        <v>42741</v>
      </c>
      <c r="B889" s="6">
        <v>5667.4</v>
      </c>
      <c r="C889" s="6">
        <v>5765.2</v>
      </c>
      <c r="D889" s="6">
        <v>5667.4</v>
      </c>
      <c r="E889" s="6">
        <v>5755.6</v>
      </c>
      <c r="F889" s="8">
        <v>1691182000</v>
      </c>
      <c r="G889" s="8">
        <v>12224610000</v>
      </c>
      <c r="H889">
        <f t="shared" si="13"/>
        <v>190368.45935040046</v>
      </c>
    </row>
    <row r="890" spans="1:8" x14ac:dyDescent="0.3">
      <c r="A890" s="7">
        <v>42748</v>
      </c>
      <c r="B890" s="6">
        <v>5755.6</v>
      </c>
      <c r="C890" s="6">
        <v>5827.5</v>
      </c>
      <c r="D890" s="6">
        <v>5710</v>
      </c>
      <c r="E890" s="6">
        <v>5721.1</v>
      </c>
      <c r="F890" s="8">
        <v>2762164000</v>
      </c>
      <c r="G890" s="8">
        <v>19863590000</v>
      </c>
      <c r="H890">
        <f t="shared" si="13"/>
        <v>189227.35992591147</v>
      </c>
    </row>
    <row r="891" spans="1:8" x14ac:dyDescent="0.3">
      <c r="A891" s="7">
        <v>42755</v>
      </c>
      <c r="B891" s="6">
        <v>5721.1</v>
      </c>
      <c r="C891" s="6">
        <v>5763.4</v>
      </c>
      <c r="D891" s="6">
        <v>5646.6</v>
      </c>
      <c r="E891" s="6">
        <v>5654.8</v>
      </c>
      <c r="F891" s="8">
        <v>2671620000</v>
      </c>
      <c r="G891" s="8">
        <v>19033840000</v>
      </c>
      <c r="H891">
        <f t="shared" si="13"/>
        <v>187034.46451015436</v>
      </c>
    </row>
    <row r="892" spans="1:8" x14ac:dyDescent="0.3">
      <c r="A892" s="7">
        <v>42762</v>
      </c>
      <c r="B892" s="6">
        <v>5654.8</v>
      </c>
      <c r="C892" s="6">
        <v>5714.2</v>
      </c>
      <c r="D892" s="6">
        <v>5604.3</v>
      </c>
      <c r="E892" s="6">
        <v>5714</v>
      </c>
      <c r="F892" s="8">
        <v>2345757000</v>
      </c>
      <c r="G892" s="8">
        <v>18754950000</v>
      </c>
      <c r="H892">
        <f t="shared" si="13"/>
        <v>188992.52497188616</v>
      </c>
    </row>
    <row r="893" spans="1:8" x14ac:dyDescent="0.3">
      <c r="A893" s="7">
        <v>42769</v>
      </c>
      <c r="B893" s="6">
        <v>5714</v>
      </c>
      <c r="C893" s="6">
        <v>5714</v>
      </c>
      <c r="D893" s="6">
        <v>5606.2</v>
      </c>
      <c r="E893" s="6">
        <v>5621.6</v>
      </c>
      <c r="F893" s="8">
        <v>2930653000</v>
      </c>
      <c r="G893" s="8">
        <v>20677290000</v>
      </c>
      <c r="H893">
        <f t="shared" si="13"/>
        <v>185936.36303499393</v>
      </c>
    </row>
    <row r="894" spans="1:8" x14ac:dyDescent="0.3">
      <c r="A894" s="7">
        <v>42776</v>
      </c>
      <c r="B894" s="6">
        <v>5621.6</v>
      </c>
      <c r="C894" s="6">
        <v>5721.4</v>
      </c>
      <c r="D894" s="6">
        <v>5582.7</v>
      </c>
      <c r="E894" s="6">
        <v>5720.6</v>
      </c>
      <c r="F894" s="8">
        <v>2924031000</v>
      </c>
      <c r="G894" s="8">
        <v>21080270000</v>
      </c>
      <c r="H894">
        <f t="shared" si="13"/>
        <v>189210.82225309275</v>
      </c>
    </row>
    <row r="895" spans="1:8" x14ac:dyDescent="0.3">
      <c r="A895" s="7">
        <v>42783</v>
      </c>
      <c r="B895" s="6">
        <v>5720.6</v>
      </c>
      <c r="C895" s="6">
        <v>5833.2</v>
      </c>
      <c r="D895" s="6">
        <v>5720.6</v>
      </c>
      <c r="E895" s="6">
        <v>5805.8</v>
      </c>
      <c r="F895" s="8">
        <v>3247702000</v>
      </c>
      <c r="G895" s="8">
        <v>24968180000</v>
      </c>
      <c r="H895">
        <f t="shared" si="13"/>
        <v>192028.84170139596</v>
      </c>
    </row>
    <row r="896" spans="1:8" x14ac:dyDescent="0.3">
      <c r="A896" s="7">
        <v>42790</v>
      </c>
      <c r="B896" s="6">
        <v>5805.8</v>
      </c>
      <c r="C896" s="6">
        <v>5810.1</v>
      </c>
      <c r="D896" s="6">
        <v>5729.9</v>
      </c>
      <c r="E896" s="6">
        <v>5739</v>
      </c>
      <c r="F896" s="8">
        <v>3617232000</v>
      </c>
      <c r="G896" s="8">
        <v>27866860000</v>
      </c>
      <c r="H896">
        <f t="shared" si="13"/>
        <v>189819.40861282017</v>
      </c>
    </row>
    <row r="897" spans="1:8" x14ac:dyDescent="0.3">
      <c r="A897" s="7">
        <v>42797</v>
      </c>
      <c r="B897" s="6">
        <v>5739</v>
      </c>
      <c r="C897" s="6">
        <v>5776.6</v>
      </c>
      <c r="D897" s="6">
        <v>5675</v>
      </c>
      <c r="E897" s="6">
        <v>5729.6</v>
      </c>
      <c r="F897" s="8">
        <v>3834069000</v>
      </c>
      <c r="G897" s="8">
        <v>26222250000</v>
      </c>
      <c r="H897">
        <f t="shared" si="13"/>
        <v>189508.50036382896</v>
      </c>
    </row>
    <row r="898" spans="1:8" x14ac:dyDescent="0.3">
      <c r="A898" s="7">
        <v>42804</v>
      </c>
      <c r="B898" s="6">
        <v>5729.6</v>
      </c>
      <c r="C898" s="6">
        <v>5781.2</v>
      </c>
      <c r="D898" s="6">
        <v>5715.5</v>
      </c>
      <c r="E898" s="6">
        <v>5775.6</v>
      </c>
      <c r="F898" s="8">
        <v>3105478000</v>
      </c>
      <c r="G898" s="8">
        <v>20538980000</v>
      </c>
      <c r="H898">
        <f t="shared" si="13"/>
        <v>191029.96626314762</v>
      </c>
    </row>
    <row r="899" spans="1:8" x14ac:dyDescent="0.3">
      <c r="A899" s="7">
        <v>42811</v>
      </c>
      <c r="B899" s="6">
        <v>5775.6</v>
      </c>
      <c r="C899" s="6">
        <v>5815</v>
      </c>
      <c r="D899" s="6">
        <v>5727.7</v>
      </c>
      <c r="E899" s="6">
        <v>5799.6</v>
      </c>
      <c r="F899" s="8">
        <v>3745836000</v>
      </c>
      <c r="G899" s="8">
        <v>26937720000</v>
      </c>
      <c r="H899">
        <f t="shared" si="13"/>
        <v>191823.77455844433</v>
      </c>
    </row>
    <row r="900" spans="1:8" x14ac:dyDescent="0.3">
      <c r="A900" s="7">
        <v>42818</v>
      </c>
      <c r="B900" s="6">
        <v>5799.6</v>
      </c>
      <c r="C900" s="6">
        <v>5799.6</v>
      </c>
      <c r="D900" s="6">
        <v>5681</v>
      </c>
      <c r="E900" s="6">
        <v>5753.5</v>
      </c>
      <c r="F900" s="8">
        <v>3148801000</v>
      </c>
      <c r="G900" s="8">
        <v>20689980000</v>
      </c>
      <c r="H900">
        <f t="shared" ref="H900:H963" si="14">H899*(E900/E899)</f>
        <v>190299.00112456194</v>
      </c>
    </row>
    <row r="901" spans="1:8" x14ac:dyDescent="0.3">
      <c r="A901" s="7">
        <v>42825</v>
      </c>
      <c r="B901" s="6">
        <v>5753.5</v>
      </c>
      <c r="C901" s="6">
        <v>5901.5</v>
      </c>
      <c r="D901" s="6">
        <v>5698.1</v>
      </c>
      <c r="E901" s="6">
        <v>5864.9</v>
      </c>
      <c r="F901" s="8">
        <v>3207492000</v>
      </c>
      <c r="G901" s="8">
        <v>23916030000</v>
      </c>
      <c r="H901">
        <f t="shared" si="14"/>
        <v>193983.59462856405</v>
      </c>
    </row>
    <row r="902" spans="1:8" x14ac:dyDescent="0.3">
      <c r="A902" s="7">
        <v>42832</v>
      </c>
      <c r="B902" s="6">
        <v>5864.9</v>
      </c>
      <c r="C902" s="6">
        <v>5888.6</v>
      </c>
      <c r="D902" s="6">
        <v>5833</v>
      </c>
      <c r="E902" s="6">
        <v>5862.5</v>
      </c>
      <c r="F902" s="8">
        <v>2810702000</v>
      </c>
      <c r="G902" s="8">
        <v>19397150000</v>
      </c>
      <c r="H902">
        <f t="shared" si="14"/>
        <v>193904.21379903439</v>
      </c>
    </row>
    <row r="903" spans="1:8" x14ac:dyDescent="0.3">
      <c r="A903" s="7">
        <v>42838</v>
      </c>
      <c r="B903" s="6">
        <v>5862.5</v>
      </c>
      <c r="C903" s="6">
        <v>5950.1</v>
      </c>
      <c r="D903" s="6">
        <v>5862.5</v>
      </c>
      <c r="E903" s="6">
        <v>5890</v>
      </c>
      <c r="F903" s="8">
        <v>2531033000</v>
      </c>
      <c r="G903" s="8">
        <v>18126450000</v>
      </c>
      <c r="H903">
        <f t="shared" si="14"/>
        <v>194813.78580406186</v>
      </c>
    </row>
    <row r="904" spans="1:8" x14ac:dyDescent="0.3">
      <c r="A904" s="7">
        <v>42846</v>
      </c>
      <c r="B904" s="6">
        <v>5889.9</v>
      </c>
      <c r="C904" s="6">
        <v>5889.9</v>
      </c>
      <c r="D904" s="6">
        <v>5790.6</v>
      </c>
      <c r="E904" s="6">
        <v>5854.1</v>
      </c>
      <c r="F904" s="8">
        <v>2747206000</v>
      </c>
      <c r="G904" s="8">
        <v>19172700000</v>
      </c>
      <c r="H904">
        <f t="shared" si="14"/>
        <v>193626.38089568057</v>
      </c>
    </row>
    <row r="905" spans="1:8" x14ac:dyDescent="0.3">
      <c r="A905" s="7">
        <v>42853</v>
      </c>
      <c r="B905" s="6">
        <v>5854.1</v>
      </c>
      <c r="C905" s="6">
        <v>5924.2</v>
      </c>
      <c r="D905" s="6">
        <v>5853.8</v>
      </c>
      <c r="E905" s="6">
        <v>5924.1</v>
      </c>
      <c r="F905" s="8">
        <v>2452967000</v>
      </c>
      <c r="G905" s="8">
        <v>19224710000</v>
      </c>
      <c r="H905">
        <f t="shared" si="14"/>
        <v>195941.65509029588</v>
      </c>
    </row>
    <row r="906" spans="1:8" x14ac:dyDescent="0.3">
      <c r="A906" s="7">
        <v>42860</v>
      </c>
      <c r="B906" s="6">
        <v>5924.1</v>
      </c>
      <c r="C906" s="6">
        <v>5956.5</v>
      </c>
      <c r="D906" s="6">
        <v>5827.2</v>
      </c>
      <c r="E906" s="6">
        <v>5836.6</v>
      </c>
      <c r="F906" s="8">
        <v>3542467000</v>
      </c>
      <c r="G906" s="8">
        <v>26468320000</v>
      </c>
      <c r="H906">
        <f t="shared" si="14"/>
        <v>193047.56234702672</v>
      </c>
    </row>
    <row r="907" spans="1:8" x14ac:dyDescent="0.3">
      <c r="A907" s="7">
        <v>42867</v>
      </c>
      <c r="B907" s="6">
        <v>5836.6</v>
      </c>
      <c r="C907" s="6">
        <v>5922.5</v>
      </c>
      <c r="D907" s="6">
        <v>5815.6</v>
      </c>
      <c r="E907" s="6">
        <v>5836.9</v>
      </c>
      <c r="F907" s="8">
        <v>3510308000</v>
      </c>
      <c r="G907" s="8">
        <v>27564320000</v>
      </c>
      <c r="H907">
        <f t="shared" si="14"/>
        <v>193057.48495071789</v>
      </c>
    </row>
    <row r="908" spans="1:8" x14ac:dyDescent="0.3">
      <c r="A908" s="7">
        <v>42874</v>
      </c>
      <c r="B908" s="6">
        <v>5836.9</v>
      </c>
      <c r="C908" s="6">
        <v>5871.6</v>
      </c>
      <c r="D908" s="6">
        <v>5697.6</v>
      </c>
      <c r="E908" s="6">
        <v>5727.4</v>
      </c>
      <c r="F908" s="8">
        <v>3264656000</v>
      </c>
      <c r="G908" s="8">
        <v>24216230000</v>
      </c>
      <c r="H908">
        <f t="shared" si="14"/>
        <v>189435.73460342674</v>
      </c>
    </row>
    <row r="909" spans="1:8" x14ac:dyDescent="0.3">
      <c r="A909" s="7">
        <v>42881</v>
      </c>
      <c r="B909" s="6">
        <v>5727.4</v>
      </c>
      <c r="C909" s="6">
        <v>5795.7</v>
      </c>
      <c r="D909" s="6">
        <v>5727.4</v>
      </c>
      <c r="E909" s="6">
        <v>5751.7</v>
      </c>
      <c r="F909" s="8">
        <v>3031933000</v>
      </c>
      <c r="G909" s="8">
        <v>23127210000</v>
      </c>
      <c r="H909">
        <f t="shared" si="14"/>
        <v>190239.46550241465</v>
      </c>
    </row>
    <row r="910" spans="1:8" x14ac:dyDescent="0.3">
      <c r="A910" s="7">
        <v>42888</v>
      </c>
      <c r="B910" s="6">
        <v>5751.2</v>
      </c>
      <c r="C910" s="6">
        <v>5793.7</v>
      </c>
      <c r="D910" s="6">
        <v>5679.8</v>
      </c>
      <c r="E910" s="6">
        <v>5788.1</v>
      </c>
      <c r="F910" s="8">
        <v>3138476000</v>
      </c>
      <c r="G910" s="8">
        <v>24694480000</v>
      </c>
      <c r="H910">
        <f t="shared" si="14"/>
        <v>191443.40808361463</v>
      </c>
    </row>
    <row r="911" spans="1:8" x14ac:dyDescent="0.3">
      <c r="A911" s="7">
        <v>42895</v>
      </c>
      <c r="B911" s="6">
        <v>5788.1</v>
      </c>
      <c r="C911" s="6">
        <v>5788.1</v>
      </c>
      <c r="D911" s="6">
        <v>5629.8</v>
      </c>
      <c r="E911" s="6">
        <v>5677.8</v>
      </c>
      <c r="F911" s="8">
        <v>3123952000</v>
      </c>
      <c r="G911" s="8">
        <v>23411640000</v>
      </c>
      <c r="H911">
        <f t="shared" si="14"/>
        <v>187795.19745981361</v>
      </c>
    </row>
    <row r="912" spans="1:8" x14ac:dyDescent="0.3">
      <c r="A912" s="7">
        <v>42902</v>
      </c>
      <c r="B912" s="6">
        <v>5677.8</v>
      </c>
      <c r="C912" s="6">
        <v>5836.4</v>
      </c>
      <c r="D912" s="6">
        <v>5677.8</v>
      </c>
      <c r="E912" s="6">
        <v>5774</v>
      </c>
      <c r="F912" s="8">
        <v>3985856000</v>
      </c>
      <c r="G912" s="8">
        <v>30291540000</v>
      </c>
      <c r="H912">
        <f t="shared" si="14"/>
        <v>190977.04571012783</v>
      </c>
    </row>
    <row r="913" spans="1:8" x14ac:dyDescent="0.3">
      <c r="A913" s="7">
        <v>42909</v>
      </c>
      <c r="B913" s="6">
        <v>5774</v>
      </c>
      <c r="C913" s="6">
        <v>5809.3</v>
      </c>
      <c r="D913" s="6">
        <v>5665.3</v>
      </c>
      <c r="E913" s="6">
        <v>5715.9</v>
      </c>
      <c r="F913" s="8">
        <v>3036077000</v>
      </c>
      <c r="G913" s="8">
        <v>22779970000</v>
      </c>
      <c r="H913">
        <f t="shared" si="14"/>
        <v>189055.3681285971</v>
      </c>
    </row>
    <row r="914" spans="1:8" x14ac:dyDescent="0.3">
      <c r="A914" s="7">
        <v>42916</v>
      </c>
      <c r="B914" s="6">
        <v>5715.9</v>
      </c>
      <c r="C914" s="6">
        <v>5819.7</v>
      </c>
      <c r="D914" s="6">
        <v>5685.2</v>
      </c>
      <c r="E914" s="6">
        <v>5721.5</v>
      </c>
      <c r="F914" s="8">
        <v>3356918000</v>
      </c>
      <c r="G914" s="8">
        <v>25778130000</v>
      </c>
      <c r="H914">
        <f t="shared" si="14"/>
        <v>189240.59006416632</v>
      </c>
    </row>
    <row r="915" spans="1:8" x14ac:dyDescent="0.3">
      <c r="A915" s="7">
        <v>42923</v>
      </c>
      <c r="B915" s="6">
        <v>5721.5</v>
      </c>
      <c r="C915" s="6">
        <v>5792</v>
      </c>
      <c r="D915" s="6">
        <v>5676</v>
      </c>
      <c r="E915" s="6">
        <v>5703.6</v>
      </c>
      <c r="F915" s="8">
        <v>2882244000</v>
      </c>
      <c r="G915" s="8">
        <v>21589130000</v>
      </c>
      <c r="H915">
        <f t="shared" si="14"/>
        <v>188648.54137725756</v>
      </c>
    </row>
    <row r="916" spans="1:8" x14ac:dyDescent="0.3">
      <c r="A916" s="7">
        <v>42930</v>
      </c>
      <c r="B916" s="6">
        <v>5703.6</v>
      </c>
      <c r="C916" s="6">
        <v>5778.8</v>
      </c>
      <c r="D916" s="6">
        <v>5665.6</v>
      </c>
      <c r="E916" s="6">
        <v>5765.1</v>
      </c>
      <c r="F916" s="8">
        <v>2771025000</v>
      </c>
      <c r="G916" s="8">
        <v>20985480000</v>
      </c>
      <c r="H916">
        <f t="shared" si="14"/>
        <v>190682.67513395532</v>
      </c>
    </row>
    <row r="917" spans="1:8" x14ac:dyDescent="0.3">
      <c r="A917" s="7">
        <v>42937</v>
      </c>
      <c r="B917" s="6">
        <v>5765.1</v>
      </c>
      <c r="C917" s="6">
        <v>5773.7</v>
      </c>
      <c r="D917" s="6">
        <v>5678.7</v>
      </c>
      <c r="E917" s="6">
        <v>5722.8</v>
      </c>
      <c r="F917" s="8">
        <v>2799117000</v>
      </c>
      <c r="G917" s="8">
        <v>21466670000</v>
      </c>
      <c r="H917">
        <f t="shared" si="14"/>
        <v>189283.58801349491</v>
      </c>
    </row>
    <row r="918" spans="1:8" x14ac:dyDescent="0.3">
      <c r="A918" s="7">
        <v>42944</v>
      </c>
      <c r="B918" s="6">
        <v>5722.8</v>
      </c>
      <c r="C918" s="6">
        <v>5799.6</v>
      </c>
      <c r="D918" s="6">
        <v>5653.3</v>
      </c>
      <c r="E918" s="6">
        <v>5702.8</v>
      </c>
      <c r="F918" s="8">
        <v>2791129000</v>
      </c>
      <c r="G918" s="8">
        <v>20642260000</v>
      </c>
      <c r="H918">
        <f t="shared" si="14"/>
        <v>188622.08110074769</v>
      </c>
    </row>
    <row r="919" spans="1:8" x14ac:dyDescent="0.3">
      <c r="A919" s="7">
        <v>42951</v>
      </c>
      <c r="B919" s="6">
        <v>5702.8</v>
      </c>
      <c r="C919" s="6">
        <v>5779.6</v>
      </c>
      <c r="D919" s="6">
        <v>5701.8</v>
      </c>
      <c r="E919" s="6">
        <v>5720.6</v>
      </c>
      <c r="F919" s="8">
        <v>2855582000</v>
      </c>
      <c r="G919" s="8">
        <v>21164450000</v>
      </c>
      <c r="H919">
        <f t="shared" si="14"/>
        <v>189210.82225309275</v>
      </c>
    </row>
    <row r="920" spans="1:8" x14ac:dyDescent="0.3">
      <c r="A920" s="7">
        <v>42958</v>
      </c>
      <c r="B920" s="6">
        <v>5720.6</v>
      </c>
      <c r="C920" s="6">
        <v>5795.5</v>
      </c>
      <c r="D920" s="6">
        <v>5674</v>
      </c>
      <c r="E920" s="6">
        <v>5693.1</v>
      </c>
      <c r="F920" s="8">
        <v>2553893000</v>
      </c>
      <c r="G920" s="8">
        <v>19684930000</v>
      </c>
      <c r="H920">
        <f t="shared" si="14"/>
        <v>188301.25024806528</v>
      </c>
    </row>
    <row r="921" spans="1:8" x14ac:dyDescent="0.3">
      <c r="A921" s="7">
        <v>42965</v>
      </c>
      <c r="B921" s="6">
        <v>5693.1</v>
      </c>
      <c r="C921" s="6">
        <v>5806.3</v>
      </c>
      <c r="D921" s="6">
        <v>5693.1</v>
      </c>
      <c r="E921" s="6">
        <v>5747.1</v>
      </c>
      <c r="F921" s="8">
        <v>2922916000</v>
      </c>
      <c r="G921" s="8">
        <v>22850730000</v>
      </c>
      <c r="H921">
        <f t="shared" si="14"/>
        <v>190087.31891248279</v>
      </c>
    </row>
    <row r="922" spans="1:8" x14ac:dyDescent="0.3">
      <c r="A922" s="7">
        <v>42972</v>
      </c>
      <c r="B922" s="6">
        <v>5747.1</v>
      </c>
      <c r="C922" s="6">
        <v>5781.4</v>
      </c>
      <c r="D922" s="6">
        <v>5699</v>
      </c>
      <c r="E922" s="6">
        <v>5743.9</v>
      </c>
      <c r="F922" s="8">
        <v>3447908000</v>
      </c>
      <c r="G922" s="8">
        <v>25258050000</v>
      </c>
      <c r="H922">
        <f t="shared" si="14"/>
        <v>189981.4778064432</v>
      </c>
    </row>
    <row r="923" spans="1:8" x14ac:dyDescent="0.3">
      <c r="A923" s="7">
        <v>42979</v>
      </c>
      <c r="B923" s="6">
        <v>5743.9</v>
      </c>
      <c r="C923" s="6">
        <v>5746.3</v>
      </c>
      <c r="D923" s="6">
        <v>5645.8</v>
      </c>
      <c r="E923" s="6">
        <v>5724.6</v>
      </c>
      <c r="F923" s="8">
        <v>3247003000</v>
      </c>
      <c r="G923" s="8">
        <v>23274110000</v>
      </c>
      <c r="H923">
        <f t="shared" si="14"/>
        <v>189343.12363564214</v>
      </c>
    </row>
    <row r="924" spans="1:8" x14ac:dyDescent="0.3">
      <c r="A924" s="7">
        <v>42986</v>
      </c>
      <c r="B924" s="6">
        <v>5724.6</v>
      </c>
      <c r="C924" s="6">
        <v>5724.6</v>
      </c>
      <c r="D924" s="6">
        <v>5661.4</v>
      </c>
      <c r="E924" s="6">
        <v>5672.6</v>
      </c>
      <c r="F924" s="8">
        <v>2532235000</v>
      </c>
      <c r="G924" s="8">
        <v>19065860000</v>
      </c>
      <c r="H924">
        <f t="shared" si="14"/>
        <v>187623.20566249933</v>
      </c>
    </row>
    <row r="925" spans="1:8" x14ac:dyDescent="0.3">
      <c r="A925" s="7">
        <v>42993</v>
      </c>
      <c r="B925" s="6">
        <v>5672.8</v>
      </c>
      <c r="C925" s="6">
        <v>5777.7</v>
      </c>
      <c r="D925" s="6">
        <v>5669.8</v>
      </c>
      <c r="E925" s="6">
        <v>5695</v>
      </c>
      <c r="F925" s="8">
        <v>2771038000</v>
      </c>
      <c r="G925" s="8">
        <v>20892580000</v>
      </c>
      <c r="H925">
        <f t="shared" si="14"/>
        <v>188364.09340477624</v>
      </c>
    </row>
    <row r="926" spans="1:8" x14ac:dyDescent="0.3">
      <c r="A926" s="7">
        <v>43000</v>
      </c>
      <c r="B926" s="6">
        <v>5695</v>
      </c>
      <c r="C926" s="6">
        <v>5742.2</v>
      </c>
      <c r="D926" s="6">
        <v>5639.4</v>
      </c>
      <c r="E926" s="6">
        <v>5682.1</v>
      </c>
      <c r="F926" s="8">
        <v>2633790000</v>
      </c>
      <c r="G926" s="8">
        <v>19902060000</v>
      </c>
      <c r="H926">
        <f t="shared" si="14"/>
        <v>187937.4214460543</v>
      </c>
    </row>
    <row r="927" spans="1:8" x14ac:dyDescent="0.3">
      <c r="A927" s="7">
        <v>43007</v>
      </c>
      <c r="B927" s="6">
        <v>5682.1</v>
      </c>
      <c r="C927" s="6">
        <v>5710.4</v>
      </c>
      <c r="D927" s="6">
        <v>5649.1</v>
      </c>
      <c r="E927" s="6">
        <v>5681.6</v>
      </c>
      <c r="F927" s="8">
        <v>2589911000</v>
      </c>
      <c r="G927" s="8">
        <v>20858500000</v>
      </c>
      <c r="H927">
        <f t="shared" si="14"/>
        <v>187920.8837732356</v>
      </c>
    </row>
    <row r="928" spans="1:8" x14ac:dyDescent="0.3">
      <c r="A928" s="7">
        <v>43014</v>
      </c>
      <c r="B928" s="6">
        <v>5681.6</v>
      </c>
      <c r="C928" s="6">
        <v>5751</v>
      </c>
      <c r="D928" s="6">
        <v>5650.9</v>
      </c>
      <c r="E928" s="6">
        <v>5710.7</v>
      </c>
      <c r="F928" s="8">
        <v>2289661000</v>
      </c>
      <c r="G928" s="8">
        <v>16596690000</v>
      </c>
      <c r="H928">
        <f t="shared" si="14"/>
        <v>188883.37633128281</v>
      </c>
    </row>
    <row r="929" spans="1:8" x14ac:dyDescent="0.3">
      <c r="A929" s="7">
        <v>43021</v>
      </c>
      <c r="B929" s="6">
        <v>5710.8</v>
      </c>
      <c r="C929" s="6">
        <v>5825.2</v>
      </c>
      <c r="D929" s="6">
        <v>5710.8</v>
      </c>
      <c r="E929" s="6">
        <v>5814.2</v>
      </c>
      <c r="F929" s="8">
        <v>2323485000</v>
      </c>
      <c r="G929" s="8">
        <v>17493850000</v>
      </c>
      <c r="H929">
        <f t="shared" si="14"/>
        <v>192306.6746047498</v>
      </c>
    </row>
    <row r="930" spans="1:8" x14ac:dyDescent="0.3">
      <c r="A930" s="7">
        <v>43028</v>
      </c>
      <c r="B930" s="6">
        <v>5814.2</v>
      </c>
      <c r="C930" s="6">
        <v>5924.9</v>
      </c>
      <c r="D930" s="6">
        <v>5814.2</v>
      </c>
      <c r="E930" s="6">
        <v>5907</v>
      </c>
      <c r="F930" s="8">
        <v>2625644000</v>
      </c>
      <c r="G930" s="8">
        <v>20044340000</v>
      </c>
      <c r="H930">
        <f t="shared" si="14"/>
        <v>195376.06667989696</v>
      </c>
    </row>
    <row r="931" spans="1:8" x14ac:dyDescent="0.3">
      <c r="A931" s="7">
        <v>43035</v>
      </c>
      <c r="B931" s="6">
        <v>5907</v>
      </c>
      <c r="C931" s="6">
        <v>5938.1</v>
      </c>
      <c r="D931" s="6">
        <v>5859.2</v>
      </c>
      <c r="E931" s="6">
        <v>5903.2</v>
      </c>
      <c r="F931" s="8">
        <v>2662808000</v>
      </c>
      <c r="G931" s="8">
        <v>20567970000</v>
      </c>
      <c r="H931">
        <f t="shared" si="14"/>
        <v>195250.38036647497</v>
      </c>
    </row>
    <row r="932" spans="1:8" x14ac:dyDescent="0.3">
      <c r="A932" s="7">
        <v>43042</v>
      </c>
      <c r="B932" s="6">
        <v>5903.6</v>
      </c>
      <c r="C932" s="6">
        <v>5968.2</v>
      </c>
      <c r="D932" s="6">
        <v>5903.6</v>
      </c>
      <c r="E932" s="6">
        <v>5959.9</v>
      </c>
      <c r="F932" s="8">
        <v>2618860000</v>
      </c>
      <c r="G932" s="8">
        <v>20583660000</v>
      </c>
      <c r="H932">
        <f t="shared" si="14"/>
        <v>197125.75246411341</v>
      </c>
    </row>
    <row r="933" spans="1:8" x14ac:dyDescent="0.3">
      <c r="A933" s="7">
        <v>43049</v>
      </c>
      <c r="B933" s="6">
        <v>5959.9</v>
      </c>
      <c r="C933" s="6">
        <v>6052.1</v>
      </c>
      <c r="D933" s="6">
        <v>5945.7</v>
      </c>
      <c r="E933" s="6">
        <v>6029.4</v>
      </c>
      <c r="F933" s="8">
        <v>2438894000</v>
      </c>
      <c r="G933" s="8">
        <v>20760670000</v>
      </c>
      <c r="H933">
        <f t="shared" si="14"/>
        <v>199424.48898591008</v>
      </c>
    </row>
    <row r="934" spans="1:8" x14ac:dyDescent="0.3">
      <c r="A934" s="7">
        <v>43056</v>
      </c>
      <c r="B934" s="6">
        <v>6029.4</v>
      </c>
      <c r="C934" s="6">
        <v>6029.4</v>
      </c>
      <c r="D934" s="6">
        <v>5916.1</v>
      </c>
      <c r="E934" s="6">
        <v>5957.3</v>
      </c>
      <c r="F934" s="8">
        <v>2703910000</v>
      </c>
      <c r="G934" s="8">
        <v>23422550000</v>
      </c>
      <c r="H934">
        <f t="shared" si="14"/>
        <v>197039.75656545631</v>
      </c>
    </row>
    <row r="935" spans="1:8" x14ac:dyDescent="0.3">
      <c r="A935" s="7">
        <v>43063</v>
      </c>
      <c r="B935" s="6">
        <v>5957.3</v>
      </c>
      <c r="C935" s="6">
        <v>5998.1</v>
      </c>
      <c r="D935" s="6">
        <v>5922.6</v>
      </c>
      <c r="E935" s="6">
        <v>5982.6</v>
      </c>
      <c r="F935" s="8">
        <v>2428465000</v>
      </c>
      <c r="G935" s="8">
        <v>21157480000</v>
      </c>
      <c r="H935">
        <f t="shared" si="14"/>
        <v>197876.56281008158</v>
      </c>
    </row>
    <row r="936" spans="1:8" x14ac:dyDescent="0.3">
      <c r="A936" s="7">
        <v>43070</v>
      </c>
      <c r="B936" s="6">
        <v>5982.6</v>
      </c>
      <c r="C936" s="6">
        <v>6031.4</v>
      </c>
      <c r="D936" s="6">
        <v>5949.2</v>
      </c>
      <c r="E936" s="6">
        <v>5989.8</v>
      </c>
      <c r="F936" s="8">
        <v>3028120000</v>
      </c>
      <c r="G936" s="8">
        <v>25275720000</v>
      </c>
      <c r="H936">
        <f t="shared" si="14"/>
        <v>198114.70529867057</v>
      </c>
    </row>
    <row r="937" spans="1:8" x14ac:dyDescent="0.3">
      <c r="A937" s="7">
        <v>43077</v>
      </c>
      <c r="B937" s="6">
        <v>5989.8</v>
      </c>
      <c r="C937" s="6">
        <v>6012</v>
      </c>
      <c r="D937" s="6">
        <v>5938.7</v>
      </c>
      <c r="E937" s="6">
        <v>5994.4</v>
      </c>
      <c r="F937" s="8">
        <v>2747216000</v>
      </c>
      <c r="G937" s="8">
        <v>21635440000</v>
      </c>
      <c r="H937">
        <f t="shared" si="14"/>
        <v>198266.8518886024</v>
      </c>
    </row>
    <row r="938" spans="1:8" x14ac:dyDescent="0.3">
      <c r="A938" s="7">
        <v>43084</v>
      </c>
      <c r="B938" s="6">
        <v>5994.4</v>
      </c>
      <c r="C938" s="6">
        <v>6043.4</v>
      </c>
      <c r="D938" s="6">
        <v>5989.8</v>
      </c>
      <c r="E938" s="6">
        <v>5997</v>
      </c>
      <c r="F938" s="8">
        <v>3345833000</v>
      </c>
      <c r="G938" s="8">
        <v>24857330000</v>
      </c>
      <c r="H938">
        <f t="shared" si="14"/>
        <v>198352.84778725952</v>
      </c>
    </row>
    <row r="939" spans="1:8" x14ac:dyDescent="0.3">
      <c r="A939" s="7">
        <v>43091</v>
      </c>
      <c r="B939" s="6">
        <v>5997</v>
      </c>
      <c r="C939" s="6">
        <v>6087.2</v>
      </c>
      <c r="D939" s="6">
        <v>5997</v>
      </c>
      <c r="E939" s="6">
        <v>6069.7</v>
      </c>
      <c r="F939" s="8">
        <v>3077338000</v>
      </c>
      <c r="G939" s="8">
        <v>25497750000</v>
      </c>
      <c r="H939">
        <f t="shared" si="14"/>
        <v>200757.42541509573</v>
      </c>
    </row>
    <row r="940" spans="1:8" x14ac:dyDescent="0.3">
      <c r="A940" s="7">
        <v>43098</v>
      </c>
      <c r="B940" s="6">
        <v>6069.7</v>
      </c>
      <c r="C940" s="6">
        <v>6092.8</v>
      </c>
      <c r="D940" s="6">
        <v>6051.6</v>
      </c>
      <c r="E940" s="6">
        <v>6065.1</v>
      </c>
      <c r="F940" s="8">
        <v>847752400</v>
      </c>
      <c r="G940" s="8">
        <v>6613778000</v>
      </c>
      <c r="H940">
        <f t="shared" si="14"/>
        <v>200605.2788251639</v>
      </c>
    </row>
    <row r="941" spans="1:8" x14ac:dyDescent="0.3">
      <c r="A941" s="7">
        <v>43105</v>
      </c>
      <c r="B941" s="6">
        <v>6065.1</v>
      </c>
      <c r="C941" s="6">
        <v>6124.8</v>
      </c>
      <c r="D941" s="6">
        <v>6035.8</v>
      </c>
      <c r="E941" s="6">
        <v>6122.3</v>
      </c>
      <c r="F941" s="8">
        <v>1401107000</v>
      </c>
      <c r="G941" s="8">
        <v>11050380000</v>
      </c>
      <c r="H941">
        <f t="shared" si="14"/>
        <v>202497.188595621</v>
      </c>
    </row>
    <row r="942" spans="1:8" x14ac:dyDescent="0.3">
      <c r="A942" s="7">
        <v>43112</v>
      </c>
      <c r="B942" s="6">
        <v>6122.3</v>
      </c>
      <c r="C942" s="6">
        <v>6150</v>
      </c>
      <c r="D942" s="6">
        <v>6053.9</v>
      </c>
      <c r="E942" s="6">
        <v>6070.1</v>
      </c>
      <c r="F942" s="8">
        <v>2318966000</v>
      </c>
      <c r="G942" s="8">
        <v>18442470000</v>
      </c>
      <c r="H942">
        <f t="shared" si="14"/>
        <v>200770.65555335069</v>
      </c>
    </row>
    <row r="943" spans="1:8" x14ac:dyDescent="0.3">
      <c r="A943" s="7">
        <v>43119</v>
      </c>
      <c r="B943" s="6">
        <v>6070.1</v>
      </c>
      <c r="C943" s="6">
        <v>6103.6</v>
      </c>
      <c r="D943" s="6">
        <v>6002.2</v>
      </c>
      <c r="E943" s="6">
        <v>6005.8</v>
      </c>
      <c r="F943" s="8">
        <v>2454795000</v>
      </c>
      <c r="G943" s="8">
        <v>18387000000</v>
      </c>
      <c r="H943">
        <f t="shared" si="14"/>
        <v>198643.91082886831</v>
      </c>
    </row>
    <row r="944" spans="1:8" x14ac:dyDescent="0.3">
      <c r="A944" s="7">
        <v>43125</v>
      </c>
      <c r="B944" s="6">
        <v>6005.8</v>
      </c>
      <c r="C944" s="6">
        <v>6066.3</v>
      </c>
      <c r="D944" s="6">
        <v>5991.9</v>
      </c>
      <c r="E944" s="6">
        <v>6050</v>
      </c>
      <c r="F944" s="8">
        <v>1957722000</v>
      </c>
      <c r="G944" s="8">
        <v>16041480000</v>
      </c>
      <c r="H944">
        <f t="shared" si="14"/>
        <v>200105.8411060397</v>
      </c>
    </row>
    <row r="945" spans="1:8" x14ac:dyDescent="0.3">
      <c r="A945" s="7">
        <v>43133</v>
      </c>
      <c r="B945" s="6">
        <v>6050</v>
      </c>
      <c r="C945" s="6">
        <v>6121.4</v>
      </c>
      <c r="D945" s="6">
        <v>5993.6</v>
      </c>
      <c r="E945" s="6">
        <v>6121.4</v>
      </c>
      <c r="F945" s="8">
        <v>2818948000</v>
      </c>
      <c r="G945" s="8">
        <v>22530210000</v>
      </c>
      <c r="H945">
        <f t="shared" si="14"/>
        <v>202467.42078454734</v>
      </c>
    </row>
    <row r="946" spans="1:8" x14ac:dyDescent="0.3">
      <c r="A946" s="7">
        <v>43140</v>
      </c>
      <c r="B946" s="6">
        <v>6121.4</v>
      </c>
      <c r="C946" s="6">
        <v>6121.4</v>
      </c>
      <c r="D946" s="6">
        <v>5786.8</v>
      </c>
      <c r="E946" s="6">
        <v>5838</v>
      </c>
      <c r="F946" s="8">
        <v>3558862000</v>
      </c>
      <c r="G946" s="8">
        <v>28971580000</v>
      </c>
      <c r="H946">
        <f t="shared" si="14"/>
        <v>193093.86783091899</v>
      </c>
    </row>
    <row r="947" spans="1:8" x14ac:dyDescent="0.3">
      <c r="A947" s="7">
        <v>43147</v>
      </c>
      <c r="B947" s="6">
        <v>5838</v>
      </c>
      <c r="C947" s="6">
        <v>5938.1</v>
      </c>
      <c r="D947" s="6">
        <v>5791.3</v>
      </c>
      <c r="E947" s="6">
        <v>5904</v>
      </c>
      <c r="F947" s="8">
        <v>2988575000</v>
      </c>
      <c r="G947" s="8">
        <v>22915190000</v>
      </c>
      <c r="H947">
        <f t="shared" si="14"/>
        <v>195276.84064298487</v>
      </c>
    </row>
    <row r="948" spans="1:8" x14ac:dyDescent="0.3">
      <c r="A948" s="7">
        <v>43154</v>
      </c>
      <c r="B948" s="6">
        <v>5904.4</v>
      </c>
      <c r="C948" s="6">
        <v>6003.4</v>
      </c>
      <c r="D948" s="6">
        <v>5890.2</v>
      </c>
      <c r="E948" s="6">
        <v>5999.8</v>
      </c>
      <c r="F948" s="8">
        <v>3199269000</v>
      </c>
      <c r="G948" s="8">
        <v>25757920000</v>
      </c>
      <c r="H948">
        <f t="shared" si="14"/>
        <v>198445.45875504415</v>
      </c>
    </row>
    <row r="949" spans="1:8" x14ac:dyDescent="0.3">
      <c r="A949" s="7">
        <v>43161</v>
      </c>
      <c r="B949" s="6">
        <v>5999.8</v>
      </c>
      <c r="C949" s="6">
        <v>6083</v>
      </c>
      <c r="D949" s="6">
        <v>5902.2</v>
      </c>
      <c r="E949" s="6">
        <v>5928.9</v>
      </c>
      <c r="F949" s="8">
        <v>3316271000</v>
      </c>
      <c r="G949" s="8">
        <v>26715230000</v>
      </c>
      <c r="H949">
        <f t="shared" si="14"/>
        <v>196100.41674935518</v>
      </c>
    </row>
    <row r="950" spans="1:8" x14ac:dyDescent="0.3">
      <c r="A950" s="7">
        <v>43168</v>
      </c>
      <c r="B950" s="6">
        <v>5928.9</v>
      </c>
      <c r="C950" s="6">
        <v>5979.5</v>
      </c>
      <c r="D950" s="6">
        <v>5886.5</v>
      </c>
      <c r="E950" s="6">
        <v>5963.2</v>
      </c>
      <c r="F950" s="8">
        <v>2802410000</v>
      </c>
      <c r="G950" s="8">
        <v>21874230000</v>
      </c>
      <c r="H950">
        <f t="shared" si="14"/>
        <v>197234.9011047167</v>
      </c>
    </row>
    <row r="951" spans="1:8" x14ac:dyDescent="0.3">
      <c r="A951" s="7">
        <v>43175</v>
      </c>
      <c r="B951" s="6">
        <v>5971.3</v>
      </c>
      <c r="C951" s="6">
        <v>6026.1</v>
      </c>
      <c r="D951" s="6">
        <v>5906.1</v>
      </c>
      <c r="E951" s="6">
        <v>5949.4</v>
      </c>
      <c r="F951" s="8">
        <v>3333648000</v>
      </c>
      <c r="G951" s="8">
        <v>26002790000</v>
      </c>
      <c r="H951">
        <f t="shared" si="14"/>
        <v>196778.4613349211</v>
      </c>
    </row>
    <row r="952" spans="1:8" x14ac:dyDescent="0.3">
      <c r="A952" s="7">
        <v>43182</v>
      </c>
      <c r="B952" s="6">
        <v>5949.4</v>
      </c>
      <c r="C952" s="6">
        <v>5982.5</v>
      </c>
      <c r="D952" s="6">
        <v>5808.1</v>
      </c>
      <c r="E952" s="6">
        <v>5820.7</v>
      </c>
      <c r="F952" s="8">
        <v>2742764000</v>
      </c>
      <c r="G952" s="8">
        <v>21074370000</v>
      </c>
      <c r="H952">
        <f t="shared" si="14"/>
        <v>192521.66435139262</v>
      </c>
    </row>
    <row r="953" spans="1:8" x14ac:dyDescent="0.3">
      <c r="A953" s="7">
        <v>43188</v>
      </c>
      <c r="B953" s="6">
        <v>5820.7</v>
      </c>
      <c r="C953" s="6">
        <v>5837.5</v>
      </c>
      <c r="D953" s="6">
        <v>5752.7</v>
      </c>
      <c r="E953" s="6">
        <v>5759.4</v>
      </c>
      <c r="F953" s="8">
        <v>2336686000</v>
      </c>
      <c r="G953" s="8">
        <v>19863050000</v>
      </c>
      <c r="H953">
        <f t="shared" si="14"/>
        <v>190494.14566382233</v>
      </c>
    </row>
    <row r="954" spans="1:8" x14ac:dyDescent="0.3">
      <c r="A954" s="7">
        <v>43196</v>
      </c>
      <c r="B954" s="6">
        <v>5759.4</v>
      </c>
      <c r="C954" s="6">
        <v>5806</v>
      </c>
      <c r="D954" s="6">
        <v>5724.8</v>
      </c>
      <c r="E954" s="6">
        <v>5788.7</v>
      </c>
      <c r="F954" s="8">
        <v>2006425000</v>
      </c>
      <c r="G954" s="8">
        <v>16233210000</v>
      </c>
      <c r="H954">
        <f t="shared" si="14"/>
        <v>191463.25329099706</v>
      </c>
    </row>
    <row r="955" spans="1:8" x14ac:dyDescent="0.3">
      <c r="A955" s="7">
        <v>43203</v>
      </c>
      <c r="B955" s="6">
        <v>5788.7</v>
      </c>
      <c r="C955" s="6">
        <v>5864</v>
      </c>
      <c r="D955" s="6">
        <v>5771.1</v>
      </c>
      <c r="E955" s="6">
        <v>5829.1</v>
      </c>
      <c r="F955" s="8">
        <v>2378918000</v>
      </c>
      <c r="G955" s="8">
        <v>18230470000</v>
      </c>
      <c r="H955">
        <f t="shared" si="14"/>
        <v>192799.4972547465</v>
      </c>
    </row>
    <row r="956" spans="1:8" x14ac:dyDescent="0.3">
      <c r="A956" s="7">
        <v>43210</v>
      </c>
      <c r="B956" s="6">
        <v>5829.1</v>
      </c>
      <c r="C956" s="6">
        <v>5902.9</v>
      </c>
      <c r="D956" s="6">
        <v>5829.1</v>
      </c>
      <c r="E956" s="6">
        <v>5868.8</v>
      </c>
      <c r="F956" s="8">
        <v>2492938000</v>
      </c>
      <c r="G956" s="8">
        <v>18736470000</v>
      </c>
      <c r="H956">
        <f t="shared" si="14"/>
        <v>194112.58847654978</v>
      </c>
    </row>
    <row r="957" spans="1:8" x14ac:dyDescent="0.3">
      <c r="A957" s="7">
        <v>43217</v>
      </c>
      <c r="B957" s="6">
        <v>5868.8</v>
      </c>
      <c r="C957" s="6">
        <v>5953.6</v>
      </c>
      <c r="D957" s="6">
        <v>5868.8</v>
      </c>
      <c r="E957" s="6">
        <v>5953.6</v>
      </c>
      <c r="F957" s="8">
        <v>2499638000</v>
      </c>
      <c r="G957" s="8">
        <v>20763680000</v>
      </c>
      <c r="H957">
        <f t="shared" si="14"/>
        <v>196917.37778659805</v>
      </c>
    </row>
    <row r="958" spans="1:8" x14ac:dyDescent="0.3">
      <c r="A958" s="7">
        <v>43224</v>
      </c>
      <c r="B958" s="6">
        <v>5953.6</v>
      </c>
      <c r="C958" s="6">
        <v>6109.7</v>
      </c>
      <c r="D958" s="6">
        <v>5945.6</v>
      </c>
      <c r="E958" s="6">
        <v>6062.9</v>
      </c>
      <c r="F958" s="8">
        <v>3116735000</v>
      </c>
      <c r="G958" s="8">
        <v>24670210000</v>
      </c>
      <c r="H958">
        <f t="shared" si="14"/>
        <v>200532.5130647617</v>
      </c>
    </row>
    <row r="959" spans="1:8" x14ac:dyDescent="0.3">
      <c r="A959" s="7">
        <v>43231</v>
      </c>
      <c r="B959" s="6">
        <v>6063.2</v>
      </c>
      <c r="C959" s="6">
        <v>6145.2</v>
      </c>
      <c r="D959" s="6">
        <v>6063.2</v>
      </c>
      <c r="E959" s="6">
        <v>6116.2</v>
      </c>
      <c r="F959" s="8">
        <v>2634829000</v>
      </c>
      <c r="G959" s="8">
        <v>23143450000</v>
      </c>
      <c r="H959">
        <f t="shared" si="14"/>
        <v>202295.42898723308</v>
      </c>
    </row>
    <row r="960" spans="1:8" x14ac:dyDescent="0.3">
      <c r="A960" s="7">
        <v>43238</v>
      </c>
      <c r="B960" s="6">
        <v>6116.2</v>
      </c>
      <c r="C960" s="6">
        <v>6146.8</v>
      </c>
      <c r="D960" s="6">
        <v>6077.6</v>
      </c>
      <c r="E960" s="6">
        <v>6087.4</v>
      </c>
      <c r="F960" s="8">
        <v>2966533000</v>
      </c>
      <c r="G960" s="8">
        <v>25259290000</v>
      </c>
      <c r="H960">
        <f t="shared" si="14"/>
        <v>201342.85903287705</v>
      </c>
    </row>
    <row r="961" spans="1:8" x14ac:dyDescent="0.3">
      <c r="A961" s="7">
        <v>43245</v>
      </c>
      <c r="B961" s="6">
        <v>6087.4</v>
      </c>
      <c r="C961" s="6">
        <v>6094.9</v>
      </c>
      <c r="D961" s="6">
        <v>6011.9</v>
      </c>
      <c r="E961" s="6">
        <v>6032.8</v>
      </c>
      <c r="F961" s="8">
        <v>2608796000</v>
      </c>
      <c r="G961" s="8">
        <v>22210670000</v>
      </c>
      <c r="H961">
        <f t="shared" si="14"/>
        <v>199536.94516107711</v>
      </c>
    </row>
    <row r="962" spans="1:8" x14ac:dyDescent="0.3">
      <c r="A962" s="7">
        <v>43252</v>
      </c>
      <c r="B962" s="6">
        <v>6032.8</v>
      </c>
      <c r="C962" s="6">
        <v>6032.8</v>
      </c>
      <c r="D962" s="6">
        <v>5964.1</v>
      </c>
      <c r="E962" s="6">
        <v>5990.4</v>
      </c>
      <c r="F962" s="8">
        <v>3117594000</v>
      </c>
      <c r="G962" s="8">
        <v>25731030000</v>
      </c>
      <c r="H962">
        <f t="shared" si="14"/>
        <v>198134.55050605294</v>
      </c>
    </row>
    <row r="963" spans="1:8" x14ac:dyDescent="0.3">
      <c r="A963" s="7">
        <v>43259</v>
      </c>
      <c r="B963" s="6">
        <v>5990.4</v>
      </c>
      <c r="C963" s="6">
        <v>6070.7</v>
      </c>
      <c r="D963" s="6">
        <v>5982.2</v>
      </c>
      <c r="E963" s="6">
        <v>6045.2</v>
      </c>
      <c r="F963" s="8">
        <v>2707246000</v>
      </c>
      <c r="G963" s="8">
        <v>21174560000</v>
      </c>
      <c r="H963">
        <f t="shared" si="14"/>
        <v>199947.07944698038</v>
      </c>
    </row>
    <row r="964" spans="1:8" x14ac:dyDescent="0.3">
      <c r="A964" s="7">
        <v>43266</v>
      </c>
      <c r="B964" s="6">
        <v>6045.2</v>
      </c>
      <c r="C964" s="6">
        <v>6100.1</v>
      </c>
      <c r="D964" s="6">
        <v>6007.5</v>
      </c>
      <c r="E964" s="6">
        <v>6094</v>
      </c>
      <c r="F964" s="8">
        <v>2866714000</v>
      </c>
      <c r="G964" s="8">
        <v>23243040000</v>
      </c>
      <c r="H964">
        <f t="shared" ref="H964:H1027" si="15">H963*(E964/E963)</f>
        <v>201561.15631408364</v>
      </c>
    </row>
    <row r="965" spans="1:8" x14ac:dyDescent="0.3">
      <c r="A965" s="7">
        <v>43273</v>
      </c>
      <c r="B965" s="6">
        <v>6094</v>
      </c>
      <c r="C965" s="6">
        <v>6249.3</v>
      </c>
      <c r="D965" s="6">
        <v>6085.2</v>
      </c>
      <c r="E965" s="6">
        <v>6225.2</v>
      </c>
      <c r="F965" s="8">
        <v>3201329000</v>
      </c>
      <c r="G965" s="8">
        <v>27927380000</v>
      </c>
      <c r="H965">
        <f t="shared" si="15"/>
        <v>205900.64166170554</v>
      </c>
    </row>
    <row r="966" spans="1:8" x14ac:dyDescent="0.3">
      <c r="A966" s="7">
        <v>43280</v>
      </c>
      <c r="B966" s="6">
        <v>6225.7</v>
      </c>
      <c r="C966" s="6">
        <v>6250.8</v>
      </c>
      <c r="D966" s="6">
        <v>6161.1</v>
      </c>
      <c r="E966" s="6">
        <v>6194.6</v>
      </c>
      <c r="F966" s="8">
        <v>3027047000</v>
      </c>
      <c r="G966" s="8">
        <v>26408400000</v>
      </c>
      <c r="H966">
        <f t="shared" si="15"/>
        <v>204888.53608520227</v>
      </c>
    </row>
    <row r="967" spans="1:8" x14ac:dyDescent="0.3">
      <c r="A967" s="7">
        <v>43287</v>
      </c>
      <c r="B967" s="6">
        <v>6194.6</v>
      </c>
      <c r="C967" s="6">
        <v>6273.5</v>
      </c>
      <c r="D967" s="6">
        <v>6174.4</v>
      </c>
      <c r="E967" s="6">
        <v>6272.3</v>
      </c>
      <c r="F967" s="8">
        <v>2562525000</v>
      </c>
      <c r="G967" s="8">
        <v>21294730000</v>
      </c>
      <c r="H967">
        <f t="shared" si="15"/>
        <v>207458.49044122529</v>
      </c>
    </row>
    <row r="968" spans="1:8" x14ac:dyDescent="0.3">
      <c r="A968" s="7">
        <v>43294</v>
      </c>
      <c r="B968" s="6">
        <v>6272.3</v>
      </c>
      <c r="C968" s="6">
        <v>6306.1</v>
      </c>
      <c r="D968" s="6">
        <v>6209.6</v>
      </c>
      <c r="E968" s="6">
        <v>6268.4</v>
      </c>
      <c r="F968" s="8">
        <v>2404457000</v>
      </c>
      <c r="G968" s="8">
        <v>21487760000</v>
      </c>
      <c r="H968">
        <f t="shared" si="15"/>
        <v>207329.49659323957</v>
      </c>
    </row>
    <row r="969" spans="1:8" x14ac:dyDescent="0.3">
      <c r="A969" s="7">
        <v>43301</v>
      </c>
      <c r="B969" s="6">
        <v>6267.6</v>
      </c>
      <c r="C969" s="6">
        <v>6297.9</v>
      </c>
      <c r="D969" s="6">
        <v>6199.9</v>
      </c>
      <c r="E969" s="6">
        <v>6285.9</v>
      </c>
      <c r="F969" s="8">
        <v>2346526000</v>
      </c>
      <c r="G969" s="8">
        <v>19424570000</v>
      </c>
      <c r="H969">
        <f t="shared" si="15"/>
        <v>207908.3151418934</v>
      </c>
    </row>
    <row r="970" spans="1:8" x14ac:dyDescent="0.3">
      <c r="A970" s="7">
        <v>43308</v>
      </c>
      <c r="B970" s="6">
        <v>6285.9</v>
      </c>
      <c r="C970" s="6">
        <v>6302.3</v>
      </c>
      <c r="D970" s="6">
        <v>6214.5</v>
      </c>
      <c r="E970" s="6">
        <v>6300.2</v>
      </c>
      <c r="F970" s="8">
        <v>2861114000</v>
      </c>
      <c r="G970" s="8">
        <v>23087060000</v>
      </c>
      <c r="H970">
        <f t="shared" si="15"/>
        <v>208381.29258450767</v>
      </c>
    </row>
    <row r="971" spans="1:8" x14ac:dyDescent="0.3">
      <c r="A971" s="7">
        <v>43315</v>
      </c>
      <c r="B971" s="6">
        <v>6297</v>
      </c>
      <c r="C971" s="6">
        <v>6300.2</v>
      </c>
      <c r="D971" s="6">
        <v>6231.2</v>
      </c>
      <c r="E971" s="6">
        <v>6234.8</v>
      </c>
      <c r="F971" s="8">
        <v>2491210000</v>
      </c>
      <c r="G971" s="8">
        <v>21126760000</v>
      </c>
      <c r="H971">
        <f t="shared" si="15"/>
        <v>206218.16497982421</v>
      </c>
    </row>
    <row r="972" spans="1:8" x14ac:dyDescent="0.3">
      <c r="A972" s="7">
        <v>43322</v>
      </c>
      <c r="B972" s="6">
        <v>6234.8</v>
      </c>
      <c r="C972" s="6">
        <v>6313.6</v>
      </c>
      <c r="D972" s="6">
        <v>6234.8</v>
      </c>
      <c r="E972" s="6">
        <v>6278.4</v>
      </c>
      <c r="F972" s="8">
        <v>2497179000</v>
      </c>
      <c r="G972" s="8">
        <v>21423740000</v>
      </c>
      <c r="H972">
        <f t="shared" si="15"/>
        <v>207660.25004961318</v>
      </c>
    </row>
    <row r="973" spans="1:8" x14ac:dyDescent="0.3">
      <c r="A973" s="7">
        <v>43329</v>
      </c>
      <c r="B973" s="6">
        <v>6278.1</v>
      </c>
      <c r="C973" s="6">
        <v>6348.1</v>
      </c>
      <c r="D973" s="6">
        <v>6239.6</v>
      </c>
      <c r="E973" s="6">
        <v>6339.2</v>
      </c>
      <c r="F973" s="8">
        <v>2893839000</v>
      </c>
      <c r="G973" s="8">
        <v>26652850000</v>
      </c>
      <c r="H973">
        <f t="shared" si="15"/>
        <v>209671.23106436481</v>
      </c>
    </row>
    <row r="974" spans="1:8" x14ac:dyDescent="0.3">
      <c r="A974" s="7">
        <v>43336</v>
      </c>
      <c r="B974" s="6">
        <v>6338.4</v>
      </c>
      <c r="C974" s="6">
        <v>6358</v>
      </c>
      <c r="D974" s="6">
        <v>6238</v>
      </c>
      <c r="E974" s="6">
        <v>6247.3</v>
      </c>
      <c r="F974" s="8">
        <v>3528387000</v>
      </c>
      <c r="G974" s="8">
        <v>28794440000</v>
      </c>
      <c r="H974">
        <f t="shared" si="15"/>
        <v>206631.60680029125</v>
      </c>
    </row>
    <row r="975" spans="1:8" x14ac:dyDescent="0.3">
      <c r="A975" s="7">
        <v>43343</v>
      </c>
      <c r="B975" s="6">
        <v>6247.5</v>
      </c>
      <c r="C975" s="6">
        <v>6373.5</v>
      </c>
      <c r="D975" s="6">
        <v>6230.9</v>
      </c>
      <c r="E975" s="6">
        <v>6319.5</v>
      </c>
      <c r="F975" s="8">
        <v>3484883000</v>
      </c>
      <c r="G975" s="8">
        <v>29821700000</v>
      </c>
      <c r="H975">
        <f t="shared" si="15"/>
        <v>209019.64675530876</v>
      </c>
    </row>
    <row r="976" spans="1:8" x14ac:dyDescent="0.3">
      <c r="A976" s="7">
        <v>43350</v>
      </c>
      <c r="B976" s="6">
        <v>6319.5</v>
      </c>
      <c r="C976" s="6">
        <v>6333.7</v>
      </c>
      <c r="D976" s="6">
        <v>6102</v>
      </c>
      <c r="E976" s="6">
        <v>6143.8</v>
      </c>
      <c r="F976" s="8">
        <v>2811572000</v>
      </c>
      <c r="G976" s="8">
        <v>22920200000</v>
      </c>
      <c r="H976">
        <f t="shared" si="15"/>
        <v>203208.30852682426</v>
      </c>
    </row>
    <row r="977" spans="1:8" x14ac:dyDescent="0.3">
      <c r="A977" s="7">
        <v>43357</v>
      </c>
      <c r="B977" s="6">
        <v>6143.8</v>
      </c>
      <c r="C977" s="6">
        <v>6181.5</v>
      </c>
      <c r="D977" s="6">
        <v>6123.8</v>
      </c>
      <c r="E977" s="6">
        <v>6165.3</v>
      </c>
      <c r="F977" s="8">
        <v>2662308000</v>
      </c>
      <c r="G977" s="8">
        <v>21953540000</v>
      </c>
      <c r="H977">
        <f t="shared" si="15"/>
        <v>203919.42845802754</v>
      </c>
    </row>
    <row r="978" spans="1:8" x14ac:dyDescent="0.3">
      <c r="A978" s="7">
        <v>43364</v>
      </c>
      <c r="B978" s="6">
        <v>6165.3</v>
      </c>
      <c r="C978" s="6">
        <v>6209.6</v>
      </c>
      <c r="D978" s="6">
        <v>6142.3</v>
      </c>
      <c r="E978" s="6">
        <v>6194.6</v>
      </c>
      <c r="F978" s="8">
        <v>3690516000</v>
      </c>
      <c r="G978" s="8">
        <v>29171230000</v>
      </c>
      <c r="H978">
        <f t="shared" si="15"/>
        <v>204888.53608520224</v>
      </c>
    </row>
    <row r="979" spans="1:8" x14ac:dyDescent="0.3">
      <c r="A979" s="7">
        <v>43371</v>
      </c>
      <c r="B979" s="6">
        <v>6194.6</v>
      </c>
      <c r="C979" s="6">
        <v>6234.4</v>
      </c>
      <c r="D979" s="6">
        <v>6166.8</v>
      </c>
      <c r="E979" s="6">
        <v>6207.6</v>
      </c>
      <c r="F979" s="8">
        <v>2915688000</v>
      </c>
      <c r="G979" s="8">
        <v>25591460000</v>
      </c>
      <c r="H979">
        <f t="shared" si="15"/>
        <v>205318.51557848798</v>
      </c>
    </row>
    <row r="980" spans="1:8" x14ac:dyDescent="0.3">
      <c r="A980" s="7">
        <v>43378</v>
      </c>
      <c r="B980" s="6">
        <v>6207.6</v>
      </c>
      <c r="C980" s="6">
        <v>6207.6</v>
      </c>
      <c r="D980" s="6">
        <v>6118.4</v>
      </c>
      <c r="E980" s="6">
        <v>6185.5</v>
      </c>
      <c r="F980" s="8">
        <v>2448748000</v>
      </c>
      <c r="G980" s="8">
        <v>20064740000</v>
      </c>
      <c r="H980">
        <f t="shared" si="15"/>
        <v>204587.55043990226</v>
      </c>
    </row>
    <row r="981" spans="1:8" x14ac:dyDescent="0.3">
      <c r="A981" s="7">
        <v>43385</v>
      </c>
      <c r="B981" s="6">
        <v>6177.4</v>
      </c>
      <c r="C981" s="6">
        <v>6177.4</v>
      </c>
      <c r="D981" s="6">
        <v>5846.7</v>
      </c>
      <c r="E981" s="6">
        <v>5895.7</v>
      </c>
      <c r="F981" s="8">
        <v>3284928000</v>
      </c>
      <c r="G981" s="8">
        <v>27023670000</v>
      </c>
      <c r="H981">
        <f t="shared" si="15"/>
        <v>195002.31527419476</v>
      </c>
    </row>
    <row r="982" spans="1:8" x14ac:dyDescent="0.3">
      <c r="A982" s="7">
        <v>43392</v>
      </c>
      <c r="B982" s="6">
        <v>5895.7</v>
      </c>
      <c r="C982" s="6">
        <v>5942.8</v>
      </c>
      <c r="D982" s="6">
        <v>5796</v>
      </c>
      <c r="E982" s="6">
        <v>5939.5</v>
      </c>
      <c r="F982" s="8">
        <v>2863586000</v>
      </c>
      <c r="G982" s="8">
        <v>22220840000</v>
      </c>
      <c r="H982">
        <f t="shared" si="15"/>
        <v>196451.01541311122</v>
      </c>
    </row>
    <row r="983" spans="1:8" x14ac:dyDescent="0.3">
      <c r="A983" s="7">
        <v>43399</v>
      </c>
      <c r="B983" s="6">
        <v>5939.5</v>
      </c>
      <c r="C983" s="6">
        <v>5939.5</v>
      </c>
      <c r="D983" s="6">
        <v>5624.6</v>
      </c>
      <c r="E983" s="6">
        <v>5665.2</v>
      </c>
      <c r="F983" s="8">
        <v>3443419000</v>
      </c>
      <c r="G983" s="8">
        <v>26977840000</v>
      </c>
      <c r="H983">
        <f t="shared" si="15"/>
        <v>187378.44810478284</v>
      </c>
    </row>
    <row r="984" spans="1:8" x14ac:dyDescent="0.3">
      <c r="A984" s="7">
        <v>43406</v>
      </c>
      <c r="B984" s="6">
        <v>5665.2</v>
      </c>
      <c r="C984" s="6">
        <v>5877.2</v>
      </c>
      <c r="D984" s="6">
        <v>5665.2</v>
      </c>
      <c r="E984" s="6">
        <v>5849.2</v>
      </c>
      <c r="F984" s="8">
        <v>3320405000</v>
      </c>
      <c r="G984" s="8">
        <v>26025540000</v>
      </c>
      <c r="H984">
        <f t="shared" si="15"/>
        <v>193464.31170205746</v>
      </c>
    </row>
    <row r="985" spans="1:8" x14ac:dyDescent="0.3">
      <c r="A985" s="7">
        <v>43413</v>
      </c>
      <c r="B985" s="6">
        <v>5849.2</v>
      </c>
      <c r="C985" s="6">
        <v>5935.5</v>
      </c>
      <c r="D985" s="6">
        <v>5817.7</v>
      </c>
      <c r="E985" s="6">
        <v>5921.8</v>
      </c>
      <c r="F985" s="8">
        <v>2564024000</v>
      </c>
      <c r="G985" s="8">
        <v>21799680000</v>
      </c>
      <c r="H985">
        <f t="shared" si="15"/>
        <v>195865.58179532996</v>
      </c>
    </row>
    <row r="986" spans="1:8" x14ac:dyDescent="0.3">
      <c r="A986" s="7">
        <v>43420</v>
      </c>
      <c r="B986" s="6">
        <v>5921.8</v>
      </c>
      <c r="C986" s="6">
        <v>5941.3</v>
      </c>
      <c r="D986" s="6">
        <v>5686.8</v>
      </c>
      <c r="E986" s="6">
        <v>5730.6</v>
      </c>
      <c r="F986" s="8">
        <v>3119025000</v>
      </c>
      <c r="G986" s="8">
        <v>25523330000</v>
      </c>
      <c r="H986">
        <f t="shared" si="15"/>
        <v>189541.57570946636</v>
      </c>
    </row>
    <row r="987" spans="1:8" x14ac:dyDescent="0.3">
      <c r="A987" s="7">
        <v>43427</v>
      </c>
      <c r="B987" s="6">
        <v>5730.6</v>
      </c>
      <c r="C987" s="6">
        <v>5731.3</v>
      </c>
      <c r="D987" s="6">
        <v>5594</v>
      </c>
      <c r="E987" s="6">
        <v>5716.2</v>
      </c>
      <c r="F987" s="8">
        <v>2997880000</v>
      </c>
      <c r="G987" s="8">
        <v>23083300000</v>
      </c>
      <c r="H987">
        <f t="shared" si="15"/>
        <v>189065.29073228833</v>
      </c>
    </row>
    <row r="988" spans="1:8" x14ac:dyDescent="0.3">
      <c r="A988" s="7">
        <v>43434</v>
      </c>
      <c r="B988" s="6">
        <v>5716.2</v>
      </c>
      <c r="C988" s="6">
        <v>5778.7</v>
      </c>
      <c r="D988" s="6">
        <v>5655.6</v>
      </c>
      <c r="E988" s="6">
        <v>5667.2</v>
      </c>
      <c r="F988" s="8">
        <v>3818630000</v>
      </c>
      <c r="G988" s="8">
        <v>31170610000</v>
      </c>
      <c r="H988">
        <f t="shared" si="15"/>
        <v>187444.59879605757</v>
      </c>
    </row>
    <row r="989" spans="1:8" x14ac:dyDescent="0.3">
      <c r="A989" s="7">
        <v>43441</v>
      </c>
      <c r="B989" s="6">
        <v>5667.2</v>
      </c>
      <c r="C989" s="6">
        <v>5771.2</v>
      </c>
      <c r="D989" s="6">
        <v>5610</v>
      </c>
      <c r="E989" s="6">
        <v>5681.5</v>
      </c>
      <c r="F989" s="8">
        <v>3167176000</v>
      </c>
      <c r="G989" s="8">
        <v>24621880000</v>
      </c>
      <c r="H989">
        <f t="shared" si="15"/>
        <v>187917.57623867184</v>
      </c>
    </row>
    <row r="990" spans="1:8" x14ac:dyDescent="0.3">
      <c r="A990" s="7">
        <v>43448</v>
      </c>
      <c r="B990" s="6">
        <v>5681.5</v>
      </c>
      <c r="C990" s="6">
        <v>5682.1</v>
      </c>
      <c r="D990" s="6">
        <v>5549.3</v>
      </c>
      <c r="E990" s="6">
        <v>5602</v>
      </c>
      <c r="F990" s="8">
        <v>3460482000</v>
      </c>
      <c r="G990" s="8">
        <v>26404810000</v>
      </c>
      <c r="H990">
        <f t="shared" si="15"/>
        <v>185288.08626050156</v>
      </c>
    </row>
    <row r="991" spans="1:8" x14ac:dyDescent="0.3">
      <c r="A991" s="7">
        <v>43455</v>
      </c>
      <c r="B991" s="6">
        <v>5602</v>
      </c>
      <c r="C991" s="6">
        <v>5665.6</v>
      </c>
      <c r="D991" s="6">
        <v>5426.6</v>
      </c>
      <c r="E991" s="6">
        <v>5467.6</v>
      </c>
      <c r="F991" s="8">
        <v>4479512000</v>
      </c>
      <c r="G991" s="8">
        <v>37053510000</v>
      </c>
      <c r="H991">
        <f t="shared" si="15"/>
        <v>180842.75980684013</v>
      </c>
    </row>
    <row r="992" spans="1:8" x14ac:dyDescent="0.3">
      <c r="A992" s="7">
        <v>43462</v>
      </c>
      <c r="B992" s="6">
        <v>5467.6</v>
      </c>
      <c r="C992" s="6">
        <v>5654.3</v>
      </c>
      <c r="D992" s="6">
        <v>5410.2</v>
      </c>
      <c r="E992" s="6">
        <v>5654.3</v>
      </c>
      <c r="F992" s="8">
        <v>1082852000</v>
      </c>
      <c r="G992" s="8">
        <v>9276226000</v>
      </c>
      <c r="H992">
        <f t="shared" si="15"/>
        <v>187017.9268373356</v>
      </c>
    </row>
    <row r="993" spans="1:8" x14ac:dyDescent="0.3">
      <c r="A993" s="7">
        <v>43469</v>
      </c>
      <c r="B993" s="6">
        <v>5654.3</v>
      </c>
      <c r="C993" s="6">
        <v>5700.6</v>
      </c>
      <c r="D993" s="6">
        <v>5552</v>
      </c>
      <c r="E993" s="6">
        <v>5619.4</v>
      </c>
      <c r="F993" s="8">
        <v>1537469000</v>
      </c>
      <c r="G993" s="8">
        <v>12558780000</v>
      </c>
      <c r="H993">
        <f t="shared" si="15"/>
        <v>185863.59727459165</v>
      </c>
    </row>
    <row r="994" spans="1:8" x14ac:dyDescent="0.3">
      <c r="A994" s="7">
        <v>43476</v>
      </c>
      <c r="B994" s="6">
        <v>5619.4</v>
      </c>
      <c r="C994" s="6">
        <v>5808.6</v>
      </c>
      <c r="D994" s="6">
        <v>5619.4</v>
      </c>
      <c r="E994" s="6">
        <v>5774.6</v>
      </c>
      <c r="F994" s="8">
        <v>2469413000</v>
      </c>
      <c r="G994" s="8">
        <v>19153610000</v>
      </c>
      <c r="H994">
        <f t="shared" si="15"/>
        <v>190996.89091751026</v>
      </c>
    </row>
    <row r="995" spans="1:8" x14ac:dyDescent="0.3">
      <c r="A995" s="7">
        <v>43483</v>
      </c>
      <c r="B995" s="6">
        <v>5774.6</v>
      </c>
      <c r="C995" s="6">
        <v>5888.1</v>
      </c>
      <c r="D995" s="6">
        <v>5756.9</v>
      </c>
      <c r="E995" s="6">
        <v>5879.6</v>
      </c>
      <c r="F995" s="8">
        <v>2295388000</v>
      </c>
      <c r="G995" s="8">
        <v>17736040000</v>
      </c>
      <c r="H995">
        <f t="shared" si="15"/>
        <v>194469.80220943328</v>
      </c>
    </row>
    <row r="996" spans="1:8" x14ac:dyDescent="0.3">
      <c r="A996" s="7">
        <v>43490</v>
      </c>
      <c r="B996" s="6">
        <v>5879.6</v>
      </c>
      <c r="C996" s="6">
        <v>5915.2</v>
      </c>
      <c r="D996" s="6">
        <v>5831.4</v>
      </c>
      <c r="E996" s="6">
        <v>5905.6</v>
      </c>
      <c r="F996" s="8">
        <v>2454720000</v>
      </c>
      <c r="G996" s="8">
        <v>20118670000</v>
      </c>
      <c r="H996">
        <f t="shared" si="15"/>
        <v>195329.76119600469</v>
      </c>
    </row>
    <row r="997" spans="1:8" x14ac:dyDescent="0.3">
      <c r="A997" s="7">
        <v>43497</v>
      </c>
      <c r="B997" s="6">
        <v>5905.6</v>
      </c>
      <c r="C997" s="6">
        <v>5912.6</v>
      </c>
      <c r="D997" s="6">
        <v>5857.4</v>
      </c>
      <c r="E997" s="6">
        <v>5862.8</v>
      </c>
      <c r="F997" s="8">
        <v>3066243000</v>
      </c>
      <c r="G997" s="8">
        <v>23756800000</v>
      </c>
      <c r="H997">
        <f t="shared" si="15"/>
        <v>193914.13640272559</v>
      </c>
    </row>
    <row r="998" spans="1:8" x14ac:dyDescent="0.3">
      <c r="A998" s="7">
        <v>43504</v>
      </c>
      <c r="B998" s="6">
        <v>5862.8</v>
      </c>
      <c r="C998" s="6">
        <v>6105.9</v>
      </c>
      <c r="D998" s="6">
        <v>5848.9</v>
      </c>
      <c r="E998" s="6">
        <v>6071.5</v>
      </c>
      <c r="F998" s="8">
        <v>3178371000</v>
      </c>
      <c r="G998" s="8">
        <v>26683150000</v>
      </c>
      <c r="H998">
        <f t="shared" si="15"/>
        <v>200816.96103724305</v>
      </c>
    </row>
    <row r="999" spans="1:8" x14ac:dyDescent="0.3">
      <c r="A999" s="7">
        <v>43511</v>
      </c>
      <c r="B999" s="6">
        <v>6071.5</v>
      </c>
      <c r="C999" s="6">
        <v>6094</v>
      </c>
      <c r="D999" s="6">
        <v>6028.6</v>
      </c>
      <c r="E999" s="6">
        <v>6066.1</v>
      </c>
      <c r="F999" s="8">
        <v>3248995000</v>
      </c>
      <c r="G999" s="8">
        <v>26092050000</v>
      </c>
      <c r="H999">
        <f t="shared" si="15"/>
        <v>200638.35417080129</v>
      </c>
    </row>
    <row r="1000" spans="1:8" x14ac:dyDescent="0.3">
      <c r="A1000" s="7">
        <v>43518</v>
      </c>
      <c r="B1000" s="6">
        <v>6066.1</v>
      </c>
      <c r="C1000" s="6">
        <v>6176.2</v>
      </c>
      <c r="D1000" s="6">
        <v>6066.1</v>
      </c>
      <c r="E1000" s="6">
        <v>6167.3</v>
      </c>
      <c r="F1000" s="8">
        <v>3569670000</v>
      </c>
      <c r="G1000" s="8">
        <v>30164720000</v>
      </c>
      <c r="H1000">
        <f t="shared" si="15"/>
        <v>203985.57914930233</v>
      </c>
    </row>
    <row r="1001" spans="1:8" x14ac:dyDescent="0.3">
      <c r="A1001" s="7">
        <v>43525</v>
      </c>
      <c r="B1001" s="6">
        <v>6167.3</v>
      </c>
      <c r="C1001" s="6">
        <v>6209.9</v>
      </c>
      <c r="D1001" s="6">
        <v>6106</v>
      </c>
      <c r="E1001" s="6">
        <v>6192.7</v>
      </c>
      <c r="F1001" s="8">
        <v>3703121000</v>
      </c>
      <c r="G1001" s="8">
        <v>29879780000</v>
      </c>
      <c r="H1001">
        <f t="shared" si="15"/>
        <v>204825.69292849131</v>
      </c>
    </row>
    <row r="1002" spans="1:8" x14ac:dyDescent="0.3">
      <c r="A1002" s="7">
        <v>43532</v>
      </c>
      <c r="B1002" s="6">
        <v>6192.7</v>
      </c>
      <c r="C1002" s="6">
        <v>6270.9</v>
      </c>
      <c r="D1002" s="6">
        <v>6175.7</v>
      </c>
      <c r="E1002" s="6">
        <v>6203.8</v>
      </c>
      <c r="F1002" s="8">
        <v>3558536000</v>
      </c>
      <c r="G1002" s="8">
        <v>28868510000</v>
      </c>
      <c r="H1002">
        <f t="shared" si="15"/>
        <v>205192.82926506602</v>
      </c>
    </row>
    <row r="1003" spans="1:8" x14ac:dyDescent="0.3">
      <c r="A1003" s="7">
        <v>43539</v>
      </c>
      <c r="B1003" s="6">
        <v>6203.8</v>
      </c>
      <c r="C1003" s="6">
        <v>6222.9</v>
      </c>
      <c r="D1003" s="6">
        <v>6127.3</v>
      </c>
      <c r="E1003" s="6">
        <v>6175.2</v>
      </c>
      <c r="F1003" s="8">
        <v>3556582000</v>
      </c>
      <c r="G1003" s="8">
        <v>28531590000</v>
      </c>
      <c r="H1003">
        <f t="shared" si="15"/>
        <v>204246.87437983745</v>
      </c>
    </row>
    <row r="1004" spans="1:8" x14ac:dyDescent="0.3">
      <c r="A1004" s="7">
        <v>43546</v>
      </c>
      <c r="B1004" s="6">
        <v>6175.2</v>
      </c>
      <c r="C1004" s="6">
        <v>6227.1</v>
      </c>
      <c r="D1004" s="6">
        <v>6134</v>
      </c>
      <c r="E1004" s="6">
        <v>6195.2</v>
      </c>
      <c r="F1004" s="8">
        <v>3248666000</v>
      </c>
      <c r="G1004" s="8">
        <v>25515960000</v>
      </c>
      <c r="H1004">
        <f t="shared" si="15"/>
        <v>204908.38129258467</v>
      </c>
    </row>
    <row r="1005" spans="1:8" x14ac:dyDescent="0.3">
      <c r="A1005" s="7">
        <v>43553</v>
      </c>
      <c r="B1005" s="6">
        <v>6195.2</v>
      </c>
      <c r="C1005" s="6">
        <v>6213.4</v>
      </c>
      <c r="D1005" s="6">
        <v>6096.8</v>
      </c>
      <c r="E1005" s="6">
        <v>6180.7</v>
      </c>
      <c r="F1005" s="8">
        <v>3345787000</v>
      </c>
      <c r="G1005" s="8">
        <v>27212140000</v>
      </c>
      <c r="H1005">
        <f t="shared" si="15"/>
        <v>204428.78878084294</v>
      </c>
    </row>
    <row r="1006" spans="1:8" x14ac:dyDescent="0.3">
      <c r="A1006" s="7">
        <v>43560</v>
      </c>
      <c r="B1006" s="6">
        <v>6180.7</v>
      </c>
      <c r="C1006" s="6">
        <v>6287.9</v>
      </c>
      <c r="D1006" s="6">
        <v>6169.8</v>
      </c>
      <c r="E1006" s="6">
        <v>6181.3</v>
      </c>
      <c r="F1006" s="8">
        <v>2985600000</v>
      </c>
      <c r="G1006" s="8">
        <v>23805210000</v>
      </c>
      <c r="H1006">
        <f t="shared" si="15"/>
        <v>204448.63398822537</v>
      </c>
    </row>
    <row r="1007" spans="1:8" x14ac:dyDescent="0.3">
      <c r="A1007" s="7">
        <v>43567</v>
      </c>
      <c r="B1007" s="6">
        <v>6181.3</v>
      </c>
      <c r="C1007" s="6">
        <v>6251.3</v>
      </c>
      <c r="D1007" s="6">
        <v>6181.3</v>
      </c>
      <c r="E1007" s="6">
        <v>6251.3</v>
      </c>
      <c r="F1007" s="8">
        <v>2512905000</v>
      </c>
      <c r="G1007" s="8">
        <v>20412960000</v>
      </c>
      <c r="H1007">
        <f t="shared" si="15"/>
        <v>206763.90818284068</v>
      </c>
    </row>
    <row r="1008" spans="1:8" x14ac:dyDescent="0.3">
      <c r="A1008" s="7">
        <v>43573</v>
      </c>
      <c r="B1008" s="6">
        <v>6251.3</v>
      </c>
      <c r="C1008" s="6">
        <v>6286</v>
      </c>
      <c r="D1008" s="6">
        <v>6237.6</v>
      </c>
      <c r="E1008" s="6">
        <v>6259.8</v>
      </c>
      <c r="F1008" s="8">
        <v>2139600000</v>
      </c>
      <c r="G1008" s="8">
        <v>17542510000</v>
      </c>
      <c r="H1008">
        <f t="shared" si="15"/>
        <v>207045.04862075826</v>
      </c>
    </row>
    <row r="1009" spans="1:8" x14ac:dyDescent="0.3">
      <c r="A1009" s="7">
        <v>43581</v>
      </c>
      <c r="B1009" s="6">
        <v>6259.8</v>
      </c>
      <c r="C1009" s="6">
        <v>6390.5</v>
      </c>
      <c r="D1009" s="6">
        <v>6259.8</v>
      </c>
      <c r="E1009" s="6">
        <v>6385.6</v>
      </c>
      <c r="F1009" s="8">
        <v>1753445000</v>
      </c>
      <c r="G1009" s="8">
        <v>16594340000</v>
      </c>
      <c r="H1009">
        <f t="shared" si="15"/>
        <v>211205.9271019384</v>
      </c>
    </row>
    <row r="1010" spans="1:8" x14ac:dyDescent="0.3">
      <c r="A1010" s="7">
        <v>43588</v>
      </c>
      <c r="B1010" s="6">
        <v>6385.6</v>
      </c>
      <c r="C1010" s="6">
        <v>6385.6</v>
      </c>
      <c r="D1010" s="6">
        <v>6316.3</v>
      </c>
      <c r="E1010" s="6">
        <v>6335.8</v>
      </c>
      <c r="F1010" s="8">
        <v>2841526000</v>
      </c>
      <c r="G1010" s="8">
        <v>22249080000</v>
      </c>
      <c r="H1010">
        <f t="shared" si="15"/>
        <v>209558.77488919778</v>
      </c>
    </row>
    <row r="1011" spans="1:8" x14ac:dyDescent="0.3">
      <c r="A1011" s="7">
        <v>43595</v>
      </c>
      <c r="B1011" s="6">
        <v>6335.8</v>
      </c>
      <c r="C1011" s="6">
        <v>6341.9</v>
      </c>
      <c r="D1011" s="6">
        <v>6241.5</v>
      </c>
      <c r="E1011" s="6">
        <v>6310.9</v>
      </c>
      <c r="F1011" s="8">
        <v>2696804000</v>
      </c>
      <c r="G1011" s="8">
        <v>22875080000</v>
      </c>
      <c r="H1011">
        <f t="shared" si="15"/>
        <v>208735.19878282744</v>
      </c>
    </row>
    <row r="1012" spans="1:8" x14ac:dyDescent="0.3">
      <c r="A1012" s="7">
        <v>43602</v>
      </c>
      <c r="B1012" s="6">
        <v>6310.9</v>
      </c>
      <c r="C1012" s="6">
        <v>6398.3</v>
      </c>
      <c r="D1012" s="6">
        <v>6203.1</v>
      </c>
      <c r="E1012" s="6">
        <v>6365.3</v>
      </c>
      <c r="F1012" s="8">
        <v>2986235000</v>
      </c>
      <c r="G1012" s="8">
        <v>25298180000</v>
      </c>
      <c r="H1012">
        <f t="shared" si="15"/>
        <v>210534.49758549995</v>
      </c>
    </row>
    <row r="1013" spans="1:8" x14ac:dyDescent="0.3">
      <c r="A1013" s="7">
        <v>43609</v>
      </c>
      <c r="B1013" s="6">
        <v>6365.3</v>
      </c>
      <c r="C1013" s="6">
        <v>6510.9</v>
      </c>
      <c r="D1013" s="6">
        <v>6365.3</v>
      </c>
      <c r="E1013" s="6">
        <v>6456</v>
      </c>
      <c r="F1013" s="8">
        <v>3181239000</v>
      </c>
      <c r="G1013" s="8">
        <v>29263370000</v>
      </c>
      <c r="H1013">
        <f t="shared" si="15"/>
        <v>213534.43143480868</v>
      </c>
    </row>
    <row r="1014" spans="1:8" x14ac:dyDescent="0.3">
      <c r="A1014" s="7">
        <v>43616</v>
      </c>
      <c r="B1014" s="6">
        <v>6455.8</v>
      </c>
      <c r="C1014" s="6">
        <v>6491.7</v>
      </c>
      <c r="D1014" s="6">
        <v>6362.2</v>
      </c>
      <c r="E1014" s="6">
        <v>6396.9</v>
      </c>
      <c r="F1014" s="8">
        <v>3253973000</v>
      </c>
      <c r="G1014" s="8">
        <v>29263090000</v>
      </c>
      <c r="H1014">
        <f t="shared" si="15"/>
        <v>211579.67850764058</v>
      </c>
    </row>
    <row r="1015" spans="1:8" x14ac:dyDescent="0.3">
      <c r="A1015" s="7">
        <v>43623</v>
      </c>
      <c r="B1015" s="6">
        <v>6396.9</v>
      </c>
      <c r="C1015" s="6">
        <v>6443.9</v>
      </c>
      <c r="D1015" s="6">
        <v>6315.6</v>
      </c>
      <c r="E1015" s="6">
        <v>6443.9</v>
      </c>
      <c r="F1015" s="8">
        <v>3212106000</v>
      </c>
      <c r="G1015" s="8">
        <v>27641820000</v>
      </c>
      <c r="H1015">
        <f t="shared" si="15"/>
        <v>213134.2197525966</v>
      </c>
    </row>
    <row r="1016" spans="1:8" x14ac:dyDescent="0.3">
      <c r="A1016" s="7">
        <v>43630</v>
      </c>
      <c r="B1016" s="6">
        <v>6443.9</v>
      </c>
      <c r="C1016" s="6">
        <v>6587.3</v>
      </c>
      <c r="D1016" s="6">
        <v>6443.9</v>
      </c>
      <c r="E1016" s="6">
        <v>6554</v>
      </c>
      <c r="F1016" s="8">
        <v>2632582000</v>
      </c>
      <c r="G1016" s="8">
        <v>22360390000</v>
      </c>
      <c r="H1016">
        <f t="shared" si="15"/>
        <v>216775.81530727015</v>
      </c>
    </row>
    <row r="1017" spans="1:8" x14ac:dyDescent="0.3">
      <c r="A1017" s="7">
        <v>43637</v>
      </c>
      <c r="B1017" s="6">
        <v>6554</v>
      </c>
      <c r="C1017" s="6">
        <v>6691.5</v>
      </c>
      <c r="D1017" s="6">
        <v>6527</v>
      </c>
      <c r="E1017" s="6">
        <v>6650.8</v>
      </c>
      <c r="F1017" s="8">
        <v>4339040000</v>
      </c>
      <c r="G1017" s="8">
        <v>35676560000</v>
      </c>
      <c r="H1017">
        <f t="shared" si="15"/>
        <v>219977.5087649668</v>
      </c>
    </row>
    <row r="1018" spans="1:8" x14ac:dyDescent="0.3">
      <c r="A1018" s="7">
        <v>43644</v>
      </c>
      <c r="B1018" s="6">
        <v>6650.8</v>
      </c>
      <c r="C1018" s="6">
        <v>6680.3</v>
      </c>
      <c r="D1018" s="6">
        <v>6606.3</v>
      </c>
      <c r="E1018" s="6">
        <v>6618.8</v>
      </c>
      <c r="F1018" s="8">
        <v>3400891000</v>
      </c>
      <c r="G1018" s="8">
        <v>28475480000</v>
      </c>
      <c r="H1018">
        <f t="shared" si="15"/>
        <v>218919.09770457121</v>
      </c>
    </row>
    <row r="1019" spans="1:8" x14ac:dyDescent="0.3">
      <c r="A1019" s="7">
        <v>43651</v>
      </c>
      <c r="B1019" s="6">
        <v>6618.8</v>
      </c>
      <c r="C1019" s="6">
        <v>6769.6</v>
      </c>
      <c r="D1019" s="6">
        <v>6618.8</v>
      </c>
      <c r="E1019" s="6">
        <v>6751.3</v>
      </c>
      <c r="F1019" s="8">
        <v>2944302000</v>
      </c>
      <c r="G1019" s="8">
        <v>24238920000</v>
      </c>
      <c r="H1019">
        <f t="shared" si="15"/>
        <v>223301.58100152167</v>
      </c>
    </row>
    <row r="1020" spans="1:8" x14ac:dyDescent="0.3">
      <c r="A1020" s="7">
        <v>43658</v>
      </c>
      <c r="B1020" s="6">
        <v>6740</v>
      </c>
      <c r="C1020" s="6">
        <v>6751.3</v>
      </c>
      <c r="D1020" s="6">
        <v>6641.4</v>
      </c>
      <c r="E1020" s="6">
        <v>6696.5</v>
      </c>
      <c r="F1020" s="8">
        <v>2850533000</v>
      </c>
      <c r="G1020" s="8">
        <v>23388000000</v>
      </c>
      <c r="H1020">
        <f t="shared" si="15"/>
        <v>221489.05206059423</v>
      </c>
    </row>
    <row r="1021" spans="1:8" x14ac:dyDescent="0.3">
      <c r="A1021" s="7">
        <v>43665</v>
      </c>
      <c r="B1021" s="6">
        <v>6694.9</v>
      </c>
      <c r="C1021" s="6">
        <v>6705.4</v>
      </c>
      <c r="D1021" s="6">
        <v>6626.6</v>
      </c>
      <c r="E1021" s="6">
        <v>6700.3</v>
      </c>
      <c r="F1021" s="8">
        <v>2550978000</v>
      </c>
      <c r="G1021" s="8">
        <v>20350290000</v>
      </c>
      <c r="H1021">
        <f t="shared" si="15"/>
        <v>221614.73837401622</v>
      </c>
    </row>
    <row r="1022" spans="1:8" x14ac:dyDescent="0.3">
      <c r="A1022" s="7">
        <v>43672</v>
      </c>
      <c r="B1022" s="6">
        <v>6700.3</v>
      </c>
      <c r="C1022" s="6">
        <v>6818</v>
      </c>
      <c r="D1022" s="6">
        <v>6673.2</v>
      </c>
      <c r="E1022" s="6">
        <v>6793.4</v>
      </c>
      <c r="F1022" s="8">
        <v>3099395000</v>
      </c>
      <c r="G1022" s="8">
        <v>28688080000</v>
      </c>
      <c r="H1022">
        <f t="shared" si="15"/>
        <v>224694.05305285461</v>
      </c>
    </row>
    <row r="1023" spans="1:8" x14ac:dyDescent="0.3">
      <c r="A1023" s="7">
        <v>43679</v>
      </c>
      <c r="B1023" s="6">
        <v>6793.4</v>
      </c>
      <c r="C1023" s="6">
        <v>6875.5</v>
      </c>
      <c r="D1023" s="6">
        <v>6747.8</v>
      </c>
      <c r="E1023" s="6">
        <v>6768.6</v>
      </c>
      <c r="F1023" s="8">
        <v>3087725000</v>
      </c>
      <c r="G1023" s="8">
        <v>27588980000</v>
      </c>
      <c r="H1023">
        <f t="shared" si="15"/>
        <v>223873.78448104803</v>
      </c>
    </row>
    <row r="1024" spans="1:8" x14ac:dyDescent="0.3">
      <c r="A1024" s="7">
        <v>43686</v>
      </c>
      <c r="B1024" s="6">
        <v>6768.6</v>
      </c>
      <c r="C1024" s="6">
        <v>6768.6</v>
      </c>
      <c r="D1024" s="6">
        <v>6444.4</v>
      </c>
      <c r="E1024" s="6">
        <v>6584.4</v>
      </c>
      <c r="F1024" s="8">
        <v>3476405000</v>
      </c>
      <c r="G1024" s="8">
        <v>30123930000</v>
      </c>
      <c r="H1024">
        <f t="shared" si="15"/>
        <v>217781.30581464595</v>
      </c>
    </row>
    <row r="1025" spans="1:8" x14ac:dyDescent="0.3">
      <c r="A1025" s="7">
        <v>43693</v>
      </c>
      <c r="B1025" s="6">
        <v>6584.4</v>
      </c>
      <c r="C1025" s="6">
        <v>6600.7</v>
      </c>
      <c r="D1025" s="6">
        <v>6396</v>
      </c>
      <c r="E1025" s="6">
        <v>6405.5</v>
      </c>
      <c r="F1025" s="8">
        <v>3594935000</v>
      </c>
      <c r="G1025" s="8">
        <v>29509730000</v>
      </c>
      <c r="H1025">
        <f t="shared" si="15"/>
        <v>211864.12648012192</v>
      </c>
    </row>
    <row r="1026" spans="1:8" x14ac:dyDescent="0.3">
      <c r="A1026" s="7">
        <v>43700</v>
      </c>
      <c r="B1026" s="6">
        <v>6405.5</v>
      </c>
      <c r="C1026" s="6">
        <v>6545</v>
      </c>
      <c r="D1026" s="6">
        <v>6405.5</v>
      </c>
      <c r="E1026" s="6">
        <v>6523.1</v>
      </c>
      <c r="F1026" s="8">
        <v>3253257000</v>
      </c>
      <c r="G1026" s="8">
        <v>27178400000</v>
      </c>
      <c r="H1026">
        <f t="shared" si="15"/>
        <v>215753.78712707569</v>
      </c>
    </row>
    <row r="1027" spans="1:8" x14ac:dyDescent="0.3">
      <c r="A1027" s="7">
        <v>43707</v>
      </c>
      <c r="B1027" s="6">
        <v>6523.1</v>
      </c>
      <c r="C1027" s="6">
        <v>6612.1</v>
      </c>
      <c r="D1027" s="6">
        <v>6409.8</v>
      </c>
      <c r="E1027" s="6">
        <v>6604.2</v>
      </c>
      <c r="F1027" s="8">
        <v>3959812000</v>
      </c>
      <c r="G1027" s="8">
        <v>32544000000</v>
      </c>
      <c r="H1027">
        <f t="shared" si="15"/>
        <v>218436.19765826574</v>
      </c>
    </row>
    <row r="1028" spans="1:8" x14ac:dyDescent="0.3">
      <c r="A1028" s="7">
        <v>43714</v>
      </c>
      <c r="B1028" s="6">
        <v>6604.2</v>
      </c>
      <c r="C1028" s="6">
        <v>6656.1</v>
      </c>
      <c r="D1028" s="6">
        <v>6503.9</v>
      </c>
      <c r="E1028" s="6">
        <v>6647.3</v>
      </c>
      <c r="F1028" s="8">
        <v>3199280000</v>
      </c>
      <c r="G1028" s="8">
        <v>24423360000</v>
      </c>
      <c r="H1028">
        <f t="shared" ref="H1028:H1091" si="16">H1027*(E1028/E1027)</f>
        <v>219861.74505523604</v>
      </c>
    </row>
    <row r="1029" spans="1:8" x14ac:dyDescent="0.3">
      <c r="A1029" s="7">
        <v>43721</v>
      </c>
      <c r="B1029" s="6">
        <v>6647.3</v>
      </c>
      <c r="C1029" s="6">
        <v>6687.4</v>
      </c>
      <c r="D1029" s="6">
        <v>6595.7</v>
      </c>
      <c r="E1029" s="6">
        <v>6669.2</v>
      </c>
      <c r="F1029" s="8">
        <v>3437230000</v>
      </c>
      <c r="G1029" s="8">
        <v>28279310000</v>
      </c>
      <c r="H1029">
        <f t="shared" si="16"/>
        <v>220586.09512469423</v>
      </c>
    </row>
    <row r="1030" spans="1:8" x14ac:dyDescent="0.3">
      <c r="A1030" s="7">
        <v>43728</v>
      </c>
      <c r="B1030" s="6">
        <v>6669.2</v>
      </c>
      <c r="C1030" s="6">
        <v>6775.6</v>
      </c>
      <c r="D1030" s="6">
        <v>6646.6</v>
      </c>
      <c r="E1030" s="6">
        <v>6730.8</v>
      </c>
      <c r="F1030" s="8">
        <v>4501365000</v>
      </c>
      <c r="G1030" s="8">
        <v>40856180000</v>
      </c>
      <c r="H1030">
        <f t="shared" si="16"/>
        <v>222623.53641595572</v>
      </c>
    </row>
    <row r="1031" spans="1:8" x14ac:dyDescent="0.3">
      <c r="A1031" s="7">
        <v>43735</v>
      </c>
      <c r="B1031" s="6">
        <v>6730.8</v>
      </c>
      <c r="C1031" s="6">
        <v>6770</v>
      </c>
      <c r="D1031" s="6">
        <v>6667.1</v>
      </c>
      <c r="E1031" s="6">
        <v>6716.1</v>
      </c>
      <c r="F1031" s="8">
        <v>2955242000</v>
      </c>
      <c r="G1031" s="8">
        <v>27133710000</v>
      </c>
      <c r="H1031">
        <f t="shared" si="16"/>
        <v>222137.32883508649</v>
      </c>
    </row>
    <row r="1032" spans="1:8" x14ac:dyDescent="0.3">
      <c r="A1032" s="7">
        <v>43742</v>
      </c>
      <c r="B1032" s="6">
        <v>6715.9</v>
      </c>
      <c r="C1032" s="6">
        <v>6743.7</v>
      </c>
      <c r="D1032" s="6">
        <v>6475.4</v>
      </c>
      <c r="E1032" s="6">
        <v>6517.1</v>
      </c>
      <c r="F1032" s="8">
        <v>3018939000</v>
      </c>
      <c r="G1032" s="8">
        <v>25825140000</v>
      </c>
      <c r="H1032">
        <f t="shared" si="16"/>
        <v>215555.33505325145</v>
      </c>
    </row>
    <row r="1033" spans="1:8" x14ac:dyDescent="0.3">
      <c r="A1033" s="7">
        <v>43749</v>
      </c>
      <c r="B1033" s="6">
        <v>6517.1</v>
      </c>
      <c r="C1033" s="6">
        <v>6614.6</v>
      </c>
      <c r="D1033" s="6">
        <v>6517.1</v>
      </c>
      <c r="E1033" s="6">
        <v>6606.8</v>
      </c>
      <c r="F1033" s="8">
        <v>2329895000</v>
      </c>
      <c r="G1033" s="8">
        <v>19364770000</v>
      </c>
      <c r="H1033">
        <f t="shared" si="16"/>
        <v>218522.19355692281</v>
      </c>
    </row>
    <row r="1034" spans="1:8" x14ac:dyDescent="0.3">
      <c r="A1034" s="7">
        <v>43756</v>
      </c>
      <c r="B1034" s="6">
        <v>6606.8</v>
      </c>
      <c r="C1034" s="6">
        <v>6737.8</v>
      </c>
      <c r="D1034" s="6">
        <v>6606.8</v>
      </c>
      <c r="E1034" s="6">
        <v>6649.7</v>
      </c>
      <c r="F1034" s="8">
        <v>3175113000</v>
      </c>
      <c r="G1034" s="8">
        <v>25846970000</v>
      </c>
      <c r="H1034">
        <f t="shared" si="16"/>
        <v>219941.12588476561</v>
      </c>
    </row>
    <row r="1035" spans="1:8" x14ac:dyDescent="0.3">
      <c r="A1035" s="7">
        <v>43763</v>
      </c>
      <c r="B1035" s="6">
        <v>6649.7</v>
      </c>
      <c r="C1035" s="6">
        <v>6741.5</v>
      </c>
      <c r="D1035" s="6">
        <v>6612.4</v>
      </c>
      <c r="E1035" s="6">
        <v>6739.2</v>
      </c>
      <c r="F1035" s="8">
        <v>2827750000</v>
      </c>
      <c r="G1035" s="8">
        <v>23030040000</v>
      </c>
      <c r="H1035">
        <f t="shared" si="16"/>
        <v>222901.36931930948</v>
      </c>
    </row>
    <row r="1036" spans="1:8" x14ac:dyDescent="0.3">
      <c r="A1036" s="7">
        <v>43770</v>
      </c>
      <c r="B1036" s="6">
        <v>6739.9</v>
      </c>
      <c r="C1036" s="6">
        <v>6766.2</v>
      </c>
      <c r="D1036" s="6">
        <v>6634.7</v>
      </c>
      <c r="E1036" s="6">
        <v>6669.1</v>
      </c>
      <c r="F1036" s="8">
        <v>2857761000</v>
      </c>
      <c r="G1036" s="8">
        <v>23336150000</v>
      </c>
      <c r="H1036">
        <f t="shared" si="16"/>
        <v>220582.78759013044</v>
      </c>
    </row>
    <row r="1037" spans="1:8" x14ac:dyDescent="0.3">
      <c r="A1037" s="7">
        <v>43777</v>
      </c>
      <c r="B1037" s="6">
        <v>6669.1</v>
      </c>
      <c r="C1037" s="6">
        <v>6742.2</v>
      </c>
      <c r="D1037" s="6">
        <v>6658.2</v>
      </c>
      <c r="E1037" s="6">
        <v>6724.1</v>
      </c>
      <c r="F1037" s="8">
        <v>2918432000</v>
      </c>
      <c r="G1037" s="8">
        <v>26830230000</v>
      </c>
      <c r="H1037">
        <f t="shared" si="16"/>
        <v>222401.93160018534</v>
      </c>
    </row>
    <row r="1038" spans="1:8" x14ac:dyDescent="0.3">
      <c r="A1038" s="7">
        <v>43784</v>
      </c>
      <c r="B1038" s="6">
        <v>6724.1</v>
      </c>
      <c r="C1038" s="6">
        <v>6798.7</v>
      </c>
      <c r="D1038" s="6">
        <v>6687.7</v>
      </c>
      <c r="E1038" s="6">
        <v>6793.7</v>
      </c>
      <c r="F1038" s="8">
        <v>3023791000</v>
      </c>
      <c r="G1038" s="8">
        <v>27201500000</v>
      </c>
      <c r="H1038">
        <f t="shared" si="16"/>
        <v>224703.97565654572</v>
      </c>
    </row>
    <row r="1039" spans="1:8" x14ac:dyDescent="0.3">
      <c r="A1039" s="7">
        <v>43791</v>
      </c>
      <c r="B1039" s="6">
        <v>6793.7</v>
      </c>
      <c r="C1039" s="6">
        <v>6814.2</v>
      </c>
      <c r="D1039" s="6">
        <v>6637.3</v>
      </c>
      <c r="E1039" s="6">
        <v>6709.8</v>
      </c>
      <c r="F1039" s="8">
        <v>2899644000</v>
      </c>
      <c r="G1039" s="8">
        <v>25831130000</v>
      </c>
      <c r="H1039">
        <f t="shared" si="16"/>
        <v>221928.95415757105</v>
      </c>
    </row>
    <row r="1040" spans="1:8" x14ac:dyDescent="0.3">
      <c r="A1040" s="7">
        <v>43798</v>
      </c>
      <c r="B1040" s="6">
        <v>6712</v>
      </c>
      <c r="C1040" s="6">
        <v>6893.7</v>
      </c>
      <c r="D1040" s="6">
        <v>6712</v>
      </c>
      <c r="E1040" s="6">
        <v>6846</v>
      </c>
      <c r="F1040" s="8">
        <v>3269527000</v>
      </c>
      <c r="G1040" s="8">
        <v>30168250000</v>
      </c>
      <c r="H1040">
        <f t="shared" si="16"/>
        <v>226433.81623337971</v>
      </c>
    </row>
    <row r="1041" spans="1:8" x14ac:dyDescent="0.3">
      <c r="A1041" s="7">
        <v>43805</v>
      </c>
      <c r="B1041" s="6">
        <v>6846</v>
      </c>
      <c r="C1041" s="6">
        <v>6890</v>
      </c>
      <c r="D1041" s="6">
        <v>6590.1</v>
      </c>
      <c r="E1041" s="6">
        <v>6707</v>
      </c>
      <c r="F1041" s="8">
        <v>3025099000</v>
      </c>
      <c r="G1041" s="8">
        <v>27360100000</v>
      </c>
      <c r="H1041">
        <f t="shared" si="16"/>
        <v>221836.34318978642</v>
      </c>
    </row>
    <row r="1042" spans="1:8" x14ac:dyDescent="0.3">
      <c r="A1042" s="7">
        <v>43812</v>
      </c>
      <c r="B1042" s="6">
        <v>6707</v>
      </c>
      <c r="C1042" s="6">
        <v>6753.1</v>
      </c>
      <c r="D1042" s="6">
        <v>6701.2</v>
      </c>
      <c r="E1042" s="6">
        <v>6739.7</v>
      </c>
      <c r="F1042" s="8">
        <v>2893419000</v>
      </c>
      <c r="G1042" s="8">
        <v>24365900000</v>
      </c>
      <c r="H1042">
        <f t="shared" si="16"/>
        <v>222917.90699212815</v>
      </c>
    </row>
    <row r="1043" spans="1:8" x14ac:dyDescent="0.3">
      <c r="A1043" s="7">
        <v>43819</v>
      </c>
      <c r="B1043" s="6">
        <v>6741.6</v>
      </c>
      <c r="C1043" s="6">
        <v>6872.8</v>
      </c>
      <c r="D1043" s="6">
        <v>6741.6</v>
      </c>
      <c r="E1043" s="6">
        <v>6816.3</v>
      </c>
      <c r="F1043" s="8">
        <v>3705434000</v>
      </c>
      <c r="G1043" s="8">
        <v>34089380000</v>
      </c>
      <c r="H1043">
        <f t="shared" si="16"/>
        <v>225451.4784679501</v>
      </c>
    </row>
    <row r="1044" spans="1:8" x14ac:dyDescent="0.3">
      <c r="A1044" s="7">
        <v>43826</v>
      </c>
      <c r="B1044" s="6">
        <v>6816.3</v>
      </c>
      <c r="C1044" s="6">
        <v>6822.1</v>
      </c>
      <c r="D1044" s="6">
        <v>6776.2</v>
      </c>
      <c r="E1044" s="6">
        <v>6821.7</v>
      </c>
      <c r="F1044" s="8">
        <v>856616100</v>
      </c>
      <c r="G1044" s="8">
        <v>6985754000</v>
      </c>
      <c r="H1044">
        <f t="shared" si="16"/>
        <v>225630.08533439183</v>
      </c>
    </row>
    <row r="1045" spans="1:8" x14ac:dyDescent="0.3">
      <c r="A1045" s="7">
        <v>43833</v>
      </c>
      <c r="B1045" s="6">
        <v>6821.7</v>
      </c>
      <c r="C1045" s="6">
        <v>6824.7</v>
      </c>
      <c r="D1045" s="6">
        <v>6669.2</v>
      </c>
      <c r="E1045" s="6">
        <v>6733.5</v>
      </c>
      <c r="F1045" s="8">
        <v>1279047000</v>
      </c>
      <c r="G1045" s="8">
        <v>10493730000</v>
      </c>
      <c r="H1045">
        <f t="shared" si="16"/>
        <v>222712.8398491765</v>
      </c>
    </row>
    <row r="1046" spans="1:8" x14ac:dyDescent="0.3">
      <c r="A1046" s="7">
        <v>43840</v>
      </c>
      <c r="B1046" s="6">
        <v>6733.1</v>
      </c>
      <c r="C1046" s="6">
        <v>6933.2</v>
      </c>
      <c r="D1046" s="6">
        <v>6671.7</v>
      </c>
      <c r="E1046" s="6">
        <v>6929</v>
      </c>
      <c r="F1046" s="8">
        <v>2505965000</v>
      </c>
      <c r="G1046" s="8">
        <v>21149860000</v>
      </c>
      <c r="H1046">
        <f t="shared" si="16"/>
        <v>229179.06992128075</v>
      </c>
    </row>
    <row r="1047" spans="1:8" x14ac:dyDescent="0.3">
      <c r="A1047" s="7">
        <v>43847</v>
      </c>
      <c r="B1047" s="6">
        <v>6929</v>
      </c>
      <c r="C1047" s="6">
        <v>7088.1</v>
      </c>
      <c r="D1047" s="6">
        <v>6880.7</v>
      </c>
      <c r="E1047" s="6">
        <v>7064.1</v>
      </c>
      <c r="F1047" s="8">
        <v>2529704000</v>
      </c>
      <c r="G1047" s="8">
        <v>21251080000</v>
      </c>
      <c r="H1047">
        <f t="shared" si="16"/>
        <v>233647.54911688835</v>
      </c>
    </row>
    <row r="1048" spans="1:8" x14ac:dyDescent="0.3">
      <c r="A1048" s="7">
        <v>43854</v>
      </c>
      <c r="B1048" s="6">
        <v>7064.1</v>
      </c>
      <c r="C1048" s="6">
        <v>7144.9</v>
      </c>
      <c r="D1048" s="6">
        <v>7040.7</v>
      </c>
      <c r="E1048" s="6">
        <v>7090.5</v>
      </c>
      <c r="F1048" s="8">
        <v>2523519000</v>
      </c>
      <c r="G1048" s="8">
        <v>23986080000</v>
      </c>
      <c r="H1048">
        <f t="shared" si="16"/>
        <v>234520.73824171466</v>
      </c>
    </row>
    <row r="1049" spans="1:8" x14ac:dyDescent="0.3">
      <c r="A1049" s="7">
        <v>43861</v>
      </c>
      <c r="B1049" s="6">
        <v>7051.2</v>
      </c>
      <c r="C1049" s="6">
        <v>7090.5</v>
      </c>
      <c r="D1049" s="6">
        <v>6964.7</v>
      </c>
      <c r="E1049" s="6">
        <v>7017.2</v>
      </c>
      <c r="F1049" s="8">
        <v>2651992000</v>
      </c>
      <c r="G1049" s="8">
        <v>24942240000</v>
      </c>
      <c r="H1049">
        <f t="shared" si="16"/>
        <v>232096.31540649603</v>
      </c>
    </row>
    <row r="1050" spans="1:8" x14ac:dyDescent="0.3">
      <c r="A1050" s="7">
        <v>43868</v>
      </c>
      <c r="B1050" s="6">
        <v>7017.2</v>
      </c>
      <c r="C1050" s="6">
        <v>7051.6</v>
      </c>
      <c r="D1050" s="6">
        <v>6897</v>
      </c>
      <c r="E1050" s="6">
        <v>7022.6</v>
      </c>
      <c r="F1050" s="8">
        <v>3198891000</v>
      </c>
      <c r="G1050" s="8">
        <v>28144550000</v>
      </c>
      <c r="H1050">
        <f t="shared" si="16"/>
        <v>232274.92227293781</v>
      </c>
    </row>
    <row r="1051" spans="1:8" x14ac:dyDescent="0.3">
      <c r="A1051" s="7">
        <v>43875</v>
      </c>
      <c r="B1051" s="6">
        <v>7022.6</v>
      </c>
      <c r="C1051" s="6">
        <v>7145.8</v>
      </c>
      <c r="D1051" s="6">
        <v>6982.6</v>
      </c>
      <c r="E1051" s="6">
        <v>7130.2</v>
      </c>
      <c r="F1051" s="8">
        <v>3329474000</v>
      </c>
      <c r="G1051" s="8">
        <v>30040250000</v>
      </c>
      <c r="H1051">
        <f t="shared" si="16"/>
        <v>235833.82946351793</v>
      </c>
    </row>
    <row r="1052" spans="1:8" x14ac:dyDescent="0.3">
      <c r="A1052" s="7">
        <v>43882</v>
      </c>
      <c r="B1052" s="6">
        <v>7130.2</v>
      </c>
      <c r="C1052" s="6">
        <v>7197.2</v>
      </c>
      <c r="D1052" s="6">
        <v>7096.8</v>
      </c>
      <c r="E1052" s="6">
        <v>7139</v>
      </c>
      <c r="F1052" s="8">
        <v>3901446000</v>
      </c>
      <c r="G1052" s="8">
        <v>31727680000</v>
      </c>
      <c r="H1052">
        <f t="shared" si="16"/>
        <v>236124.89250512671</v>
      </c>
    </row>
    <row r="1053" spans="1:8" x14ac:dyDescent="0.3">
      <c r="A1053" s="7">
        <v>43889</v>
      </c>
      <c r="B1053" s="6">
        <v>7139</v>
      </c>
      <c r="C1053" s="6">
        <v>7139</v>
      </c>
      <c r="D1053" s="6">
        <v>6426.8</v>
      </c>
      <c r="E1053" s="6">
        <v>6441.2</v>
      </c>
      <c r="F1053" s="8">
        <v>5404887000</v>
      </c>
      <c r="G1053" s="8">
        <v>45398040000</v>
      </c>
      <c r="H1053">
        <f t="shared" si="16"/>
        <v>213044.91631937557</v>
      </c>
    </row>
    <row r="1054" spans="1:8" x14ac:dyDescent="0.3">
      <c r="A1054" s="7">
        <v>43896</v>
      </c>
      <c r="B1054" s="6">
        <v>6438.9</v>
      </c>
      <c r="C1054" s="6">
        <v>6524.3</v>
      </c>
      <c r="D1054" s="6">
        <v>6216.2</v>
      </c>
      <c r="E1054" s="6">
        <v>6216.2</v>
      </c>
      <c r="F1054" s="8">
        <v>5204254000</v>
      </c>
      <c r="G1054" s="8">
        <v>42150240000</v>
      </c>
      <c r="H1054">
        <f t="shared" si="16"/>
        <v>205602.96355096914</v>
      </c>
    </row>
    <row r="1055" spans="1:8" x14ac:dyDescent="0.3">
      <c r="A1055" s="7">
        <v>43903</v>
      </c>
      <c r="B1055" s="6">
        <v>6216.2</v>
      </c>
      <c r="C1055" s="6">
        <v>6216.2</v>
      </c>
      <c r="D1055" s="6">
        <v>4873.7</v>
      </c>
      <c r="E1055" s="6">
        <v>5539.3</v>
      </c>
      <c r="F1055" s="8">
        <v>8733643000</v>
      </c>
      <c r="G1055" s="8">
        <v>63388360000</v>
      </c>
      <c r="H1055">
        <f t="shared" si="16"/>
        <v>183214.26208903888</v>
      </c>
    </row>
    <row r="1056" spans="1:8" x14ac:dyDescent="0.3">
      <c r="A1056" s="7">
        <v>43910</v>
      </c>
      <c r="B1056" s="6">
        <v>5539.3</v>
      </c>
      <c r="C1056" s="6">
        <v>5539.3</v>
      </c>
      <c r="D1056" s="6">
        <v>4741</v>
      </c>
      <c r="E1056" s="6">
        <v>4816.6000000000004</v>
      </c>
      <c r="F1056" s="8">
        <v>9160127000</v>
      </c>
      <c r="G1056" s="8">
        <v>62409660000</v>
      </c>
      <c r="H1056">
        <f t="shared" si="16"/>
        <v>159310.70979691742</v>
      </c>
    </row>
    <row r="1057" spans="1:8" x14ac:dyDescent="0.3">
      <c r="A1057" s="7">
        <v>43917</v>
      </c>
      <c r="B1057" s="6">
        <v>4816.6000000000004</v>
      </c>
      <c r="C1057" s="6">
        <v>5236.7</v>
      </c>
      <c r="D1057" s="6">
        <v>4402.5</v>
      </c>
      <c r="E1057" s="6">
        <v>4842.3999999999996</v>
      </c>
      <c r="F1057" s="8">
        <v>6918853000</v>
      </c>
      <c r="G1057" s="8">
        <v>47220110000</v>
      </c>
      <c r="H1057">
        <f t="shared" si="16"/>
        <v>160164.05371436133</v>
      </c>
    </row>
    <row r="1058" spans="1:8" x14ac:dyDescent="0.3">
      <c r="A1058" s="7">
        <v>43924</v>
      </c>
      <c r="B1058" s="6">
        <v>4842.3999999999996</v>
      </c>
      <c r="C1058" s="6">
        <v>5366.4</v>
      </c>
      <c r="D1058" s="6">
        <v>4833.1000000000004</v>
      </c>
      <c r="E1058" s="6">
        <v>5067.5</v>
      </c>
      <c r="F1058" s="8">
        <v>5713155000</v>
      </c>
      <c r="G1058" s="8">
        <v>40613830000</v>
      </c>
      <c r="H1058">
        <f t="shared" si="16"/>
        <v>167609.31401733152</v>
      </c>
    </row>
    <row r="1059" spans="1:8" x14ac:dyDescent="0.3">
      <c r="A1059" s="7">
        <v>43930</v>
      </c>
      <c r="B1059" s="6">
        <v>5067.5</v>
      </c>
      <c r="C1059" s="6">
        <v>5423.1</v>
      </c>
      <c r="D1059" s="6">
        <v>5067.5</v>
      </c>
      <c r="E1059" s="6">
        <v>5387.3</v>
      </c>
      <c r="F1059" s="8">
        <v>4098575000</v>
      </c>
      <c r="G1059" s="8">
        <v>27940750000</v>
      </c>
      <c r="H1059">
        <f t="shared" si="16"/>
        <v>178186.80955215986</v>
      </c>
    </row>
    <row r="1060" spans="1:8" x14ac:dyDescent="0.3">
      <c r="A1060" s="7">
        <v>43938</v>
      </c>
      <c r="B1060" s="6">
        <v>5387.3</v>
      </c>
      <c r="C1060" s="6">
        <v>5563.6</v>
      </c>
      <c r="D1060" s="6">
        <v>5345</v>
      </c>
      <c r="E1060" s="6">
        <v>5487.5</v>
      </c>
      <c r="F1060" s="8">
        <v>4415913000</v>
      </c>
      <c r="G1060" s="8">
        <v>28861960000</v>
      </c>
      <c r="H1060">
        <f t="shared" si="16"/>
        <v>181500.9591850235</v>
      </c>
    </row>
    <row r="1061" spans="1:8" x14ac:dyDescent="0.3">
      <c r="A1061" s="7">
        <v>43945</v>
      </c>
      <c r="B1061" s="6">
        <v>5486.3</v>
      </c>
      <c r="C1061" s="6">
        <v>5490.6</v>
      </c>
      <c r="D1061" s="6">
        <v>5100.7</v>
      </c>
      <c r="E1061" s="6">
        <v>5242.6000000000004</v>
      </c>
      <c r="F1061" s="8">
        <v>4463600000</v>
      </c>
      <c r="G1061" s="8">
        <v>29497730000</v>
      </c>
      <c r="H1061">
        <f t="shared" si="16"/>
        <v>173400.80703843359</v>
      </c>
    </row>
    <row r="1062" spans="1:8" x14ac:dyDescent="0.3">
      <c r="A1062" s="7">
        <v>43952</v>
      </c>
      <c r="B1062" s="6">
        <v>5242.6000000000004</v>
      </c>
      <c r="C1062" s="6">
        <v>5549.1</v>
      </c>
      <c r="D1062" s="6">
        <v>5214.8</v>
      </c>
      <c r="E1062" s="6">
        <v>5245.9</v>
      </c>
      <c r="F1062" s="8">
        <v>4631251000</v>
      </c>
      <c r="G1062" s="8">
        <v>32634180000</v>
      </c>
      <c r="H1062">
        <f t="shared" si="16"/>
        <v>173509.95567903685</v>
      </c>
    </row>
    <row r="1063" spans="1:8" x14ac:dyDescent="0.3">
      <c r="A1063" s="7">
        <v>43959</v>
      </c>
      <c r="B1063" s="6">
        <v>5245.9</v>
      </c>
      <c r="C1063" s="6">
        <v>5428</v>
      </c>
      <c r="D1063" s="6">
        <v>5169.6000000000004</v>
      </c>
      <c r="E1063" s="6">
        <v>5391.1</v>
      </c>
      <c r="F1063" s="8">
        <v>3901394000</v>
      </c>
      <c r="G1063" s="8">
        <v>27533440000</v>
      </c>
      <c r="H1063">
        <f t="shared" si="16"/>
        <v>178312.49586558182</v>
      </c>
    </row>
    <row r="1064" spans="1:8" x14ac:dyDescent="0.3">
      <c r="A1064" s="7">
        <v>43966</v>
      </c>
      <c r="B1064" s="6">
        <v>5391.1</v>
      </c>
      <c r="C1064" s="6">
        <v>5489.5</v>
      </c>
      <c r="D1064" s="6">
        <v>5301.9</v>
      </c>
      <c r="E1064" s="6">
        <v>5404.8</v>
      </c>
      <c r="F1064" s="8">
        <v>4137562000</v>
      </c>
      <c r="G1064" s="8">
        <v>26527700000</v>
      </c>
      <c r="H1064">
        <f t="shared" si="16"/>
        <v>178765.62810081369</v>
      </c>
    </row>
    <row r="1065" spans="1:8" x14ac:dyDescent="0.3">
      <c r="A1065" s="7">
        <v>43973</v>
      </c>
      <c r="B1065" s="6">
        <v>5404.8</v>
      </c>
      <c r="C1065" s="6">
        <v>5610.8</v>
      </c>
      <c r="D1065" s="6">
        <v>5404.8</v>
      </c>
      <c r="E1065" s="6">
        <v>5497</v>
      </c>
      <c r="F1065" s="8">
        <v>4086961000</v>
      </c>
      <c r="G1065" s="8">
        <v>27286670000</v>
      </c>
      <c r="H1065">
        <f t="shared" si="16"/>
        <v>181815.17496857847</v>
      </c>
    </row>
    <row r="1066" spans="1:8" x14ac:dyDescent="0.3">
      <c r="A1066" s="7">
        <v>43980</v>
      </c>
      <c r="B1066" s="6">
        <v>5497</v>
      </c>
      <c r="C1066" s="6">
        <v>5922</v>
      </c>
      <c r="D1066" s="6">
        <v>5497</v>
      </c>
      <c r="E1066" s="6">
        <v>5755.7</v>
      </c>
      <c r="F1066" s="8">
        <v>6721227000</v>
      </c>
      <c r="G1066" s="8">
        <v>47494800000</v>
      </c>
      <c r="H1066">
        <f t="shared" si="16"/>
        <v>190371.76688496399</v>
      </c>
    </row>
    <row r="1067" spans="1:8" x14ac:dyDescent="0.3">
      <c r="A1067" s="7">
        <v>43987</v>
      </c>
      <c r="B1067" s="6">
        <v>5755.7</v>
      </c>
      <c r="C1067" s="6">
        <v>6040.2</v>
      </c>
      <c r="D1067" s="6">
        <v>5705.4</v>
      </c>
      <c r="E1067" s="6">
        <v>5998.7</v>
      </c>
      <c r="F1067" s="8">
        <v>5106819000</v>
      </c>
      <c r="G1067" s="8">
        <v>34662790000</v>
      </c>
      <c r="H1067">
        <f t="shared" si="16"/>
        <v>198409.07587484294</v>
      </c>
    </row>
    <row r="1068" spans="1:8" x14ac:dyDescent="0.3">
      <c r="A1068" s="7">
        <v>43994</v>
      </c>
      <c r="B1068" s="6">
        <v>5998.7</v>
      </c>
      <c r="C1068" s="6">
        <v>6198.6</v>
      </c>
      <c r="D1068" s="6">
        <v>5756.5</v>
      </c>
      <c r="E1068" s="6">
        <v>5847.8</v>
      </c>
      <c r="F1068" s="8">
        <v>4907468000</v>
      </c>
      <c r="G1068" s="8">
        <v>34150190000</v>
      </c>
      <c r="H1068">
        <f t="shared" si="16"/>
        <v>193418.00621816504</v>
      </c>
    </row>
    <row r="1069" spans="1:8" x14ac:dyDescent="0.3">
      <c r="A1069" s="7">
        <v>44001</v>
      </c>
      <c r="B1069" s="6">
        <v>5847.8</v>
      </c>
      <c r="C1069" s="6">
        <v>6006.3</v>
      </c>
      <c r="D1069" s="6">
        <v>5719.8</v>
      </c>
      <c r="E1069" s="6">
        <v>5942.6</v>
      </c>
      <c r="F1069" s="8">
        <v>6196036000</v>
      </c>
      <c r="G1069" s="8">
        <v>44016050000</v>
      </c>
      <c r="H1069">
        <f t="shared" si="16"/>
        <v>196553.54898458693</v>
      </c>
    </row>
    <row r="1070" spans="1:8" x14ac:dyDescent="0.3">
      <c r="A1070" s="7">
        <v>44008</v>
      </c>
      <c r="B1070" s="6">
        <v>5942.6</v>
      </c>
      <c r="C1070" s="6">
        <v>5999.2</v>
      </c>
      <c r="D1070" s="6">
        <v>5817.7</v>
      </c>
      <c r="E1070" s="6">
        <v>5904.1</v>
      </c>
      <c r="F1070" s="8">
        <v>4279813000</v>
      </c>
      <c r="G1070" s="8">
        <v>30242130000</v>
      </c>
      <c r="H1070">
        <f t="shared" si="16"/>
        <v>195280.14817754849</v>
      </c>
    </row>
    <row r="1071" spans="1:8" x14ac:dyDescent="0.3">
      <c r="A1071" s="7">
        <v>44015</v>
      </c>
      <c r="B1071" s="6">
        <v>5904.1</v>
      </c>
      <c r="C1071" s="6">
        <v>6101.4</v>
      </c>
      <c r="D1071" s="6">
        <v>5773.2</v>
      </c>
      <c r="E1071" s="6">
        <v>6057.9</v>
      </c>
      <c r="F1071" s="8">
        <v>3926256000</v>
      </c>
      <c r="G1071" s="8">
        <v>27971250000</v>
      </c>
      <c r="H1071">
        <f t="shared" si="16"/>
        <v>200367.13633657471</v>
      </c>
    </row>
    <row r="1072" spans="1:8" x14ac:dyDescent="0.3">
      <c r="A1072" s="7">
        <v>44022</v>
      </c>
      <c r="B1072" s="6">
        <v>6057.9</v>
      </c>
      <c r="C1072" s="6">
        <v>6078.3</v>
      </c>
      <c r="D1072" s="6">
        <v>5899.5</v>
      </c>
      <c r="E1072" s="6">
        <v>5919.2</v>
      </c>
      <c r="F1072" s="8">
        <v>3365418000</v>
      </c>
      <c r="G1072" s="8">
        <v>25473130000</v>
      </c>
      <c r="H1072">
        <f t="shared" si="16"/>
        <v>195779.58589667262</v>
      </c>
    </row>
    <row r="1073" spans="1:8" x14ac:dyDescent="0.3">
      <c r="A1073" s="7">
        <v>44029</v>
      </c>
      <c r="B1073" s="6">
        <v>5998.4</v>
      </c>
      <c r="C1073" s="6">
        <v>6078</v>
      </c>
      <c r="D1073" s="6">
        <v>5918.8</v>
      </c>
      <c r="E1073" s="6">
        <v>6033.6</v>
      </c>
      <c r="F1073" s="8">
        <v>3235487000</v>
      </c>
      <c r="G1073" s="8">
        <v>25742140000</v>
      </c>
      <c r="H1073">
        <f t="shared" si="16"/>
        <v>199563.40543758686</v>
      </c>
    </row>
    <row r="1074" spans="1:8" x14ac:dyDescent="0.3">
      <c r="A1074" s="7">
        <v>44036</v>
      </c>
      <c r="B1074" s="6">
        <v>6033.6</v>
      </c>
      <c r="C1074" s="6">
        <v>6160.6</v>
      </c>
      <c r="D1074" s="6">
        <v>5991.9</v>
      </c>
      <c r="E1074" s="6">
        <v>6024</v>
      </c>
      <c r="F1074" s="8">
        <v>2962388000</v>
      </c>
      <c r="G1074" s="8">
        <v>22028310000</v>
      </c>
      <c r="H1074">
        <f t="shared" si="16"/>
        <v>199245.88211946818</v>
      </c>
    </row>
    <row r="1075" spans="1:8" x14ac:dyDescent="0.3">
      <c r="A1075" s="7">
        <v>44043</v>
      </c>
      <c r="B1075" s="6">
        <v>6024</v>
      </c>
      <c r="C1075" s="6">
        <v>6113.8</v>
      </c>
      <c r="D1075" s="6">
        <v>5893.2</v>
      </c>
      <c r="E1075" s="6">
        <v>5927.8</v>
      </c>
      <c r="F1075" s="8">
        <v>3533026000</v>
      </c>
      <c r="G1075" s="8">
        <v>26986360000</v>
      </c>
      <c r="H1075">
        <f t="shared" si="16"/>
        <v>196064.03386915397</v>
      </c>
    </row>
    <row r="1076" spans="1:8" x14ac:dyDescent="0.3">
      <c r="A1076" s="7">
        <v>44050</v>
      </c>
      <c r="B1076" s="6">
        <v>5927.8</v>
      </c>
      <c r="C1076" s="6">
        <v>6059.5</v>
      </c>
      <c r="D1076" s="6">
        <v>5860.7</v>
      </c>
      <c r="E1076" s="6">
        <v>6004.8</v>
      </c>
      <c r="F1076" s="8">
        <v>3414718000</v>
      </c>
      <c r="G1076" s="8">
        <v>26238120000</v>
      </c>
      <c r="H1076">
        <f t="shared" si="16"/>
        <v>198610.83548323083</v>
      </c>
    </row>
    <row r="1077" spans="1:8" x14ac:dyDescent="0.3">
      <c r="A1077" s="7">
        <v>44057</v>
      </c>
      <c r="B1077" s="6">
        <v>6004.8</v>
      </c>
      <c r="C1077" s="6">
        <v>6186.1</v>
      </c>
      <c r="D1077" s="6">
        <v>6004.8</v>
      </c>
      <c r="E1077" s="6">
        <v>6126.2</v>
      </c>
      <c r="F1077" s="8">
        <v>3752733000</v>
      </c>
      <c r="G1077" s="8">
        <v>29347880000</v>
      </c>
      <c r="H1077">
        <f t="shared" si="16"/>
        <v>202626.18244360658</v>
      </c>
    </row>
    <row r="1078" spans="1:8" x14ac:dyDescent="0.3">
      <c r="A1078" s="7">
        <v>44064</v>
      </c>
      <c r="B1078" s="6">
        <v>6126.2</v>
      </c>
      <c r="C1078" s="6">
        <v>6196.6</v>
      </c>
      <c r="D1078" s="6">
        <v>6059.3</v>
      </c>
      <c r="E1078" s="6">
        <v>6111.2</v>
      </c>
      <c r="F1078" s="8">
        <v>4090026000</v>
      </c>
      <c r="G1078" s="8">
        <v>31908790000</v>
      </c>
      <c r="H1078">
        <f t="shared" si="16"/>
        <v>202130.05225904615</v>
      </c>
    </row>
    <row r="1079" spans="1:8" x14ac:dyDescent="0.3">
      <c r="A1079" s="7">
        <v>44071</v>
      </c>
      <c r="B1079" s="6">
        <v>6111.2</v>
      </c>
      <c r="C1079" s="6">
        <v>6199.2</v>
      </c>
      <c r="D1079" s="6">
        <v>6056</v>
      </c>
      <c r="E1079" s="6">
        <v>6073.8</v>
      </c>
      <c r="F1079" s="8">
        <v>4236599000</v>
      </c>
      <c r="G1079" s="8">
        <v>31701440000</v>
      </c>
      <c r="H1079">
        <f t="shared" si="16"/>
        <v>200893.03433220883</v>
      </c>
    </row>
    <row r="1080" spans="1:8" x14ac:dyDescent="0.3">
      <c r="A1080" s="7">
        <v>44078</v>
      </c>
      <c r="B1080" s="6">
        <v>6073.8</v>
      </c>
      <c r="C1080" s="6">
        <v>6130.8</v>
      </c>
      <c r="D1080" s="6">
        <v>5908.9</v>
      </c>
      <c r="E1080" s="6">
        <v>5925.5</v>
      </c>
      <c r="F1080" s="8">
        <v>3998766000</v>
      </c>
      <c r="G1080" s="8">
        <v>30826940000</v>
      </c>
      <c r="H1080">
        <f t="shared" si="16"/>
        <v>195987.96057418804</v>
      </c>
    </row>
    <row r="1081" spans="1:8" x14ac:dyDescent="0.3">
      <c r="A1081" s="7">
        <v>44085</v>
      </c>
      <c r="B1081" s="6">
        <v>5925.5</v>
      </c>
      <c r="C1081" s="6">
        <v>6025.5</v>
      </c>
      <c r="D1081" s="6">
        <v>5836.2</v>
      </c>
      <c r="E1081" s="6">
        <v>5859.4</v>
      </c>
      <c r="F1081" s="8">
        <v>3390567000</v>
      </c>
      <c r="G1081" s="8">
        <v>24661500000</v>
      </c>
      <c r="H1081">
        <f t="shared" si="16"/>
        <v>193801.68022755839</v>
      </c>
    </row>
    <row r="1082" spans="1:8" x14ac:dyDescent="0.3">
      <c r="A1082" s="7">
        <v>44092</v>
      </c>
      <c r="B1082" s="6">
        <v>5859.4</v>
      </c>
      <c r="C1082" s="6">
        <v>5958.5</v>
      </c>
      <c r="D1082" s="6">
        <v>5859.4</v>
      </c>
      <c r="E1082" s="6">
        <v>5864.5</v>
      </c>
      <c r="F1082" s="8">
        <v>4691381000</v>
      </c>
      <c r="G1082" s="8">
        <v>35864300000</v>
      </c>
      <c r="H1082">
        <f t="shared" si="16"/>
        <v>193970.36449030894</v>
      </c>
    </row>
    <row r="1083" spans="1:8" x14ac:dyDescent="0.3">
      <c r="A1083" s="7">
        <v>44099</v>
      </c>
      <c r="B1083" s="6">
        <v>5864.5</v>
      </c>
      <c r="C1083" s="6">
        <v>5973.7</v>
      </c>
      <c r="D1083" s="6">
        <v>5763.2</v>
      </c>
      <c r="E1083" s="6">
        <v>5964.9</v>
      </c>
      <c r="F1083" s="8">
        <v>3701911000</v>
      </c>
      <c r="G1083" s="8">
        <v>28117470000</v>
      </c>
      <c r="H1083">
        <f t="shared" si="16"/>
        <v>197291.12919230005</v>
      </c>
    </row>
    <row r="1084" spans="1:8" x14ac:dyDescent="0.3">
      <c r="A1084" s="7">
        <v>44106</v>
      </c>
      <c r="B1084" s="6">
        <v>5964.9</v>
      </c>
      <c r="C1084" s="6">
        <v>5995.4</v>
      </c>
      <c r="D1084" s="6">
        <v>5779.6</v>
      </c>
      <c r="E1084" s="6">
        <v>5791.5</v>
      </c>
      <c r="F1084" s="8">
        <v>3524037000</v>
      </c>
      <c r="G1084" s="8">
        <v>26000540000</v>
      </c>
      <c r="H1084">
        <f t="shared" si="16"/>
        <v>191555.86425878151</v>
      </c>
    </row>
    <row r="1085" spans="1:8" x14ac:dyDescent="0.3">
      <c r="A1085" s="7">
        <v>44113</v>
      </c>
      <c r="B1085" s="6">
        <v>5791.5</v>
      </c>
      <c r="C1085" s="6">
        <v>6127.4</v>
      </c>
      <c r="D1085" s="6">
        <v>5791.5</v>
      </c>
      <c r="E1085" s="6">
        <v>6102.2</v>
      </c>
      <c r="F1085" s="8">
        <v>2884426000</v>
      </c>
      <c r="G1085" s="8">
        <v>22339420000</v>
      </c>
      <c r="H1085">
        <f t="shared" si="16"/>
        <v>201832.37414830987</v>
      </c>
    </row>
    <row r="1086" spans="1:8" x14ac:dyDescent="0.3">
      <c r="A1086" s="7">
        <v>44120</v>
      </c>
      <c r="B1086" s="6">
        <v>6102.2</v>
      </c>
      <c r="C1086" s="6">
        <v>6233.4</v>
      </c>
      <c r="D1086" s="6">
        <v>6093.1</v>
      </c>
      <c r="E1086" s="6">
        <v>6176.8</v>
      </c>
      <c r="F1086" s="8">
        <v>3091978000</v>
      </c>
      <c r="G1086" s="8">
        <v>25742590000</v>
      </c>
      <c r="H1086">
        <f t="shared" si="16"/>
        <v>204299.7949328571</v>
      </c>
    </row>
    <row r="1087" spans="1:8" x14ac:dyDescent="0.3">
      <c r="A1087" s="7">
        <v>44127</v>
      </c>
      <c r="B1087" s="6">
        <v>6176.8</v>
      </c>
      <c r="C1087" s="6">
        <v>6248.3</v>
      </c>
      <c r="D1087" s="6">
        <v>6100.6</v>
      </c>
      <c r="E1087" s="6">
        <v>6167</v>
      </c>
      <c r="F1087" s="8">
        <v>2982376000</v>
      </c>
      <c r="G1087" s="8">
        <v>23834210000</v>
      </c>
      <c r="H1087">
        <f t="shared" si="16"/>
        <v>203975.65654561092</v>
      </c>
    </row>
    <row r="1088" spans="1:8" x14ac:dyDescent="0.3">
      <c r="A1088" s="7">
        <v>44134</v>
      </c>
      <c r="B1088" s="6">
        <v>6167</v>
      </c>
      <c r="C1088" s="6">
        <v>6206.5</v>
      </c>
      <c r="D1088" s="6">
        <v>5927.6</v>
      </c>
      <c r="E1088" s="6">
        <v>5927.6</v>
      </c>
      <c r="F1088" s="8">
        <v>3522298000</v>
      </c>
      <c r="G1088" s="8">
        <v>26596860000</v>
      </c>
      <c r="H1088">
        <f t="shared" si="16"/>
        <v>196057.4188000265</v>
      </c>
    </row>
    <row r="1089" spans="1:8" x14ac:dyDescent="0.3">
      <c r="A1089" s="7">
        <v>44141</v>
      </c>
      <c r="B1089" s="6">
        <v>5927.6</v>
      </c>
      <c r="C1089" s="6">
        <v>6202.3</v>
      </c>
      <c r="D1089" s="6">
        <v>5904.1</v>
      </c>
      <c r="E1089" s="6">
        <v>6190.2</v>
      </c>
      <c r="F1089" s="8">
        <v>3251000000</v>
      </c>
      <c r="G1089" s="8">
        <v>26306740000</v>
      </c>
      <c r="H1089">
        <f t="shared" si="16"/>
        <v>204743.00456439771</v>
      </c>
    </row>
    <row r="1090" spans="1:8" x14ac:dyDescent="0.3">
      <c r="A1090" s="7">
        <v>44148</v>
      </c>
      <c r="B1090" s="6">
        <v>6190.2</v>
      </c>
      <c r="C1090" s="6">
        <v>6470.9</v>
      </c>
      <c r="D1090" s="6">
        <v>6190.2</v>
      </c>
      <c r="E1090" s="6">
        <v>6405.2</v>
      </c>
      <c r="F1090" s="8">
        <v>4404154000</v>
      </c>
      <c r="G1090" s="8">
        <v>37319670000</v>
      </c>
      <c r="H1090">
        <f t="shared" si="16"/>
        <v>211854.20387643052</v>
      </c>
    </row>
    <row r="1091" spans="1:8" x14ac:dyDescent="0.3">
      <c r="A1091" s="7">
        <v>44155</v>
      </c>
      <c r="B1091" s="6">
        <v>6405.2</v>
      </c>
      <c r="C1091" s="6">
        <v>6562.1</v>
      </c>
      <c r="D1091" s="6">
        <v>6405.2</v>
      </c>
      <c r="E1091" s="6">
        <v>6539.2</v>
      </c>
      <c r="F1091" s="8">
        <v>3187019000</v>
      </c>
      <c r="G1091" s="8">
        <v>28728260000</v>
      </c>
      <c r="H1091">
        <f t="shared" si="16"/>
        <v>216286.30019183701</v>
      </c>
    </row>
    <row r="1092" spans="1:8" x14ac:dyDescent="0.3">
      <c r="A1092" s="7">
        <v>44162</v>
      </c>
      <c r="B1092" s="6">
        <v>6539.2</v>
      </c>
      <c r="C1092" s="6">
        <v>6713.3</v>
      </c>
      <c r="D1092" s="6">
        <v>6539.2</v>
      </c>
      <c r="E1092" s="6">
        <v>6601.1</v>
      </c>
      <c r="F1092" s="8">
        <v>3448874000</v>
      </c>
      <c r="G1092" s="8">
        <v>29857570000</v>
      </c>
      <c r="H1092">
        <f t="shared" ref="H1092:H1155" si="17">H1091*(E1092/E1091)</f>
        <v>218333.66408678974</v>
      </c>
    </row>
    <row r="1093" spans="1:8" x14ac:dyDescent="0.3">
      <c r="A1093" s="7">
        <v>44169</v>
      </c>
      <c r="B1093" s="6">
        <v>6601.1</v>
      </c>
      <c r="C1093" s="6">
        <v>6650.1</v>
      </c>
      <c r="D1093" s="6">
        <v>6511.4</v>
      </c>
      <c r="E1093" s="6">
        <v>6634.1</v>
      </c>
      <c r="F1093" s="8">
        <v>3881940000</v>
      </c>
      <c r="G1093" s="8">
        <v>36288610000</v>
      </c>
      <c r="H1093">
        <f t="shared" si="17"/>
        <v>219425.15049282269</v>
      </c>
    </row>
    <row r="1094" spans="1:8" x14ac:dyDescent="0.3">
      <c r="A1094" s="7">
        <v>44176</v>
      </c>
      <c r="B1094" s="6">
        <v>6634.3</v>
      </c>
      <c r="C1094" s="6">
        <v>6745.3</v>
      </c>
      <c r="D1094" s="6">
        <v>6632.3</v>
      </c>
      <c r="E1094" s="6">
        <v>6642.6</v>
      </c>
      <c r="F1094" s="8">
        <v>3233633000</v>
      </c>
      <c r="G1094" s="8">
        <v>29662580000</v>
      </c>
      <c r="H1094">
        <f t="shared" si="17"/>
        <v>219706.29093074027</v>
      </c>
    </row>
    <row r="1095" spans="1:8" x14ac:dyDescent="0.3">
      <c r="A1095" s="7">
        <v>44183</v>
      </c>
      <c r="B1095" s="6">
        <v>6642.6</v>
      </c>
      <c r="C1095" s="6">
        <v>6765.7</v>
      </c>
      <c r="D1095" s="6">
        <v>6625.7</v>
      </c>
      <c r="E1095" s="6">
        <v>6675.5</v>
      </c>
      <c r="F1095" s="8">
        <v>4092623000</v>
      </c>
      <c r="G1095" s="8">
        <v>37190230000</v>
      </c>
      <c r="H1095">
        <f t="shared" si="17"/>
        <v>220794.46980220947</v>
      </c>
    </row>
    <row r="1096" spans="1:8" x14ac:dyDescent="0.3">
      <c r="A1096" s="7">
        <v>44189</v>
      </c>
      <c r="B1096" s="6">
        <v>6675.5</v>
      </c>
      <c r="C1096" s="6">
        <v>6704.9</v>
      </c>
      <c r="D1096" s="6">
        <v>6585</v>
      </c>
      <c r="E1096" s="6">
        <v>6664.8</v>
      </c>
      <c r="F1096" s="8">
        <v>1800196000</v>
      </c>
      <c r="G1096" s="8">
        <v>15704750000</v>
      </c>
      <c r="H1096">
        <f t="shared" si="17"/>
        <v>220440.56360388969</v>
      </c>
    </row>
    <row r="1097" spans="1:8" x14ac:dyDescent="0.3">
      <c r="A1097" s="7">
        <v>44196</v>
      </c>
      <c r="B1097" s="6">
        <v>6664.8</v>
      </c>
      <c r="C1097" s="6">
        <v>6725.1</v>
      </c>
      <c r="D1097" s="6">
        <v>6587.1</v>
      </c>
      <c r="E1097" s="6">
        <v>6587.1</v>
      </c>
      <c r="F1097" s="8">
        <v>957437200</v>
      </c>
      <c r="G1097" s="8">
        <v>7779717000</v>
      </c>
      <c r="H1097">
        <f t="shared" si="17"/>
        <v>217870.6092478667</v>
      </c>
    </row>
    <row r="1098" spans="1:8" x14ac:dyDescent="0.3">
      <c r="A1098" s="7">
        <v>44204</v>
      </c>
      <c r="B1098" s="6">
        <v>6587.1</v>
      </c>
      <c r="C1098" s="6">
        <v>6757.9</v>
      </c>
      <c r="D1098" s="6">
        <v>6587.1</v>
      </c>
      <c r="E1098" s="6">
        <v>6757.9</v>
      </c>
      <c r="F1098" s="8">
        <v>2552646000</v>
      </c>
      <c r="G1098" s="8">
        <v>23025020000</v>
      </c>
      <c r="H1098">
        <f t="shared" si="17"/>
        <v>223519.87828272808</v>
      </c>
    </row>
    <row r="1099" spans="1:8" x14ac:dyDescent="0.3">
      <c r="A1099" s="7">
        <v>44211</v>
      </c>
      <c r="B1099" s="6">
        <v>6757.9</v>
      </c>
      <c r="C1099" s="6">
        <v>6761</v>
      </c>
      <c r="D1099" s="6">
        <v>6657.1</v>
      </c>
      <c r="E1099" s="6">
        <v>6715.4</v>
      </c>
      <c r="F1099" s="8">
        <v>2711402000</v>
      </c>
      <c r="G1099" s="8">
        <v>23449510000</v>
      </c>
      <c r="H1099">
        <f t="shared" si="17"/>
        <v>222114.17609314018</v>
      </c>
    </row>
    <row r="1100" spans="1:8" x14ac:dyDescent="0.3">
      <c r="A1100" s="7">
        <v>44218</v>
      </c>
      <c r="B1100" s="6">
        <v>6715.4</v>
      </c>
      <c r="C1100" s="6">
        <v>6829.3</v>
      </c>
      <c r="D1100" s="6">
        <v>6651.6</v>
      </c>
      <c r="E1100" s="6">
        <v>6800.4</v>
      </c>
      <c r="F1100" s="8">
        <v>2741573000</v>
      </c>
      <c r="G1100" s="8">
        <v>25866830000</v>
      </c>
      <c r="H1100">
        <f t="shared" si="17"/>
        <v>224925.58047231592</v>
      </c>
    </row>
    <row r="1101" spans="1:8" x14ac:dyDescent="0.3">
      <c r="A1101" s="7">
        <v>44225</v>
      </c>
      <c r="B1101" s="6">
        <v>6800.4</v>
      </c>
      <c r="C1101" s="6">
        <v>6832.6</v>
      </c>
      <c r="D1101" s="6">
        <v>6585.3</v>
      </c>
      <c r="E1101" s="6">
        <v>6607.4</v>
      </c>
      <c r="F1101" s="8">
        <v>2484589000</v>
      </c>
      <c r="G1101" s="8">
        <v>23394740000</v>
      </c>
      <c r="H1101">
        <f t="shared" si="17"/>
        <v>218542.03876430506</v>
      </c>
    </row>
    <row r="1102" spans="1:8" x14ac:dyDescent="0.3">
      <c r="A1102" s="7">
        <v>44232</v>
      </c>
      <c r="B1102" s="6">
        <v>6607.4</v>
      </c>
      <c r="C1102" s="6">
        <v>6852.9</v>
      </c>
      <c r="D1102" s="6">
        <v>6517.2</v>
      </c>
      <c r="E1102" s="6">
        <v>6840.5</v>
      </c>
      <c r="F1102" s="8">
        <v>3059102000</v>
      </c>
      <c r="G1102" s="8">
        <v>26822880000</v>
      </c>
      <c r="H1102">
        <f t="shared" si="17"/>
        <v>226251.90183237413</v>
      </c>
    </row>
    <row r="1103" spans="1:8" x14ac:dyDescent="0.3">
      <c r="A1103" s="7">
        <v>44239</v>
      </c>
      <c r="B1103" s="6">
        <v>6840.5</v>
      </c>
      <c r="C1103" s="6">
        <v>6901</v>
      </c>
      <c r="D1103" s="6">
        <v>6802.4</v>
      </c>
      <c r="E1103" s="6">
        <v>6806.7</v>
      </c>
      <c r="F1103" s="8">
        <v>2547057000</v>
      </c>
      <c r="G1103" s="8">
        <v>23410380000</v>
      </c>
      <c r="H1103">
        <f t="shared" si="17"/>
        <v>225133.95514983131</v>
      </c>
    </row>
    <row r="1104" spans="1:8" x14ac:dyDescent="0.3">
      <c r="A1104" s="7">
        <v>44246</v>
      </c>
      <c r="B1104" s="6">
        <v>6806.7</v>
      </c>
      <c r="C1104" s="6">
        <v>6938</v>
      </c>
      <c r="D1104" s="6">
        <v>6769.9</v>
      </c>
      <c r="E1104" s="6">
        <v>6793.8</v>
      </c>
      <c r="F1104" s="8">
        <v>3345438000</v>
      </c>
      <c r="G1104" s="8">
        <v>32677980000</v>
      </c>
      <c r="H1104">
        <f t="shared" si="17"/>
        <v>224707.28319110934</v>
      </c>
    </row>
    <row r="1105" spans="1:8" x14ac:dyDescent="0.3">
      <c r="A1105" s="7">
        <v>44253</v>
      </c>
      <c r="B1105" s="6">
        <v>6793.8</v>
      </c>
      <c r="C1105" s="6">
        <v>6857.3</v>
      </c>
      <c r="D1105" s="6">
        <v>6658.9</v>
      </c>
      <c r="E1105" s="6">
        <v>6673.3</v>
      </c>
      <c r="F1105" s="8">
        <v>3976485000</v>
      </c>
      <c r="G1105" s="8">
        <v>35106750000</v>
      </c>
      <c r="H1105">
        <f t="shared" si="17"/>
        <v>220721.70404180721</v>
      </c>
    </row>
    <row r="1106" spans="1:8" x14ac:dyDescent="0.3">
      <c r="A1106" s="7">
        <v>44260</v>
      </c>
      <c r="B1106" s="6">
        <v>6673.3</v>
      </c>
      <c r="C1106" s="6">
        <v>6860.7</v>
      </c>
      <c r="D1106" s="6">
        <v>6660.5</v>
      </c>
      <c r="E1106" s="6">
        <v>6710.8</v>
      </c>
      <c r="F1106" s="8">
        <v>3504848000</v>
      </c>
      <c r="G1106" s="8">
        <v>31997490000</v>
      </c>
      <c r="H1106">
        <f t="shared" si="17"/>
        <v>221962.02950320826</v>
      </c>
    </row>
    <row r="1107" spans="1:8" x14ac:dyDescent="0.3">
      <c r="A1107" s="7">
        <v>44267</v>
      </c>
      <c r="B1107" s="6">
        <v>6710.8</v>
      </c>
      <c r="C1107" s="6">
        <v>6835.6</v>
      </c>
      <c r="D1107" s="6">
        <v>6648.6</v>
      </c>
      <c r="E1107" s="6">
        <v>6766.8</v>
      </c>
      <c r="F1107" s="8">
        <v>3097216000</v>
      </c>
      <c r="G1107" s="8">
        <v>28890570000</v>
      </c>
      <c r="H1107">
        <f t="shared" si="17"/>
        <v>223814.24885890051</v>
      </c>
    </row>
    <row r="1108" spans="1:8" x14ac:dyDescent="0.3">
      <c r="A1108" s="7">
        <v>44274</v>
      </c>
      <c r="B1108" s="6">
        <v>6766.8</v>
      </c>
      <c r="C1108" s="6">
        <v>6858.9</v>
      </c>
      <c r="D1108" s="6">
        <v>6673.7</v>
      </c>
      <c r="E1108" s="6">
        <v>6708.2</v>
      </c>
      <c r="F1108" s="8">
        <v>3636702000</v>
      </c>
      <c r="G1108" s="8">
        <v>33965640000</v>
      </c>
      <c r="H1108">
        <f t="shared" si="17"/>
        <v>221876.03360455108</v>
      </c>
    </row>
    <row r="1109" spans="1:8" x14ac:dyDescent="0.3">
      <c r="A1109" s="7">
        <v>44281</v>
      </c>
      <c r="B1109" s="6">
        <v>6708.2</v>
      </c>
      <c r="C1109" s="6">
        <v>6835</v>
      </c>
      <c r="D1109" s="6">
        <v>6688.2</v>
      </c>
      <c r="E1109" s="6">
        <v>6824.2</v>
      </c>
      <c r="F1109" s="8">
        <v>2624186000</v>
      </c>
      <c r="G1109" s="8">
        <v>22639340000</v>
      </c>
      <c r="H1109">
        <f t="shared" si="17"/>
        <v>225712.77369848508</v>
      </c>
    </row>
    <row r="1110" spans="1:8" x14ac:dyDescent="0.3">
      <c r="A1110" s="7">
        <v>44287</v>
      </c>
      <c r="B1110" s="6">
        <v>6824.2</v>
      </c>
      <c r="C1110" s="6">
        <v>6862.6</v>
      </c>
      <c r="D1110" s="6">
        <v>6738.4</v>
      </c>
      <c r="E1110" s="6">
        <v>6828.7</v>
      </c>
      <c r="F1110" s="8">
        <v>2206701000</v>
      </c>
      <c r="G1110" s="8">
        <v>19269230000</v>
      </c>
      <c r="H1110">
        <f t="shared" si="17"/>
        <v>225861.61275385323</v>
      </c>
    </row>
    <row r="1111" spans="1:8" x14ac:dyDescent="0.3">
      <c r="A1111" s="7">
        <v>44295</v>
      </c>
      <c r="B1111" s="6">
        <v>6828.7</v>
      </c>
      <c r="C1111" s="6">
        <v>7012.4</v>
      </c>
      <c r="D1111" s="6">
        <v>6828.7</v>
      </c>
      <c r="E1111" s="6">
        <v>6995.2</v>
      </c>
      <c r="F1111" s="8">
        <v>2101078000</v>
      </c>
      <c r="G1111" s="8">
        <v>18802710000</v>
      </c>
      <c r="H1111">
        <f t="shared" si="17"/>
        <v>231368.65780247399</v>
      </c>
    </row>
    <row r="1112" spans="1:8" x14ac:dyDescent="0.3">
      <c r="A1112" s="7">
        <v>44302</v>
      </c>
      <c r="B1112" s="6">
        <v>6996.7</v>
      </c>
      <c r="C1112" s="6">
        <v>7071.5</v>
      </c>
      <c r="D1112" s="6">
        <v>6957.4</v>
      </c>
      <c r="E1112" s="6">
        <v>7063.5</v>
      </c>
      <c r="F1112" s="8">
        <v>2802662000</v>
      </c>
      <c r="G1112" s="8">
        <v>24620630000</v>
      </c>
      <c r="H1112">
        <f t="shared" si="17"/>
        <v>233627.70390950583</v>
      </c>
    </row>
    <row r="1113" spans="1:8" x14ac:dyDescent="0.3">
      <c r="A1113" s="7">
        <v>44309</v>
      </c>
      <c r="B1113" s="6">
        <v>7063.5</v>
      </c>
      <c r="C1113" s="6">
        <v>7094.8</v>
      </c>
      <c r="D1113" s="6">
        <v>6905.4</v>
      </c>
      <c r="E1113" s="6">
        <v>7060.7</v>
      </c>
      <c r="F1113" s="8">
        <v>2866637000</v>
      </c>
      <c r="G1113" s="8">
        <v>23838550000</v>
      </c>
      <c r="H1113">
        <f t="shared" si="17"/>
        <v>233535.0929417212</v>
      </c>
    </row>
    <row r="1114" spans="1:8" x14ac:dyDescent="0.3">
      <c r="A1114" s="7">
        <v>44316</v>
      </c>
      <c r="B1114" s="6">
        <v>7060.7</v>
      </c>
      <c r="C1114" s="6">
        <v>7096.9</v>
      </c>
      <c r="D1114" s="6">
        <v>7005.9</v>
      </c>
      <c r="E1114" s="6">
        <v>7025.8</v>
      </c>
      <c r="F1114" s="8">
        <v>2894940000</v>
      </c>
      <c r="G1114" s="8">
        <v>24476850000</v>
      </c>
      <c r="H1114">
        <f t="shared" si="17"/>
        <v>232380.76337897728</v>
      </c>
    </row>
    <row r="1115" spans="1:8" x14ac:dyDescent="0.3">
      <c r="A1115" s="7">
        <v>44323</v>
      </c>
      <c r="B1115" s="6">
        <v>7025.8</v>
      </c>
      <c r="C1115" s="6">
        <v>7122</v>
      </c>
      <c r="D1115" s="6">
        <v>7022</v>
      </c>
      <c r="E1115" s="6">
        <v>7080.8</v>
      </c>
      <c r="F1115" s="8">
        <v>2620289000</v>
      </c>
      <c r="G1115" s="8">
        <v>24528910000</v>
      </c>
      <c r="H1115">
        <f t="shared" si="17"/>
        <v>234199.90738903219</v>
      </c>
    </row>
    <row r="1116" spans="1:8" x14ac:dyDescent="0.3">
      <c r="A1116" s="7">
        <v>44330</v>
      </c>
      <c r="B1116" s="6">
        <v>7080.8</v>
      </c>
      <c r="C1116" s="6">
        <v>7172.8</v>
      </c>
      <c r="D1116" s="6">
        <v>6966.5</v>
      </c>
      <c r="E1116" s="6">
        <v>7014.2</v>
      </c>
      <c r="F1116" s="8">
        <v>2930089000</v>
      </c>
      <c r="G1116" s="8">
        <v>26472200000</v>
      </c>
      <c r="H1116">
        <f t="shared" si="17"/>
        <v>231997.08936958387</v>
      </c>
    </row>
    <row r="1117" spans="1:8" x14ac:dyDescent="0.3">
      <c r="A1117" s="7">
        <v>44337</v>
      </c>
      <c r="B1117" s="6">
        <v>7014.2</v>
      </c>
      <c r="C1117" s="6">
        <v>7083.6</v>
      </c>
      <c r="D1117" s="6">
        <v>6917.3</v>
      </c>
      <c r="E1117" s="6">
        <v>7030.3</v>
      </c>
      <c r="F1117" s="8">
        <v>2934607000</v>
      </c>
      <c r="G1117" s="8">
        <v>26290030000</v>
      </c>
      <c r="H1117">
        <f t="shared" si="17"/>
        <v>232529.60243434543</v>
      </c>
    </row>
    <row r="1118" spans="1:8" x14ac:dyDescent="0.3">
      <c r="A1118" s="7">
        <v>44344</v>
      </c>
      <c r="B1118" s="6">
        <v>7030.3</v>
      </c>
      <c r="C1118" s="6">
        <v>7186.8</v>
      </c>
      <c r="D1118" s="6">
        <v>7015.5</v>
      </c>
      <c r="E1118" s="6">
        <v>7179.5</v>
      </c>
      <c r="F1118" s="8">
        <v>3459779000</v>
      </c>
      <c r="G1118" s="8">
        <v>30290560000</v>
      </c>
      <c r="H1118">
        <f t="shared" si="17"/>
        <v>237464.4440034398</v>
      </c>
    </row>
    <row r="1119" spans="1:8" x14ac:dyDescent="0.3">
      <c r="A1119" s="7">
        <v>44351</v>
      </c>
      <c r="B1119" s="6">
        <v>7179.5</v>
      </c>
      <c r="C1119" s="6">
        <v>7300.5</v>
      </c>
      <c r="D1119" s="6">
        <v>7117.5</v>
      </c>
      <c r="E1119" s="6">
        <v>7295.4</v>
      </c>
      <c r="F1119" s="8">
        <v>2727909000</v>
      </c>
      <c r="G1119" s="8">
        <v>23510300000</v>
      </c>
      <c r="H1119">
        <f t="shared" si="17"/>
        <v>241297.87656281004</v>
      </c>
    </row>
    <row r="1120" spans="1:8" x14ac:dyDescent="0.3">
      <c r="A1120" s="7">
        <v>44358</v>
      </c>
      <c r="B1120" s="6">
        <v>7295.4</v>
      </c>
      <c r="C1120" s="6">
        <v>7334.9</v>
      </c>
      <c r="D1120" s="6">
        <v>7265.6</v>
      </c>
      <c r="E1120" s="6">
        <v>7312.3</v>
      </c>
      <c r="F1120" s="8">
        <v>2730603000</v>
      </c>
      <c r="G1120" s="8">
        <v>23500440000</v>
      </c>
      <c r="H1120">
        <f t="shared" si="17"/>
        <v>241856.84990408146</v>
      </c>
    </row>
    <row r="1121" spans="1:8" x14ac:dyDescent="0.3">
      <c r="A1121" s="7">
        <v>44365</v>
      </c>
      <c r="B1121" s="6">
        <v>7312.3</v>
      </c>
      <c r="C1121" s="6">
        <v>7406.2</v>
      </c>
      <c r="D1121" s="6">
        <v>7312.3</v>
      </c>
      <c r="E1121" s="6">
        <v>7368.9</v>
      </c>
      <c r="F1121" s="8">
        <v>3273882000</v>
      </c>
      <c r="G1121" s="8">
        <v>30534820000</v>
      </c>
      <c r="H1121">
        <f t="shared" si="17"/>
        <v>243728.91446715614</v>
      </c>
    </row>
    <row r="1122" spans="1:8" x14ac:dyDescent="0.3">
      <c r="A1122" s="7">
        <v>44372</v>
      </c>
      <c r="B1122" s="6">
        <v>7368.9</v>
      </c>
      <c r="C1122" s="6">
        <v>7368.9</v>
      </c>
      <c r="D1122" s="6">
        <v>7216.6</v>
      </c>
      <c r="E1122" s="6">
        <v>7308</v>
      </c>
      <c r="F1122" s="8">
        <v>3129485000</v>
      </c>
      <c r="G1122" s="8">
        <v>28329640000</v>
      </c>
      <c r="H1122">
        <f t="shared" si="17"/>
        <v>241714.62591784081</v>
      </c>
    </row>
    <row r="1123" spans="1:8" x14ac:dyDescent="0.3">
      <c r="A1123" s="7">
        <v>44379</v>
      </c>
      <c r="B1123" s="6">
        <v>7308</v>
      </c>
      <c r="C1123" s="6">
        <v>7370.1</v>
      </c>
      <c r="D1123" s="6">
        <v>7241.5</v>
      </c>
      <c r="E1123" s="6">
        <v>7308.6</v>
      </c>
      <c r="F1123" s="8">
        <v>2779872000</v>
      </c>
      <c r="G1123" s="8">
        <v>24011350000</v>
      </c>
      <c r="H1123">
        <f t="shared" si="17"/>
        <v>241734.47112522324</v>
      </c>
    </row>
    <row r="1124" spans="1:8" x14ac:dyDescent="0.3">
      <c r="A1124" s="7">
        <v>44386</v>
      </c>
      <c r="B1124" s="6">
        <v>7308.6</v>
      </c>
      <c r="C1124" s="6">
        <v>7381.9</v>
      </c>
      <c r="D1124" s="6">
        <v>7226</v>
      </c>
      <c r="E1124" s="6">
        <v>7273.3</v>
      </c>
      <c r="F1124" s="8">
        <v>3003712000</v>
      </c>
      <c r="G1124" s="8">
        <v>26469790000</v>
      </c>
      <c r="H1124">
        <f t="shared" si="17"/>
        <v>240566.91142422435</v>
      </c>
    </row>
    <row r="1125" spans="1:8" x14ac:dyDescent="0.3">
      <c r="A1125" s="7">
        <v>44393</v>
      </c>
      <c r="B1125" s="6">
        <v>7273.3</v>
      </c>
      <c r="C1125" s="6">
        <v>7382.2</v>
      </c>
      <c r="D1125" s="6">
        <v>7273.3</v>
      </c>
      <c r="E1125" s="6">
        <v>7348.1</v>
      </c>
      <c r="F1125" s="8">
        <v>2885482000</v>
      </c>
      <c r="G1125" s="8">
        <v>26842780000</v>
      </c>
      <c r="H1125">
        <f t="shared" si="17"/>
        <v>243040.94727789905</v>
      </c>
    </row>
    <row r="1126" spans="1:8" x14ac:dyDescent="0.3">
      <c r="A1126" s="7">
        <v>44400</v>
      </c>
      <c r="B1126" s="6">
        <v>7348.1</v>
      </c>
      <c r="C1126" s="6">
        <v>7398.7</v>
      </c>
      <c r="D1126" s="6">
        <v>7205</v>
      </c>
      <c r="E1126" s="6">
        <v>7394.4</v>
      </c>
      <c r="F1126" s="8">
        <v>2775577000</v>
      </c>
      <c r="G1126" s="8">
        <v>24211550000</v>
      </c>
      <c r="H1126">
        <f t="shared" si="17"/>
        <v>244572.33578090888</v>
      </c>
    </row>
    <row r="1127" spans="1:8" x14ac:dyDescent="0.3">
      <c r="A1127" s="7">
        <v>44407</v>
      </c>
      <c r="B1127" s="6">
        <v>7394.4</v>
      </c>
      <c r="C1127" s="6">
        <v>7447.9</v>
      </c>
      <c r="D1127" s="6">
        <v>7368.3</v>
      </c>
      <c r="E1127" s="6">
        <v>7392.6</v>
      </c>
      <c r="F1127" s="8">
        <v>2841126000</v>
      </c>
      <c r="G1127" s="8">
        <v>25315560000</v>
      </c>
      <c r="H1127">
        <f t="shared" si="17"/>
        <v>244512.80015876165</v>
      </c>
    </row>
    <row r="1128" spans="1:8" x14ac:dyDescent="0.3">
      <c r="A1128" s="7">
        <v>44414</v>
      </c>
      <c r="B1128" s="6">
        <v>7415.9</v>
      </c>
      <c r="C1128" s="6">
        <v>7538.4</v>
      </c>
      <c r="D1128" s="6">
        <v>7414.9</v>
      </c>
      <c r="E1128" s="6">
        <v>7538.4</v>
      </c>
      <c r="F1128" s="8">
        <v>2748956000</v>
      </c>
      <c r="G1128" s="8">
        <v>28084510000</v>
      </c>
      <c r="H1128">
        <f t="shared" si="17"/>
        <v>249335.18555268901</v>
      </c>
    </row>
    <row r="1129" spans="1:8" x14ac:dyDescent="0.3">
      <c r="A1129" s="7">
        <v>44421</v>
      </c>
      <c r="B1129" s="6">
        <v>7538.4</v>
      </c>
      <c r="C1129" s="6">
        <v>7632.8</v>
      </c>
      <c r="D1129" s="6">
        <v>7532.8</v>
      </c>
      <c r="E1129" s="6">
        <v>7628.9</v>
      </c>
      <c r="F1129" s="8">
        <v>2928004000</v>
      </c>
      <c r="G1129" s="8">
        <v>27472220000</v>
      </c>
      <c r="H1129">
        <f t="shared" si="17"/>
        <v>252328.50433287027</v>
      </c>
    </row>
    <row r="1130" spans="1:8" x14ac:dyDescent="0.3">
      <c r="A1130" s="7">
        <v>44428</v>
      </c>
      <c r="B1130" s="6">
        <v>7628.9</v>
      </c>
      <c r="C1130" s="6">
        <v>7629</v>
      </c>
      <c r="D1130" s="6">
        <v>7429.2</v>
      </c>
      <c r="E1130" s="6">
        <v>7460.9</v>
      </c>
      <c r="F1130" s="8">
        <v>3319998000</v>
      </c>
      <c r="G1130" s="8">
        <v>34605880000</v>
      </c>
      <c r="H1130">
        <f t="shared" si="17"/>
        <v>246771.84626579346</v>
      </c>
    </row>
    <row r="1131" spans="1:8" x14ac:dyDescent="0.3">
      <c r="A1131" s="7">
        <v>44435</v>
      </c>
      <c r="B1131" s="6">
        <v>7460.9</v>
      </c>
      <c r="C1131" s="6">
        <v>7542.4</v>
      </c>
      <c r="D1131" s="6">
        <v>7460.9</v>
      </c>
      <c r="E1131" s="6">
        <v>7488.3</v>
      </c>
      <c r="F1131" s="8">
        <v>3548741000</v>
      </c>
      <c r="G1131" s="8">
        <v>31679820000</v>
      </c>
      <c r="H1131">
        <f t="shared" si="17"/>
        <v>247678.11073625722</v>
      </c>
    </row>
    <row r="1132" spans="1:8" x14ac:dyDescent="0.3">
      <c r="A1132" s="7">
        <v>44442</v>
      </c>
      <c r="B1132" s="6">
        <v>7488.3</v>
      </c>
      <c r="C1132" s="6">
        <v>7555.9</v>
      </c>
      <c r="D1132" s="6">
        <v>7437.2</v>
      </c>
      <c r="E1132" s="6">
        <v>7522.9</v>
      </c>
      <c r="F1132" s="8">
        <v>3291160000</v>
      </c>
      <c r="G1132" s="8">
        <v>30884410000</v>
      </c>
      <c r="H1132">
        <f t="shared" si="17"/>
        <v>248822.51769530994</v>
      </c>
    </row>
    <row r="1133" spans="1:8" x14ac:dyDescent="0.3">
      <c r="A1133" s="7">
        <v>44449</v>
      </c>
      <c r="B1133" s="6">
        <v>7522.9</v>
      </c>
      <c r="C1133" s="6">
        <v>7536.9</v>
      </c>
      <c r="D1133" s="6">
        <v>7344.3</v>
      </c>
      <c r="E1133" s="6">
        <v>7406.6</v>
      </c>
      <c r="F1133" s="8">
        <v>3427717000</v>
      </c>
      <c r="G1133" s="8">
        <v>29443010000</v>
      </c>
      <c r="H1133">
        <f t="shared" si="17"/>
        <v>244975.85499768477</v>
      </c>
    </row>
    <row r="1134" spans="1:8" x14ac:dyDescent="0.3">
      <c r="A1134" s="7">
        <v>44456</v>
      </c>
      <c r="B1134" s="6">
        <v>7406.6</v>
      </c>
      <c r="C1134" s="6">
        <v>7487.6</v>
      </c>
      <c r="D1134" s="6">
        <v>7376.1</v>
      </c>
      <c r="E1134" s="6">
        <v>7403.7</v>
      </c>
      <c r="F1134" s="8">
        <v>4705844000</v>
      </c>
      <c r="G1134" s="8">
        <v>40237640000</v>
      </c>
      <c r="H1134">
        <f t="shared" si="17"/>
        <v>244879.93649533641</v>
      </c>
    </row>
    <row r="1135" spans="1:8" x14ac:dyDescent="0.3">
      <c r="A1135" s="7">
        <v>44463</v>
      </c>
      <c r="B1135" s="6">
        <v>7390.4</v>
      </c>
      <c r="C1135" s="6">
        <v>7390.4</v>
      </c>
      <c r="D1135" s="6">
        <v>7191.7</v>
      </c>
      <c r="E1135" s="6">
        <v>7342.6</v>
      </c>
      <c r="F1135" s="8">
        <v>3488233000</v>
      </c>
      <c r="G1135" s="8">
        <v>30745360000</v>
      </c>
      <c r="H1135">
        <f t="shared" si="17"/>
        <v>242859.03287689362</v>
      </c>
    </row>
    <row r="1136" spans="1:8" x14ac:dyDescent="0.3">
      <c r="A1136" s="7">
        <v>44470</v>
      </c>
      <c r="B1136" s="6">
        <v>7342.6</v>
      </c>
      <c r="C1136" s="6">
        <v>7416.4</v>
      </c>
      <c r="D1136" s="6">
        <v>7145.7</v>
      </c>
      <c r="E1136" s="6">
        <v>7185.5</v>
      </c>
      <c r="F1136" s="8">
        <v>3822158000</v>
      </c>
      <c r="G1136" s="8">
        <v>34739400000</v>
      </c>
      <c r="H1136">
        <f t="shared" si="17"/>
        <v>237662.89607726404</v>
      </c>
    </row>
    <row r="1137" spans="1:8" x14ac:dyDescent="0.3">
      <c r="A1137" s="7">
        <v>44477</v>
      </c>
      <c r="B1137" s="6">
        <v>7185.5</v>
      </c>
      <c r="C1137" s="6">
        <v>7322</v>
      </c>
      <c r="D1137" s="6">
        <v>7183.5</v>
      </c>
      <c r="E1137" s="6">
        <v>7320.1</v>
      </c>
      <c r="F1137" s="8">
        <v>3276190000</v>
      </c>
      <c r="G1137" s="8">
        <v>30425330000</v>
      </c>
      <c r="H1137">
        <f t="shared" si="17"/>
        <v>242114.83760005297</v>
      </c>
    </row>
    <row r="1138" spans="1:8" x14ac:dyDescent="0.3">
      <c r="A1138" s="7">
        <v>44484</v>
      </c>
      <c r="B1138" s="6">
        <v>7320.1</v>
      </c>
      <c r="C1138" s="6">
        <v>7373.2</v>
      </c>
      <c r="D1138" s="6">
        <v>7250</v>
      </c>
      <c r="E1138" s="6">
        <v>7362</v>
      </c>
      <c r="F1138" s="8">
        <v>3085840000</v>
      </c>
      <c r="G1138" s="8">
        <v>27791700000</v>
      </c>
      <c r="H1138">
        <f t="shared" si="17"/>
        <v>243500.69458225841</v>
      </c>
    </row>
    <row r="1139" spans="1:8" x14ac:dyDescent="0.3">
      <c r="A1139" s="7">
        <v>44491</v>
      </c>
      <c r="B1139" s="6">
        <v>7362</v>
      </c>
      <c r="C1139" s="6">
        <v>7449.5</v>
      </c>
      <c r="D1139" s="6">
        <v>7354.1</v>
      </c>
      <c r="E1139" s="6">
        <v>7415.5</v>
      </c>
      <c r="F1139" s="8">
        <v>3282618000</v>
      </c>
      <c r="G1139" s="8">
        <v>31315650000</v>
      </c>
      <c r="H1139">
        <f t="shared" si="17"/>
        <v>245270.22557385729</v>
      </c>
    </row>
    <row r="1140" spans="1:8" x14ac:dyDescent="0.3">
      <c r="A1140" s="7">
        <v>44498</v>
      </c>
      <c r="B1140" s="6">
        <v>7415.5</v>
      </c>
      <c r="C1140" s="6">
        <v>7473.9</v>
      </c>
      <c r="D1140" s="6">
        <v>7318.8</v>
      </c>
      <c r="E1140" s="6">
        <v>7323.7</v>
      </c>
      <c r="F1140" s="8">
        <v>2852675000</v>
      </c>
      <c r="G1140" s="8">
        <v>26811240000</v>
      </c>
      <c r="H1140">
        <f t="shared" si="17"/>
        <v>242233.90884434746</v>
      </c>
    </row>
    <row r="1141" spans="1:8" x14ac:dyDescent="0.3">
      <c r="A1141" s="7">
        <v>44505</v>
      </c>
      <c r="B1141" s="6">
        <v>7323.7</v>
      </c>
      <c r="C1141" s="6">
        <v>7477.2</v>
      </c>
      <c r="D1141" s="6">
        <v>7311.6</v>
      </c>
      <c r="E1141" s="6">
        <v>7456.9</v>
      </c>
      <c r="F1141" s="8">
        <v>2917453000</v>
      </c>
      <c r="G1141" s="8">
        <v>28435520000</v>
      </c>
      <c r="H1141">
        <f t="shared" si="17"/>
        <v>246639.54488324406</v>
      </c>
    </row>
    <row r="1142" spans="1:8" x14ac:dyDescent="0.3">
      <c r="A1142" s="7">
        <v>44512</v>
      </c>
      <c r="B1142" s="6">
        <v>7456.9</v>
      </c>
      <c r="C1142" s="6">
        <v>7474.3</v>
      </c>
      <c r="D1142" s="6">
        <v>7329.5</v>
      </c>
      <c r="E1142" s="6">
        <v>7443</v>
      </c>
      <c r="F1142" s="8">
        <v>2913619000</v>
      </c>
      <c r="G1142" s="8">
        <v>27677910000</v>
      </c>
      <c r="H1142">
        <f t="shared" si="17"/>
        <v>246179.79757888475</v>
      </c>
    </row>
    <row r="1143" spans="1:8" x14ac:dyDescent="0.3">
      <c r="A1143" s="7">
        <v>44519</v>
      </c>
      <c r="B1143" s="6">
        <v>7443</v>
      </c>
      <c r="C1143" s="6">
        <v>7479.1</v>
      </c>
      <c r="D1143" s="6">
        <v>7342.9</v>
      </c>
      <c r="E1143" s="6">
        <v>7396.5</v>
      </c>
      <c r="F1143" s="8">
        <v>2911138000</v>
      </c>
      <c r="G1143" s="8">
        <v>29106510000</v>
      </c>
      <c r="H1143">
        <f t="shared" si="17"/>
        <v>244641.79400674743</v>
      </c>
    </row>
    <row r="1144" spans="1:8" x14ac:dyDescent="0.3">
      <c r="A1144" s="7">
        <v>44526</v>
      </c>
      <c r="B1144" s="6">
        <v>7396.5</v>
      </c>
      <c r="C1144" s="6">
        <v>7425</v>
      </c>
      <c r="D1144" s="6">
        <v>7260.3</v>
      </c>
      <c r="E1144" s="6">
        <v>7279.3</v>
      </c>
      <c r="F1144" s="8">
        <v>2862824000</v>
      </c>
      <c r="G1144" s="8">
        <v>26498180000</v>
      </c>
      <c r="H1144">
        <f t="shared" si="17"/>
        <v>240765.36349804862</v>
      </c>
    </row>
    <row r="1145" spans="1:8" x14ac:dyDescent="0.3">
      <c r="A1145" s="7">
        <v>44533</v>
      </c>
      <c r="B1145" s="6">
        <v>7279.3</v>
      </c>
      <c r="C1145" s="6">
        <v>7332.6</v>
      </c>
      <c r="D1145" s="6">
        <v>7168.9</v>
      </c>
      <c r="E1145" s="6">
        <v>7241.2</v>
      </c>
      <c r="F1145" s="8">
        <v>3875334000</v>
      </c>
      <c r="G1145" s="8">
        <v>36787460000</v>
      </c>
      <c r="H1145">
        <f t="shared" si="17"/>
        <v>239505.19282926511</v>
      </c>
    </row>
    <row r="1146" spans="1:8" x14ac:dyDescent="0.3">
      <c r="A1146" s="7">
        <v>44540</v>
      </c>
      <c r="B1146" s="6">
        <v>7241.2</v>
      </c>
      <c r="C1146" s="6">
        <v>7443.4</v>
      </c>
      <c r="D1146" s="6">
        <v>7207.8</v>
      </c>
      <c r="E1146" s="6">
        <v>7353.5</v>
      </c>
      <c r="F1146" s="8">
        <v>3072701000</v>
      </c>
      <c r="G1146" s="8">
        <v>28043740000</v>
      </c>
      <c r="H1146">
        <f t="shared" si="17"/>
        <v>243219.55414434089</v>
      </c>
    </row>
    <row r="1147" spans="1:8" x14ac:dyDescent="0.3">
      <c r="A1147" s="7">
        <v>44547</v>
      </c>
      <c r="B1147" s="6">
        <v>7353.5</v>
      </c>
      <c r="C1147" s="6">
        <v>7417.7</v>
      </c>
      <c r="D1147" s="6">
        <v>7277.1</v>
      </c>
      <c r="E1147" s="6">
        <v>7304</v>
      </c>
      <c r="F1147" s="8">
        <v>3556214000</v>
      </c>
      <c r="G1147" s="8">
        <v>36242490000</v>
      </c>
      <c r="H1147">
        <f t="shared" si="17"/>
        <v>241582.32453529147</v>
      </c>
    </row>
    <row r="1148" spans="1:8" x14ac:dyDescent="0.3">
      <c r="A1148" s="7">
        <v>44554</v>
      </c>
      <c r="B1148" s="6">
        <v>7304</v>
      </c>
      <c r="C1148" s="6">
        <v>7435.9</v>
      </c>
      <c r="D1148" s="6">
        <v>7257.8</v>
      </c>
      <c r="E1148" s="6">
        <v>7420.3</v>
      </c>
      <c r="F1148" s="8">
        <v>2274899000</v>
      </c>
      <c r="G1148" s="8">
        <v>21748020000</v>
      </c>
      <c r="H1148">
        <f t="shared" si="17"/>
        <v>245428.98723291664</v>
      </c>
    </row>
    <row r="1149" spans="1:8" x14ac:dyDescent="0.3">
      <c r="A1149" s="7">
        <v>44561</v>
      </c>
      <c r="B1149" s="6">
        <v>7420.3</v>
      </c>
      <c r="C1149" s="6">
        <v>7520.6</v>
      </c>
      <c r="D1149" s="6">
        <v>7420.3</v>
      </c>
      <c r="E1149" s="6">
        <v>7444.6</v>
      </c>
      <c r="F1149" s="8">
        <v>1066360000</v>
      </c>
      <c r="G1149" s="8">
        <v>8996238000</v>
      </c>
      <c r="H1149">
        <f t="shared" si="17"/>
        <v>246232.71813190452</v>
      </c>
    </row>
    <row r="1150" spans="1:8" x14ac:dyDescent="0.3">
      <c r="A1150" s="7">
        <v>44568</v>
      </c>
      <c r="B1150" s="6">
        <v>7444.6</v>
      </c>
      <c r="C1150" s="6">
        <v>7620.2</v>
      </c>
      <c r="D1150" s="6">
        <v>7340.4</v>
      </c>
      <c r="E1150" s="6">
        <v>7453.3</v>
      </c>
      <c r="F1150" s="8">
        <v>2069232000</v>
      </c>
      <c r="G1150" s="8">
        <v>19377690000</v>
      </c>
      <c r="H1150">
        <f t="shared" si="17"/>
        <v>246520.47363894957</v>
      </c>
    </row>
    <row r="1151" spans="1:8" x14ac:dyDescent="0.3">
      <c r="A1151" s="7">
        <v>44575</v>
      </c>
      <c r="B1151" s="6">
        <v>7453.3</v>
      </c>
      <c r="C1151" s="6">
        <v>7487.3</v>
      </c>
      <c r="D1151" s="6">
        <v>7376.8</v>
      </c>
      <c r="E1151" s="6">
        <v>7393.9</v>
      </c>
      <c r="F1151" s="8">
        <v>2754333000</v>
      </c>
      <c r="G1151" s="8">
        <v>27923820000</v>
      </c>
      <c r="H1151">
        <f t="shared" si="17"/>
        <v>244555.79810809027</v>
      </c>
    </row>
    <row r="1152" spans="1:8" x14ac:dyDescent="0.3">
      <c r="A1152" s="7">
        <v>44582</v>
      </c>
      <c r="B1152" s="6">
        <v>7393.9</v>
      </c>
      <c r="C1152" s="6">
        <v>7445.1</v>
      </c>
      <c r="D1152" s="6">
        <v>7153.3</v>
      </c>
      <c r="E1152" s="6">
        <v>7175.8</v>
      </c>
      <c r="F1152" s="8">
        <v>3315308000</v>
      </c>
      <c r="G1152" s="8">
        <v>34742150000</v>
      </c>
      <c r="H1152">
        <f t="shared" si="17"/>
        <v>237342.06522458166</v>
      </c>
    </row>
    <row r="1153" spans="1:8" x14ac:dyDescent="0.3">
      <c r="A1153" s="7">
        <v>44589</v>
      </c>
      <c r="B1153" s="6">
        <v>7173.7</v>
      </c>
      <c r="C1153" s="6">
        <v>7173.7</v>
      </c>
      <c r="D1153" s="6">
        <v>6758.2</v>
      </c>
      <c r="E1153" s="6">
        <v>6988.1</v>
      </c>
      <c r="F1153" s="8">
        <v>5131653000</v>
      </c>
      <c r="G1153" s="8">
        <v>61388340000</v>
      </c>
      <c r="H1153">
        <f t="shared" si="17"/>
        <v>231133.82284844885</v>
      </c>
    </row>
    <row r="1154" spans="1:8" x14ac:dyDescent="0.3">
      <c r="A1154" s="7">
        <v>44596</v>
      </c>
      <c r="B1154" s="6">
        <v>6988.1</v>
      </c>
      <c r="C1154" s="6">
        <v>7120.2</v>
      </c>
      <c r="D1154" s="6">
        <v>6932.7</v>
      </c>
      <c r="E1154" s="6">
        <v>7120.2</v>
      </c>
      <c r="F1154" s="8">
        <v>3550980000</v>
      </c>
      <c r="G1154" s="8">
        <v>35905830000</v>
      </c>
      <c r="H1154">
        <f t="shared" si="17"/>
        <v>235503.07600714432</v>
      </c>
    </row>
    <row r="1155" spans="1:8" x14ac:dyDescent="0.3">
      <c r="A1155" s="7">
        <v>44603</v>
      </c>
      <c r="B1155" s="6">
        <v>7120.2</v>
      </c>
      <c r="C1155" s="6">
        <v>7336.6</v>
      </c>
      <c r="D1155" s="6">
        <v>7046.5</v>
      </c>
      <c r="E1155" s="6">
        <v>7217.3</v>
      </c>
      <c r="F1155" s="8">
        <v>3883726000</v>
      </c>
      <c r="G1155" s="8">
        <v>41663350000</v>
      </c>
      <c r="H1155">
        <f t="shared" si="17"/>
        <v>238714.69206853217</v>
      </c>
    </row>
    <row r="1156" spans="1:8" x14ac:dyDescent="0.3">
      <c r="A1156" s="7">
        <v>44610</v>
      </c>
      <c r="B1156" s="6">
        <v>7217.3</v>
      </c>
      <c r="C1156" s="6">
        <v>7356.8</v>
      </c>
      <c r="D1156" s="6">
        <v>7181.7</v>
      </c>
      <c r="E1156" s="6">
        <v>7221.7</v>
      </c>
      <c r="F1156" s="8">
        <v>3886255000</v>
      </c>
      <c r="G1156" s="8">
        <v>38954480000</v>
      </c>
      <c r="H1156">
        <f t="shared" ref="H1156:H1219" si="18">H1155*(E1156/E1155)</f>
        <v>238860.22358933656</v>
      </c>
    </row>
    <row r="1157" spans="1:8" x14ac:dyDescent="0.3">
      <c r="A1157" s="7">
        <v>44617</v>
      </c>
      <c r="B1157" s="6">
        <v>7220.4</v>
      </c>
      <c r="C1157" s="6">
        <v>7248.8</v>
      </c>
      <c r="D1157" s="6">
        <v>6959.3</v>
      </c>
      <c r="E1157" s="6">
        <v>6997.8</v>
      </c>
      <c r="F1157" s="8">
        <v>4362401000</v>
      </c>
      <c r="G1157" s="8">
        <v>37769290000</v>
      </c>
      <c r="H1157">
        <f t="shared" si="18"/>
        <v>231454.65370113123</v>
      </c>
    </row>
    <row r="1158" spans="1:8" x14ac:dyDescent="0.3">
      <c r="A1158" s="7">
        <v>44624</v>
      </c>
      <c r="B1158" s="6">
        <v>6997.8</v>
      </c>
      <c r="C1158" s="6">
        <v>7198.1</v>
      </c>
      <c r="D1158" s="6">
        <v>6979.4</v>
      </c>
      <c r="E1158" s="6">
        <v>7110.8</v>
      </c>
      <c r="F1158" s="8">
        <v>4590142000</v>
      </c>
      <c r="G1158" s="8">
        <v>43103770000</v>
      </c>
      <c r="H1158">
        <f t="shared" si="18"/>
        <v>235192.16775815311</v>
      </c>
    </row>
    <row r="1159" spans="1:8" x14ac:dyDescent="0.3">
      <c r="A1159" s="7">
        <v>44631</v>
      </c>
      <c r="B1159" s="6">
        <v>7110.8</v>
      </c>
      <c r="C1159" s="6">
        <v>7161</v>
      </c>
      <c r="D1159" s="6">
        <v>6968.9</v>
      </c>
      <c r="E1159" s="6">
        <v>7063.6</v>
      </c>
      <c r="F1159" s="8">
        <v>4862151000</v>
      </c>
      <c r="G1159" s="8">
        <v>40277050000</v>
      </c>
      <c r="H1159">
        <f t="shared" si="18"/>
        <v>233631.01144406962</v>
      </c>
    </row>
    <row r="1160" spans="1:8" x14ac:dyDescent="0.3">
      <c r="A1160" s="7">
        <v>44638</v>
      </c>
      <c r="B1160" s="6">
        <v>7063.6</v>
      </c>
      <c r="C1160" s="6">
        <v>7296.8</v>
      </c>
      <c r="D1160" s="6">
        <v>7063.6</v>
      </c>
      <c r="E1160" s="6">
        <v>7294.4</v>
      </c>
      <c r="F1160" s="8">
        <v>4488579000</v>
      </c>
      <c r="G1160" s="8">
        <v>40782710000</v>
      </c>
      <c r="H1160">
        <f t="shared" si="18"/>
        <v>241264.80121717273</v>
      </c>
    </row>
    <row r="1161" spans="1:8" x14ac:dyDescent="0.3">
      <c r="A1161" s="7">
        <v>44645</v>
      </c>
      <c r="B1161" s="6">
        <v>7294.4</v>
      </c>
      <c r="C1161" s="6">
        <v>7431.3</v>
      </c>
      <c r="D1161" s="6">
        <v>7278.5</v>
      </c>
      <c r="E1161" s="6">
        <v>7406.2</v>
      </c>
      <c r="F1161" s="8">
        <v>3132639000</v>
      </c>
      <c r="G1161" s="8">
        <v>26746990000</v>
      </c>
      <c r="H1161">
        <f t="shared" si="18"/>
        <v>244962.62485942978</v>
      </c>
    </row>
    <row r="1162" spans="1:8" x14ac:dyDescent="0.3">
      <c r="A1162" s="7">
        <v>44652</v>
      </c>
      <c r="B1162" s="6">
        <v>7406.2</v>
      </c>
      <c r="C1162" s="6">
        <v>7556.6</v>
      </c>
      <c r="D1162" s="6">
        <v>7406.2</v>
      </c>
      <c r="E1162" s="6">
        <v>7493.8</v>
      </c>
      <c r="F1162" s="8">
        <v>3411024000</v>
      </c>
      <c r="G1162" s="8">
        <v>31213450000</v>
      </c>
      <c r="H1162">
        <f t="shared" si="18"/>
        <v>247860.02513726268</v>
      </c>
    </row>
    <row r="1163" spans="1:8" x14ac:dyDescent="0.3">
      <c r="A1163" s="7">
        <v>44659</v>
      </c>
      <c r="B1163" s="6">
        <v>7493.8</v>
      </c>
      <c r="C1163" s="6">
        <v>7573.4</v>
      </c>
      <c r="D1163" s="6">
        <v>7437.5</v>
      </c>
      <c r="E1163" s="6">
        <v>7478</v>
      </c>
      <c r="F1163" s="8">
        <v>3175003000</v>
      </c>
      <c r="G1163" s="8">
        <v>27005720000</v>
      </c>
      <c r="H1163">
        <f t="shared" si="18"/>
        <v>247337.43467619235</v>
      </c>
    </row>
    <row r="1164" spans="1:8" x14ac:dyDescent="0.3">
      <c r="A1164" s="7">
        <v>44665</v>
      </c>
      <c r="B1164" s="6">
        <v>7478</v>
      </c>
      <c r="C1164" s="6">
        <v>7529.2</v>
      </c>
      <c r="D1164" s="6">
        <v>7430.8</v>
      </c>
      <c r="E1164" s="6">
        <v>7523.4</v>
      </c>
      <c r="F1164" s="8">
        <v>2462082000</v>
      </c>
      <c r="G1164" s="8">
        <v>19736170000</v>
      </c>
      <c r="H1164">
        <f t="shared" si="18"/>
        <v>248839.05536812858</v>
      </c>
    </row>
    <row r="1165" spans="1:8" x14ac:dyDescent="0.3">
      <c r="A1165" s="7">
        <v>44673</v>
      </c>
      <c r="B1165" s="6">
        <v>7523.5</v>
      </c>
      <c r="C1165" s="6">
        <v>7624.8</v>
      </c>
      <c r="D1165" s="6">
        <v>7455</v>
      </c>
      <c r="E1165" s="6">
        <v>7473.3</v>
      </c>
      <c r="F1165" s="8">
        <v>2587969000</v>
      </c>
      <c r="G1165" s="8">
        <v>25131720000</v>
      </c>
      <c r="H1165">
        <f t="shared" si="18"/>
        <v>247181.98055169676</v>
      </c>
    </row>
    <row r="1166" spans="1:8" x14ac:dyDescent="0.3">
      <c r="A1166" s="7">
        <v>44680</v>
      </c>
      <c r="B1166" s="6">
        <v>7473.3</v>
      </c>
      <c r="C1166" s="6">
        <v>7473.3</v>
      </c>
      <c r="D1166" s="6">
        <v>7233.3</v>
      </c>
      <c r="E1166" s="6">
        <v>7435</v>
      </c>
      <c r="F1166" s="8">
        <v>3152068000</v>
      </c>
      <c r="G1166" s="8">
        <v>26800490000</v>
      </c>
      <c r="H1166">
        <f t="shared" si="18"/>
        <v>245915.19481378578</v>
      </c>
    </row>
    <row r="1167" spans="1:8" x14ac:dyDescent="0.3">
      <c r="A1167" s="7">
        <v>44687</v>
      </c>
      <c r="B1167" s="6">
        <v>7435</v>
      </c>
      <c r="C1167" s="6">
        <v>7435</v>
      </c>
      <c r="D1167" s="6">
        <v>7161.4</v>
      </c>
      <c r="E1167" s="6">
        <v>7205.6</v>
      </c>
      <c r="F1167" s="8">
        <v>3541493000</v>
      </c>
      <c r="G1167" s="8">
        <v>28886740000</v>
      </c>
      <c r="H1167">
        <f t="shared" si="18"/>
        <v>238327.71052457497</v>
      </c>
    </row>
    <row r="1168" spans="1:8" x14ac:dyDescent="0.3">
      <c r="A1168" s="7">
        <v>44694</v>
      </c>
      <c r="B1168" s="6">
        <v>7205.6</v>
      </c>
      <c r="C1168" s="6">
        <v>7205.6</v>
      </c>
      <c r="D1168" s="6">
        <v>6930.2</v>
      </c>
      <c r="E1168" s="6">
        <v>7075.1</v>
      </c>
      <c r="F1168" s="8">
        <v>3860966000</v>
      </c>
      <c r="G1168" s="8">
        <v>33675000000</v>
      </c>
      <c r="H1168">
        <f t="shared" si="18"/>
        <v>234011.37791889923</v>
      </c>
    </row>
    <row r="1169" spans="1:8" x14ac:dyDescent="0.3">
      <c r="A1169" s="7">
        <v>44701</v>
      </c>
      <c r="B1169" s="6">
        <v>7075.1</v>
      </c>
      <c r="C1169" s="6">
        <v>7199</v>
      </c>
      <c r="D1169" s="6">
        <v>7037.6</v>
      </c>
      <c r="E1169" s="6">
        <v>7145.6</v>
      </c>
      <c r="F1169" s="8">
        <v>3341418000</v>
      </c>
      <c r="G1169" s="8">
        <v>30987990000</v>
      </c>
      <c r="H1169">
        <f t="shared" si="18"/>
        <v>236343.18978633321</v>
      </c>
    </row>
    <row r="1170" spans="1:8" x14ac:dyDescent="0.3">
      <c r="A1170" s="7">
        <v>44708</v>
      </c>
      <c r="B1170" s="6">
        <v>7145.6</v>
      </c>
      <c r="C1170" s="6">
        <v>7218.6</v>
      </c>
      <c r="D1170" s="6">
        <v>7105.9</v>
      </c>
      <c r="E1170" s="6">
        <v>7182.7</v>
      </c>
      <c r="F1170" s="8">
        <v>3300388000</v>
      </c>
      <c r="G1170" s="8">
        <v>26825260000</v>
      </c>
      <c r="H1170">
        <f t="shared" si="18"/>
        <v>237570.28510947933</v>
      </c>
    </row>
    <row r="1171" spans="1:8" x14ac:dyDescent="0.3">
      <c r="A1171" s="7">
        <v>44715</v>
      </c>
      <c r="B1171" s="6">
        <v>7182.7</v>
      </c>
      <c r="C1171" s="6">
        <v>7288.4</v>
      </c>
      <c r="D1171" s="6">
        <v>7150.5</v>
      </c>
      <c r="E1171" s="6">
        <v>7238.8</v>
      </c>
      <c r="F1171" s="8">
        <v>4156920000</v>
      </c>
      <c r="G1171" s="8">
        <v>38188070000</v>
      </c>
      <c r="H1171">
        <f t="shared" si="18"/>
        <v>239425.81199973536</v>
      </c>
    </row>
    <row r="1172" spans="1:8" x14ac:dyDescent="0.3">
      <c r="A1172" s="7">
        <v>44722</v>
      </c>
      <c r="B1172" s="6">
        <v>7238.8</v>
      </c>
      <c r="C1172" s="6">
        <v>7238.8</v>
      </c>
      <c r="D1172" s="6">
        <v>6926.9</v>
      </c>
      <c r="E1172" s="6">
        <v>6932</v>
      </c>
      <c r="F1172" s="8">
        <v>3383475000</v>
      </c>
      <c r="G1172" s="8">
        <v>30952070000</v>
      </c>
      <c r="H1172">
        <f t="shared" si="18"/>
        <v>229278.29595819273</v>
      </c>
    </row>
    <row r="1173" spans="1:8" x14ac:dyDescent="0.3">
      <c r="A1173" s="7">
        <v>44729</v>
      </c>
      <c r="B1173" s="6">
        <v>6932</v>
      </c>
      <c r="C1173" s="6">
        <v>6932</v>
      </c>
      <c r="D1173" s="6">
        <v>6410.4</v>
      </c>
      <c r="E1173" s="6">
        <v>6474.8</v>
      </c>
      <c r="F1173" s="8">
        <v>4904579000</v>
      </c>
      <c r="G1173" s="8">
        <v>42217800000</v>
      </c>
      <c r="H1173">
        <f t="shared" si="18"/>
        <v>214156.24793279087</v>
      </c>
    </row>
    <row r="1174" spans="1:8" x14ac:dyDescent="0.3">
      <c r="A1174" s="7">
        <v>44736</v>
      </c>
      <c r="B1174" s="6">
        <v>6474.8</v>
      </c>
      <c r="C1174" s="6">
        <v>6585.1</v>
      </c>
      <c r="D1174" s="6">
        <v>6407</v>
      </c>
      <c r="E1174" s="6">
        <v>6578.7</v>
      </c>
      <c r="F1174" s="8">
        <v>4392835000</v>
      </c>
      <c r="G1174" s="8">
        <v>29177590000</v>
      </c>
      <c r="H1174">
        <f t="shared" si="18"/>
        <v>217592.77634451276</v>
      </c>
    </row>
    <row r="1175" spans="1:8" x14ac:dyDescent="0.3">
      <c r="A1175" s="7">
        <v>44743</v>
      </c>
      <c r="B1175" s="6">
        <v>6578.7</v>
      </c>
      <c r="C1175" s="6">
        <v>6763.6</v>
      </c>
      <c r="D1175" s="6">
        <v>6539.9</v>
      </c>
      <c r="E1175" s="6">
        <v>6539.9</v>
      </c>
      <c r="F1175" s="8">
        <v>3960433000</v>
      </c>
      <c r="G1175" s="8">
        <v>28744920000</v>
      </c>
      <c r="H1175">
        <f t="shared" si="18"/>
        <v>216309.45293378312</v>
      </c>
    </row>
    <row r="1176" spans="1:8" x14ac:dyDescent="0.3">
      <c r="A1176" s="7">
        <v>44750</v>
      </c>
      <c r="B1176" s="6">
        <v>6539.9</v>
      </c>
      <c r="C1176" s="6">
        <v>6715</v>
      </c>
      <c r="D1176" s="6">
        <v>6539.9</v>
      </c>
      <c r="E1176" s="6">
        <v>6678</v>
      </c>
      <c r="F1176" s="8">
        <v>3146683000</v>
      </c>
      <c r="G1176" s="8">
        <v>24992670000</v>
      </c>
      <c r="H1176">
        <f t="shared" si="18"/>
        <v>220877.1581663028</v>
      </c>
    </row>
    <row r="1177" spans="1:8" x14ac:dyDescent="0.3">
      <c r="A1177" s="7">
        <v>44757</v>
      </c>
      <c r="B1177" s="6">
        <v>6678</v>
      </c>
      <c r="C1177" s="6">
        <v>6678</v>
      </c>
      <c r="D1177" s="6">
        <v>6537.2</v>
      </c>
      <c r="E1177" s="6">
        <v>6605.6</v>
      </c>
      <c r="F1177" s="8">
        <v>3209454000</v>
      </c>
      <c r="G1177" s="8">
        <v>25208520000</v>
      </c>
      <c r="H1177">
        <f t="shared" si="18"/>
        <v>218482.5031421578</v>
      </c>
    </row>
    <row r="1178" spans="1:8" x14ac:dyDescent="0.3">
      <c r="A1178" s="7">
        <v>44764</v>
      </c>
      <c r="B1178" s="6">
        <v>6605.6</v>
      </c>
      <c r="C1178" s="6">
        <v>6816.1</v>
      </c>
      <c r="D1178" s="6">
        <v>6605.6</v>
      </c>
      <c r="E1178" s="6">
        <v>6791.5</v>
      </c>
      <c r="F1178" s="8">
        <v>3590223000</v>
      </c>
      <c r="G1178" s="8">
        <v>27162730000</v>
      </c>
      <c r="H1178">
        <f t="shared" si="18"/>
        <v>224631.20989614338</v>
      </c>
    </row>
    <row r="1179" spans="1:8" x14ac:dyDescent="0.3">
      <c r="A1179" s="7">
        <v>44771</v>
      </c>
      <c r="B1179" s="6">
        <v>6791.5</v>
      </c>
      <c r="C1179" s="6">
        <v>6973.6</v>
      </c>
      <c r="D1179" s="6">
        <v>6775.7</v>
      </c>
      <c r="E1179" s="6">
        <v>6945.2</v>
      </c>
      <c r="F1179" s="8">
        <v>3479533000</v>
      </c>
      <c r="G1179" s="8">
        <v>26021420000</v>
      </c>
      <c r="H1179">
        <f t="shared" si="18"/>
        <v>229714.8905206059</v>
      </c>
    </row>
    <row r="1180" spans="1:8" x14ac:dyDescent="0.3">
      <c r="A1180" s="7">
        <v>44778</v>
      </c>
      <c r="B1180" s="6">
        <v>6945.2</v>
      </c>
      <c r="C1180" s="6">
        <v>7021.1</v>
      </c>
      <c r="D1180" s="6">
        <v>6918.2</v>
      </c>
      <c r="E1180" s="6">
        <v>7015.6</v>
      </c>
      <c r="F1180" s="8">
        <v>3260179000</v>
      </c>
      <c r="G1180" s="8">
        <v>24617150000</v>
      </c>
      <c r="H1180">
        <f t="shared" si="18"/>
        <v>232043.3948534762</v>
      </c>
    </row>
    <row r="1181" spans="1:8" x14ac:dyDescent="0.3">
      <c r="A1181" s="7">
        <v>44785</v>
      </c>
      <c r="B1181" s="6">
        <v>7015.6</v>
      </c>
      <c r="C1181" s="6">
        <v>7077.1</v>
      </c>
      <c r="D1181" s="6">
        <v>6985.7</v>
      </c>
      <c r="E1181" s="6">
        <v>7032.5</v>
      </c>
      <c r="F1181" s="8">
        <v>3567774000</v>
      </c>
      <c r="G1181" s="8">
        <v>25652750000</v>
      </c>
      <c r="H1181">
        <f t="shared" si="18"/>
        <v>232602.36819474763</v>
      </c>
    </row>
    <row r="1182" spans="1:8" x14ac:dyDescent="0.3">
      <c r="A1182" s="7">
        <v>44792</v>
      </c>
      <c r="B1182" s="6">
        <v>7032.5</v>
      </c>
      <c r="C1182" s="6">
        <v>7137.5</v>
      </c>
      <c r="D1182" s="6">
        <v>7032.5</v>
      </c>
      <c r="E1182" s="6">
        <v>7114.5</v>
      </c>
      <c r="F1182" s="8">
        <v>3444227000</v>
      </c>
      <c r="G1182" s="8">
        <v>28290370000</v>
      </c>
      <c r="H1182">
        <f t="shared" si="18"/>
        <v>235314.54653701128</v>
      </c>
    </row>
    <row r="1183" spans="1:8" x14ac:dyDescent="0.3">
      <c r="A1183" s="7">
        <v>44799</v>
      </c>
      <c r="B1183" s="6">
        <v>7114.5</v>
      </c>
      <c r="C1183" s="6">
        <v>7130</v>
      </c>
      <c r="D1183" s="6">
        <v>6961.8</v>
      </c>
      <c r="E1183" s="6">
        <v>7104.1</v>
      </c>
      <c r="F1183" s="8">
        <v>3574700000</v>
      </c>
      <c r="G1183" s="8">
        <v>28442130000</v>
      </c>
      <c r="H1183">
        <f t="shared" si="18"/>
        <v>234970.56294238273</v>
      </c>
    </row>
    <row r="1184" spans="1:8" x14ac:dyDescent="0.3">
      <c r="A1184" s="7">
        <v>44806</v>
      </c>
      <c r="B1184" s="6">
        <v>7104.1</v>
      </c>
      <c r="C1184" s="6">
        <v>7104.1</v>
      </c>
      <c r="D1184" s="6">
        <v>6820.5</v>
      </c>
      <c r="E1184" s="6">
        <v>6828.7</v>
      </c>
      <c r="F1184" s="8">
        <v>3844035000</v>
      </c>
      <c r="G1184" s="8">
        <v>31749650000</v>
      </c>
      <c r="H1184">
        <f t="shared" si="18"/>
        <v>225861.61275385323</v>
      </c>
    </row>
    <row r="1185" spans="1:8" x14ac:dyDescent="0.3">
      <c r="A1185" s="7">
        <v>44813</v>
      </c>
      <c r="B1185" s="6">
        <v>6828.7</v>
      </c>
      <c r="C1185" s="6">
        <v>6898.5</v>
      </c>
      <c r="D1185" s="6">
        <v>6719.6</v>
      </c>
      <c r="E1185" s="6">
        <v>6894.2</v>
      </c>
      <c r="F1185" s="8">
        <v>3721787000</v>
      </c>
      <c r="G1185" s="8">
        <v>28765950000</v>
      </c>
      <c r="H1185">
        <f t="shared" si="18"/>
        <v>228028.04789310045</v>
      </c>
    </row>
    <row r="1186" spans="1:8" x14ac:dyDescent="0.3">
      <c r="A1186" s="7">
        <v>44820</v>
      </c>
      <c r="B1186" s="6">
        <v>6894.2</v>
      </c>
      <c r="C1186" s="6">
        <v>7015.2</v>
      </c>
      <c r="D1186" s="6">
        <v>6736.3</v>
      </c>
      <c r="E1186" s="6">
        <v>6739.1</v>
      </c>
      <c r="F1186" s="8">
        <v>4849587000</v>
      </c>
      <c r="G1186" s="8">
        <v>36477230000</v>
      </c>
      <c r="H1186">
        <f t="shared" si="18"/>
        <v>222898.06178474563</v>
      </c>
    </row>
    <row r="1187" spans="1:8" x14ac:dyDescent="0.3">
      <c r="A1187" s="7">
        <v>44827</v>
      </c>
      <c r="B1187" s="6">
        <v>6739.1</v>
      </c>
      <c r="C1187" s="6">
        <v>6808.3</v>
      </c>
      <c r="D1187" s="6">
        <v>6544.9</v>
      </c>
      <c r="E1187" s="6">
        <v>6574.7</v>
      </c>
      <c r="F1187" s="8">
        <v>3175678000</v>
      </c>
      <c r="G1187" s="8">
        <v>20812950000</v>
      </c>
      <c r="H1187">
        <f t="shared" si="18"/>
        <v>217460.47496196331</v>
      </c>
    </row>
    <row r="1188" spans="1:8" x14ac:dyDescent="0.3">
      <c r="A1188" s="7">
        <v>44834</v>
      </c>
      <c r="B1188" s="6">
        <v>6574.7</v>
      </c>
      <c r="C1188" s="6">
        <v>6594.7</v>
      </c>
      <c r="D1188" s="6">
        <v>6433.1</v>
      </c>
      <c r="E1188" s="6">
        <v>6474.2</v>
      </c>
      <c r="F1188" s="8">
        <v>4928126000</v>
      </c>
      <c r="G1188" s="8">
        <v>32600390000</v>
      </c>
      <c r="H1188">
        <f t="shared" si="18"/>
        <v>214136.40272540844</v>
      </c>
    </row>
    <row r="1189" spans="1:8" x14ac:dyDescent="0.3">
      <c r="A1189" s="7">
        <v>44841</v>
      </c>
      <c r="B1189" s="6">
        <v>6474.2</v>
      </c>
      <c r="C1189" s="6">
        <v>6828.3</v>
      </c>
      <c r="D1189" s="6">
        <v>6411.9</v>
      </c>
      <c r="E1189" s="6">
        <v>6762.8</v>
      </c>
      <c r="F1189" s="8">
        <v>4220003000</v>
      </c>
      <c r="G1189" s="8">
        <v>28546760000</v>
      </c>
      <c r="H1189">
        <f t="shared" si="18"/>
        <v>223681.94747635108</v>
      </c>
    </row>
    <row r="1190" spans="1:8" x14ac:dyDescent="0.3">
      <c r="A1190" s="7">
        <v>44848</v>
      </c>
      <c r="B1190" s="6">
        <v>6762.8</v>
      </c>
      <c r="C1190" s="6">
        <v>6772.6</v>
      </c>
      <c r="D1190" s="6">
        <v>6633</v>
      </c>
      <c r="E1190" s="6">
        <v>6758.8</v>
      </c>
      <c r="F1190" s="8">
        <v>3449389000</v>
      </c>
      <c r="G1190" s="8">
        <v>26005270000</v>
      </c>
      <c r="H1190">
        <f t="shared" si="18"/>
        <v>223549.64609380162</v>
      </c>
    </row>
    <row r="1191" spans="1:8" x14ac:dyDescent="0.3">
      <c r="A1191" s="7">
        <v>44855</v>
      </c>
      <c r="B1191" s="6">
        <v>6758.9</v>
      </c>
      <c r="C1191" s="6">
        <v>6822.2</v>
      </c>
      <c r="D1191" s="6">
        <v>6645.2</v>
      </c>
      <c r="E1191" s="6">
        <v>6676.8</v>
      </c>
      <c r="F1191" s="8">
        <v>3934175000</v>
      </c>
      <c r="G1191" s="8">
        <v>28985170000</v>
      </c>
      <c r="H1191">
        <f t="shared" si="18"/>
        <v>220837.46775153794</v>
      </c>
    </row>
    <row r="1192" spans="1:8" x14ac:dyDescent="0.3">
      <c r="A1192" s="7">
        <v>44862</v>
      </c>
      <c r="B1192" s="6">
        <v>6676.8</v>
      </c>
      <c r="C1192" s="6">
        <v>6873.8</v>
      </c>
      <c r="D1192" s="6">
        <v>6676.8</v>
      </c>
      <c r="E1192" s="6">
        <v>6785.7</v>
      </c>
      <c r="F1192" s="8">
        <v>3821963000</v>
      </c>
      <c r="G1192" s="8">
        <v>26294670000</v>
      </c>
      <c r="H1192">
        <f t="shared" si="18"/>
        <v>224439.37289144666</v>
      </c>
    </row>
    <row r="1193" spans="1:8" x14ac:dyDescent="0.3">
      <c r="A1193" s="7">
        <v>44869</v>
      </c>
      <c r="B1193" s="6">
        <v>6785.7</v>
      </c>
      <c r="C1193" s="6">
        <v>7011.7</v>
      </c>
      <c r="D1193" s="6">
        <v>6785.7</v>
      </c>
      <c r="E1193" s="6">
        <v>6892.5</v>
      </c>
      <c r="F1193" s="8">
        <v>3914762000</v>
      </c>
      <c r="G1193" s="8">
        <v>28748140000</v>
      </c>
      <c r="H1193">
        <f t="shared" si="18"/>
        <v>227971.81980551695</v>
      </c>
    </row>
    <row r="1194" spans="1:8" x14ac:dyDescent="0.3">
      <c r="A1194" s="7">
        <v>44876</v>
      </c>
      <c r="B1194" s="6">
        <v>6892.5</v>
      </c>
      <c r="C1194" s="6">
        <v>7170.6</v>
      </c>
      <c r="D1194" s="6">
        <v>6892.5</v>
      </c>
      <c r="E1194" s="6">
        <v>7158</v>
      </c>
      <c r="F1194" s="8">
        <v>4073062000</v>
      </c>
      <c r="G1194" s="8">
        <v>32391600000</v>
      </c>
      <c r="H1194">
        <f t="shared" si="18"/>
        <v>236753.32407223652</v>
      </c>
    </row>
    <row r="1195" spans="1:8" x14ac:dyDescent="0.3">
      <c r="A1195" s="7">
        <v>44883</v>
      </c>
      <c r="B1195" s="6">
        <v>7158</v>
      </c>
      <c r="C1195" s="6">
        <v>7196.5</v>
      </c>
      <c r="D1195" s="6">
        <v>7102.9</v>
      </c>
      <c r="E1195" s="6">
        <v>7151.8</v>
      </c>
      <c r="F1195" s="8">
        <v>4166162000</v>
      </c>
      <c r="G1195" s="8">
        <v>31729220000</v>
      </c>
      <c r="H1195">
        <f t="shared" si="18"/>
        <v>236548.25692928486</v>
      </c>
    </row>
    <row r="1196" spans="1:8" x14ac:dyDescent="0.3">
      <c r="A1196" s="7">
        <v>44890</v>
      </c>
      <c r="B1196" s="6">
        <v>7151.8</v>
      </c>
      <c r="C1196" s="6">
        <v>7268.5</v>
      </c>
      <c r="D1196" s="6">
        <v>7131.7</v>
      </c>
      <c r="E1196" s="6">
        <v>7259.5</v>
      </c>
      <c r="F1196" s="8">
        <v>2997240000</v>
      </c>
      <c r="G1196" s="8">
        <v>23782610000</v>
      </c>
      <c r="H1196">
        <f t="shared" si="18"/>
        <v>240110.47165442872</v>
      </c>
    </row>
    <row r="1197" spans="1:8" x14ac:dyDescent="0.3">
      <c r="A1197" s="7">
        <v>44897</v>
      </c>
      <c r="B1197" s="6">
        <v>7259.5</v>
      </c>
      <c r="C1197" s="6">
        <v>7375.2</v>
      </c>
      <c r="D1197" s="6">
        <v>7200.9</v>
      </c>
      <c r="E1197" s="6">
        <v>7301.5</v>
      </c>
      <c r="F1197" s="8">
        <v>4658551000</v>
      </c>
      <c r="G1197" s="8">
        <v>38476910000</v>
      </c>
      <c r="H1197">
        <f t="shared" si="18"/>
        <v>241499.63617119793</v>
      </c>
    </row>
    <row r="1198" spans="1:8" x14ac:dyDescent="0.3">
      <c r="A1198" s="7">
        <v>44904</v>
      </c>
      <c r="B1198" s="6">
        <v>7301.5</v>
      </c>
      <c r="C1198" s="6">
        <v>7351</v>
      </c>
      <c r="D1198" s="6">
        <v>7170</v>
      </c>
      <c r="E1198" s="6">
        <v>7213.2</v>
      </c>
      <c r="F1198" s="8">
        <v>3717502000</v>
      </c>
      <c r="G1198" s="8">
        <v>29952960000</v>
      </c>
      <c r="H1198">
        <f t="shared" si="18"/>
        <v>238579.08315141886</v>
      </c>
    </row>
    <row r="1199" spans="1:8" x14ac:dyDescent="0.3">
      <c r="A1199" s="7">
        <v>44911</v>
      </c>
      <c r="B1199" s="6">
        <v>7213.2</v>
      </c>
      <c r="C1199" s="6">
        <v>7253.5</v>
      </c>
      <c r="D1199" s="6">
        <v>7117.6</v>
      </c>
      <c r="E1199" s="6">
        <v>7148.7</v>
      </c>
      <c r="F1199" s="8">
        <v>4387481000</v>
      </c>
      <c r="G1199" s="8">
        <v>32691730000</v>
      </c>
      <c r="H1199">
        <f t="shared" si="18"/>
        <v>236445.72335780901</v>
      </c>
    </row>
    <row r="1200" spans="1:8" x14ac:dyDescent="0.3">
      <c r="A1200" s="7">
        <v>44918</v>
      </c>
      <c r="B1200" s="6">
        <v>7148.7</v>
      </c>
      <c r="C1200" s="6">
        <v>7167.2</v>
      </c>
      <c r="D1200" s="6">
        <v>7019.5</v>
      </c>
      <c r="E1200" s="6">
        <v>7107.7</v>
      </c>
      <c r="F1200" s="8">
        <v>2827006000</v>
      </c>
      <c r="G1200" s="8">
        <v>20954580000</v>
      </c>
      <c r="H1200">
        <f t="shared" si="18"/>
        <v>235089.63418667717</v>
      </c>
    </row>
    <row r="1201" spans="1:8" x14ac:dyDescent="0.3">
      <c r="A1201" s="7">
        <v>44925</v>
      </c>
      <c r="B1201" s="6">
        <v>7107.7</v>
      </c>
      <c r="C1201" s="6">
        <v>7124</v>
      </c>
      <c r="D1201" s="6">
        <v>6993.8</v>
      </c>
      <c r="E1201" s="6">
        <v>7038.7</v>
      </c>
      <c r="F1201" s="8">
        <v>1350444000</v>
      </c>
      <c r="G1201" s="8">
        <v>9411730000</v>
      </c>
      <c r="H1201">
        <f t="shared" si="18"/>
        <v>232807.43533769919</v>
      </c>
    </row>
    <row r="1202" spans="1:8" x14ac:dyDescent="0.3">
      <c r="A1202" s="7">
        <v>44932</v>
      </c>
      <c r="B1202" s="6">
        <v>7038.7</v>
      </c>
      <c r="C1202" s="6">
        <v>7116.8</v>
      </c>
      <c r="D1202" s="6">
        <v>6905.3</v>
      </c>
      <c r="E1202" s="6">
        <v>7109.6</v>
      </c>
      <c r="F1202" s="8">
        <v>2113760000</v>
      </c>
      <c r="G1202" s="8">
        <v>16659930000</v>
      </c>
      <c r="H1202">
        <f t="shared" si="18"/>
        <v>235152.47734338816</v>
      </c>
    </row>
    <row r="1203" spans="1:8" x14ac:dyDescent="0.3">
      <c r="A1203" s="7">
        <v>44939</v>
      </c>
      <c r="B1203" s="6">
        <v>7109.6</v>
      </c>
      <c r="C1203" s="6">
        <v>7357.8</v>
      </c>
      <c r="D1203" s="6">
        <v>7109.6</v>
      </c>
      <c r="E1203" s="6">
        <v>7328.1</v>
      </c>
      <c r="F1203" s="8">
        <v>2645156000</v>
      </c>
      <c r="G1203" s="8">
        <v>21610610000</v>
      </c>
      <c r="H1203">
        <f t="shared" si="18"/>
        <v>242379.44036515174</v>
      </c>
    </row>
    <row r="1204" spans="1:8" x14ac:dyDescent="0.3">
      <c r="A1204" s="7">
        <v>44946</v>
      </c>
      <c r="B1204" s="6">
        <v>7328.1</v>
      </c>
      <c r="C1204" s="6">
        <v>7457.8</v>
      </c>
      <c r="D1204" s="6">
        <v>7328.1</v>
      </c>
      <c r="E1204" s="6">
        <v>7452.2</v>
      </c>
      <c r="F1204" s="8">
        <v>3066362000</v>
      </c>
      <c r="G1204" s="8">
        <v>26983940000</v>
      </c>
      <c r="H1204">
        <f t="shared" si="18"/>
        <v>246484.09075874832</v>
      </c>
    </row>
    <row r="1205" spans="1:8" x14ac:dyDescent="0.3">
      <c r="A1205" s="7">
        <v>44953</v>
      </c>
      <c r="B1205" s="6">
        <v>7452.2</v>
      </c>
      <c r="C1205" s="6">
        <v>7508.5</v>
      </c>
      <c r="D1205" s="6">
        <v>7434.5</v>
      </c>
      <c r="E1205" s="6">
        <v>7493.8</v>
      </c>
      <c r="F1205" s="8">
        <v>2553843000</v>
      </c>
      <c r="G1205" s="8">
        <v>20428600000</v>
      </c>
      <c r="H1205">
        <f t="shared" si="18"/>
        <v>247860.02513726259</v>
      </c>
    </row>
    <row r="1206" spans="1:8" x14ac:dyDescent="0.3">
      <c r="A1206" s="7">
        <v>44960</v>
      </c>
      <c r="B1206" s="6">
        <v>7493.8</v>
      </c>
      <c r="C1206" s="6">
        <v>7565</v>
      </c>
      <c r="D1206" s="6">
        <v>7463.7</v>
      </c>
      <c r="E1206" s="6">
        <v>7558.1</v>
      </c>
      <c r="F1206" s="8">
        <v>3926964000</v>
      </c>
      <c r="G1206" s="8">
        <v>29962630000</v>
      </c>
      <c r="H1206">
        <f t="shared" si="18"/>
        <v>249986.76986174498</v>
      </c>
    </row>
    <row r="1207" spans="1:8" x14ac:dyDescent="0.3">
      <c r="A1207" s="7">
        <v>44967</v>
      </c>
      <c r="B1207" s="6">
        <v>7558.1</v>
      </c>
      <c r="C1207" s="6">
        <v>7567.7</v>
      </c>
      <c r="D1207" s="6">
        <v>7428.8</v>
      </c>
      <c r="E1207" s="6">
        <v>7433.7</v>
      </c>
      <c r="F1207" s="8">
        <v>3051103000</v>
      </c>
      <c r="G1207" s="8">
        <v>24387760000</v>
      </c>
      <c r="H1207">
        <f t="shared" si="18"/>
        <v>245872.19686445716</v>
      </c>
    </row>
    <row r="1208" spans="1:8" x14ac:dyDescent="0.3">
      <c r="A1208" s="7">
        <v>44974</v>
      </c>
      <c r="B1208" s="6">
        <v>7433.7</v>
      </c>
      <c r="C1208" s="6">
        <v>7476.6</v>
      </c>
      <c r="D1208" s="6">
        <v>7337</v>
      </c>
      <c r="E1208" s="6">
        <v>7346.8</v>
      </c>
      <c r="F1208" s="8">
        <v>3770761000</v>
      </c>
      <c r="G1208" s="8">
        <v>32007020000</v>
      </c>
      <c r="H1208">
        <f t="shared" si="18"/>
        <v>242997.94932857042</v>
      </c>
    </row>
    <row r="1209" spans="1:8" x14ac:dyDescent="0.3">
      <c r="A1209" s="7">
        <v>44981</v>
      </c>
      <c r="B1209" s="6">
        <v>7346.8</v>
      </c>
      <c r="C1209" s="6">
        <v>7357.5</v>
      </c>
      <c r="D1209" s="6">
        <v>7267.8</v>
      </c>
      <c r="E1209" s="6">
        <v>7307</v>
      </c>
      <c r="F1209" s="8">
        <v>3386871000</v>
      </c>
      <c r="G1209" s="8">
        <v>26221130000</v>
      </c>
      <c r="H1209">
        <f t="shared" si="18"/>
        <v>241681.55057220341</v>
      </c>
    </row>
    <row r="1210" spans="1:8" x14ac:dyDescent="0.3">
      <c r="A1210" s="7">
        <v>44988</v>
      </c>
      <c r="B1210" s="6">
        <v>7307</v>
      </c>
      <c r="C1210" s="6">
        <v>7307</v>
      </c>
      <c r="D1210" s="6">
        <v>7193.4</v>
      </c>
      <c r="E1210" s="6">
        <v>7283.6</v>
      </c>
      <c r="F1210" s="8">
        <v>3889838000</v>
      </c>
      <c r="G1210" s="8">
        <v>33401860000</v>
      </c>
      <c r="H1210">
        <f t="shared" si="18"/>
        <v>240907.58748428916</v>
      </c>
    </row>
    <row r="1211" spans="1:8" x14ac:dyDescent="0.3">
      <c r="A1211" s="7">
        <v>44995</v>
      </c>
      <c r="B1211" s="6">
        <v>7291.2</v>
      </c>
      <c r="C1211" s="6">
        <v>7370.3</v>
      </c>
      <c r="D1211" s="6">
        <v>7134.5</v>
      </c>
      <c r="E1211" s="6">
        <v>7144.7</v>
      </c>
      <c r="F1211" s="8">
        <v>3415586000</v>
      </c>
      <c r="G1211" s="8">
        <v>28153390000</v>
      </c>
      <c r="H1211">
        <f t="shared" si="18"/>
        <v>236313.42197525958</v>
      </c>
    </row>
    <row r="1212" spans="1:8" x14ac:dyDescent="0.3">
      <c r="A1212" s="7">
        <v>45002</v>
      </c>
      <c r="B1212" s="6">
        <v>7144.7</v>
      </c>
      <c r="C1212" s="6">
        <v>7151.4</v>
      </c>
      <c r="D1212" s="6">
        <v>6911.1</v>
      </c>
      <c r="E1212" s="6">
        <v>6994.8</v>
      </c>
      <c r="F1212" s="8">
        <v>5229192000</v>
      </c>
      <c r="G1212" s="8">
        <v>43574570000</v>
      </c>
      <c r="H1212">
        <f t="shared" si="18"/>
        <v>231355.42766421905</v>
      </c>
    </row>
    <row r="1213" spans="1:8" x14ac:dyDescent="0.3">
      <c r="A1213" s="7">
        <v>45009</v>
      </c>
      <c r="B1213" s="6">
        <v>6994.3</v>
      </c>
      <c r="C1213" s="6">
        <v>7032</v>
      </c>
      <c r="D1213" s="6">
        <v>6895</v>
      </c>
      <c r="E1213" s="6">
        <v>6955.2</v>
      </c>
      <c r="F1213" s="8">
        <v>3348767000</v>
      </c>
      <c r="G1213" s="8">
        <v>25075110000</v>
      </c>
      <c r="H1213">
        <f t="shared" si="18"/>
        <v>230045.64397697951</v>
      </c>
    </row>
    <row r="1214" spans="1:8" x14ac:dyDescent="0.3">
      <c r="A1214" s="7">
        <v>45016</v>
      </c>
      <c r="B1214" s="6">
        <v>6955.2</v>
      </c>
      <c r="C1214" s="6">
        <v>7183.1</v>
      </c>
      <c r="D1214" s="6">
        <v>6955.2</v>
      </c>
      <c r="E1214" s="6">
        <v>7177.8</v>
      </c>
      <c r="F1214" s="8">
        <v>3883788000</v>
      </c>
      <c r="G1214" s="8">
        <v>29201870000</v>
      </c>
      <c r="H1214">
        <f t="shared" si="18"/>
        <v>237408.21591585627</v>
      </c>
    </row>
    <row r="1215" spans="1:8" x14ac:dyDescent="0.3">
      <c r="A1215" s="7">
        <v>45022</v>
      </c>
      <c r="B1215" s="6">
        <v>7177.8</v>
      </c>
      <c r="C1215" s="6">
        <v>7262.1</v>
      </c>
      <c r="D1215" s="6">
        <v>7177.8</v>
      </c>
      <c r="E1215" s="6">
        <v>7219</v>
      </c>
      <c r="F1215" s="8">
        <v>2806114000</v>
      </c>
      <c r="G1215" s="8">
        <v>21392010000</v>
      </c>
      <c r="H1215">
        <f t="shared" si="18"/>
        <v>238770.92015611558</v>
      </c>
    </row>
    <row r="1216" spans="1:8" x14ac:dyDescent="0.3">
      <c r="A1216" s="7">
        <v>45030</v>
      </c>
      <c r="B1216" s="6">
        <v>7219</v>
      </c>
      <c r="C1216" s="6">
        <v>7370.1</v>
      </c>
      <c r="D1216" s="6">
        <v>7219</v>
      </c>
      <c r="E1216" s="6">
        <v>7361.6</v>
      </c>
      <c r="F1216" s="8">
        <v>2607247000</v>
      </c>
      <c r="G1216" s="8">
        <v>21028460000</v>
      </c>
      <c r="H1216">
        <f t="shared" si="18"/>
        <v>243487.46444400339</v>
      </c>
    </row>
    <row r="1217" spans="1:8" x14ac:dyDescent="0.3">
      <c r="A1217" s="7">
        <v>45037</v>
      </c>
      <c r="B1217" s="6">
        <v>7361.6</v>
      </c>
      <c r="C1217" s="6">
        <v>7391.2</v>
      </c>
      <c r="D1217" s="6">
        <v>7314.9</v>
      </c>
      <c r="E1217" s="6">
        <v>7330.4</v>
      </c>
      <c r="F1217" s="8">
        <v>3400534000</v>
      </c>
      <c r="G1217" s="8">
        <v>26893320000</v>
      </c>
      <c r="H1217">
        <f t="shared" si="18"/>
        <v>242455.51366011766</v>
      </c>
    </row>
    <row r="1218" spans="1:8" x14ac:dyDescent="0.3">
      <c r="A1218" s="7">
        <v>45044</v>
      </c>
      <c r="B1218" s="6">
        <v>7330.4</v>
      </c>
      <c r="C1218" s="6">
        <v>7332.6</v>
      </c>
      <c r="D1218" s="6">
        <v>7275.3</v>
      </c>
      <c r="E1218" s="6">
        <v>7309.2</v>
      </c>
      <c r="F1218" s="8">
        <v>2617892000</v>
      </c>
      <c r="G1218" s="8">
        <v>21319060000</v>
      </c>
      <c r="H1218">
        <f t="shared" si="18"/>
        <v>241754.31633260561</v>
      </c>
    </row>
    <row r="1219" spans="1:8" x14ac:dyDescent="0.3">
      <c r="A1219" s="7">
        <v>45051</v>
      </c>
      <c r="B1219" s="6">
        <v>7309.2</v>
      </c>
      <c r="C1219" s="6">
        <v>7368</v>
      </c>
      <c r="D1219" s="6">
        <v>7141.8</v>
      </c>
      <c r="E1219" s="6">
        <v>7220</v>
      </c>
      <c r="F1219" s="8">
        <v>3244136000</v>
      </c>
      <c r="G1219" s="8">
        <v>27057230000</v>
      </c>
      <c r="H1219">
        <f t="shared" si="18"/>
        <v>238803.99550175294</v>
      </c>
    </row>
    <row r="1220" spans="1:8" x14ac:dyDescent="0.3">
      <c r="A1220" s="7">
        <v>45058</v>
      </c>
      <c r="B1220" s="6">
        <v>7220.2</v>
      </c>
      <c r="C1220" s="6">
        <v>7292.4</v>
      </c>
      <c r="D1220" s="6">
        <v>7220.2</v>
      </c>
      <c r="E1220" s="6">
        <v>7256.7</v>
      </c>
      <c r="F1220" s="8">
        <v>3240298000</v>
      </c>
      <c r="G1220" s="8">
        <v>26103590000</v>
      </c>
      <c r="H1220">
        <f t="shared" ref="H1220:H1283" si="19">H1219*(E1220/E1219)</f>
        <v>240017.86068664416</v>
      </c>
    </row>
    <row r="1221" spans="1:8" x14ac:dyDescent="0.3">
      <c r="A1221" s="7">
        <v>45065</v>
      </c>
      <c r="B1221" s="6">
        <v>7256.7</v>
      </c>
      <c r="C1221" s="6">
        <v>7292.6</v>
      </c>
      <c r="D1221" s="6">
        <v>7159.8</v>
      </c>
      <c r="E1221" s="6">
        <v>7279.5</v>
      </c>
      <c r="F1221" s="8">
        <v>3148357000</v>
      </c>
      <c r="G1221" s="8">
        <v>24281140000</v>
      </c>
      <c r="H1221">
        <f t="shared" si="19"/>
        <v>240771.978567176</v>
      </c>
    </row>
    <row r="1222" spans="1:8" x14ac:dyDescent="0.3">
      <c r="A1222" s="7">
        <v>45072</v>
      </c>
      <c r="B1222" s="6">
        <v>7279.5</v>
      </c>
      <c r="C1222" s="6">
        <v>7288.1</v>
      </c>
      <c r="D1222" s="6">
        <v>7129</v>
      </c>
      <c r="E1222" s="6">
        <v>7154.8</v>
      </c>
      <c r="F1222" s="8">
        <v>2912438000</v>
      </c>
      <c r="G1222" s="8">
        <v>24271860000</v>
      </c>
      <c r="H1222">
        <f t="shared" si="19"/>
        <v>236647.48296619699</v>
      </c>
    </row>
    <row r="1223" spans="1:8" x14ac:dyDescent="0.3">
      <c r="A1223" s="7">
        <v>45079</v>
      </c>
      <c r="B1223" s="6">
        <v>7154.8</v>
      </c>
      <c r="C1223" s="6">
        <v>7254.8</v>
      </c>
      <c r="D1223" s="6">
        <v>7077.9</v>
      </c>
      <c r="E1223" s="6">
        <v>7145.1</v>
      </c>
      <c r="F1223" s="8">
        <v>4041506000</v>
      </c>
      <c r="G1223" s="8">
        <v>33600610000</v>
      </c>
      <c r="H1223">
        <f t="shared" si="19"/>
        <v>236326.6521135146</v>
      </c>
    </row>
    <row r="1224" spans="1:8" x14ac:dyDescent="0.3">
      <c r="A1224" s="7">
        <v>45086</v>
      </c>
      <c r="B1224" s="6">
        <v>7145.1</v>
      </c>
      <c r="C1224" s="6">
        <v>7233.2</v>
      </c>
      <c r="D1224" s="6">
        <v>7093.5</v>
      </c>
      <c r="E1224" s="6">
        <v>7122.5</v>
      </c>
      <c r="F1224" s="8">
        <v>3418987000</v>
      </c>
      <c r="G1224" s="8">
        <v>26723790000</v>
      </c>
      <c r="H1224">
        <f t="shared" si="19"/>
        <v>235579.14930211019</v>
      </c>
    </row>
    <row r="1225" spans="1:8" x14ac:dyDescent="0.3">
      <c r="A1225" s="7">
        <v>45093</v>
      </c>
      <c r="B1225" s="6">
        <v>7122.5</v>
      </c>
      <c r="C1225" s="6">
        <v>7262.1</v>
      </c>
      <c r="D1225" s="6">
        <v>7101.3</v>
      </c>
      <c r="E1225" s="6">
        <v>7251.2</v>
      </c>
      <c r="F1225" s="8">
        <v>3761908000</v>
      </c>
      <c r="G1225" s="8">
        <v>33952440000</v>
      </c>
      <c r="H1225">
        <f t="shared" si="19"/>
        <v>239835.94628563864</v>
      </c>
    </row>
    <row r="1226" spans="1:8" x14ac:dyDescent="0.3">
      <c r="A1226" s="7">
        <v>45100</v>
      </c>
      <c r="B1226" s="6">
        <v>7251.2</v>
      </c>
      <c r="C1226" s="6">
        <v>7368.4</v>
      </c>
      <c r="D1226" s="6">
        <v>7087.9</v>
      </c>
      <c r="E1226" s="6">
        <v>7099.2</v>
      </c>
      <c r="F1226" s="8">
        <v>3312264000</v>
      </c>
      <c r="G1226" s="8">
        <v>26454480000</v>
      </c>
      <c r="H1226">
        <f t="shared" si="19"/>
        <v>234808.49374875962</v>
      </c>
    </row>
    <row r="1227" spans="1:8" x14ac:dyDescent="0.3">
      <c r="A1227" s="7">
        <v>45107</v>
      </c>
      <c r="B1227" s="6">
        <v>7099.2</v>
      </c>
      <c r="C1227" s="6">
        <v>7223.2</v>
      </c>
      <c r="D1227" s="6">
        <v>7054.8</v>
      </c>
      <c r="E1227" s="6">
        <v>7203.3</v>
      </c>
      <c r="F1227" s="8">
        <v>3148526000</v>
      </c>
      <c r="G1227" s="8">
        <v>25034120000</v>
      </c>
      <c r="H1227">
        <f t="shared" si="19"/>
        <v>238251.63722960898</v>
      </c>
    </row>
    <row r="1228" spans="1:8" x14ac:dyDescent="0.3">
      <c r="A1228" s="7">
        <v>45114</v>
      </c>
      <c r="B1228" s="6">
        <v>7203.3</v>
      </c>
      <c r="C1228" s="6">
        <v>7285.8</v>
      </c>
      <c r="D1228" s="6">
        <v>7023.6</v>
      </c>
      <c r="E1228" s="6">
        <v>7042.3</v>
      </c>
      <c r="F1228" s="8">
        <v>2847109000</v>
      </c>
      <c r="G1228" s="8">
        <v>23357120000</v>
      </c>
      <c r="H1228">
        <f t="shared" si="19"/>
        <v>232926.50658199372</v>
      </c>
    </row>
    <row r="1229" spans="1:8" x14ac:dyDescent="0.3">
      <c r="A1229" s="7">
        <v>45121</v>
      </c>
      <c r="B1229" s="6">
        <v>7042.3</v>
      </c>
      <c r="C1229" s="6">
        <v>7313.7</v>
      </c>
      <c r="D1229" s="6">
        <v>6998.1</v>
      </c>
      <c r="E1229" s="6">
        <v>7303.1</v>
      </c>
      <c r="F1229" s="8">
        <v>2716256000</v>
      </c>
      <c r="G1229" s="8">
        <v>23324140000</v>
      </c>
      <c r="H1229">
        <f t="shared" si="19"/>
        <v>241552.55672421772</v>
      </c>
    </row>
    <row r="1230" spans="1:8" x14ac:dyDescent="0.3">
      <c r="A1230" s="7">
        <v>45128</v>
      </c>
      <c r="B1230" s="6">
        <v>7303.1</v>
      </c>
      <c r="C1230" s="6">
        <v>7383.3</v>
      </c>
      <c r="D1230" s="6">
        <v>7261.1</v>
      </c>
      <c r="E1230" s="6">
        <v>7313.9</v>
      </c>
      <c r="F1230" s="8">
        <v>3078286000</v>
      </c>
      <c r="G1230" s="8">
        <v>27434560000</v>
      </c>
      <c r="H1230">
        <f t="shared" si="19"/>
        <v>241909.7704571012</v>
      </c>
    </row>
    <row r="1231" spans="1:8" x14ac:dyDescent="0.3">
      <c r="A1231" s="7">
        <v>45135</v>
      </c>
      <c r="B1231" s="6">
        <v>7313.9</v>
      </c>
      <c r="C1231" s="6">
        <v>7472.3</v>
      </c>
      <c r="D1231" s="6">
        <v>7306.4</v>
      </c>
      <c r="E1231" s="6">
        <v>7403.6</v>
      </c>
      <c r="F1231" s="8">
        <v>3279632000</v>
      </c>
      <c r="G1231" s="8">
        <v>25877890000</v>
      </c>
      <c r="H1231">
        <f t="shared" si="19"/>
        <v>244876.62896077259</v>
      </c>
    </row>
    <row r="1232" spans="1:8" x14ac:dyDescent="0.3">
      <c r="A1232" s="7">
        <v>45142</v>
      </c>
      <c r="B1232" s="6">
        <v>7403.6</v>
      </c>
      <c r="C1232" s="6">
        <v>7470.1</v>
      </c>
      <c r="D1232" s="6">
        <v>7285.5</v>
      </c>
      <c r="E1232" s="6">
        <v>7325.3</v>
      </c>
      <c r="F1232" s="8">
        <v>2840952000</v>
      </c>
      <c r="G1232" s="8">
        <v>23905460000</v>
      </c>
      <c r="H1232">
        <f t="shared" si="19"/>
        <v>242286.82939736714</v>
      </c>
    </row>
    <row r="1233" spans="1:8" x14ac:dyDescent="0.3">
      <c r="A1233" s="7">
        <v>45149</v>
      </c>
      <c r="B1233" s="6">
        <v>7325.3</v>
      </c>
      <c r="C1233" s="6">
        <v>7361.2</v>
      </c>
      <c r="D1233" s="6">
        <v>7294.6</v>
      </c>
      <c r="E1233" s="6">
        <v>7340.1</v>
      </c>
      <c r="F1233" s="8">
        <v>2910892000</v>
      </c>
      <c r="G1233" s="8">
        <v>23327700000</v>
      </c>
      <c r="H1233">
        <f t="shared" si="19"/>
        <v>242776.3445128001</v>
      </c>
    </row>
    <row r="1234" spans="1:8" x14ac:dyDescent="0.3">
      <c r="A1234" s="7">
        <v>45156</v>
      </c>
      <c r="B1234" s="6">
        <v>7340.1</v>
      </c>
      <c r="C1234" s="6">
        <v>7340.1</v>
      </c>
      <c r="D1234" s="6">
        <v>7106.8</v>
      </c>
      <c r="E1234" s="6">
        <v>7148.1</v>
      </c>
      <c r="F1234" s="8">
        <v>3636100000</v>
      </c>
      <c r="G1234" s="8">
        <v>29239900000</v>
      </c>
      <c r="H1234">
        <f t="shared" si="19"/>
        <v>236425.87815042661</v>
      </c>
    </row>
    <row r="1235" spans="1:8" x14ac:dyDescent="0.3">
      <c r="A1235" s="7">
        <v>45163</v>
      </c>
      <c r="B1235" s="6">
        <v>7148.1</v>
      </c>
      <c r="C1235" s="6">
        <v>7194.4</v>
      </c>
      <c r="D1235" s="6">
        <v>7090</v>
      </c>
      <c r="E1235" s="6">
        <v>7115.2</v>
      </c>
      <c r="F1235" s="8">
        <v>3713947000</v>
      </c>
      <c r="G1235" s="8">
        <v>29725540000</v>
      </c>
      <c r="H1235">
        <f t="shared" si="19"/>
        <v>235337.69927895739</v>
      </c>
    </row>
    <row r="1236" spans="1:8" x14ac:dyDescent="0.3">
      <c r="A1236" s="7">
        <v>45170</v>
      </c>
      <c r="B1236" s="6">
        <v>7115.2</v>
      </c>
      <c r="C1236" s="6">
        <v>7317.9</v>
      </c>
      <c r="D1236" s="6">
        <v>7115.2</v>
      </c>
      <c r="E1236" s="6">
        <v>7278.3</v>
      </c>
      <c r="F1236" s="8">
        <v>4275500000</v>
      </c>
      <c r="G1236" s="8">
        <v>29529710000</v>
      </c>
      <c r="H1236">
        <f t="shared" si="19"/>
        <v>240732.28815241111</v>
      </c>
    </row>
    <row r="1237" spans="1:8" x14ac:dyDescent="0.3">
      <c r="A1237" s="7">
        <v>45177</v>
      </c>
      <c r="B1237" s="6">
        <v>7278.3</v>
      </c>
      <c r="C1237" s="6">
        <v>7340.9</v>
      </c>
      <c r="D1237" s="6">
        <v>7134.8</v>
      </c>
      <c r="E1237" s="6">
        <v>7156.7</v>
      </c>
      <c r="F1237" s="8">
        <v>3140717000</v>
      </c>
      <c r="G1237" s="8">
        <v>23701810000</v>
      </c>
      <c r="H1237">
        <f t="shared" si="19"/>
        <v>236710.32612290789</v>
      </c>
    </row>
    <row r="1238" spans="1:8" x14ac:dyDescent="0.3">
      <c r="A1238" s="7">
        <v>45184</v>
      </c>
      <c r="B1238" s="6">
        <v>7156.7</v>
      </c>
      <c r="C1238" s="6">
        <v>7319.8</v>
      </c>
      <c r="D1238" s="6">
        <v>7134</v>
      </c>
      <c r="E1238" s="6">
        <v>7279</v>
      </c>
      <c r="F1238" s="8">
        <v>4959511000</v>
      </c>
      <c r="G1238" s="8">
        <v>30387280000</v>
      </c>
      <c r="H1238">
        <f t="shared" si="19"/>
        <v>240755.44089435725</v>
      </c>
    </row>
    <row r="1239" spans="1:8" x14ac:dyDescent="0.3">
      <c r="A1239" s="7">
        <v>45191</v>
      </c>
      <c r="B1239" s="6">
        <v>7279</v>
      </c>
      <c r="C1239" s="6">
        <v>7279</v>
      </c>
      <c r="D1239" s="6">
        <v>6957.2</v>
      </c>
      <c r="E1239" s="6">
        <v>7068.8</v>
      </c>
      <c r="F1239" s="8">
        <v>3584165000</v>
      </c>
      <c r="G1239" s="8">
        <v>28579040000</v>
      </c>
      <c r="H1239">
        <f t="shared" si="19"/>
        <v>233803.00324138379</v>
      </c>
    </row>
    <row r="1240" spans="1:8" x14ac:dyDescent="0.3">
      <c r="A1240" s="7">
        <v>45198</v>
      </c>
      <c r="B1240" s="6">
        <v>7068.8</v>
      </c>
      <c r="C1240" s="6">
        <v>7076.5</v>
      </c>
      <c r="D1240" s="6">
        <v>7002.8</v>
      </c>
      <c r="E1240" s="6">
        <v>7048.6</v>
      </c>
      <c r="F1240" s="8">
        <v>3426048000</v>
      </c>
      <c r="G1240" s="8">
        <v>23940740000</v>
      </c>
      <c r="H1240">
        <f t="shared" si="19"/>
        <v>233134.88125950907</v>
      </c>
    </row>
    <row r="1241" spans="1:8" x14ac:dyDescent="0.3">
      <c r="A1241" s="7">
        <v>45205</v>
      </c>
      <c r="B1241" s="6">
        <v>7048.6</v>
      </c>
      <c r="C1241" s="6">
        <v>7051.5</v>
      </c>
      <c r="D1241" s="6">
        <v>6871</v>
      </c>
      <c r="E1241" s="6">
        <v>6954.2</v>
      </c>
      <c r="F1241" s="8">
        <v>3402043000</v>
      </c>
      <c r="G1241" s="8">
        <v>24441450000</v>
      </c>
      <c r="H1241">
        <f t="shared" si="19"/>
        <v>230012.56863134209</v>
      </c>
    </row>
    <row r="1242" spans="1:8" x14ac:dyDescent="0.3">
      <c r="A1242" s="7">
        <v>45212</v>
      </c>
      <c r="B1242" s="6">
        <v>6954.2</v>
      </c>
      <c r="C1242" s="6">
        <v>7112.7</v>
      </c>
      <c r="D1242" s="6">
        <v>6954.2</v>
      </c>
      <c r="E1242" s="6">
        <v>7051</v>
      </c>
      <c r="F1242" s="8">
        <v>3506913000</v>
      </c>
      <c r="G1242" s="8">
        <v>25088860000</v>
      </c>
      <c r="H1242">
        <f t="shared" si="19"/>
        <v>233214.26208903873</v>
      </c>
    </row>
    <row r="1243" spans="1:8" x14ac:dyDescent="0.3">
      <c r="A1243" s="7">
        <v>45219</v>
      </c>
      <c r="B1243" s="6">
        <v>7051</v>
      </c>
      <c r="C1243" s="6">
        <v>7100.3</v>
      </c>
      <c r="D1243" s="6">
        <v>6878.3</v>
      </c>
      <c r="E1243" s="6">
        <v>6900.7</v>
      </c>
      <c r="F1243" s="8">
        <v>3276528000</v>
      </c>
      <c r="G1243" s="8">
        <v>24950490000</v>
      </c>
      <c r="H1243">
        <f t="shared" si="19"/>
        <v>228243.03763974324</v>
      </c>
    </row>
    <row r="1244" spans="1:8" x14ac:dyDescent="0.3">
      <c r="A1244" s="7">
        <v>45226</v>
      </c>
      <c r="B1244" s="6">
        <v>6900.7</v>
      </c>
      <c r="C1244" s="6">
        <v>6900.7</v>
      </c>
      <c r="D1244" s="6">
        <v>6777.4</v>
      </c>
      <c r="E1244" s="6">
        <v>6826.9</v>
      </c>
      <c r="F1244" s="8">
        <v>3452106000</v>
      </c>
      <c r="G1244" s="8">
        <v>26457070000</v>
      </c>
      <c r="H1244">
        <f t="shared" si="19"/>
        <v>225802.07713170594</v>
      </c>
    </row>
    <row r="1245" spans="1:8" x14ac:dyDescent="0.3">
      <c r="A1245" s="7">
        <v>45233</v>
      </c>
      <c r="B1245" s="6">
        <v>6826.9</v>
      </c>
      <c r="C1245" s="6">
        <v>6989.4</v>
      </c>
      <c r="D1245" s="6">
        <v>6751.3</v>
      </c>
      <c r="E1245" s="6">
        <v>6978.2</v>
      </c>
      <c r="F1245" s="8">
        <v>3769993000</v>
      </c>
      <c r="G1245" s="8">
        <v>25784620000</v>
      </c>
      <c r="H1245">
        <f t="shared" si="19"/>
        <v>230806.37692663877</v>
      </c>
    </row>
    <row r="1246" spans="1:8" x14ac:dyDescent="0.3">
      <c r="A1246" s="7">
        <v>45240</v>
      </c>
      <c r="B1246" s="6">
        <v>6978.2</v>
      </c>
      <c r="C1246" s="6">
        <v>7045.5</v>
      </c>
      <c r="D1246" s="6">
        <v>6951.9</v>
      </c>
      <c r="E1246" s="6">
        <v>6976.5</v>
      </c>
      <c r="F1246" s="8">
        <v>3272082000</v>
      </c>
      <c r="G1246" s="8">
        <v>25823830000</v>
      </c>
      <c r="H1246">
        <f t="shared" si="19"/>
        <v>230750.14883905524</v>
      </c>
    </row>
    <row r="1247" spans="1:8" x14ac:dyDescent="0.3">
      <c r="A1247" s="7">
        <v>45247</v>
      </c>
      <c r="B1247" s="6">
        <v>6976.5</v>
      </c>
      <c r="C1247" s="6">
        <v>7125.6</v>
      </c>
      <c r="D1247" s="6">
        <v>6948.8</v>
      </c>
      <c r="E1247" s="6">
        <v>7049.4</v>
      </c>
      <c r="F1247" s="8">
        <v>3207877000</v>
      </c>
      <c r="G1247" s="8">
        <v>27066020000</v>
      </c>
      <c r="H1247">
        <f t="shared" si="19"/>
        <v>233161.34153601891</v>
      </c>
    </row>
    <row r="1248" spans="1:8" x14ac:dyDescent="0.3">
      <c r="A1248" s="7">
        <v>45254</v>
      </c>
      <c r="B1248" s="6">
        <v>7049.4</v>
      </c>
      <c r="C1248" s="6">
        <v>7090.4</v>
      </c>
      <c r="D1248" s="6">
        <v>7026.9</v>
      </c>
      <c r="E1248" s="6">
        <v>7040.8</v>
      </c>
      <c r="F1248" s="8">
        <v>2639407000</v>
      </c>
      <c r="G1248" s="8">
        <v>19934860000</v>
      </c>
      <c r="H1248">
        <f t="shared" si="19"/>
        <v>232876.89356353763</v>
      </c>
    </row>
    <row r="1249" spans="1:8" x14ac:dyDescent="0.3">
      <c r="A1249" s="7">
        <v>45261</v>
      </c>
      <c r="B1249" s="6">
        <v>7040.8</v>
      </c>
      <c r="C1249" s="6">
        <v>7087.3</v>
      </c>
      <c r="D1249" s="6">
        <v>6985.5</v>
      </c>
      <c r="E1249" s="6">
        <v>7073.2</v>
      </c>
      <c r="F1249" s="8">
        <v>3688430000</v>
      </c>
      <c r="G1249" s="8">
        <v>27996930000</v>
      </c>
      <c r="H1249">
        <f t="shared" si="19"/>
        <v>233948.53476218815</v>
      </c>
    </row>
    <row r="1250" spans="1:8" x14ac:dyDescent="0.3">
      <c r="A1250" s="7">
        <v>45268</v>
      </c>
      <c r="B1250" s="6">
        <v>7073.2</v>
      </c>
      <c r="C1250" s="6">
        <v>7194.9</v>
      </c>
      <c r="D1250" s="6">
        <v>7041.1</v>
      </c>
      <c r="E1250" s="6">
        <v>7194.9</v>
      </c>
      <c r="F1250" s="8">
        <v>4185461000</v>
      </c>
      <c r="G1250" s="8">
        <v>26930800000</v>
      </c>
      <c r="H1250">
        <f t="shared" si="19"/>
        <v>237973.80432625511</v>
      </c>
    </row>
    <row r="1251" spans="1:8" x14ac:dyDescent="0.3">
      <c r="A1251" s="7">
        <v>45275</v>
      </c>
      <c r="B1251" s="6">
        <v>7194.9</v>
      </c>
      <c r="C1251" s="6">
        <v>7462.2</v>
      </c>
      <c r="D1251" s="6">
        <v>7189.9</v>
      </c>
      <c r="E1251" s="6">
        <v>7442.7</v>
      </c>
      <c r="F1251" s="8">
        <v>4923276000</v>
      </c>
      <c r="G1251" s="8">
        <v>37294170000</v>
      </c>
      <c r="H1251">
        <f t="shared" si="19"/>
        <v>246169.87497519341</v>
      </c>
    </row>
    <row r="1252" spans="1:8" x14ac:dyDescent="0.3">
      <c r="A1252" s="7">
        <v>45282</v>
      </c>
      <c r="B1252" s="6">
        <v>7442.7</v>
      </c>
      <c r="C1252" s="6">
        <v>7552.3</v>
      </c>
      <c r="D1252" s="6">
        <v>7406.4</v>
      </c>
      <c r="E1252" s="6">
        <v>7501.6</v>
      </c>
      <c r="F1252" s="8">
        <v>3487124000</v>
      </c>
      <c r="G1252" s="8">
        <v>27071590000</v>
      </c>
      <c r="H1252">
        <f t="shared" si="19"/>
        <v>248118.01283323407</v>
      </c>
    </row>
    <row r="1253" spans="1:8" x14ac:dyDescent="0.3">
      <c r="A1253" s="7">
        <v>45289</v>
      </c>
      <c r="B1253" s="6">
        <v>7501.6</v>
      </c>
      <c r="C1253" s="6">
        <v>7614.3</v>
      </c>
      <c r="D1253" s="6">
        <v>7501.6</v>
      </c>
      <c r="E1253" s="6">
        <v>7590.8</v>
      </c>
      <c r="F1253" s="8">
        <v>1181727000</v>
      </c>
      <c r="G1253" s="8">
        <v>8933445000</v>
      </c>
      <c r="H1253">
        <f t="shared" si="19"/>
        <v>251068.33366408676</v>
      </c>
    </row>
    <row r="1254" spans="1:8" x14ac:dyDescent="0.3">
      <c r="A1254" s="7">
        <v>45296</v>
      </c>
      <c r="B1254" s="6">
        <v>7590.8</v>
      </c>
      <c r="C1254" s="6">
        <v>7632.7</v>
      </c>
      <c r="D1254" s="6">
        <v>7481.1</v>
      </c>
      <c r="E1254" s="6">
        <v>7489.1</v>
      </c>
      <c r="F1254" s="8">
        <v>1691965000</v>
      </c>
      <c r="G1254" s="8">
        <v>13466550000</v>
      </c>
      <c r="H1254">
        <f t="shared" si="19"/>
        <v>247704.57101276706</v>
      </c>
    </row>
    <row r="1255" spans="1:8" x14ac:dyDescent="0.3">
      <c r="A1255" s="7">
        <v>45303</v>
      </c>
      <c r="B1255" s="6">
        <v>7489.1</v>
      </c>
      <c r="C1255" s="6">
        <v>7541.9</v>
      </c>
      <c r="D1255" s="6">
        <v>7441.8</v>
      </c>
      <c r="E1255" s="6">
        <v>7498.3</v>
      </c>
      <c r="F1255" s="8">
        <v>2803061000</v>
      </c>
      <c r="G1255" s="8">
        <v>19398250000</v>
      </c>
      <c r="H1255">
        <f t="shared" si="19"/>
        <v>248008.86419263078</v>
      </c>
    </row>
    <row r="1256" spans="1:8" x14ac:dyDescent="0.3">
      <c r="A1256" s="7">
        <v>45310</v>
      </c>
      <c r="B1256" s="6">
        <v>7498.3</v>
      </c>
      <c r="C1256" s="6">
        <v>7505.1</v>
      </c>
      <c r="D1256" s="6">
        <v>7322</v>
      </c>
      <c r="E1256" s="6">
        <v>7421.2</v>
      </c>
      <c r="F1256" s="8">
        <v>3199967000</v>
      </c>
      <c r="G1256" s="8">
        <v>23731720000</v>
      </c>
      <c r="H1256">
        <f t="shared" si="19"/>
        <v>245458.75504399015</v>
      </c>
    </row>
    <row r="1257" spans="1:8" x14ac:dyDescent="0.3">
      <c r="A1257" s="7">
        <v>45316</v>
      </c>
      <c r="B1257" s="6">
        <v>7421.2</v>
      </c>
      <c r="C1257" s="6">
        <v>7558.8</v>
      </c>
      <c r="D1257" s="6">
        <v>7421.2</v>
      </c>
      <c r="E1257" s="6">
        <v>7555.4</v>
      </c>
      <c r="F1257" s="8">
        <v>2403871000</v>
      </c>
      <c r="G1257" s="8">
        <v>18161820000</v>
      </c>
      <c r="H1257">
        <f t="shared" si="19"/>
        <v>249897.46642852415</v>
      </c>
    </row>
    <row r="1258" spans="1:8" x14ac:dyDescent="0.3">
      <c r="A1258" s="7">
        <v>45324</v>
      </c>
      <c r="B1258" s="6">
        <v>7555.4</v>
      </c>
      <c r="C1258" s="6">
        <v>7703.6</v>
      </c>
      <c r="D1258" s="6">
        <v>7544.3</v>
      </c>
      <c r="E1258" s="6">
        <v>7699.4</v>
      </c>
      <c r="F1258" s="8">
        <v>3445047000</v>
      </c>
      <c r="G1258" s="8">
        <v>27670750000</v>
      </c>
      <c r="H1258">
        <f t="shared" si="19"/>
        <v>254660.31620030428</v>
      </c>
    </row>
    <row r="1259" spans="1:8" x14ac:dyDescent="0.3">
      <c r="A1259" s="7">
        <v>45331</v>
      </c>
      <c r="B1259" s="6">
        <v>7699.4</v>
      </c>
      <c r="C1259" s="6">
        <v>7699.4</v>
      </c>
      <c r="D1259" s="6">
        <v>7542</v>
      </c>
      <c r="E1259" s="6">
        <v>7644.8</v>
      </c>
      <c r="F1259" s="8">
        <v>2888982000</v>
      </c>
      <c r="G1259" s="8">
        <v>24146740000</v>
      </c>
      <c r="H1259">
        <f t="shared" si="19"/>
        <v>252854.40232850437</v>
      </c>
    </row>
    <row r="1260" spans="1:8" x14ac:dyDescent="0.3">
      <c r="A1260" s="7">
        <v>45338</v>
      </c>
      <c r="B1260" s="6">
        <v>7644.8</v>
      </c>
      <c r="C1260" s="6">
        <v>7681.1</v>
      </c>
      <c r="D1260" s="6">
        <v>7489.4</v>
      </c>
      <c r="E1260" s="6">
        <v>7658.3</v>
      </c>
      <c r="F1260" s="8">
        <v>3777022000</v>
      </c>
      <c r="G1260" s="8">
        <v>28346060000</v>
      </c>
      <c r="H1260">
        <f t="shared" si="19"/>
        <v>253300.91949460877</v>
      </c>
    </row>
    <row r="1261" spans="1:8" x14ac:dyDescent="0.3">
      <c r="A1261" s="7">
        <v>45345</v>
      </c>
      <c r="B1261" s="6">
        <v>7658.3</v>
      </c>
      <c r="C1261" s="6">
        <v>7683.3</v>
      </c>
      <c r="D1261" s="6">
        <v>7584.7</v>
      </c>
      <c r="E1261" s="6">
        <v>7643.6</v>
      </c>
      <c r="F1261" s="8">
        <v>4852742000</v>
      </c>
      <c r="G1261" s="8">
        <v>30096330000</v>
      </c>
      <c r="H1261">
        <f t="shared" si="19"/>
        <v>252814.71191373956</v>
      </c>
    </row>
    <row r="1262" spans="1:8" x14ac:dyDescent="0.3">
      <c r="A1262" s="7">
        <v>45352</v>
      </c>
      <c r="B1262" s="6">
        <v>7643.6</v>
      </c>
      <c r="C1262" s="6">
        <v>7745.6</v>
      </c>
      <c r="D1262" s="6">
        <v>7610.8</v>
      </c>
      <c r="E1262" s="6">
        <v>7745.6</v>
      </c>
      <c r="F1262" s="8">
        <v>5311381000</v>
      </c>
      <c r="G1262" s="8">
        <v>35563150000</v>
      </c>
      <c r="H1262">
        <f t="shared" si="19"/>
        <v>256188.3971687505</v>
      </c>
    </row>
    <row r="1263" spans="1:8" x14ac:dyDescent="0.3">
      <c r="A1263" s="7">
        <v>45359</v>
      </c>
      <c r="B1263" s="6">
        <v>7745.6</v>
      </c>
      <c r="C1263" s="6">
        <v>7853.1</v>
      </c>
      <c r="D1263" s="6">
        <v>7695.2</v>
      </c>
      <c r="E1263" s="6">
        <v>7847</v>
      </c>
      <c r="F1263" s="8">
        <v>3785026000</v>
      </c>
      <c r="G1263" s="8">
        <v>29361380000</v>
      </c>
      <c r="H1263">
        <f t="shared" si="19"/>
        <v>259542.237216379</v>
      </c>
    </row>
    <row r="1264" spans="1:8" x14ac:dyDescent="0.3">
      <c r="A1264" s="7">
        <v>45366</v>
      </c>
      <c r="B1264" s="6">
        <v>7847</v>
      </c>
      <c r="C1264" s="6">
        <v>7847</v>
      </c>
      <c r="D1264" s="6">
        <v>7591.4</v>
      </c>
      <c r="E1264" s="6">
        <v>7670.3</v>
      </c>
      <c r="F1264" s="8">
        <v>5019539000</v>
      </c>
      <c r="G1264" s="8">
        <v>38683680000</v>
      </c>
      <c r="H1264">
        <f t="shared" si="19"/>
        <v>253697.82364225716</v>
      </c>
    </row>
    <row r="1265" spans="1:8" x14ac:dyDescent="0.3">
      <c r="A1265" s="7">
        <v>45373</v>
      </c>
      <c r="B1265" s="6">
        <v>7670.3</v>
      </c>
      <c r="C1265" s="6">
        <v>7787.2</v>
      </c>
      <c r="D1265" s="6">
        <v>7642</v>
      </c>
      <c r="E1265" s="6">
        <v>7770.6</v>
      </c>
      <c r="F1265" s="8">
        <v>3086422000</v>
      </c>
      <c r="G1265" s="8">
        <v>29177890000</v>
      </c>
      <c r="H1265">
        <f t="shared" si="19"/>
        <v>257015.28080968457</v>
      </c>
    </row>
    <row r="1266" spans="1:8" x14ac:dyDescent="0.3">
      <c r="A1266" s="7">
        <v>45379</v>
      </c>
      <c r="B1266" s="6">
        <v>7770.6</v>
      </c>
      <c r="C1266" s="6">
        <v>7901.2</v>
      </c>
      <c r="D1266" s="6">
        <v>7770.6</v>
      </c>
      <c r="E1266" s="6">
        <v>7896.9</v>
      </c>
      <c r="F1266" s="8">
        <v>2220318000</v>
      </c>
      <c r="G1266" s="8">
        <v>20308190000</v>
      </c>
      <c r="H1266">
        <f t="shared" si="19"/>
        <v>261192.69696368335</v>
      </c>
    </row>
    <row r="1267" spans="1:8" x14ac:dyDescent="0.3">
      <c r="A1267" s="7">
        <v>45387</v>
      </c>
      <c r="B1267" s="6">
        <v>7896.9</v>
      </c>
      <c r="C1267" s="6">
        <v>7910.5</v>
      </c>
      <c r="D1267" s="6">
        <v>7741.5</v>
      </c>
      <c r="E1267" s="6">
        <v>7773.3</v>
      </c>
      <c r="F1267" s="8">
        <v>2324015000</v>
      </c>
      <c r="G1267" s="8">
        <v>20604450000</v>
      </c>
      <c r="H1267">
        <f t="shared" si="19"/>
        <v>257104.58424290543</v>
      </c>
    </row>
    <row r="1268" spans="1:8" x14ac:dyDescent="0.3">
      <c r="A1268" s="7">
        <v>45394</v>
      </c>
      <c r="B1268" s="6">
        <v>7773.3</v>
      </c>
      <c r="C1268" s="6">
        <v>7869.3</v>
      </c>
      <c r="D1268" s="6">
        <v>7752.1</v>
      </c>
      <c r="E1268" s="6">
        <v>7788.1</v>
      </c>
      <c r="F1268" s="8">
        <v>2668391000</v>
      </c>
      <c r="G1268" s="8">
        <v>23484570000</v>
      </c>
      <c r="H1268">
        <f t="shared" si="19"/>
        <v>257594.0993583384</v>
      </c>
    </row>
    <row r="1269" spans="1:8" x14ac:dyDescent="0.3">
      <c r="A1269" s="7">
        <v>45401</v>
      </c>
      <c r="B1269" s="6">
        <v>7788.1</v>
      </c>
      <c r="C1269" s="6">
        <v>7788.9</v>
      </c>
      <c r="D1269" s="6">
        <v>7492.6</v>
      </c>
      <c r="E1269" s="6">
        <v>7567.3</v>
      </c>
      <c r="F1269" s="8">
        <v>3280276000</v>
      </c>
      <c r="G1269" s="8">
        <v>29781390000</v>
      </c>
      <c r="H1269">
        <f t="shared" si="19"/>
        <v>250291.06304160887</v>
      </c>
    </row>
    <row r="1270" spans="1:8" x14ac:dyDescent="0.3">
      <c r="A1270" s="7">
        <v>45408</v>
      </c>
      <c r="B1270" s="6">
        <v>7567.3</v>
      </c>
      <c r="C1270" s="6">
        <v>7724</v>
      </c>
      <c r="D1270" s="6">
        <v>7567.3</v>
      </c>
      <c r="E1270" s="6">
        <v>7575.9</v>
      </c>
      <c r="F1270" s="8">
        <v>2143823000</v>
      </c>
      <c r="G1270" s="8">
        <v>19976270000</v>
      </c>
      <c r="H1270">
        <f t="shared" si="19"/>
        <v>250575.51101409015</v>
      </c>
    </row>
    <row r="1271" spans="1:8" x14ac:dyDescent="0.3">
      <c r="A1271" s="7">
        <v>45415</v>
      </c>
      <c r="B1271" s="6">
        <v>7575.9</v>
      </c>
      <c r="C1271" s="6">
        <v>7664.1</v>
      </c>
      <c r="D1271" s="6">
        <v>7556.5</v>
      </c>
      <c r="E1271" s="6">
        <v>7629</v>
      </c>
      <c r="F1271" s="8">
        <v>3098678000</v>
      </c>
      <c r="G1271" s="8">
        <v>27528700000</v>
      </c>
      <c r="H1271">
        <f t="shared" si="19"/>
        <v>252331.81186743409</v>
      </c>
    </row>
    <row r="1272" spans="1:8" x14ac:dyDescent="0.3">
      <c r="A1272" s="7">
        <v>45422</v>
      </c>
      <c r="B1272" s="6">
        <v>7629</v>
      </c>
      <c r="C1272" s="6">
        <v>7814.9</v>
      </c>
      <c r="D1272" s="6">
        <v>7629</v>
      </c>
      <c r="E1272" s="6">
        <v>7749</v>
      </c>
      <c r="F1272" s="8">
        <v>2597032000</v>
      </c>
      <c r="G1272" s="8">
        <v>25919180000</v>
      </c>
      <c r="H1272">
        <f t="shared" si="19"/>
        <v>256300.85334391752</v>
      </c>
    </row>
    <row r="1273" spans="1:8" x14ac:dyDescent="0.3">
      <c r="A1273" s="7">
        <v>45429</v>
      </c>
      <c r="B1273" s="6">
        <v>7749</v>
      </c>
      <c r="C1273" s="6">
        <v>7900.2</v>
      </c>
      <c r="D1273" s="6">
        <v>7714.6</v>
      </c>
      <c r="E1273" s="6">
        <v>7814.4</v>
      </c>
      <c r="F1273" s="8">
        <v>2502793000</v>
      </c>
      <c r="G1273" s="8">
        <v>25375760000</v>
      </c>
      <c r="H1273">
        <f t="shared" si="19"/>
        <v>258463.98094860098</v>
      </c>
    </row>
    <row r="1274" spans="1:8" x14ac:dyDescent="0.3">
      <c r="A1274" s="7">
        <v>45436</v>
      </c>
      <c r="B1274" s="6">
        <v>7814.4</v>
      </c>
      <c r="C1274" s="6">
        <v>7879.6</v>
      </c>
      <c r="D1274" s="6">
        <v>7716.9</v>
      </c>
      <c r="E1274" s="6">
        <v>7727.6</v>
      </c>
      <c r="F1274" s="8">
        <v>3062356000</v>
      </c>
      <c r="G1274" s="8">
        <v>26211090000</v>
      </c>
      <c r="H1274">
        <f t="shared" si="19"/>
        <v>255593.04094727797</v>
      </c>
    </row>
    <row r="1275" spans="1:8" x14ac:dyDescent="0.3">
      <c r="A1275" s="7">
        <v>45443</v>
      </c>
      <c r="B1275" s="6">
        <v>7734.3</v>
      </c>
      <c r="C1275" s="6">
        <v>7801.4</v>
      </c>
      <c r="D1275" s="6">
        <v>7601.5</v>
      </c>
      <c r="E1275" s="6">
        <v>7701.7</v>
      </c>
      <c r="F1275" s="8">
        <v>3612681000</v>
      </c>
      <c r="G1275" s="8">
        <v>33228710000</v>
      </c>
      <c r="H1275">
        <f t="shared" si="19"/>
        <v>254736.38949527027</v>
      </c>
    </row>
    <row r="1276" spans="1:8" x14ac:dyDescent="0.3">
      <c r="A1276" s="7">
        <v>45450</v>
      </c>
      <c r="B1276" s="6">
        <v>7701.7</v>
      </c>
      <c r="C1276" s="6">
        <v>7861.8</v>
      </c>
      <c r="D1276" s="6">
        <v>7701.7</v>
      </c>
      <c r="E1276" s="6">
        <v>7860</v>
      </c>
      <c r="F1276" s="8">
        <v>2546461000</v>
      </c>
      <c r="G1276" s="8">
        <v>25244470000</v>
      </c>
      <c r="H1276">
        <f t="shared" si="19"/>
        <v>259972.2167096647</v>
      </c>
    </row>
    <row r="1277" spans="1:8" x14ac:dyDescent="0.3">
      <c r="A1277" s="7">
        <v>45457</v>
      </c>
      <c r="B1277" s="6">
        <v>7860</v>
      </c>
      <c r="C1277" s="6">
        <v>7860</v>
      </c>
      <c r="D1277" s="6">
        <v>7699.2</v>
      </c>
      <c r="E1277" s="6">
        <v>7724.3</v>
      </c>
      <c r="F1277" s="8">
        <v>2450790000</v>
      </c>
      <c r="G1277" s="8">
        <v>21316350000</v>
      </c>
      <c r="H1277">
        <f t="shared" si="19"/>
        <v>255483.89230667471</v>
      </c>
    </row>
    <row r="1278" spans="1:8" x14ac:dyDescent="0.3">
      <c r="A1278" s="7">
        <v>45464</v>
      </c>
      <c r="B1278" s="6">
        <v>7724.3</v>
      </c>
      <c r="C1278" s="6">
        <v>7796.9</v>
      </c>
      <c r="D1278" s="6">
        <v>7698.2</v>
      </c>
      <c r="E1278" s="6">
        <v>7796</v>
      </c>
      <c r="F1278" s="8">
        <v>4386069000</v>
      </c>
      <c r="G1278" s="8">
        <v>37853630000</v>
      </c>
      <c r="H1278">
        <f t="shared" si="19"/>
        <v>257855.39458887358</v>
      </c>
    </row>
    <row r="1279" spans="1:8" x14ac:dyDescent="0.3">
      <c r="A1279" s="7">
        <v>45471</v>
      </c>
      <c r="B1279" s="6">
        <v>7796</v>
      </c>
      <c r="C1279" s="6">
        <v>7838.8</v>
      </c>
      <c r="D1279" s="6">
        <v>7654.2</v>
      </c>
      <c r="E1279" s="6">
        <v>7767.5</v>
      </c>
      <c r="F1279" s="8">
        <v>3368589000</v>
      </c>
      <c r="G1279" s="8">
        <v>27773770000</v>
      </c>
      <c r="H1279">
        <f t="shared" si="19"/>
        <v>256912.74723820874</v>
      </c>
    </row>
    <row r="1280" spans="1:8" x14ac:dyDescent="0.3">
      <c r="A1280" s="7">
        <v>45478</v>
      </c>
      <c r="B1280" s="6">
        <v>7767.5</v>
      </c>
      <c r="C1280" s="6">
        <v>7835.7</v>
      </c>
      <c r="D1280" s="6">
        <v>7702.5</v>
      </c>
      <c r="E1280" s="6">
        <v>7822.3</v>
      </c>
      <c r="F1280" s="8">
        <v>2509361000</v>
      </c>
      <c r="G1280" s="8">
        <v>21193020000</v>
      </c>
      <c r="H1280">
        <f t="shared" si="19"/>
        <v>258725.27617913621</v>
      </c>
    </row>
    <row r="1281" spans="1:8" x14ac:dyDescent="0.3">
      <c r="A1281" s="7">
        <v>45485</v>
      </c>
      <c r="B1281" s="6">
        <v>7822.3</v>
      </c>
      <c r="C1281" s="6">
        <v>7969.1</v>
      </c>
      <c r="D1281" s="6">
        <v>7759.5</v>
      </c>
      <c r="E1281" s="6">
        <v>7959.3</v>
      </c>
      <c r="F1281" s="8">
        <v>2561558000</v>
      </c>
      <c r="G1281" s="8">
        <v>22217600000</v>
      </c>
      <c r="H1281">
        <f t="shared" si="19"/>
        <v>263256.5985314548</v>
      </c>
    </row>
    <row r="1282" spans="1:8" x14ac:dyDescent="0.3">
      <c r="A1282" s="7">
        <v>45492</v>
      </c>
      <c r="B1282" s="6">
        <v>7959.3</v>
      </c>
      <c r="C1282" s="6">
        <v>8083.7</v>
      </c>
      <c r="D1282" s="6">
        <v>7923.6</v>
      </c>
      <c r="E1282" s="6">
        <v>7971.6</v>
      </c>
      <c r="F1282" s="8">
        <v>2790884000</v>
      </c>
      <c r="G1282" s="8">
        <v>27476160000</v>
      </c>
      <c r="H1282">
        <f t="shared" si="19"/>
        <v>263663.42528279434</v>
      </c>
    </row>
    <row r="1283" spans="1:8" x14ac:dyDescent="0.3">
      <c r="A1283" s="7">
        <v>45499</v>
      </c>
      <c r="B1283" s="6">
        <v>7971.6</v>
      </c>
      <c r="C1283" s="6">
        <v>7993.3</v>
      </c>
      <c r="D1283" s="6">
        <v>7861.2</v>
      </c>
      <c r="E1283" s="6">
        <v>7921.3</v>
      </c>
      <c r="F1283" s="8">
        <v>3086665000</v>
      </c>
      <c r="G1283" s="8">
        <v>25170290000</v>
      </c>
      <c r="H1283">
        <f t="shared" si="19"/>
        <v>261999.73539723502</v>
      </c>
    </row>
    <row r="1284" spans="1:8" x14ac:dyDescent="0.3">
      <c r="A1284" s="7">
        <v>45506</v>
      </c>
      <c r="B1284" s="6">
        <v>7921.3</v>
      </c>
      <c r="C1284" s="6">
        <v>8148.7</v>
      </c>
      <c r="D1284" s="6">
        <v>7894.3</v>
      </c>
      <c r="E1284" s="6">
        <v>7943.2</v>
      </c>
      <c r="F1284" s="8">
        <v>3117006000</v>
      </c>
      <c r="G1284" s="8">
        <v>28459550000</v>
      </c>
      <c r="H1284">
        <f t="shared" ref="H1284:H1334" si="20">H1283*(E1284/E1283)</f>
        <v>262724.08546669321</v>
      </c>
    </row>
    <row r="1285" spans="1:8" x14ac:dyDescent="0.3">
      <c r="A1285" s="7">
        <v>45513</v>
      </c>
      <c r="B1285" s="6">
        <v>7943.2</v>
      </c>
      <c r="C1285" s="6">
        <v>7943.2</v>
      </c>
      <c r="D1285" s="6">
        <v>7628.1</v>
      </c>
      <c r="E1285" s="6">
        <v>7777.7</v>
      </c>
      <c r="F1285" s="8">
        <v>3678624000</v>
      </c>
      <c r="G1285" s="8">
        <v>28214590000</v>
      </c>
      <c r="H1285">
        <f t="shared" si="20"/>
        <v>257250.11576370982</v>
      </c>
    </row>
    <row r="1286" spans="1:8" x14ac:dyDescent="0.3">
      <c r="A1286" s="7">
        <v>45520</v>
      </c>
      <c r="B1286" s="6">
        <v>7777.7</v>
      </c>
      <c r="C1286" s="6">
        <v>7976.9</v>
      </c>
      <c r="D1286" s="6">
        <v>7777.7</v>
      </c>
      <c r="E1286" s="6">
        <v>7971.1</v>
      </c>
      <c r="F1286" s="8">
        <v>3162250000</v>
      </c>
      <c r="G1286" s="8">
        <v>27978220000</v>
      </c>
      <c r="H1286">
        <f t="shared" si="20"/>
        <v>263646.88760997565</v>
      </c>
    </row>
    <row r="1287" spans="1:8" x14ac:dyDescent="0.3">
      <c r="A1287" s="7">
        <v>45527</v>
      </c>
      <c r="B1287" s="6">
        <v>7971.1</v>
      </c>
      <c r="C1287" s="6">
        <v>8039.7</v>
      </c>
      <c r="D1287" s="6">
        <v>7950.6</v>
      </c>
      <c r="E1287" s="6">
        <v>8023.9</v>
      </c>
      <c r="F1287" s="8">
        <v>3019790000</v>
      </c>
      <c r="G1287" s="8">
        <v>27329210000</v>
      </c>
      <c r="H1287">
        <f t="shared" si="20"/>
        <v>265393.26585962833</v>
      </c>
    </row>
    <row r="1288" spans="1:8" x14ac:dyDescent="0.3">
      <c r="A1288" s="7">
        <v>45534</v>
      </c>
      <c r="B1288" s="6">
        <v>8023.9</v>
      </c>
      <c r="C1288" s="6">
        <v>8107.3</v>
      </c>
      <c r="D1288" s="6">
        <v>8008.9</v>
      </c>
      <c r="E1288" s="6">
        <v>8091.9</v>
      </c>
      <c r="F1288" s="8">
        <v>3895691000</v>
      </c>
      <c r="G1288" s="8">
        <v>34052270000</v>
      </c>
      <c r="H1288">
        <f t="shared" si="20"/>
        <v>267642.38936296897</v>
      </c>
    </row>
    <row r="1289" spans="1:8" x14ac:dyDescent="0.3">
      <c r="A1289" s="7">
        <v>45541</v>
      </c>
      <c r="B1289" s="6">
        <v>8091.8</v>
      </c>
      <c r="C1289" s="6">
        <v>8116.9</v>
      </c>
      <c r="D1289" s="6">
        <v>7928.5</v>
      </c>
      <c r="E1289" s="6">
        <v>8013.4</v>
      </c>
      <c r="F1289" s="8">
        <v>3416267000</v>
      </c>
      <c r="G1289" s="8">
        <v>28215780000</v>
      </c>
      <c r="H1289">
        <f t="shared" si="20"/>
        <v>265045.97473043605</v>
      </c>
    </row>
    <row r="1290" spans="1:8" x14ac:dyDescent="0.3">
      <c r="A1290" s="7">
        <v>45548</v>
      </c>
      <c r="B1290" s="6">
        <v>8013.4</v>
      </c>
      <c r="C1290" s="6">
        <v>8143.6</v>
      </c>
      <c r="D1290" s="6">
        <v>7918.9</v>
      </c>
      <c r="E1290" s="6">
        <v>8099.9</v>
      </c>
      <c r="F1290" s="8">
        <v>3373126000</v>
      </c>
      <c r="G1290" s="8">
        <v>28934350000</v>
      </c>
      <c r="H1290">
        <f t="shared" si="20"/>
        <v>267906.99212806788</v>
      </c>
    </row>
    <row r="1291" spans="1:8" x14ac:dyDescent="0.3">
      <c r="A1291" s="7">
        <v>45555</v>
      </c>
      <c r="B1291" s="6">
        <v>8099.9</v>
      </c>
      <c r="C1291" s="6">
        <v>8246.2000000000007</v>
      </c>
      <c r="D1291" s="6">
        <v>8099.9</v>
      </c>
      <c r="E1291" s="6">
        <v>8209.5</v>
      </c>
      <c r="F1291" s="8">
        <v>4472164000</v>
      </c>
      <c r="G1291" s="8">
        <v>39612100000</v>
      </c>
      <c r="H1291">
        <f t="shared" si="20"/>
        <v>271532.05000992276</v>
      </c>
    </row>
    <row r="1292" spans="1:8" x14ac:dyDescent="0.3">
      <c r="A1292" s="7">
        <v>45562</v>
      </c>
      <c r="B1292" s="6">
        <v>8209.5</v>
      </c>
      <c r="C1292" s="6">
        <v>8225.5</v>
      </c>
      <c r="D1292" s="6">
        <v>8111.3</v>
      </c>
      <c r="E1292" s="6">
        <v>8212.2000000000007</v>
      </c>
      <c r="F1292" s="8">
        <v>3581673000</v>
      </c>
      <c r="G1292" s="8">
        <v>32225700000</v>
      </c>
      <c r="H1292">
        <f t="shared" si="20"/>
        <v>271621.35344314371</v>
      </c>
    </row>
    <row r="1293" spans="1:8" x14ac:dyDescent="0.3">
      <c r="A1293" s="7">
        <v>45569</v>
      </c>
      <c r="B1293" s="6">
        <v>8212.2000000000007</v>
      </c>
      <c r="C1293" s="6">
        <v>8285.7000000000007</v>
      </c>
      <c r="D1293" s="6">
        <v>8107.6</v>
      </c>
      <c r="E1293" s="6">
        <v>8150</v>
      </c>
      <c r="F1293" s="8">
        <v>3242337000</v>
      </c>
      <c r="G1293" s="8">
        <v>30160560000</v>
      </c>
      <c r="H1293">
        <f t="shared" si="20"/>
        <v>269564.06694449979</v>
      </c>
    </row>
    <row r="1294" spans="1:8" x14ac:dyDescent="0.3">
      <c r="A1294" s="7">
        <v>45576</v>
      </c>
      <c r="B1294" s="6">
        <v>8150</v>
      </c>
      <c r="C1294" s="6">
        <v>8242.7999999999993</v>
      </c>
      <c r="D1294" s="6">
        <v>8147.5</v>
      </c>
      <c r="E1294" s="6">
        <v>8214.5</v>
      </c>
      <c r="F1294" s="8">
        <v>2595630000</v>
      </c>
      <c r="G1294" s="8">
        <v>23317010000</v>
      </c>
      <c r="H1294">
        <f t="shared" si="20"/>
        <v>271697.42673810961</v>
      </c>
    </row>
    <row r="1295" spans="1:8" x14ac:dyDescent="0.3">
      <c r="A1295" s="7">
        <v>45583</v>
      </c>
      <c r="B1295" s="6">
        <v>8214.5</v>
      </c>
      <c r="C1295" s="6">
        <v>8384.5</v>
      </c>
      <c r="D1295" s="6">
        <v>8214.5</v>
      </c>
      <c r="E1295" s="6">
        <v>8283.2000000000007</v>
      </c>
      <c r="F1295" s="8">
        <v>3098488000</v>
      </c>
      <c r="G1295" s="8">
        <v>29082500000</v>
      </c>
      <c r="H1295">
        <f t="shared" si="20"/>
        <v>273969.70298339636</v>
      </c>
    </row>
    <row r="1296" spans="1:8" x14ac:dyDescent="0.3">
      <c r="A1296" s="7">
        <v>45590</v>
      </c>
      <c r="B1296" s="6">
        <v>8283.7999999999993</v>
      </c>
      <c r="C1296" s="6">
        <v>8356.4</v>
      </c>
      <c r="D1296" s="6">
        <v>8183.8</v>
      </c>
      <c r="E1296" s="6">
        <v>8211.2999999999993</v>
      </c>
      <c r="F1296" s="8">
        <v>2763583000</v>
      </c>
      <c r="G1296" s="8">
        <v>25568120000</v>
      </c>
      <c r="H1296">
        <f t="shared" si="20"/>
        <v>271591.58563206997</v>
      </c>
    </row>
    <row r="1297" spans="1:8" x14ac:dyDescent="0.3">
      <c r="A1297" s="7">
        <v>45597</v>
      </c>
      <c r="B1297" s="6">
        <v>8211.2999999999993</v>
      </c>
      <c r="C1297" s="6">
        <v>8272.1</v>
      </c>
      <c r="D1297" s="6">
        <v>8063.2</v>
      </c>
      <c r="E1297" s="6">
        <v>8118.8</v>
      </c>
      <c r="F1297" s="8">
        <v>2980036000</v>
      </c>
      <c r="G1297" s="8">
        <v>27012110000</v>
      </c>
      <c r="H1297">
        <f t="shared" si="20"/>
        <v>268532.11616061401</v>
      </c>
    </row>
    <row r="1298" spans="1:8" x14ac:dyDescent="0.3">
      <c r="A1298" s="7">
        <v>45604</v>
      </c>
      <c r="B1298" s="6">
        <v>8118.8</v>
      </c>
      <c r="C1298" s="6">
        <v>8319.4</v>
      </c>
      <c r="D1298" s="6">
        <v>8113.4</v>
      </c>
      <c r="E1298" s="6">
        <v>8295.1</v>
      </c>
      <c r="F1298" s="8">
        <v>2661492000</v>
      </c>
      <c r="G1298" s="8">
        <v>24176930000</v>
      </c>
      <c r="H1298">
        <f t="shared" si="20"/>
        <v>274363.29959648097</v>
      </c>
    </row>
    <row r="1299" spans="1:8" x14ac:dyDescent="0.3">
      <c r="A1299" s="7">
        <v>45611</v>
      </c>
      <c r="B1299" s="6">
        <v>8295.1</v>
      </c>
      <c r="C1299" s="6">
        <v>8295.1</v>
      </c>
      <c r="D1299" s="6">
        <v>8139.1</v>
      </c>
      <c r="E1299" s="6">
        <v>8285.2000000000007</v>
      </c>
      <c r="F1299" s="8">
        <v>2754699000</v>
      </c>
      <c r="G1299" s="8">
        <v>27239550000</v>
      </c>
      <c r="H1299">
        <f t="shared" si="20"/>
        <v>274035.85367467109</v>
      </c>
    </row>
    <row r="1300" spans="1:8" x14ac:dyDescent="0.3">
      <c r="A1300" s="7">
        <v>45618</v>
      </c>
      <c r="B1300" s="6">
        <v>8285.2000000000007</v>
      </c>
      <c r="C1300" s="6">
        <v>8446.4</v>
      </c>
      <c r="D1300" s="6">
        <v>8244.2999999999993</v>
      </c>
      <c r="E1300" s="6">
        <v>8393.7999999999993</v>
      </c>
      <c r="F1300" s="8">
        <v>2681145000</v>
      </c>
      <c r="G1300" s="8">
        <v>28034870000</v>
      </c>
      <c r="H1300">
        <f t="shared" si="20"/>
        <v>277627.83621088852</v>
      </c>
    </row>
    <row r="1301" spans="1:8" x14ac:dyDescent="0.3">
      <c r="A1301" s="7">
        <v>45625</v>
      </c>
      <c r="B1301" s="6">
        <v>8393.7999999999993</v>
      </c>
      <c r="C1301" s="6">
        <v>8477.1</v>
      </c>
      <c r="D1301" s="6">
        <v>8352.7999999999993</v>
      </c>
      <c r="E1301" s="6">
        <v>8436.2000000000007</v>
      </c>
      <c r="F1301" s="8">
        <v>3566451000</v>
      </c>
      <c r="G1301" s="8">
        <v>33898840000</v>
      </c>
      <c r="H1301">
        <f t="shared" si="20"/>
        <v>279030.23086591274</v>
      </c>
    </row>
    <row r="1302" spans="1:8" x14ac:dyDescent="0.3">
      <c r="A1302" s="7">
        <v>45632</v>
      </c>
      <c r="B1302" s="6">
        <v>8436.2000000000007</v>
      </c>
      <c r="C1302" s="6">
        <v>8514.5</v>
      </c>
      <c r="D1302" s="6">
        <v>8419.1</v>
      </c>
      <c r="E1302" s="6">
        <v>8420.9</v>
      </c>
      <c r="F1302" s="8">
        <v>2900121000</v>
      </c>
      <c r="G1302" s="8">
        <v>26451990000</v>
      </c>
      <c r="H1302">
        <f t="shared" si="20"/>
        <v>278524.17807766108</v>
      </c>
    </row>
    <row r="1303" spans="1:8" x14ac:dyDescent="0.3">
      <c r="A1303" s="7">
        <v>45639</v>
      </c>
      <c r="B1303" s="6">
        <v>8420.9</v>
      </c>
      <c r="C1303" s="6">
        <v>8447.7000000000007</v>
      </c>
      <c r="D1303" s="6">
        <v>8263.5</v>
      </c>
      <c r="E1303" s="6">
        <v>8296</v>
      </c>
      <c r="F1303" s="8">
        <v>3023133000</v>
      </c>
      <c r="G1303" s="8">
        <v>26176870000</v>
      </c>
      <c r="H1303">
        <f t="shared" si="20"/>
        <v>274393.0674075546</v>
      </c>
    </row>
    <row r="1304" spans="1:8" x14ac:dyDescent="0.3">
      <c r="A1304" s="7">
        <v>45646</v>
      </c>
      <c r="B1304" s="6">
        <v>8296</v>
      </c>
      <c r="C1304" s="6">
        <v>8342.9</v>
      </c>
      <c r="D1304" s="6">
        <v>8051.2</v>
      </c>
      <c r="E1304" s="6">
        <v>8067</v>
      </c>
      <c r="F1304" s="8">
        <v>3807308000</v>
      </c>
      <c r="G1304" s="8">
        <v>36601540000</v>
      </c>
      <c r="H1304">
        <f t="shared" si="20"/>
        <v>266818.81325659872</v>
      </c>
    </row>
    <row r="1305" spans="1:8" x14ac:dyDescent="0.3">
      <c r="A1305" s="7">
        <v>45653</v>
      </c>
      <c r="B1305" s="6">
        <v>8067</v>
      </c>
      <c r="C1305" s="6">
        <v>8281.4</v>
      </c>
      <c r="D1305" s="6">
        <v>8067</v>
      </c>
      <c r="E1305" s="6">
        <v>8261.7999999999993</v>
      </c>
      <c r="F1305" s="8">
        <v>830094300</v>
      </c>
      <c r="G1305" s="8">
        <v>7368209000</v>
      </c>
      <c r="H1305">
        <f t="shared" si="20"/>
        <v>273261.89058675681</v>
      </c>
    </row>
    <row r="1306" spans="1:8" x14ac:dyDescent="0.3">
      <c r="A1306" s="7">
        <v>45660</v>
      </c>
      <c r="B1306" s="6">
        <v>8261.7999999999993</v>
      </c>
      <c r="C1306" s="6">
        <v>8263.9</v>
      </c>
      <c r="D1306" s="6">
        <v>8146.6</v>
      </c>
      <c r="E1306" s="6">
        <v>8250.5</v>
      </c>
      <c r="F1306" s="8">
        <v>1217952000</v>
      </c>
      <c r="G1306" s="8">
        <v>10137020000</v>
      </c>
      <c r="H1306">
        <f t="shared" si="20"/>
        <v>272888.13918105466</v>
      </c>
    </row>
    <row r="1307" spans="1:8" x14ac:dyDescent="0.3">
      <c r="A1307" s="7">
        <v>45667</v>
      </c>
      <c r="B1307" s="6">
        <v>8250.5</v>
      </c>
      <c r="C1307" s="6">
        <v>8370.7000000000007</v>
      </c>
      <c r="D1307" s="6">
        <v>8242.4</v>
      </c>
      <c r="E1307" s="6">
        <v>8294.1</v>
      </c>
      <c r="F1307" s="8">
        <v>2453222000</v>
      </c>
      <c r="G1307" s="8">
        <v>19420110000</v>
      </c>
      <c r="H1307">
        <f t="shared" si="20"/>
        <v>274330.22425084363</v>
      </c>
    </row>
    <row r="1308" spans="1:8" x14ac:dyDescent="0.3">
      <c r="A1308" s="7">
        <v>45674</v>
      </c>
      <c r="B1308" s="6">
        <v>8294.1</v>
      </c>
      <c r="C1308" s="6">
        <v>8346.7999999999993</v>
      </c>
      <c r="D1308" s="6">
        <v>8160.7</v>
      </c>
      <c r="E1308" s="6">
        <v>8310.4</v>
      </c>
      <c r="F1308" s="8">
        <v>2603642000</v>
      </c>
      <c r="G1308" s="8">
        <v>22748010000</v>
      </c>
      <c r="H1308">
        <f t="shared" si="20"/>
        <v>274869.35238473263</v>
      </c>
    </row>
    <row r="1309" spans="1:8" x14ac:dyDescent="0.3">
      <c r="A1309" s="7">
        <v>45681</v>
      </c>
      <c r="B1309" s="6">
        <v>8310.4</v>
      </c>
      <c r="C1309" s="6">
        <v>8455.6</v>
      </c>
      <c r="D1309" s="6">
        <v>8310.4</v>
      </c>
      <c r="E1309" s="6">
        <v>8408.9</v>
      </c>
      <c r="F1309" s="8">
        <v>2509727000</v>
      </c>
      <c r="G1309" s="8">
        <v>20876710000</v>
      </c>
      <c r="H1309">
        <f t="shared" si="20"/>
        <v>278127.27393001277</v>
      </c>
    </row>
    <row r="1310" spans="1:8" x14ac:dyDescent="0.3">
      <c r="A1310" s="7">
        <v>45688</v>
      </c>
      <c r="B1310" s="6">
        <v>8408.9</v>
      </c>
      <c r="C1310" s="6">
        <v>8566.9</v>
      </c>
      <c r="D1310" s="6">
        <v>8386.5</v>
      </c>
      <c r="E1310" s="6">
        <v>8532.2999999999993</v>
      </c>
      <c r="F1310" s="8">
        <v>2536158000</v>
      </c>
      <c r="G1310" s="8">
        <v>21052140000</v>
      </c>
      <c r="H1310">
        <f t="shared" si="20"/>
        <v>282208.77158166323</v>
      </c>
    </row>
    <row r="1311" spans="1:8" x14ac:dyDescent="0.3">
      <c r="A1311" s="7">
        <v>45695</v>
      </c>
      <c r="B1311" s="6">
        <v>8532.2999999999993</v>
      </c>
      <c r="C1311" s="6">
        <v>8532.6</v>
      </c>
      <c r="D1311" s="6">
        <v>8353.9</v>
      </c>
      <c r="E1311" s="6">
        <v>8511.4</v>
      </c>
      <c r="F1311" s="8">
        <v>2882899000</v>
      </c>
      <c r="G1311" s="8">
        <v>25335420000</v>
      </c>
      <c r="H1311">
        <f t="shared" si="20"/>
        <v>281517.49685784237</v>
      </c>
    </row>
    <row r="1312" spans="1:8" x14ac:dyDescent="0.3">
      <c r="A1312" s="7">
        <v>45702</v>
      </c>
      <c r="B1312" s="6">
        <v>8511.4</v>
      </c>
      <c r="C1312" s="6">
        <v>8615.2000000000007</v>
      </c>
      <c r="D1312" s="6">
        <v>8445.2999999999993</v>
      </c>
      <c r="E1312" s="6">
        <v>8555.7999999999993</v>
      </c>
      <c r="F1312" s="8">
        <v>3358219000</v>
      </c>
      <c r="G1312" s="8">
        <v>28902840000</v>
      </c>
      <c r="H1312">
        <f t="shared" si="20"/>
        <v>282986.04220414121</v>
      </c>
    </row>
    <row r="1313" spans="1:8" x14ac:dyDescent="0.3">
      <c r="A1313" s="7">
        <v>45709</v>
      </c>
      <c r="B1313" s="6">
        <v>8555.7999999999993</v>
      </c>
      <c r="C1313" s="6">
        <v>8555.7999999999993</v>
      </c>
      <c r="D1313" s="6">
        <v>8287.7999999999993</v>
      </c>
      <c r="E1313" s="6">
        <v>8296.2000000000007</v>
      </c>
      <c r="F1313" s="8">
        <v>3639494000</v>
      </c>
      <c r="G1313" s="8">
        <v>36987380000</v>
      </c>
      <c r="H1313">
        <f t="shared" si="20"/>
        <v>274399.68247668212</v>
      </c>
    </row>
    <row r="1314" spans="1:8" x14ac:dyDescent="0.3">
      <c r="A1314" s="7">
        <v>45716</v>
      </c>
      <c r="B1314" s="6">
        <v>8296.2000000000007</v>
      </c>
      <c r="C1314" s="6">
        <v>8310</v>
      </c>
      <c r="D1314" s="6">
        <v>8155.5</v>
      </c>
      <c r="E1314" s="6">
        <v>8172.4</v>
      </c>
      <c r="F1314" s="8">
        <v>4867165000</v>
      </c>
      <c r="G1314" s="8">
        <v>44955500000</v>
      </c>
      <c r="H1314">
        <f t="shared" si="20"/>
        <v>270304.95468677668</v>
      </c>
    </row>
    <row r="1315" spans="1:8" x14ac:dyDescent="0.3">
      <c r="A1315" s="7">
        <v>45723</v>
      </c>
      <c r="B1315" s="6">
        <v>8172.4</v>
      </c>
      <c r="C1315" s="6">
        <v>8251.9</v>
      </c>
      <c r="D1315" s="6">
        <v>7946.4</v>
      </c>
      <c r="E1315" s="6">
        <v>7948.2</v>
      </c>
      <c r="F1315" s="8">
        <v>3555088000</v>
      </c>
      <c r="G1315" s="8">
        <v>32541840000</v>
      </c>
      <c r="H1315">
        <f t="shared" si="20"/>
        <v>262889.46219488012</v>
      </c>
    </row>
    <row r="1316" spans="1:8" x14ac:dyDescent="0.3">
      <c r="A1316" s="7">
        <v>45730</v>
      </c>
      <c r="B1316" s="6">
        <v>7948.2</v>
      </c>
      <c r="C1316" s="6">
        <v>7978.6</v>
      </c>
      <c r="D1316" s="6">
        <v>7733.5</v>
      </c>
      <c r="E1316" s="6">
        <v>7789.7</v>
      </c>
      <c r="F1316" s="8">
        <v>4189201000</v>
      </c>
      <c r="G1316" s="8">
        <v>33386350000</v>
      </c>
      <c r="H1316">
        <f t="shared" si="20"/>
        <v>257647.01991135825</v>
      </c>
    </row>
    <row r="1317" spans="1:8" x14ac:dyDescent="0.3">
      <c r="A1317" s="7">
        <v>45737</v>
      </c>
      <c r="B1317" s="6">
        <v>7792.3</v>
      </c>
      <c r="C1317" s="6">
        <v>7962.6</v>
      </c>
      <c r="D1317" s="6">
        <v>7792.3</v>
      </c>
      <c r="E1317" s="6">
        <v>7931.2</v>
      </c>
      <c r="F1317" s="8">
        <v>5353260000</v>
      </c>
      <c r="G1317" s="8">
        <v>43915300000</v>
      </c>
      <c r="H1317">
        <f t="shared" si="20"/>
        <v>262327.18131904496</v>
      </c>
    </row>
    <row r="1318" spans="1:8" x14ac:dyDescent="0.3">
      <c r="A1318" s="7">
        <v>45744</v>
      </c>
      <c r="B1318" s="6">
        <v>7931.2</v>
      </c>
      <c r="C1318" s="6">
        <v>8014.9</v>
      </c>
      <c r="D1318" s="6">
        <v>7899.5</v>
      </c>
      <c r="E1318" s="6">
        <v>7982</v>
      </c>
      <c r="F1318" s="8">
        <v>3311388000</v>
      </c>
      <c r="G1318" s="8">
        <v>28774470000</v>
      </c>
      <c r="H1318">
        <f>H1317*(E1318/E1317)</f>
        <v>264007.40887742297</v>
      </c>
    </row>
    <row r="1319" spans="1:8" x14ac:dyDescent="0.3">
      <c r="A1319" s="7">
        <v>45751</v>
      </c>
      <c r="B1319" s="6">
        <v>7982</v>
      </c>
      <c r="C1319" s="6">
        <v>7982</v>
      </c>
      <c r="D1319" s="6">
        <v>7664.2</v>
      </c>
      <c r="E1319" s="6">
        <v>7667.8</v>
      </c>
      <c r="F1319" s="8">
        <v>3858693000</v>
      </c>
      <c r="G1319" s="8">
        <v>33745400000</v>
      </c>
      <c r="H1319">
        <f t="shared" si="20"/>
        <v>253615.13527816389</v>
      </c>
    </row>
    <row r="1320" spans="1:8" x14ac:dyDescent="0.3">
      <c r="A1320" s="7">
        <v>45758</v>
      </c>
      <c r="B1320" s="6">
        <v>7667.8</v>
      </c>
      <c r="C1320" s="6">
        <v>7842.9</v>
      </c>
      <c r="D1320" s="6">
        <v>7169.2</v>
      </c>
      <c r="E1320" s="6">
        <v>7646.5</v>
      </c>
      <c r="F1320" s="8">
        <v>5308969000</v>
      </c>
      <c r="G1320" s="8">
        <v>45317310000</v>
      </c>
      <c r="H1320">
        <f t="shared" si="20"/>
        <v>252910.63041608807</v>
      </c>
    </row>
    <row r="1321" spans="1:8" x14ac:dyDescent="0.3">
      <c r="A1321" s="7">
        <v>45764</v>
      </c>
      <c r="B1321" s="6">
        <v>7646.5</v>
      </c>
      <c r="C1321" s="6">
        <v>7819.1</v>
      </c>
      <c r="D1321" s="6">
        <v>7646.5</v>
      </c>
      <c r="E1321" s="6">
        <v>7819.1</v>
      </c>
      <c r="F1321" s="8">
        <v>2747771000</v>
      </c>
      <c r="G1321" s="8">
        <v>22158080000</v>
      </c>
      <c r="H1321">
        <f t="shared" si="20"/>
        <v>258619.43507309674</v>
      </c>
    </row>
    <row r="1322" spans="1:8" x14ac:dyDescent="0.3">
      <c r="A1322" s="7">
        <v>45771</v>
      </c>
      <c r="B1322" s="6">
        <v>7819.1</v>
      </c>
      <c r="C1322" s="6">
        <v>7983.8</v>
      </c>
      <c r="D1322" s="6">
        <v>7745.1</v>
      </c>
      <c r="E1322" s="6">
        <v>7968.2</v>
      </c>
      <c r="F1322" s="8">
        <v>2301147000</v>
      </c>
      <c r="G1322" s="8">
        <v>20106320000</v>
      </c>
      <c r="H1322">
        <f t="shared" si="20"/>
        <v>263550.9691076274</v>
      </c>
    </row>
    <row r="1323" spans="1:8" x14ac:dyDescent="0.3">
      <c r="A1323" s="7">
        <v>45779</v>
      </c>
      <c r="B1323" s="6">
        <v>7968.2</v>
      </c>
      <c r="C1323" s="6">
        <v>8239.6</v>
      </c>
      <c r="D1323" s="6">
        <v>7968.2</v>
      </c>
      <c r="E1323" s="6">
        <v>8238</v>
      </c>
      <c r="F1323" s="8">
        <v>3818158000</v>
      </c>
      <c r="G1323" s="8">
        <v>34090320000</v>
      </c>
      <c r="H1323">
        <f t="shared" si="20"/>
        <v>272474.69736058771</v>
      </c>
    </row>
    <row r="1324" spans="1:8" x14ac:dyDescent="0.3">
      <c r="A1324" s="7">
        <v>45786</v>
      </c>
      <c r="B1324" s="6">
        <v>8238</v>
      </c>
      <c r="C1324" s="6">
        <v>8242.9</v>
      </c>
      <c r="D1324" s="6">
        <v>8138.4</v>
      </c>
      <c r="E1324" s="6">
        <v>8231.2000000000007</v>
      </c>
      <c r="F1324" s="8">
        <v>3698362000</v>
      </c>
      <c r="G1324" s="8">
        <v>32407550000</v>
      </c>
      <c r="H1324">
        <f t="shared" si="20"/>
        <v>272249.78501025366</v>
      </c>
    </row>
    <row r="1325" spans="1:8" x14ac:dyDescent="0.3">
      <c r="A1325" s="7">
        <v>45793</v>
      </c>
      <c r="B1325" s="6">
        <v>8231.2000000000007</v>
      </c>
      <c r="C1325" s="6">
        <v>8398.2000000000007</v>
      </c>
      <c r="D1325" s="6">
        <v>8231.2000000000007</v>
      </c>
      <c r="E1325" s="6">
        <v>8343.7000000000007</v>
      </c>
      <c r="F1325" s="8">
        <v>3834424000</v>
      </c>
      <c r="G1325" s="8">
        <v>34567960000</v>
      </c>
      <c r="H1325">
        <f t="shared" si="20"/>
        <v>275970.76139445684</v>
      </c>
    </row>
    <row r="1326" spans="1:8" x14ac:dyDescent="0.3">
      <c r="A1326" s="7">
        <v>45800</v>
      </c>
      <c r="B1326" s="6">
        <v>8343.7000000000007</v>
      </c>
      <c r="C1326" s="6">
        <v>8422.9</v>
      </c>
      <c r="D1326" s="6">
        <v>8284</v>
      </c>
      <c r="E1326" s="6">
        <v>8360.9</v>
      </c>
      <c r="F1326" s="8">
        <v>3094745000</v>
      </c>
      <c r="G1326" s="8">
        <v>28117510000</v>
      </c>
      <c r="H1326">
        <f t="shared" si="20"/>
        <v>276539.65733941947</v>
      </c>
    </row>
    <row r="1327" spans="1:8" x14ac:dyDescent="0.3">
      <c r="A1327" s="7">
        <v>45807</v>
      </c>
      <c r="B1327" s="6">
        <v>8360.7000000000007</v>
      </c>
      <c r="C1327" s="6">
        <v>8453</v>
      </c>
      <c r="D1327" s="6">
        <v>8345.5</v>
      </c>
      <c r="E1327" s="6">
        <v>8434.7000000000007</v>
      </c>
      <c r="F1327" s="8">
        <v>4561230000</v>
      </c>
      <c r="G1327" s="8">
        <v>39347580000</v>
      </c>
      <c r="H1327">
        <f t="shared" si="20"/>
        <v>278980.61784745683</v>
      </c>
    </row>
    <row r="1328" spans="1:8" x14ac:dyDescent="0.3">
      <c r="A1328" s="7">
        <v>45814</v>
      </c>
      <c r="B1328" s="6">
        <v>8434.7000000000007</v>
      </c>
      <c r="C1328" s="6">
        <v>8567.2999999999993</v>
      </c>
      <c r="D1328" s="6">
        <v>8401.1</v>
      </c>
      <c r="E1328" s="6">
        <v>8515.7000000000007</v>
      </c>
      <c r="F1328" s="8">
        <v>3325413000</v>
      </c>
      <c r="G1328" s="8">
        <v>29300570000</v>
      </c>
      <c r="H1328">
        <f t="shared" si="20"/>
        <v>281659.72084408317</v>
      </c>
    </row>
    <row r="1329" spans="1:8" x14ac:dyDescent="0.3">
      <c r="A1329" s="7">
        <v>45821</v>
      </c>
      <c r="B1329" s="6">
        <v>8515.7000000000007</v>
      </c>
      <c r="C1329" s="6">
        <v>8639.1</v>
      </c>
      <c r="D1329" s="6">
        <v>8515.7000000000007</v>
      </c>
      <c r="E1329" s="6">
        <v>8547.4</v>
      </c>
      <c r="F1329" s="8">
        <v>3212078000</v>
      </c>
      <c r="G1329" s="8">
        <v>26762250000</v>
      </c>
      <c r="H1329">
        <f t="shared" si="20"/>
        <v>282708.20930078754</v>
      </c>
    </row>
    <row r="1330" spans="1:8" x14ac:dyDescent="0.3">
      <c r="A1330" s="7">
        <v>45828</v>
      </c>
      <c r="B1330" s="6">
        <v>8547.4</v>
      </c>
      <c r="C1330" s="6">
        <v>8579.1</v>
      </c>
      <c r="D1330" s="6">
        <v>8462.7000000000007</v>
      </c>
      <c r="E1330" s="6">
        <v>8505.5</v>
      </c>
      <c r="F1330" s="8">
        <v>4790109000</v>
      </c>
      <c r="G1330" s="8">
        <v>43313370000</v>
      </c>
      <c r="H1330">
        <f t="shared" si="20"/>
        <v>281322.35231858213</v>
      </c>
    </row>
    <row r="1331" spans="1:8" x14ac:dyDescent="0.3">
      <c r="A1331" s="7">
        <v>45835</v>
      </c>
      <c r="B1331" s="6">
        <v>8505.5</v>
      </c>
      <c r="C1331" s="6">
        <v>8605.7000000000007</v>
      </c>
      <c r="D1331" s="6">
        <v>8421.1</v>
      </c>
      <c r="E1331" s="6">
        <v>8514.2000000000007</v>
      </c>
      <c r="F1331" s="8">
        <v>3474676000</v>
      </c>
      <c r="G1331" s="8">
        <v>31716180000</v>
      </c>
      <c r="H1331">
        <f t="shared" si="20"/>
        <v>281610.1078256272</v>
      </c>
    </row>
    <row r="1332" spans="1:8" x14ac:dyDescent="0.3">
      <c r="A1332" s="7">
        <v>45842</v>
      </c>
      <c r="B1332" s="6">
        <v>8514.2000000000007</v>
      </c>
      <c r="C1332" s="6">
        <v>8623.6</v>
      </c>
      <c r="D1332" s="6">
        <v>8514.2000000000007</v>
      </c>
      <c r="E1332" s="6">
        <v>8603</v>
      </c>
      <c r="F1332" s="8">
        <v>3486018000</v>
      </c>
      <c r="G1332" s="8">
        <v>34942890000</v>
      </c>
      <c r="H1332">
        <f t="shared" si="20"/>
        <v>284547.19851822488</v>
      </c>
    </row>
    <row r="1333" spans="1:8" x14ac:dyDescent="0.3">
      <c r="A1333" s="7">
        <v>45849</v>
      </c>
      <c r="B1333" s="6">
        <v>8603</v>
      </c>
      <c r="C1333" s="6">
        <v>8619.7999999999993</v>
      </c>
      <c r="D1333" s="6">
        <v>8531.4</v>
      </c>
      <c r="E1333" s="6">
        <v>8580.1</v>
      </c>
      <c r="F1333" s="8">
        <v>2870128000</v>
      </c>
      <c r="G1333" s="8">
        <v>25343070000</v>
      </c>
      <c r="H1333">
        <f t="shared" si="20"/>
        <v>283789.77310312929</v>
      </c>
    </row>
    <row r="1334" spans="1:8" x14ac:dyDescent="0.3">
      <c r="A1334" s="7">
        <v>45856</v>
      </c>
      <c r="B1334" s="6">
        <v>8580.1</v>
      </c>
      <c r="C1334" s="6">
        <v>8776.4</v>
      </c>
      <c r="D1334" s="6">
        <v>8544.7000000000007</v>
      </c>
      <c r="E1334" s="6">
        <v>8757.2000000000007</v>
      </c>
      <c r="F1334" s="8">
        <v>3070040000</v>
      </c>
      <c r="G1334" s="8">
        <v>28758670000</v>
      </c>
      <c r="H1334">
        <f t="shared" si="20"/>
        <v>289647.41681550612</v>
      </c>
    </row>
    <row r="1335" spans="1:8" x14ac:dyDescent="0.3">
      <c r="A1335" s="7">
        <v>45863</v>
      </c>
      <c r="B1335" s="6">
        <v>8757.2000000000007</v>
      </c>
      <c r="C1335" s="6">
        <v>8759.9</v>
      </c>
      <c r="D1335" s="6">
        <v>8648.4</v>
      </c>
      <c r="E1335" s="6">
        <v>8666.9</v>
      </c>
      <c r="F1335" s="8">
        <v>3399394000</v>
      </c>
      <c r="G1335" s="8">
        <v>30640420000</v>
      </c>
      <c r="H1335">
        <f>H1334*(E1335/E1334)</f>
        <v>286660.7131044523</v>
      </c>
    </row>
    <row r="1336" spans="1:8" x14ac:dyDescent="0.3">
      <c r="A1336" s="7">
        <v>45870</v>
      </c>
      <c r="B1336" s="6">
        <v>8666.9</v>
      </c>
      <c r="C1336" s="6">
        <v>8773</v>
      </c>
      <c r="D1336" s="6">
        <v>8643.5</v>
      </c>
      <c r="E1336" s="6">
        <v>8662</v>
      </c>
      <c r="F1336" s="8">
        <v>3322301000</v>
      </c>
      <c r="G1336" s="8">
        <v>28024460000</v>
      </c>
      <c r="H1336">
        <f t="shared" ref="H1336:H1337" si="21">H1335*(E1336/E1335)</f>
        <v>286498.64391082927</v>
      </c>
    </row>
    <row r="1337" spans="1:8" x14ac:dyDescent="0.3">
      <c r="A1337" s="2">
        <v>45873</v>
      </c>
      <c r="B1337" s="6">
        <v>8662</v>
      </c>
      <c r="C1337" s="6">
        <v>8666.7000000000007</v>
      </c>
      <c r="D1337" s="6">
        <v>8630.9</v>
      </c>
      <c r="E1337" s="6">
        <v>8663.7000000000007</v>
      </c>
      <c r="F1337" s="8">
        <v>501820100</v>
      </c>
      <c r="G1337" s="8">
        <v>4321034000</v>
      </c>
      <c r="H1337">
        <f t="shared" si="21"/>
        <v>286554.87199841283</v>
      </c>
    </row>
    <row r="1338" spans="1:8" x14ac:dyDescent="0.3">
      <c r="A1338" s="7">
        <v>45877</v>
      </c>
      <c r="B1338" s="6">
        <v>8662</v>
      </c>
      <c r="C1338" s="6">
        <v>8848.7999999999993</v>
      </c>
      <c r="D1338" s="6">
        <v>8630.9</v>
      </c>
      <c r="E1338" s="6">
        <v>8807.1</v>
      </c>
      <c r="F1338" s="8">
        <v>2972657000</v>
      </c>
      <c r="G1338" s="8">
        <v>27262150000</v>
      </c>
      <c r="H1338">
        <f t="shared" ref="H1338" si="22">H1337*(E1338/E1337)</f>
        <v>291297.87656281056</v>
      </c>
    </row>
    <row r="1339" spans="1:8" x14ac:dyDescent="0.3">
      <c r="A1339" s="7">
        <v>45880</v>
      </c>
      <c r="B1339" s="6">
        <v>8807.1</v>
      </c>
      <c r="C1339" s="6">
        <v>8852.2999999999993</v>
      </c>
      <c r="D1339" s="6">
        <v>8807.1</v>
      </c>
      <c r="E1339" s="6">
        <v>8844.7999999999993</v>
      </c>
      <c r="F1339" s="8">
        <v>656849200</v>
      </c>
      <c r="G1339" s="8">
        <v>5902330000</v>
      </c>
      <c r="H1339">
        <f t="shared" ref="H1339:H1344" si="23">H1338*(E1339/E1338)</f>
        <v>292544.81709333905</v>
      </c>
    </row>
    <row r="1340" spans="1:8" x14ac:dyDescent="0.3">
      <c r="A1340" s="7">
        <v>45884</v>
      </c>
      <c r="B1340" s="6">
        <v>8807.1</v>
      </c>
      <c r="C1340" s="6">
        <v>8938.6</v>
      </c>
      <c r="D1340" s="6">
        <v>8807.1</v>
      </c>
      <c r="E1340" s="6">
        <v>8938.6</v>
      </c>
      <c r="F1340" s="8">
        <v>3312270000</v>
      </c>
      <c r="G1340" s="8">
        <v>34582770000</v>
      </c>
      <c r="H1340">
        <f t="shared" si="23"/>
        <v>295647.28451412363</v>
      </c>
    </row>
    <row r="1341" spans="1:8" x14ac:dyDescent="0.3">
      <c r="A1341" s="7">
        <v>45887</v>
      </c>
      <c r="B1341" s="6">
        <v>8938.6</v>
      </c>
      <c r="C1341" s="6">
        <v>8963</v>
      </c>
      <c r="D1341" s="6">
        <v>8912.2000000000007</v>
      </c>
      <c r="E1341" s="6">
        <v>8959.2999999999993</v>
      </c>
      <c r="F1341" s="8">
        <v>571329100</v>
      </c>
      <c r="G1341" s="8">
        <v>5711497000</v>
      </c>
      <c r="H1341">
        <f t="shared" si="23"/>
        <v>296331.94416881696</v>
      </c>
    </row>
    <row r="1342" spans="1:8" x14ac:dyDescent="0.3">
      <c r="A1342" s="7">
        <v>45891</v>
      </c>
      <c r="B1342" s="6">
        <v>8938.6</v>
      </c>
      <c r="C1342" s="6">
        <v>9025.5</v>
      </c>
      <c r="D1342" s="6">
        <v>8857.7999999999993</v>
      </c>
      <c r="E1342" s="6">
        <v>8967.4</v>
      </c>
      <c r="F1342" s="8">
        <v>3663298000</v>
      </c>
      <c r="G1342" s="8">
        <v>41159640000</v>
      </c>
      <c r="H1342">
        <f t="shared" si="23"/>
        <v>296599.85446847958</v>
      </c>
    </row>
    <row r="1343" spans="1:8" x14ac:dyDescent="0.3">
      <c r="A1343" s="7">
        <v>45894</v>
      </c>
      <c r="B1343" s="6">
        <v>8967.4</v>
      </c>
      <c r="C1343" s="6">
        <v>9054.5</v>
      </c>
      <c r="D1343" s="6">
        <v>8965.9</v>
      </c>
      <c r="E1343" s="6">
        <v>8972.4</v>
      </c>
      <c r="F1343" s="8">
        <v>747158500</v>
      </c>
      <c r="G1343" s="8">
        <v>7917913000</v>
      </c>
      <c r="H1343">
        <f t="shared" si="23"/>
        <v>296765.23119666637</v>
      </c>
    </row>
    <row r="1344" spans="1:8" x14ac:dyDescent="0.3">
      <c r="A1344" s="7">
        <v>45898</v>
      </c>
      <c r="B1344" s="6">
        <v>8967.4</v>
      </c>
      <c r="C1344" s="6">
        <v>9054.5</v>
      </c>
      <c r="D1344" s="6">
        <v>8917.6</v>
      </c>
      <c r="E1344" s="6">
        <v>8973.1</v>
      </c>
      <c r="F1344" s="8">
        <v>4604831000</v>
      </c>
      <c r="G1344" s="8">
        <v>41836740000</v>
      </c>
      <c r="H1344">
        <f t="shared" si="23"/>
        <v>296788.38393861253</v>
      </c>
    </row>
    <row r="1345" spans="1:8" x14ac:dyDescent="0.3">
      <c r="A1345" s="7">
        <v>45901</v>
      </c>
      <c r="B1345" s="6">
        <v>8973.1</v>
      </c>
      <c r="C1345" s="6">
        <v>8973.1</v>
      </c>
      <c r="D1345" s="6">
        <v>8907</v>
      </c>
      <c r="E1345" s="6">
        <v>8927.7000000000007</v>
      </c>
      <c r="F1345" s="8">
        <v>618141800</v>
      </c>
      <c r="G1345" s="8">
        <v>5406035000</v>
      </c>
      <c r="H1345">
        <f>H1344*(E1345/E1344)</f>
        <v>295286.7632466763</v>
      </c>
    </row>
    <row r="1346" spans="1:8" x14ac:dyDescent="0.3">
      <c r="A1346" s="7">
        <v>45905</v>
      </c>
      <c r="B1346" s="6">
        <v>8973.1</v>
      </c>
      <c r="C1346" s="6">
        <v>8973.1</v>
      </c>
      <c r="D1346" s="6">
        <v>8731.2999999999993</v>
      </c>
      <c r="E1346" s="6">
        <v>8871.2000000000007</v>
      </c>
      <c r="F1346" s="8">
        <v>3288880000</v>
      </c>
      <c r="G1346" s="8">
        <v>32109510000</v>
      </c>
      <c r="H1346">
        <f t="shared" ref="H1346:H1349" si="24">H1345*(E1346/E1345)</f>
        <v>293418.00621816533</v>
      </c>
    </row>
    <row r="1347" spans="1:8" x14ac:dyDescent="0.3">
      <c r="A1347" s="7">
        <v>45908</v>
      </c>
      <c r="B1347" s="6">
        <v>8871.2000000000007</v>
      </c>
      <c r="C1347" s="6">
        <v>8871.2000000000007</v>
      </c>
      <c r="D1347" s="6">
        <v>8826.9</v>
      </c>
      <c r="E1347" s="6">
        <v>8849.6</v>
      </c>
      <c r="F1347" s="8">
        <v>592530400</v>
      </c>
      <c r="G1347" s="8">
        <v>5749162000</v>
      </c>
      <c r="H1347">
        <f t="shared" si="24"/>
        <v>292703.57875239832</v>
      </c>
    </row>
    <row r="1348" spans="1:8" x14ac:dyDescent="0.3">
      <c r="A1348" s="7">
        <v>45912</v>
      </c>
      <c r="B1348" s="6">
        <v>8871.2000000000007</v>
      </c>
      <c r="C1348" s="6">
        <v>8887.2000000000007</v>
      </c>
      <c r="D1348" s="6">
        <v>8782.6</v>
      </c>
      <c r="E1348" s="6">
        <v>8864.9</v>
      </c>
      <c r="F1348" s="8">
        <v>3543675000</v>
      </c>
      <c r="G1348" s="8">
        <v>31333150000</v>
      </c>
      <c r="H1348">
        <f t="shared" si="24"/>
        <v>293209.63154064998</v>
      </c>
    </row>
    <row r="1349" spans="1:8" x14ac:dyDescent="0.3">
      <c r="A1349" s="7">
        <v>45915</v>
      </c>
      <c r="B1349" s="6">
        <v>8864.9</v>
      </c>
      <c r="C1349" s="6">
        <v>8864.9</v>
      </c>
      <c r="D1349" s="6">
        <v>8794</v>
      </c>
      <c r="E1349" s="6">
        <v>8853</v>
      </c>
      <c r="F1349" s="8">
        <v>616653100</v>
      </c>
      <c r="G1349" s="8">
        <v>5901733000</v>
      </c>
      <c r="H1349">
        <f t="shared" si="24"/>
        <v>292816.03492756537</v>
      </c>
    </row>
    <row r="1350" spans="1:8" x14ac:dyDescent="0.3">
      <c r="A1350" s="7">
        <v>45919</v>
      </c>
      <c r="B1350" s="6">
        <v>8864.9</v>
      </c>
      <c r="C1350" s="6">
        <v>8888</v>
      </c>
      <c r="D1350" s="6">
        <v>8737.5</v>
      </c>
      <c r="E1350" s="6">
        <v>8773.5</v>
      </c>
      <c r="F1350" s="8">
        <v>5264323000</v>
      </c>
      <c r="G1350" s="8">
        <v>46895280000</v>
      </c>
      <c r="H1350">
        <f t="shared" ref="H1350" si="25">H1349*(E1350/E1349)</f>
        <v>290186.54494939506</v>
      </c>
    </row>
    <row r="1351" spans="1:8" x14ac:dyDescent="0.3">
      <c r="A1351" s="7">
        <v>45922</v>
      </c>
      <c r="B1351" s="6">
        <v>8773.5</v>
      </c>
      <c r="C1351" s="6">
        <v>8846</v>
      </c>
      <c r="D1351" s="6">
        <v>8773.5</v>
      </c>
      <c r="E1351" s="6">
        <v>8810.9</v>
      </c>
      <c r="F1351" s="8">
        <v>610195600</v>
      </c>
      <c r="G1351" s="8">
        <v>5378942000</v>
      </c>
      <c r="H1351">
        <f t="shared" ref="H1351" si="26">H1350*(E1351/E1350)</f>
        <v>291423.56287623238</v>
      </c>
    </row>
    <row r="1352" spans="1:8" x14ac:dyDescent="0.3">
      <c r="A1352" s="7">
        <v>45926</v>
      </c>
      <c r="B1352" s="6">
        <v>8773.5</v>
      </c>
      <c r="C1352" s="6">
        <v>8877.1</v>
      </c>
      <c r="D1352" s="6">
        <v>8737.9</v>
      </c>
      <c r="E1352" s="6">
        <v>8787.7000000000007</v>
      </c>
      <c r="F1352" s="8">
        <v>3747600000</v>
      </c>
      <c r="G1352" s="8">
        <v>34793910000</v>
      </c>
      <c r="H1352">
        <f t="shared" ref="H1352:H1354" si="27">H1351*(E1352/E1351)</f>
        <v>290656.21485744562</v>
      </c>
    </row>
    <row r="1353" spans="1:8" x14ac:dyDescent="0.3">
      <c r="A1353" s="7">
        <v>45929</v>
      </c>
      <c r="B1353" s="6">
        <v>8787.7000000000007</v>
      </c>
      <c r="C1353" s="6">
        <v>8871.7000000000007</v>
      </c>
      <c r="D1353" s="6">
        <v>8787.7000000000007</v>
      </c>
      <c r="E1353" s="6">
        <v>8862.7999999999993</v>
      </c>
      <c r="F1353" s="8">
        <v>579809500</v>
      </c>
      <c r="G1353" s="8">
        <v>5860654000</v>
      </c>
      <c r="H1353">
        <f t="shared" si="27"/>
        <v>293140.17331481143</v>
      </c>
    </row>
    <row r="1354" spans="1:8" x14ac:dyDescent="0.3">
      <c r="A1354" s="7">
        <v>45930</v>
      </c>
      <c r="B1354" s="6">
        <v>8862.7999999999993</v>
      </c>
      <c r="C1354" s="6">
        <v>8892.4</v>
      </c>
      <c r="D1354" s="6">
        <v>8842.4</v>
      </c>
      <c r="E1354" s="6">
        <v>8848.7999999999993</v>
      </c>
      <c r="F1354" s="8">
        <v>874382500</v>
      </c>
      <c r="G1354" s="8">
        <v>7745929000</v>
      </c>
      <c r="H1354">
        <f t="shared" si="27"/>
        <v>292677.11847588839</v>
      </c>
    </row>
    <row r="1355" spans="1:8" x14ac:dyDescent="0.3">
      <c r="A1355" s="7">
        <v>45933</v>
      </c>
      <c r="B1355" s="6">
        <v>8787.7000000000007</v>
      </c>
      <c r="C1355" s="6">
        <v>8995.5</v>
      </c>
      <c r="D1355" s="6">
        <v>8787.7000000000007</v>
      </c>
      <c r="E1355" s="6">
        <v>8987.4</v>
      </c>
      <c r="F1355" s="8">
        <v>3610752000</v>
      </c>
      <c r="G1355" s="8">
        <v>33966790000</v>
      </c>
      <c r="H1355">
        <f t="shared" ref="H1355:H1379" si="28">H1354*(E1355/E1354)</f>
        <v>297261.3613812268</v>
      </c>
    </row>
    <row r="1356" spans="1:8" x14ac:dyDescent="0.3">
      <c r="A1356" s="7">
        <v>45936</v>
      </c>
      <c r="B1356" s="6">
        <v>8987.4</v>
      </c>
      <c r="C1356" s="6">
        <v>9026.4</v>
      </c>
      <c r="D1356" s="6">
        <v>8970.6</v>
      </c>
      <c r="E1356" s="6">
        <v>8981.4</v>
      </c>
      <c r="F1356" s="8">
        <v>462732100</v>
      </c>
      <c r="G1356" s="8">
        <v>3952689000</v>
      </c>
      <c r="H1356">
        <f t="shared" si="28"/>
        <v>297062.90930740262</v>
      </c>
    </row>
    <row r="1357" spans="1:8" x14ac:dyDescent="0.3">
      <c r="A1357" s="7">
        <v>45940</v>
      </c>
      <c r="B1357" s="6">
        <v>8987.4</v>
      </c>
      <c r="C1357" s="6">
        <v>9026.4</v>
      </c>
      <c r="D1357" s="6">
        <v>8916.2000000000007</v>
      </c>
      <c r="E1357" s="6">
        <v>8958.2999999999993</v>
      </c>
      <c r="F1357" s="8">
        <v>3297513000</v>
      </c>
      <c r="G1357" s="8">
        <v>30554170000</v>
      </c>
      <c r="H1357">
        <f t="shared" si="28"/>
        <v>296298.86882317957</v>
      </c>
    </row>
    <row r="1358" spans="1:8" x14ac:dyDescent="0.3">
      <c r="A1358" s="7">
        <v>45943</v>
      </c>
      <c r="B1358" s="6">
        <v>8958.2999999999993</v>
      </c>
      <c r="C1358" s="6">
        <v>8958.2999999999993</v>
      </c>
      <c r="D1358" s="6">
        <v>8868</v>
      </c>
      <c r="E1358" s="6">
        <v>8882.7999999999993</v>
      </c>
      <c r="F1358" s="8">
        <v>664074100</v>
      </c>
      <c r="G1358" s="8">
        <v>6392053000</v>
      </c>
      <c r="H1358">
        <f t="shared" si="28"/>
        <v>293801.68022755871</v>
      </c>
    </row>
    <row r="1359" spans="1:8" x14ac:dyDescent="0.3">
      <c r="A1359" s="7">
        <v>45947</v>
      </c>
      <c r="B1359" s="6">
        <v>8958.2999999999993</v>
      </c>
      <c r="C1359" s="6">
        <v>9109.7000000000007</v>
      </c>
      <c r="D1359" s="6">
        <v>8843.7999999999993</v>
      </c>
      <c r="E1359" s="6">
        <v>8995.2999999999993</v>
      </c>
      <c r="F1359" s="8">
        <v>3717847000</v>
      </c>
      <c r="G1359" s="8">
        <v>37518950000</v>
      </c>
      <c r="H1359">
        <f t="shared" si="28"/>
        <v>297522.65661176195</v>
      </c>
    </row>
    <row r="1360" spans="1:8" x14ac:dyDescent="0.3">
      <c r="A1360" s="7">
        <v>45950</v>
      </c>
      <c r="B1360" s="6">
        <v>8995.2999999999993</v>
      </c>
      <c r="C1360" s="6">
        <v>9034.4</v>
      </c>
      <c r="D1360" s="6">
        <v>8963.6</v>
      </c>
      <c r="E1360" s="6">
        <v>9031.9</v>
      </c>
      <c r="F1360" s="8">
        <v>676486700</v>
      </c>
      <c r="G1360" s="8">
        <v>6283263000</v>
      </c>
      <c r="H1360">
        <f t="shared" si="28"/>
        <v>298733.2142620894</v>
      </c>
    </row>
    <row r="1361" spans="1:8" x14ac:dyDescent="0.3">
      <c r="A1361" s="7">
        <v>45954</v>
      </c>
      <c r="B1361" s="6">
        <v>8995.2999999999993</v>
      </c>
      <c r="C1361" s="6">
        <v>9115.2000000000007</v>
      </c>
      <c r="D1361" s="6">
        <v>8963.6</v>
      </c>
      <c r="E1361" s="6">
        <v>9019</v>
      </c>
      <c r="F1361" s="8">
        <v>3425116000</v>
      </c>
      <c r="G1361" s="8">
        <v>32491630000</v>
      </c>
      <c r="H1361">
        <f t="shared" si="28"/>
        <v>298306.54230336746</v>
      </c>
    </row>
    <row r="1362" spans="1:8" x14ac:dyDescent="0.3">
      <c r="A1362" s="7">
        <v>45957</v>
      </c>
      <c r="B1362" s="6">
        <v>9019</v>
      </c>
      <c r="C1362" s="6">
        <v>9083.4</v>
      </c>
      <c r="D1362" s="6">
        <v>9019</v>
      </c>
      <c r="E1362" s="6">
        <v>9055.6</v>
      </c>
      <c r="F1362" s="8">
        <v>543307100</v>
      </c>
      <c r="G1362" s="8">
        <v>5308005000</v>
      </c>
      <c r="H1362">
        <f t="shared" si="28"/>
        <v>299517.09995369491</v>
      </c>
    </row>
    <row r="1363" spans="1:8" x14ac:dyDescent="0.3">
      <c r="A1363" s="7">
        <v>45961</v>
      </c>
      <c r="B1363" s="6">
        <v>9019</v>
      </c>
      <c r="C1363" s="6">
        <v>9083.4</v>
      </c>
      <c r="D1363" s="6">
        <v>8876</v>
      </c>
      <c r="E1363" s="6">
        <v>8881.9</v>
      </c>
      <c r="F1363" s="8">
        <v>3316029000</v>
      </c>
      <c r="G1363" s="8">
        <v>34780550000</v>
      </c>
      <c r="H1363">
        <f t="shared" si="28"/>
        <v>293771.91241648514</v>
      </c>
    </row>
    <row r="1364" spans="1:8" x14ac:dyDescent="0.3">
      <c r="A1364" s="7">
        <v>45964</v>
      </c>
      <c r="B1364" s="6">
        <v>8881.9</v>
      </c>
      <c r="C1364" s="6">
        <v>8894.7999999999993</v>
      </c>
      <c r="D1364" s="6">
        <v>8829.2999999999993</v>
      </c>
      <c r="E1364" s="6">
        <v>8894.7999999999993</v>
      </c>
      <c r="F1364" s="8">
        <v>615843200</v>
      </c>
      <c r="G1364" s="8">
        <v>6078266000</v>
      </c>
      <c r="H1364">
        <f t="shared" si="28"/>
        <v>294198.58437520708</v>
      </c>
    </row>
    <row r="1365" spans="1:8" x14ac:dyDescent="0.3">
      <c r="A1365" s="7">
        <v>45968</v>
      </c>
      <c r="B1365" s="6">
        <v>8881.9</v>
      </c>
      <c r="C1365" s="6">
        <v>8894.7999999999993</v>
      </c>
      <c r="D1365" s="6">
        <v>8733.7999999999993</v>
      </c>
      <c r="E1365" s="6">
        <v>8769.7000000000007</v>
      </c>
      <c r="F1365" s="8">
        <v>3018855000</v>
      </c>
      <c r="G1365" s="8">
        <v>32433630000</v>
      </c>
      <c r="H1365">
        <f t="shared" si="28"/>
        <v>290060.85863597313</v>
      </c>
    </row>
    <row r="1366" spans="1:8" x14ac:dyDescent="0.3">
      <c r="A1366" s="7">
        <v>45971</v>
      </c>
      <c r="B1366" s="6">
        <v>8769.7000000000007</v>
      </c>
      <c r="C1366" s="6">
        <v>8835.9</v>
      </c>
      <c r="D1366" s="6">
        <v>8769.7000000000007</v>
      </c>
      <c r="E1366" s="6">
        <v>8835.9</v>
      </c>
      <c r="F1366" s="8">
        <v>551108000</v>
      </c>
      <c r="G1366" s="8">
        <v>5912229000</v>
      </c>
      <c r="H1366">
        <f t="shared" si="28"/>
        <v>292250.44651716645</v>
      </c>
    </row>
    <row r="1367" spans="1:8" x14ac:dyDescent="0.3">
      <c r="A1367" s="7">
        <v>45975</v>
      </c>
      <c r="B1367" s="6">
        <v>8769.7000000000007</v>
      </c>
      <c r="C1367" s="6">
        <v>8875.6</v>
      </c>
      <c r="D1367" s="6">
        <v>8612.2000000000007</v>
      </c>
      <c r="E1367" s="6">
        <v>8634.5</v>
      </c>
      <c r="F1367" s="8">
        <v>3282623000</v>
      </c>
      <c r="G1367" s="8">
        <v>35082170000</v>
      </c>
      <c r="H1367">
        <f t="shared" si="28"/>
        <v>285589.07190580177</v>
      </c>
    </row>
    <row r="1368" spans="1:8" x14ac:dyDescent="0.3">
      <c r="A1368" s="7">
        <v>45978</v>
      </c>
      <c r="B1368" s="6">
        <v>8634.5</v>
      </c>
      <c r="C1368" s="6">
        <v>8636.4</v>
      </c>
      <c r="D1368" s="6">
        <v>8588.9</v>
      </c>
      <c r="E1368" s="6">
        <v>8636.4</v>
      </c>
      <c r="F1368" s="8">
        <v>544821500</v>
      </c>
      <c r="G1368" s="8">
        <v>5504830000</v>
      </c>
      <c r="H1368">
        <f t="shared" si="28"/>
        <v>285651.91506251274</v>
      </c>
    </row>
    <row r="1369" spans="1:8" x14ac:dyDescent="0.3">
      <c r="A1369" s="7">
        <v>45982</v>
      </c>
      <c r="B1369" s="6">
        <v>8634.5</v>
      </c>
      <c r="C1369" s="6">
        <v>8636.4</v>
      </c>
      <c r="D1369" s="6">
        <v>8383.2000000000007</v>
      </c>
      <c r="E1369" s="6">
        <v>8416.5</v>
      </c>
      <c r="F1369" s="8">
        <v>3295504000</v>
      </c>
      <c r="G1369" s="8">
        <v>34575410000</v>
      </c>
      <c r="H1369">
        <f t="shared" si="28"/>
        <v>278378.64655685687</v>
      </c>
    </row>
    <row r="1370" spans="1:8" x14ac:dyDescent="0.3">
      <c r="A1370" s="7">
        <v>45985</v>
      </c>
      <c r="B1370" s="6">
        <v>8416.5</v>
      </c>
      <c r="C1370" s="6">
        <v>8526.5</v>
      </c>
      <c r="D1370" s="6">
        <v>8416.5</v>
      </c>
      <c r="E1370" s="6">
        <v>8525.1</v>
      </c>
      <c r="F1370" s="8">
        <v>1317172000</v>
      </c>
      <c r="G1370" s="8">
        <v>17150810000</v>
      </c>
      <c r="H1370">
        <f t="shared" si="28"/>
        <v>281970.62909307436</v>
      </c>
    </row>
    <row r="1371" spans="1:8" x14ac:dyDescent="0.3">
      <c r="A1371" s="7">
        <v>45989</v>
      </c>
      <c r="B1371" s="6">
        <v>8416.5</v>
      </c>
      <c r="C1371" s="6">
        <v>8649.2999999999993</v>
      </c>
      <c r="D1371" s="6">
        <v>8416.5</v>
      </c>
      <c r="E1371" s="6">
        <v>8614.1</v>
      </c>
      <c r="F1371" s="8">
        <v>4150254000</v>
      </c>
      <c r="G1371" s="8">
        <v>43242640000</v>
      </c>
      <c r="H1371">
        <f t="shared" si="28"/>
        <v>284914.33485479961</v>
      </c>
    </row>
    <row r="1372" spans="1:8" x14ac:dyDescent="0.3">
      <c r="A1372" s="7">
        <v>45992</v>
      </c>
      <c r="B1372" s="6">
        <v>8614.1</v>
      </c>
      <c r="C1372" s="6">
        <v>8624.7000000000007</v>
      </c>
      <c r="D1372" s="6">
        <v>8563.2000000000007</v>
      </c>
      <c r="E1372" s="6">
        <v>8565.2000000000007</v>
      </c>
      <c r="F1372" s="8">
        <v>608475900</v>
      </c>
      <c r="G1372" s="8">
        <v>5642342000</v>
      </c>
      <c r="H1372">
        <f t="shared" si="28"/>
        <v>283296.95045313262</v>
      </c>
    </row>
    <row r="1373" spans="1:8" x14ac:dyDescent="0.3">
      <c r="A1373" s="7">
        <v>45996</v>
      </c>
      <c r="B1373" s="6">
        <v>8614.1</v>
      </c>
      <c r="C1373" s="6">
        <v>8634.6</v>
      </c>
      <c r="D1373" s="6">
        <v>8563.2000000000007</v>
      </c>
      <c r="E1373" s="6">
        <v>8634.6</v>
      </c>
      <c r="F1373" s="8">
        <v>3135600000</v>
      </c>
      <c r="G1373" s="8">
        <v>31263060000</v>
      </c>
      <c r="H1373">
        <f t="shared" si="28"/>
        <v>285592.37944036553</v>
      </c>
    </row>
    <row r="1374" spans="1:8" x14ac:dyDescent="0.3">
      <c r="A1374" s="7">
        <v>46003</v>
      </c>
      <c r="B1374" s="6">
        <v>8634.6</v>
      </c>
      <c r="C1374" s="6">
        <v>8701.7999999999993</v>
      </c>
      <c r="D1374" s="6">
        <v>8562.1</v>
      </c>
      <c r="E1374" s="6">
        <v>8697.2999999999993</v>
      </c>
      <c r="F1374" s="8">
        <v>3110053000</v>
      </c>
      <c r="G1374" s="8">
        <v>30115270000</v>
      </c>
      <c r="H1374">
        <f t="shared" si="28"/>
        <v>287666.20361182804</v>
      </c>
    </row>
    <row r="1375" spans="1:8" x14ac:dyDescent="0.3">
      <c r="A1375" s="7">
        <v>46006</v>
      </c>
      <c r="B1375" s="6">
        <v>8697.2999999999993</v>
      </c>
      <c r="C1375" s="6">
        <v>8697.2999999999993</v>
      </c>
      <c r="D1375" s="6">
        <v>8622.7000000000007</v>
      </c>
      <c r="E1375" s="6">
        <v>8635</v>
      </c>
      <c r="F1375" s="8">
        <v>591544800</v>
      </c>
      <c r="G1375" s="8">
        <v>5877871000</v>
      </c>
      <c r="H1375">
        <f t="shared" si="28"/>
        <v>285605.60957862041</v>
      </c>
    </row>
    <row r="1376" spans="1:8" x14ac:dyDescent="0.3">
      <c r="A1376" s="7">
        <v>46010</v>
      </c>
      <c r="B1376" s="6">
        <v>8697.2999999999993</v>
      </c>
      <c r="C1376" s="6">
        <v>8697.2999999999993</v>
      </c>
      <c r="D1376" s="6">
        <v>8547.1</v>
      </c>
      <c r="E1376" s="6">
        <v>8621.4</v>
      </c>
      <c r="F1376" s="8">
        <v>4584316000</v>
      </c>
      <c r="G1376" s="8">
        <v>47423370000</v>
      </c>
      <c r="H1376">
        <f t="shared" si="28"/>
        <v>285155.7848779523</v>
      </c>
    </row>
    <row r="1377" spans="1:8" x14ac:dyDescent="0.3">
      <c r="A1377" s="7">
        <v>46013</v>
      </c>
      <c r="B1377" s="6">
        <v>8621.4</v>
      </c>
      <c r="C1377" s="6">
        <v>8709.2000000000007</v>
      </c>
      <c r="D1377" s="6">
        <v>8621.4</v>
      </c>
      <c r="E1377" s="6">
        <v>8699.9</v>
      </c>
      <c r="F1377" s="8">
        <v>498498100</v>
      </c>
      <c r="G1377" s="8">
        <v>4910506000</v>
      </c>
      <c r="H1377">
        <f t="shared" si="28"/>
        <v>287752.19951048522</v>
      </c>
    </row>
    <row r="1378" spans="1:8" x14ac:dyDescent="0.3">
      <c r="A1378" s="7">
        <v>46015</v>
      </c>
      <c r="B1378" s="6">
        <v>8621.4</v>
      </c>
      <c r="C1378" s="6">
        <v>8805.5</v>
      </c>
      <c r="D1378" s="6">
        <v>8621.4</v>
      </c>
      <c r="E1378" s="6">
        <v>8762.7000000000007</v>
      </c>
      <c r="F1378" s="8">
        <v>989088300</v>
      </c>
      <c r="G1378" s="8">
        <v>9772837000</v>
      </c>
      <c r="H1378">
        <f t="shared" si="28"/>
        <v>289829.33121651161</v>
      </c>
    </row>
    <row r="1379" spans="1:8" x14ac:dyDescent="0.3">
      <c r="A1379" s="7">
        <v>46024</v>
      </c>
      <c r="B1379" s="6">
        <v>8762.7000000000007</v>
      </c>
      <c r="C1379" s="6">
        <v>8784.2000000000007</v>
      </c>
      <c r="D1379" s="6">
        <v>8679.7999999999993</v>
      </c>
      <c r="E1379" s="6">
        <v>8727.7999999999993</v>
      </c>
      <c r="F1379" s="8">
        <v>1297531000</v>
      </c>
      <c r="G1379" s="8">
        <v>12590370000</v>
      </c>
      <c r="H1379">
        <f t="shared" si="28"/>
        <v>288675.00165376766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FFM Alerts</cp:lastModifiedBy>
  <dcterms:created xsi:type="dcterms:W3CDTF">2025-05-12T00:45:27Z</dcterms:created>
  <dcterms:modified xsi:type="dcterms:W3CDTF">2026-01-04T23:19:55Z</dcterms:modified>
</cp:coreProperties>
</file>