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CACF30C3-5CC9-4F47-ABE9-DC023BB1BA3C}" xr6:coauthVersionLast="47" xr6:coauthVersionMax="47" xr10:uidLastSave="{00000000-0000-0000-0000-000000000000}"/>
  <bookViews>
    <workbookView xWindow="4620" yWindow="-19965" windowWidth="28800" windowHeight="15345" activeTab="3"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E2" i="4"/>
  <c r="F2" i="4"/>
  <c r="D2" i="4"/>
  <c r="C2" i="4"/>
  <c r="E1335" i="5"/>
  <c r="E1336" i="5"/>
  <c r="D1335" i="5"/>
  <c r="D1336" i="5"/>
  <c r="L3" i="3"/>
  <c r="L2" i="3"/>
  <c r="L4" i="3"/>
  <c r="I4" i="6"/>
  <c r="J4" i="6"/>
  <c r="H4" i="6"/>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<sst xmlns="http://schemas.openxmlformats.org/spreadsheetml/2006/main" count="3506" uniqueCount="1452">
  <si>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</si>
  <si>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</si>
  <si>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</si>
  <si>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</si>
  <si>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</si>
  <si>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</si>
  <si>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</si>
  <si>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</si>
  <si>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</si>
  <si>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</si>
  <si>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</si>
  <si>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</si>
  <si>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</si>
  <si>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</si>
  <si>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</si>
  <si>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</si>
  <si>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</si>
  <si>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</si>
  <si>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</si>
  <si>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</si>
  <si>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</si>
  <si>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</si>
  <si>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</si>
  <si>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</si>
  <si>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</si>
  <si>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</si>
  <si>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</si>
  <si>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</si>
  <si>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</si>
  <si>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</si>
  <si>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</si>
  <si>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</si>
  <si>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</si>
  <si>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</si>
  <si>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</si>
  <si>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</si>
  <si>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</si>
  <si>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</si>
  <si>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</si>
  <si>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</si>
  <si>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</si>
  <si>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</si>
  <si>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</si>
  <si>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</si>
  <si>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</si>
  <si>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</si>
  <si>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</si>
  <si>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</si>
  <si>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</si>
  <si>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</si>
  <si>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</si>
  <si>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</si>
  <si>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</si>
  <si>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</si>
  <si>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</si>
  <si>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</si>
  <si>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</si>
  <si>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</si>
  <si>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</si>
  <si>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</si>
  <si>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</si>
  <si>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</si>
  <si>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</si>
  <si>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</si>
  <si>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</si>
  <si>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</si>
  <si>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</si>
  <si>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</si>
  <si>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</si>
  <si>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</si>
  <si>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</si>
  <si>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</si>
  <si>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</si>
  <si>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</si>
  <si>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</si>
  <si>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</si>
  <si>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</si>
  <si>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</si>
  <si>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</si>
  <si>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</si>
  <si>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</si>
  <si>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</si>
  <si>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</si>
  <si>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</si>
  <si>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</si>
  <si>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</si>
  <si>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</si>
  <si>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</si>
  <si>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</si>
  <si>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</si>
  <si>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</si>
  <si>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</si>
  <si>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</si>
  <si>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</si>
  <si>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</si>
  <si>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</si>
  <si>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</si>
  <si>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</si>
  <si>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</si>
  <si>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</si>
  <si>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</si>
  <si>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</si>
  <si>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</si>
  <si>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</si>
  <si>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</si>
  <si>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</si>
  <si>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</si>
  <si>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</si>
  <si>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</si>
  <si>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</si>
  <si>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</si>
  <si>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</si>
  <si>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</si>
  <si>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</si>
  <si>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</si>
  <si>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</si>
  <si>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</si>
  <si>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</si>
  <si>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</si>
  <si>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</si>
  <si>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</si>
  <si>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</si>
  <si>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</si>
  <si>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</si>
  <si>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</si>
  <si>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</si>
  <si>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</si>
  <si>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</si>
  <si>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</si>
  <si>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</si>
  <si>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</si>
  <si>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</si>
  <si>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</si>
  <si>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</si>
  <si>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</si>
  <si>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</si>
  <si>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</si>
  <si>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</si>
  <si>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</si>
  <si>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</si>
  <si>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</si>
  <si>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</si>
  <si>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</si>
  <si>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</si>
  <si>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</si>
  <si>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</si>
  <si>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</si>
  <si>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</si>
  <si>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</si>
  <si>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</si>
  <si>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</si>
  <si>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</si>
  <si>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</si>
  <si>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</si>
  <si>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</si>
  <si>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</si>
  <si>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</si>
  <si>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</si>
  <si>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</si>
  <si>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</si>
  <si>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</si>
  <si>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</si>
  <si>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</si>
  <si>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</si>
  <si>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</si>
  <si>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</si>
  <si>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</si>
  <si>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</si>
  <si>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</si>
  <si>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</si>
  <si>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</si>
  <si>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</si>
  <si>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</si>
  <si>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</si>
  <si>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</si>
  <si>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</si>
  <si>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</si>
  <si>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</si>
  <si>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</si>
  <si>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</si>
  <si>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</si>
  <si>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</si>
  <si>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</si>
  <si>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</si>
  <si>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</si>
  <si>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</si>
  <si>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</si>
  <si>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</si>
  <si>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</si>
  <si>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</si>
  <si>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</si>
  <si>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</si>
  <si>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</si>
  <si>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</si>
  <si>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</si>
  <si>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</si>
  <si>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</si>
  <si>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</si>
  <si>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</si>
  <si>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</si>
  <si>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</si>
  <si>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</si>
  <si>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</si>
  <si>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</si>
  <si>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</si>
  <si>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</si>
  <si>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</si>
  <si>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</si>
  <si>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</si>
  <si>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</si>
  <si>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</si>
  <si>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</si>
  <si>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</si>
  <si>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</si>
  <si>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</si>
  <si>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</si>
  <si>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</si>
  <si>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</si>
  <si>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</si>
  <si>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</si>
  <si>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</si>
  <si>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</si>
  <si>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</si>
  <si>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</si>
  <si>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</si>
  <si>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</si>
  <si>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</si>
  <si>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</si>
  <si>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</si>
  <si>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</si>
  <si>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</si>
  <si>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</si>
  <si>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</si>
  <si>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</si>
  <si>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</si>
  <si>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</si>
  <si>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</si>
  <si>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</si>
  <si>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</si>
  <si>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</si>
  <si>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</si>
  <si>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</si>
  <si>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</si>
  <si>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</si>
  <si>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</si>
  <si>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</si>
  <si>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</si>
  <si>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</si>
  <si>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</si>
  <si>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</si>
  <si>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</si>
  <si>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</si>
  <si>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</si>
  <si>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</si>
  <si>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</si>
  <si>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</si>
  <si>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</si>
  <si>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</si>
  <si>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</si>
  <si>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</si>
  <si>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</si>
  <si>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</si>
  <si>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</si>
  <si>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</si>
  <si>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</si>
  <si>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</si>
  <si>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</si>
  <si>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</si>
  <si>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</si>
  <si>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</si>
  <si>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</si>
  <si>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</si>
  <si>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</si>
  <si>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</si>
  <si>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</si>
  <si>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</si>
  <si>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</si>
  <si>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</si>
  <si>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</si>
  <si>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</si>
  <si>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</si>
  <si>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</si>
  <si>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</si>
  <si>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</si>
  <si>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</si>
  <si>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</si>
  <si>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</si>
  <si>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</si>
  <si>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</si>
  <si>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</si>
  <si>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</si>
  <si>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</si>
  <si>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</si>
  <si>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</si>
  <si>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</si>
  <si>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</si>
  <si>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</si>
  <si>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</si>
  <si>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</si>
  <si>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</si>
  <si>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</si>
  <si>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</si>
  <si>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</si>
  <si>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</si>
  <si>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</si>
  <si>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</si>
  <si>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</si>
  <si>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</si>
  <si>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</si>
  <si>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</si>
  <si>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</si>
  <si>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</si>
  <si>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</si>
  <si>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</si>
  <si>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</si>
  <si>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</si>
  <si>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</si>
  <si>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</si>
  <si>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</si>
  <si>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</si>
  <si>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</si>
  <si>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</si>
  <si>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</si>
  <si>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</si>
  <si>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</si>
  <si>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</si>
  <si>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</si>
  <si>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</si>
  <si>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</si>
  <si>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</si>
  <si>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</si>
  <si>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</si>
  <si>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</si>
  <si>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</si>
  <si>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</si>
  <si>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</si>
  <si>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</si>
  <si>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</si>
  <si>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</si>
  <si>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</si>
  <si>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</si>
  <si>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</si>
  <si>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</si>
  <si>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</si>
  <si>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</si>
  <si>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</si>
  <si>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</si>
  <si>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</si>
  <si>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</si>
  <si>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</si>
  <si>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</si>
  <si>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</si>
  <si>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</si>
  <si>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</si>
  <si>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</si>
  <si>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</si>
  <si>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</si>
  <si>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</si>
  <si>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</si>
  <si>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</si>
  <si>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</si>
  <si>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</si>
  <si>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</si>
  <si>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</si>
  <si>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</si>
  <si>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</si>
  <si>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</si>
  <si>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</si>
  <si>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</si>
  <si>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</si>
  <si>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</si>
  <si>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</si>
  <si>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</si>
  <si>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</si>
  <si>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</si>
  <si>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</si>
  <si>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</si>
  <si>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</si>
  <si>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</si>
  <si>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</si>
  <si>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</si>
  <si>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</si>
  <si>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</si>
  <si>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</si>
  <si>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</si>
  <si>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</si>
  <si>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</si>
  <si>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</si>
  <si>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</si>
  <si>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</si>
  <si>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</si>
  <si>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</si>
  <si>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</si>
  <si>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</si>
  <si>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</si>
  <si>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</si>
  <si>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</si>
  <si>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</si>
  <si>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</si>
  <si>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</si>
  <si>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</si>
  <si>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</si>
  <si>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</si>
  <si>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</si>
  <si>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</si>
  <si>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</si>
  <si>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</si>
  <si>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</si>
  <si>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</si>
  <si>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</si>
  <si>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</si>
  <si>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</si>
  <si>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</si>
  <si>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</si>
  <si>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</si>
  <si>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</si>
  <si>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</si>
  <si>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</si>
  <si>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</si>
  <si>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</si>
  <si>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</si>
  <si>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</si>
  <si>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</si>
  <si>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</si>
  <si>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</si>
  <si>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</si>
  <si>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</si>
  <si>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</si>
  <si>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</si>
  <si>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</si>
  <si>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</si>
  <si>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</si>
  <si>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</si>
  <si>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</si>
  <si>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</si>
  <si>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</si>
  <si>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</si>
  <si>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</si>
  <si>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</si>
  <si>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</si>
  <si>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</si>
  <si>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</si>
  <si>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</si>
  <si>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</si>
  <si>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</si>
  <si>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</si>
  <si>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</si>
  <si>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</si>
  <si>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</si>
  <si>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</si>
  <si>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</si>
  <si>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</si>
  <si>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</si>
  <si>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</si>
  <si>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</si>
  <si>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</si>
  <si>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</si>
  <si>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</si>
  <si>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</si>
  <si>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</si>
  <si>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</si>
  <si>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</si>
  <si>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</si>
  <si>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</si>
  <si>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</si>
  <si>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</si>
  <si>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</si>
  <si>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</si>
  <si>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</si>
  <si>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</si>
  <si>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</si>
  <si>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</si>
  <si>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</si>
  <si>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</si>
  <si>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</si>
  <si>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</si>
  <si>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</si>
  <si>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</si>
  <si>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</si>
  <si>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</si>
  <si>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</si>
  <si>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</si>
  <si>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</si>
  <si>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</si>
  <si>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</si>
  <si>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</si>
  <si>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</si>
  <si>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</si>
  <si>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</si>
  <si>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</si>
  <si>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</si>
  <si>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</si>
  <si>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</si>
  <si>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</si>
  <si>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</si>
  <si>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</si>
  <si>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</si>
  <si>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</si>
  <si>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</si>
  <si>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</si>
  <si>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</si>
  <si>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</si>
  <si>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</si>
  <si>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</si>
  <si>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</si>
  <si>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</si>
  <si>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</si>
  <si>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</si>
  <si>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</si>
  <si>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</si>
  <si>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</si>
  <si>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</si>
  <si>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</si>
  <si>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</si>
  <si>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</si>
  <si>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</si>
  <si>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</si>
  <si>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</si>
  <si>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</si>
  <si>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</si>
  <si>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</si>
  <si>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</si>
  <si>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</si>
  <si>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</si>
  <si>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</si>
  <si>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</si>
  <si>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</si>
  <si>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</si>
  <si>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</si>
  <si>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</si>
  <si>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</si>
  <si>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</si>
  <si>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</si>
  <si>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</si>
  <si>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</si>
  <si>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</si>
  <si>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</si>
  <si>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</si>
  <si>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</si>
  <si>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</si>
  <si>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</si>
  <si>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</si>
  <si>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</si>
  <si>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</si>
  <si>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</si>
  <si>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</si>
  <si>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</si>
  <si>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</si>
  <si>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</si>
  <si>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</si>
  <si>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</si>
  <si>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</si>
  <si>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</si>
  <si>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</si>
  <si>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</si>
  <si>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</si>
  <si>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</si>
  <si>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</si>
  <si>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</si>
  <si>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</si>
  <si>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</si>
  <si>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</si>
  <si>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</si>
  <si>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</si>
  <si>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</si>
  <si>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</si>
  <si>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</si>
  <si>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</si>
  <si>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</si>
  <si>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</si>
  <si>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</si>
  <si>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</si>
  <si>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</si>
  <si>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</si>
  <si>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</si>
  <si>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</si>
  <si>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</si>
  <si>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</si>
  <si>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</si>
  <si>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</si>
  <si>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</si>
  <si>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</si>
  <si>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</si>
  <si>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</si>
  <si>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</si>
  <si>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</si>
  <si>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</si>
  <si>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</si>
  <si>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</si>
  <si>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</si>
  <si>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</si>
  <si>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</si>
  <si>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</si>
  <si>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</si>
  <si>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</si>
  <si>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</si>
  <si>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</si>
  <si>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</si>
  <si>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</si>
  <si>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</si>
  <si>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</si>
  <si>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</si>
  <si>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</si>
  <si>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</si>
  <si>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</si>
  <si>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</si>
  <si>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</si>
  <si>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</si>
  <si>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</si>
  <si>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</si>
  <si>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</si>
  <si>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</si>
  <si>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</si>
  <si>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</si>
  <si>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</si>
  <si>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</si>
  <si>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</si>
  <si>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</si>
  <si>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</si>
  <si>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</si>
  <si>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</si>
  <si>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</si>
  <si>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</si>
  <si>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</si>
  <si>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</si>
  <si>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</si>
  <si>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</si>
  <si>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</si>
  <si>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</si>
  <si>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</si>
  <si>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</si>
  <si>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</si>
  <si>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</si>
  <si>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</si>
  <si>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</si>
  <si>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</si>
  <si>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</si>
  <si>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</si>
  <si>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</si>
  <si>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</si>
  <si>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</si>
  <si>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</si>
  <si>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</si>
  <si>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</si>
  <si>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</si>
  <si>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</si>
  <si>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</si>
  <si>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</si>
  <si>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</si>
  <si>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</si>
  <si>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</si>
  <si>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</si>
  <si>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</si>
  <si>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</si>
  <si>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</si>
  <si>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</si>
  <si>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</si>
  <si>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</si>
  <si>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</si>
  <si>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</si>
  <si>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</si>
  <si>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</si>
  <si>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</si>
  <si>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</si>
  <si>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</si>
  <si>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</si>
  <si>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</si>
  <si>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</si>
  <si>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</si>
  <si>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</si>
  <si>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</si>
  <si>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</si>
  <si>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</si>
  <si>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</si>
  <si>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</si>
  <si>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</si>
  <si>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</si>
  <si>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</si>
  <si>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</si>
  <si>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</si>
  <si>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</si>
  <si>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</si>
  <si>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</si>
  <si>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</si>
  <si>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</si>
  <si>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</si>
  <si>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</si>
  <si>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</si>
  <si>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</si>
  <si>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</si>
  <si>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</si>
  <si>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</si>
  <si>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</si>
  <si>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</si>
  <si>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</si>
  <si>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</si>
  <si>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</si>
  <si>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</si>
  <si>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</si>
  <si>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</si>
  <si>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</si>
  <si>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</si>
  <si>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</si>
  <si>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</si>
  <si>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</si>
  <si>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</si>
  <si>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</si>
  <si>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</si>
  <si>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</si>
  <si>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</si>
  <si>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</si>
  <si>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</si>
  <si>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</si>
  <si>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</si>
  <si>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</si>
  <si>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</si>
  <si>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</si>
  <si>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</si>
  <si>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</si>
  <si>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</si>
  <si>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</si>
  <si>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</si>
  <si>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</si>
  <si>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</si>
  <si>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</si>
  <si>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</si>
  <si>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</si>
  <si>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</si>
  <si>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</si>
  <si>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</si>
  <si>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</si>
  <si>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</si>
  <si>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</si>
  <si>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</si>
  <si>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</si>
  <si>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</si>
  <si>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</si>
  <si>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</si>
  <si>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</si>
  <si>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</si>
  <si>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</si>
  <si>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</si>
  <si>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</si>
  <si>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</si>
  <si>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</si>
  <si>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</si>
  <si>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</si>
  <si>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</si>
  <si>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</si>
  <si>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</si>
  <si>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</si>
  <si>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</si>
  <si>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</si>
  <si>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</si>
  <si>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</si>
  <si>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</si>
  <si>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</si>
  <si>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</si>
  <si>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</si>
  <si>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</si>
  <si>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</si>
  <si>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</si>
  <si>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</si>
  <si>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</si>
  <si>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</si>
  <si>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</si>
  <si>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</si>
  <si>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</si>
  <si>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</si>
  <si>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</si>
  <si>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</si>
  <si>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</si>
  <si>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</si>
  <si>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</si>
  <si>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</si>
  <si>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</si>
  <si>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</si>
  <si>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</si>
  <si>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</si>
  <si>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</si>
  <si>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</si>
  <si>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</si>
  <si>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</si>
  <si>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</si>
  <si>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</si>
  <si>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</si>
  <si>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</si>
  <si>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</si>
  <si>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</si>
  <si>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</si>
  <si>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</si>
  <si>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</si>
  <si>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</si>
  <si>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</si>
  <si>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</si>
  <si>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</si>
  <si>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</si>
  <si>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</si>
  <si>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</si>
  <si>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</si>
  <si>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</si>
  <si>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</si>
  <si>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</si>
  <si>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</si>
  <si>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</si>
  <si>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</si>
  <si>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</si>
  <si>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</si>
  <si>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</si>
  <si>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</si>
  <si>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</si>
  <si>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</si>
  <si>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</si>
  <si>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</si>
  <si>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</si>
  <si>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</si>
  <si>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</si>
  <si>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</si>
  <si>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</si>
  <si>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</si>
  <si>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</si>
  <si>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</si>
  <si>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</si>
  <si>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</si>
  <si>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</si>
  <si>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</si>
  <si>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</si>
  <si>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</si>
  <si>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</si>
  <si>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</si>
  <si>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</si>
  <si>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</si>
  <si>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</si>
  <si>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</si>
  <si>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</si>
  <si>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</si>
  <si>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</si>
  <si>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</si>
  <si>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</si>
  <si>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</si>
  <si>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</si>
  <si>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</si>
  <si>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</si>
  <si>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</si>
  <si>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</si>
  <si>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</si>
  <si>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</si>
  <si>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</si>
  <si>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</si>
  <si>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</si>
  <si>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</si>
  <si>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</si>
  <si>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</si>
  <si>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</si>
  <si>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</si>
  <si>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</si>
  <si>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</si>
  <si>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</si>
  <si>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</si>
  <si>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</si>
  <si>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</si>
  <si>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</si>
  <si>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</si>
  <si>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</si>
  <si>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</si>
  <si>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</si>
  <si>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</si>
  <si>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</si>
  <si>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</si>
  <si>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</si>
  <si>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</si>
  <si>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</si>
  <si>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</si>
  <si>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</si>
  <si>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</si>
  <si>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</si>
  <si>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</si>
  <si>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</si>
  <si>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</si>
  <si>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</si>
  <si>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</si>
  <si>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</si>
  <si>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</si>
  <si>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</si>
  <si>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</si>
  <si>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</si>
  <si>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</si>
  <si>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</si>
  <si>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</si>
  <si>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</si>
  <si>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</si>
  <si>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</si>
  <si>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</si>
  <si>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</si>
  <si>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</si>
  <si>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</si>
  <si>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</si>
  <si>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</si>
  <si>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</si>
  <si>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</si>
  <si>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</si>
  <si>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</si>
  <si>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</si>
  <si>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</si>
  <si>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</si>
  <si>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</si>
  <si>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</si>
  <si>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</si>
  <si>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</si>
  <si>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</si>
  <si>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</si>
  <si>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</si>
  <si>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</si>
  <si>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</si>
  <si>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</si>
  <si>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</si>
  <si>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</si>
  <si>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</si>
  <si>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</si>
  <si>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</si>
  <si>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</si>
  <si>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</si>
  <si>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</si>
  <si>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</si>
  <si>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</si>
  <si>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</si>
  <si>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</si>
  <si>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</si>
  <si>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</si>
  <si>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</si>
  <si>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</si>
  <si>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</si>
  <si>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</si>
  <si>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</si>
  <si>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</si>
  <si>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</si>
  <si>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</si>
  <si>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</si>
  <si>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</si>
  <si>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</si>
  <si>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</si>
  <si>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</si>
  <si>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</si>
  <si>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</si>
  <si>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</si>
  <si>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</si>
  <si>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</si>
  <si>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</si>
  <si>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</si>
  <si>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</si>
  <si>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</si>
  <si>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</si>
  <si>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</si>
  <si>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</si>
  <si>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</si>
  <si>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</si>
  <si>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</si>
  <si>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</si>
  <si>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</si>
  <si>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</si>
  <si>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</si>
  <si>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</si>
  <si>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</si>
  <si>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</si>
  <si>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</si>
  <si>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</si>
  <si>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</si>
  <si>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</si>
  <si>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</si>
  <si>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</si>
  <si>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</si>
  <si>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</si>
  <si>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</si>
  <si>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</si>
  <si>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</si>
  <si>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</si>
  <si>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</si>
  <si>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</si>
  <si>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</si>
  <si>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</si>
  <si>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</si>
  <si>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</si>
  <si>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</si>
  <si>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</si>
  <si>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</si>
  <si>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</si>
  <si>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</si>
  <si>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</si>
  <si>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</si>
  <si>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</si>
  <si>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</si>
  <si>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</si>
  <si>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</si>
  <si>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</si>
  <si>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</si>
  <si>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</si>
  <si>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</si>
  <si>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</si>
  <si>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</si>
  <si>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</si>
  <si>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</si>
  <si>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</si>
  <si>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</si>
  <si>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</si>
  <si>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</si>
  <si>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</si>
  <si>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</si>
  <si>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</si>
  <si>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</si>
  <si>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</si>
  <si>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</si>
  <si>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</si>
  <si>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</si>
  <si>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</si>
  <si>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</si>
  <si>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</si>
  <si>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</si>
  <si>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</si>
  <si>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</si>
  <si>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</si>
  <si>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</si>
  <si>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</si>
  <si>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</si>
  <si>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</si>
  <si>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</si>
  <si>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</si>
  <si>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</si>
  <si>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</si>
  <si>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</si>
  <si>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</si>
  <si>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</si>
  <si>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</si>
  <si>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</si>
  <si>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</si>
  <si>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</si>
  <si>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</si>
  <si>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</si>
  <si>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</si>
  <si>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</si>
  <si>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</si>
  <si>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</si>
  <si>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</si>
  <si>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</si>
  <si>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</si>
  <si>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</si>
  <si>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</si>
  <si>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</si>
  <si>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</si>
  <si>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</si>
  <si>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</si>
  <si>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</si>
  <si>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</si>
  <si>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</si>
  <si>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</si>
  <si>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</si>
  <si>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</si>
  <si>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</si>
  <si>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</si>
  <si>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</si>
  <si>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</si>
  <si>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</si>
  <si>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</si>
  <si>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</si>
  <si>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</si>
  <si>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</si>
  <si>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</si>
  <si>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</si>
  <si>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</si>
  <si>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</si>
  <si>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</si>
  <si>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</si>
  <si>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</si>
  <si>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</si>
  <si>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</si>
  <si>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</si>
  <si>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</si>
  <si>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</si>
  <si>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</si>
  <si>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</si>
  <si>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</si>
  <si>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</si>
  <si>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</si>
  <si>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</si>
  <si>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</si>
  <si>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</si>
  <si>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</si>
  <si>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</si>
  <si>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</si>
  <si>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</si>
  <si>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</si>
  <si>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</si>
  <si>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</si>
  <si>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</si>
  <si>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</si>
  <si>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</si>
  <si>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</si>
  <si>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</si>
  <si>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</si>
  <si>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</si>
  <si>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</si>
  <si>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</si>
  <si>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</si>
  <si>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</si>
  <si>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</si>
  <si>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</si>
  <si>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</si>
  <si>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</si>
  <si>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</si>
  <si>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</si>
  <si>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</si>
  <si>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</si>
  <si>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</si>
  <si>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</si>
  <si>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</si>
  <si>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</si>
  <si>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</si>
  <si>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</si>
  <si>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</si>
  <si>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</si>
  <si>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</si>
  <si>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</si>
  <si>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</si>
  <si>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</si>
  <si>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</si>
  <si>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</si>
  <si>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</si>
  <si>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</si>
  <si>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</si>
  <si>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</si>
  <si>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</si>
  <si>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</si>
  <si>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</si>
  <si>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</si>
  <si>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</si>
  <si>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</si>
  <si>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</si>
  <si>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</si>
  <si>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</si>
  <si>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</si>
  <si>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</si>
  <si>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</si>
  <si>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</si>
  <si>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</si>
  <si>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</si>
  <si>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</si>
  <si>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</si>
  <si>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</si>
  <si>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</si>
  <si>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</si>
  <si>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</si>
  <si>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</si>
  <si>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</si>
  <si>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</si>
  <si>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</si>
  <si>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</si>
  <si>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</si>
  <si>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</si>
  <si>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</si>
  <si>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</si>
  <si>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</si>
  <si>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</si>
  <si>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</si>
  <si>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</si>
  <si>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</si>
  <si>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</si>
  <si>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</si>
  <si>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</si>
  <si>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</si>
  <si>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</si>
  <si>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</si>
  <si>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</si>
  <si>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</si>
  <si>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</si>
  <si>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</si>
  <si>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</si>
  <si>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</si>
  <si>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</si>
  <si>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</si>
  <si>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</si>
  <si>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</si>
  <si>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</si>
  <si>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</si>
  <si>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</si>
  <si>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</si>
  <si>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</si>
  <si>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</si>
  <si>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</si>
  <si>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</si>
  <si>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</si>
  <si>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</si>
  <si>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</si>
  <si>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</si>
  <si>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</si>
  <si>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</si>
  <si>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</si>
  <si>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</si>
  <si>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</si>
  <si>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</si>
  <si>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</si>
  <si>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</si>
  <si>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</si>
  <si>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</si>
  <si>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</si>
  <si>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</si>
  <si>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</si>
  <si>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</si>
  <si>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</si>
  <si>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</si>
  <si>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</si>
  <si>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</si>
  <si>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</si>
  <si>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</si>
  <si>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</si>
  <si>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</si>
  <si>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</si>
  <si>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</si>
  <si>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</si>
  <si>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</si>
  <si>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</si>
  <si>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</si>
  <si>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</si>
  <si>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</si>
  <si>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</si>
  <si>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</si>
  <si>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</si>
  <si>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</si>
  <si>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</si>
  <si>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</si>
  <si>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</si>
  <si>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</si>
  <si>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</si>
  <si>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</si>
  <si>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</si>
  <si>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</si>
  <si>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</si>
  <si>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</si>
  <si>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</si>
  <si>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</si>
  <si>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</si>
  <si>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</si>
  <si>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</si>
  <si>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</si>
  <si>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</si>
  <si>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</si>
  <si>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</si>
  <si>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</si>
  <si>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</si>
  <si>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</si>
  <si>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</si>
  <si>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</si>
  <si>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</si>
  <si>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</si>
  <si>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</si>
  <si>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</si>
  <si>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</si>
  <si>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</si>
  <si>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</si>
  <si>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</si>
  <si>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</si>
  <si>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</si>
  <si>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</si>
  <si>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</si>
  <si>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</si>
  <si>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</si>
  <si>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</si>
  <si>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</si>
  <si>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</si>
  <si>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</si>
  <si>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</si>
  <si>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</si>
  <si>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</si>
  <si>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</si>
  <si>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</si>
  <si>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</si>
  <si>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</si>
  <si>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</si>
  <si>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</si>
  <si>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</si>
  <si>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</si>
  <si>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</si>
  <si>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</si>
  <si>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</si>
  <si>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</si>
  <si>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</si>
  <si>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</si>
  <si>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</si>
  <si>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</si>
  <si>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</si>
  <si>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</si>
  <si>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</si>
  <si>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</si>
  <si>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</si>
  <si>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</si>
  <si>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</si>
  <si>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</si>
  <si>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</si>
  <si>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</si>
  <si>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</si>
  <si>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</si>
  <si>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</si>
  <si>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</si>
  <si>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</si>
  <si>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</si>
  <si>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</si>
  <si>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</si>
  <si>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</si>
  <si>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</si>
  <si>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</si>
  <si>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</si>
  <si>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</si>
  <si>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</si>
  <si>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</si>
  <si>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</si>
  <si>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</si>
  <si>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</si>
  <si>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</si>
  <si>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</si>
  <si>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</si>
  <si>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</si>
  <si>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</si>
  <si>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</si>
  <si>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</si>
  <si>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</si>
  <si>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</si>
  <si>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</si>
  <si>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</si>
  <si>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</si>
  <si>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</si>
  <si>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</si>
  <si>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</si>
  <si>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</si>
  <si>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</si>
  <si>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</si>
  <si>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</si>
  <si>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</si>
  <si>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</si>
  <si>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</si>
  <si>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</si>
  <si>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</si>
  <si>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</si>
  <si>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</si>
  <si>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</si>
  <si>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</si>
  <si>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</si>
  <si>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</si>
  <si>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</si>
  <si>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</si>
  <si>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</si>
  <si>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</si>
  <si>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</si>
  <si>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</si>
  <si>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</si>
  <si>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</si>
  <si>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</si>
  <si>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</si>
  <si>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</si>
  <si>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</si>
  <si>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</si>
  <si>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</si>
  <si>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</si>
  <si>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</si>
  <si>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</si>
  <si>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</si>
  <si>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</si>
  <si>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</si>
  <si>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</si>
  <si>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</si>
  <si>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</si>
  <si>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</si>
  <si>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</si>
  <si>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</si>
  <si>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</si>
  <si>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</si>
  <si>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</si>
  <si>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</si>
  <si>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</si>
  <si>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</si>
  <si>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</si>
  <si>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</si>
  <si>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</si>
  <si>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</si>
  <si>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</si>
  <si>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</si>
  <si>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</si>
  <si>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</si>
  <si>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</si>
  <si>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</si>
  <si>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</si>
  <si>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</si>
  <si>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</si>
  <si>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</si>
  <si>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</si>
  <si>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</si>
  <si>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</si>
  <si>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</si>
  <si>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</si>
  <si>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</si>
  <si>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</si>
  <si>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</si>
  <si>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</si>
  <si>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</si>
  <si>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</si>
  <si>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</si>
  <si>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</si>
  <si>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</si>
  <si>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</si>
  <si>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</si>
  <si>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</si>
  <si>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</si>
  <si>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</si>
  <si>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</si>
  <si>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</si>
  <si>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</si>
  <si>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</si>
  <si>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</si>
  <si>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</si>
  <si>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</si>
  <si>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</si>
  <si>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</si>
  <si>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</si>
  <si>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</si>
  <si>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</si>
  <si>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</si>
  <si>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</si>
  <si>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</si>
  <si>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</si>
  <si>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1.4x</t>
  </si>
  <si>
    <t>277.3x</t>
  </si>
  <si>
    <t>-</t>
  </si>
  <si>
    <t>Alert Price:</t>
  </si>
  <si>
    <t>% From Alert Price</t>
  </si>
  <si>
    <t>6.1x</t>
  </si>
  <si>
    <t>10.4x</t>
  </si>
  <si>
    <t>$1.7B</t>
  </si>
  <si>
    <t>68.7x</t>
  </si>
  <si>
    <t>4.7x</t>
  </si>
  <si>
    <t>493.7x</t>
  </si>
  <si>
    <t>2.3x</t>
  </si>
  <si>
    <t>17.5x</t>
  </si>
  <si>
    <t>9.4x</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</si>
  <si>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</si>
  <si>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</si>
  <si>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</si>
  <si>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</si>
  <si>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</si>
  <si>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4.3x</t>
  </si>
  <si>
    <t>7.5x</t>
  </si>
  <si>
    <t>338.0x</t>
  </si>
  <si>
    <t>$3.2B</t>
  </si>
  <si>
    <t>55.2x</t>
  </si>
  <si>
    <t>1.9x</t>
  </si>
  <si>
    <t>5.6x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</si>
</sst>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
    <numFmt numFmtId="165" formatCode="0.000000000%"/>
    <numFmt numFmtId="166" formatCode="0.0000000000000000%"/>
    <numFmt numFmtId="167" formatCode="0.0000%"/>
    <numFmt numFmtId="168" formatCode="0.0000000%"/>
    <numFmt numFmtId="169"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A42" sqref="A42"/>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3.55</v>
      </c>
      <c r="E2" s="4">
        <v>4.05</v>
      </c>
      <c r="F2" s="4">
        <v>1.325</v>
      </c>
      <c r="G2" t="s">
        <v>1363</v>
      </c>
      <c r="I2" t="s">
        <v>344</v>
      </c>
      <c r="K2" s="3">
        <v>0</v>
      </c>
      <c r="L2" t="s">
        <v>1431</v>
      </c>
      <c r="N2" t="s">
        <v>345</v>
      </c>
      <c r="O2" s="3">
        <v>0.151</v>
      </c>
      <c r="P2" s="3">
        <v>1.4999999999999999E-2</v>
      </c>
      <c r="Q2" t="s">
        <v>346</v>
      </c>
      <c r="R2" s="3">
        <v>-9.2999999999999999E-2</v>
      </c>
      <c r="S2" s="3">
        <v>0.377</v>
      </c>
      <c r="U2" s="3">
        <v>-6.9000000000000006E-2</v>
      </c>
    </row>
    <row r="3" spans="1:21" x14ac:dyDescent="0.25">
      <c r="A3" t="s">
        <v>347</v>
      </c>
      <c r="B3" t="s">
        <v>116</v>
      </c>
      <c r="C3" t="s">
        <v>348</v>
      </c>
      <c r="D3" s="4">
        <v>2.57</v>
      </c>
      <c r="E3" s="4">
        <v>2.6</v>
      </c>
      <c r="F3" s="4">
        <v>1.58</v>
      </c>
      <c r="G3" t="s">
        <v>374</v>
      </c>
      <c r="H3" s="3">
        <v>1</v>
      </c>
      <c r="I3" t="s">
        <v>350</v>
      </c>
      <c r="J3" t="s">
        <v>351</v>
      </c>
      <c r="K3" s="3">
        <v>4.4999999999999998E-2</v>
      </c>
      <c r="L3" t="s">
        <v>352</v>
      </c>
      <c r="M3" t="s">
        <v>1432</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3.35</v>
      </c>
      <c r="E4" s="4">
        <v>3.38</v>
      </c>
      <c r="F4" s="4">
        <v>1.45</v>
      </c>
      <c r="G4" t="s">
        <v>1433</v>
      </c>
      <c r="H4" s="3">
        <v>1</v>
      </c>
      <c r="I4" t="s">
        <v>356</v>
      </c>
      <c r="K4" s="3">
        <v>0</v>
      </c>
      <c r="L4" t="s">
        <v>1383</v>
      </c>
      <c r="M4" t="s">
        <v>1434</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1.26</v>
      </c>
      <c r="E5" s="4">
        <v>1.2749999999999999</v>
      </c>
      <c r="F5" s="4">
        <v>1.03</v>
      </c>
      <c r="G5" t="s">
        <v>1295</v>
      </c>
      <c r="H5" s="3">
        <v>0</v>
      </c>
      <c r="I5" t="s">
        <v>360</v>
      </c>
      <c r="K5" s="3">
        <v>0.08</v>
      </c>
      <c r="L5" t="s">
        <v>1435</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1.6</v>
      </c>
      <c r="E6" s="4">
        <v>1.81</v>
      </c>
      <c r="F6" s="4">
        <v>0.97499999999999998</v>
      </c>
      <c r="G6" t="s">
        <v>364</v>
      </c>
      <c r="H6" s="3">
        <v>1</v>
      </c>
      <c r="I6" t="s">
        <v>365</v>
      </c>
      <c r="J6" t="s">
        <v>23</v>
      </c>
      <c r="K6" s="3">
        <v>6.9000000000000006E-2</v>
      </c>
      <c r="L6" t="s">
        <v>1426</v>
      </c>
      <c r="N6" t="s">
        <v>366</v>
      </c>
      <c r="O6" s="3">
        <v>1.6830000000000001</v>
      </c>
      <c r="Q6" t="s">
        <v>367</v>
      </c>
      <c r="R6" s="3">
        <v>9.6000000000000002E-2</v>
      </c>
      <c r="S6" s="3">
        <v>0.14199999999999999</v>
      </c>
      <c r="T6" s="3">
        <v>-0.25600000000000001</v>
      </c>
      <c r="U6" s="3">
        <v>5.6000000000000001E-2</v>
      </c>
    </row>
    <row r="7" spans="1:21" x14ac:dyDescent="0.25">
      <c r="A7" t="s">
        <v>368</v>
      </c>
      <c r="B7" t="s">
        <v>120</v>
      </c>
      <c r="C7" t="s">
        <v>369</v>
      </c>
      <c r="D7" s="4">
        <v>0.48</v>
      </c>
      <c r="E7" s="4">
        <v>0.78500000000000003</v>
      </c>
      <c r="F7" s="4">
        <v>0.3</v>
      </c>
      <c r="G7" t="s">
        <v>364</v>
      </c>
      <c r="I7" t="s">
        <v>370</v>
      </c>
      <c r="K7" s="3">
        <v>0</v>
      </c>
      <c r="L7" t="s">
        <v>1436</v>
      </c>
      <c r="N7" t="s">
        <v>371</v>
      </c>
      <c r="O7" s="3">
        <v>2.1999999999999999E-2</v>
      </c>
      <c r="P7" s="3">
        <v>4.8000000000000001E-2</v>
      </c>
      <c r="Q7" t="s">
        <v>372</v>
      </c>
      <c r="R7" s="3">
        <v>-26.218</v>
      </c>
      <c r="S7" s="3">
        <v>6.2839999999999998</v>
      </c>
      <c r="U7" s="3">
        <v>-5.2469999999999999</v>
      </c>
    </row>
    <row r="8" spans="1:21" x14ac:dyDescent="0.25">
      <c r="A8" t="s">
        <v>373</v>
      </c>
      <c r="B8" t="s">
        <v>121</v>
      </c>
      <c r="C8" t="s">
        <v>22</v>
      </c>
      <c r="D8" s="4">
        <v>2.21</v>
      </c>
      <c r="E8" s="4">
        <v>2.2999999999999998</v>
      </c>
      <c r="F8" s="4">
        <v>1.39</v>
      </c>
      <c r="G8" t="s">
        <v>1290</v>
      </c>
      <c r="H8" s="3">
        <v>1</v>
      </c>
      <c r="I8" t="s">
        <v>375</v>
      </c>
      <c r="J8" t="s">
        <v>376</v>
      </c>
      <c r="K8" s="3">
        <v>3.5000000000000003E-2</v>
      </c>
      <c r="L8" t="s">
        <v>1291</v>
      </c>
      <c r="N8" t="s">
        <v>377</v>
      </c>
      <c r="O8" s="3">
        <v>24.238</v>
      </c>
      <c r="Q8" t="s">
        <v>378</v>
      </c>
      <c r="R8" s="3">
        <v>3.5000000000000003E-2</v>
      </c>
      <c r="S8" s="3">
        <v>5.8000000000000003E-2</v>
      </c>
      <c r="T8" s="3">
        <v>-0.17599999999999999</v>
      </c>
      <c r="U8" s="3">
        <v>0.15</v>
      </c>
    </row>
    <row r="9" spans="1:21" x14ac:dyDescent="0.25">
      <c r="A9" t="s">
        <v>379</v>
      </c>
      <c r="B9" t="s">
        <v>122</v>
      </c>
      <c r="C9" t="s">
        <v>369</v>
      </c>
      <c r="D9" s="4">
        <v>8.4499999999999993</v>
      </c>
      <c r="E9" s="4">
        <v>8.51</v>
      </c>
      <c r="F9" s="4">
        <v>3.75</v>
      </c>
      <c r="G9" t="s">
        <v>1374</v>
      </c>
      <c r="H9" s="3">
        <v>0.6</v>
      </c>
      <c r="I9" t="s">
        <v>380</v>
      </c>
      <c r="J9" t="s">
        <v>381</v>
      </c>
      <c r="K9" s="3">
        <v>1.7000000000000001E-2</v>
      </c>
      <c r="L9" t="s">
        <v>1437</v>
      </c>
      <c r="M9" t="s">
        <v>1438</v>
      </c>
      <c r="N9" t="s">
        <v>382</v>
      </c>
      <c r="P9" s="3">
        <v>1E-3</v>
      </c>
      <c r="Q9" t="s">
        <v>383</v>
      </c>
      <c r="R9" s="3">
        <v>1.2999999999999999E-2</v>
      </c>
      <c r="S9" s="3">
        <v>0.13500000000000001</v>
      </c>
      <c r="U9" s="3">
        <v>-2.762</v>
      </c>
    </row>
    <row r="10" spans="1:21" x14ac:dyDescent="0.25">
      <c r="A10" t="s">
        <v>384</v>
      </c>
      <c r="B10" t="s">
        <v>123</v>
      </c>
      <c r="C10" t="s">
        <v>343</v>
      </c>
      <c r="D10" s="4">
        <v>4.2</v>
      </c>
      <c r="E10" s="4">
        <v>5.19</v>
      </c>
      <c r="F10" s="4">
        <v>1.89</v>
      </c>
      <c r="G10" t="s">
        <v>1363</v>
      </c>
      <c r="I10" t="s">
        <v>385</v>
      </c>
      <c r="K10" s="3">
        <v>0</v>
      </c>
      <c r="L10" t="s">
        <v>1439</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0.67</v>
      </c>
      <c r="E11" s="4">
        <v>0.69</v>
      </c>
      <c r="F11" s="4">
        <v>0.53500000000000003</v>
      </c>
      <c r="G11" t="s">
        <v>349</v>
      </c>
      <c r="H11" s="3">
        <v>0</v>
      </c>
      <c r="I11" t="s">
        <v>389</v>
      </c>
      <c r="J11" t="s">
        <v>390</v>
      </c>
      <c r="K11" s="3">
        <v>7.4999999999999997E-2</v>
      </c>
      <c r="L11" t="s">
        <v>1425</v>
      </c>
      <c r="N11" t="s">
        <v>391</v>
      </c>
      <c r="O11" s="3">
        <v>0.59899999999999998</v>
      </c>
      <c r="P11" s="3">
        <v>1.2999999999999999E-2</v>
      </c>
      <c r="Q11" t="s">
        <v>392</v>
      </c>
      <c r="R11" s="3">
        <v>0.26500000000000001</v>
      </c>
      <c r="S11" s="3">
        <v>8.4000000000000005E-2</v>
      </c>
      <c r="U11" s="3">
        <v>3.2000000000000001E-2</v>
      </c>
    </row>
    <row r="12" spans="1:21" x14ac:dyDescent="0.25">
      <c r="A12" t="s">
        <v>779</v>
      </c>
      <c r="B12" t="s">
        <v>85</v>
      </c>
      <c r="C12" t="s">
        <v>22</v>
      </c>
      <c r="D12" s="4">
        <v>2.79</v>
      </c>
      <c r="E12" s="4">
        <v>3.37</v>
      </c>
      <c r="F12" s="4">
        <v>2.38</v>
      </c>
      <c r="G12" t="s">
        <v>1290</v>
      </c>
      <c r="H12" s="3">
        <v>1</v>
      </c>
      <c r="I12" t="s">
        <v>1440</v>
      </c>
      <c r="J12" t="s">
        <v>1441</v>
      </c>
      <c r="K12" s="3">
        <v>0</v>
      </c>
      <c r="L12" t="s">
        <v>1382</v>
      </c>
      <c r="N12" t="s">
        <v>1442</v>
      </c>
      <c r="O12" s="3">
        <v>2.7189999999999999</v>
      </c>
      <c r="Q12" t="s">
        <v>1443</v>
      </c>
      <c r="R12" s="3">
        <v>9.8000000000000004E-2</v>
      </c>
      <c r="S12" s="3">
        <v>5.5E-2</v>
      </c>
      <c r="T12" s="3">
        <v>0.11600000000000001</v>
      </c>
      <c r="U12" s="3">
        <v>0.122</v>
      </c>
    </row>
    <row r="13" spans="1:21" x14ac:dyDescent="0.25">
      <c r="A13" t="s">
        <v>397</v>
      </c>
      <c r="B13" t="s">
        <v>126</v>
      </c>
      <c r="C13" t="s">
        <v>26</v>
      </c>
      <c r="D13" s="4">
        <v>1.58</v>
      </c>
      <c r="E13" s="4">
        <v>1.615</v>
      </c>
      <c r="F13" s="4">
        <v>1.07</v>
      </c>
      <c r="G13" t="s">
        <v>1444</v>
      </c>
      <c r="H13" s="3">
        <v>0</v>
      </c>
      <c r="I13" t="s">
        <v>398</v>
      </c>
      <c r="J13" t="s">
        <v>399</v>
      </c>
      <c r="K13" s="3">
        <v>3.9E-2</v>
      </c>
      <c r="L13" t="s">
        <v>1439</v>
      </c>
      <c r="N13" t="s">
        <v>400</v>
      </c>
      <c r="O13" s="3">
        <v>0.47099999999999997</v>
      </c>
      <c r="P13" s="3">
        <v>1.4E-2</v>
      </c>
      <c r="Q13" t="s">
        <v>401</v>
      </c>
      <c r="R13" s="3">
        <v>0.88700000000000001</v>
      </c>
      <c r="S13" s="3">
        <v>0.246</v>
      </c>
      <c r="T13" s="3">
        <v>0.40500000000000003</v>
      </c>
      <c r="U13" s="3">
        <v>9.9000000000000005E-2</v>
      </c>
    </row>
    <row r="14" spans="1:21" x14ac:dyDescent="0.25">
      <c r="A14" t="s">
        <v>402</v>
      </c>
      <c r="B14" t="s">
        <v>101</v>
      </c>
      <c r="C14" t="s">
        <v>343</v>
      </c>
      <c r="D14" s="4">
        <v>2.2200000000000002</v>
      </c>
      <c r="E14" s="4">
        <v>2.64</v>
      </c>
      <c r="F14" s="4">
        <v>1.1599999999999999</v>
      </c>
      <c r="G14" t="s">
        <v>1290</v>
      </c>
      <c r="I14" t="s">
        <v>403</v>
      </c>
      <c r="J14" t="s">
        <v>404</v>
      </c>
      <c r="K14" s="3">
        <v>0</v>
      </c>
      <c r="L14" t="s">
        <v>1445</v>
      </c>
      <c r="N14" t="s">
        <v>405</v>
      </c>
      <c r="O14" s="3">
        <v>0.435</v>
      </c>
      <c r="P14" s="3">
        <v>1.0999999999999999E-2</v>
      </c>
      <c r="Q14" t="s">
        <v>406</v>
      </c>
      <c r="R14" s="3">
        <v>1.0389999999999999</v>
      </c>
      <c r="S14" s="3">
        <v>1.2090000000000001</v>
      </c>
      <c r="U14" s="3">
        <v>1.337</v>
      </c>
    </row>
    <row r="15" spans="1:21" x14ac:dyDescent="0.25">
      <c r="A15" t="s">
        <v>407</v>
      </c>
      <c r="B15" t="s">
        <v>127</v>
      </c>
      <c r="C15" t="s">
        <v>24</v>
      </c>
      <c r="D15" s="4">
        <v>2.91</v>
      </c>
      <c r="E15" s="4">
        <v>3.22</v>
      </c>
      <c r="F15" s="4">
        <v>1.86</v>
      </c>
      <c r="G15" t="s">
        <v>349</v>
      </c>
      <c r="H15" s="3">
        <v>1</v>
      </c>
      <c r="I15" t="s">
        <v>408</v>
      </c>
      <c r="J15" t="s">
        <v>409</v>
      </c>
      <c r="K15" s="3">
        <v>6.2E-2</v>
      </c>
      <c r="L15" t="s">
        <v>429</v>
      </c>
      <c r="M15" t="s">
        <v>1446</v>
      </c>
      <c r="N15" t="s">
        <v>410</v>
      </c>
      <c r="O15" s="3">
        <v>1.2929999999999999</v>
      </c>
      <c r="P15" s="3">
        <v>1.4E-2</v>
      </c>
      <c r="Q15" t="s">
        <v>411</v>
      </c>
      <c r="R15" s="3">
        <v>4.2999999999999997E-2</v>
      </c>
      <c r="S15" s="3">
        <v>0.14000000000000001</v>
      </c>
      <c r="T15" s="3">
        <v>2.5999999999999999E-2</v>
      </c>
      <c r="U15" s="3">
        <v>0.20699999999999999</v>
      </c>
    </row>
    <row r="16" spans="1:21" x14ac:dyDescent="0.25">
      <c r="A16" t="s">
        <v>412</v>
      </c>
      <c r="B16" t="s">
        <v>128</v>
      </c>
      <c r="C16" t="s">
        <v>24</v>
      </c>
      <c r="D16" s="4">
        <v>1.76</v>
      </c>
      <c r="E16" s="4">
        <v>1.82</v>
      </c>
      <c r="F16" s="4">
        <v>1.085</v>
      </c>
      <c r="G16" t="s">
        <v>1316</v>
      </c>
      <c r="H16" s="3">
        <v>1</v>
      </c>
      <c r="I16" t="s">
        <v>414</v>
      </c>
      <c r="J16" t="s">
        <v>415</v>
      </c>
      <c r="K16" s="3">
        <v>0.03</v>
      </c>
      <c r="L16" t="s">
        <v>404</v>
      </c>
      <c r="M16" t="s">
        <v>440</v>
      </c>
      <c r="N16" t="s">
        <v>416</v>
      </c>
      <c r="O16" s="3">
        <v>1.2809999999999999</v>
      </c>
      <c r="P16" s="3">
        <v>7.0000000000000001E-3</v>
      </c>
      <c r="Q16" t="s">
        <v>417</v>
      </c>
      <c r="R16" s="3">
        <v>5.8000000000000003E-2</v>
      </c>
      <c r="S16" s="3">
        <v>8.1000000000000003E-2</v>
      </c>
      <c r="U16" s="3">
        <v>4.9000000000000002E-2</v>
      </c>
    </row>
    <row r="17" spans="1:21" x14ac:dyDescent="0.25">
      <c r="A17" t="s">
        <v>418</v>
      </c>
      <c r="B17" t="s">
        <v>97</v>
      </c>
      <c r="C17" t="s">
        <v>348</v>
      </c>
      <c r="D17" s="4">
        <v>2.65</v>
      </c>
      <c r="E17" s="4">
        <v>3.02</v>
      </c>
      <c r="F17" s="4">
        <v>1.44</v>
      </c>
      <c r="G17" t="s">
        <v>1294</v>
      </c>
      <c r="H17" s="3">
        <v>1</v>
      </c>
      <c r="I17" t="s">
        <v>419</v>
      </c>
      <c r="J17" t="s">
        <v>420</v>
      </c>
      <c r="K17" s="3">
        <v>5.2999999999999999E-2</v>
      </c>
      <c r="L17" t="s">
        <v>1317</v>
      </c>
      <c r="M17" t="s">
        <v>1447</v>
      </c>
      <c r="N17" t="s">
        <v>421</v>
      </c>
      <c r="O17" s="3">
        <v>0.11899999999999999</v>
      </c>
      <c r="P17" s="3">
        <v>1.7000000000000001E-2</v>
      </c>
      <c r="Q17" t="s">
        <v>422</v>
      </c>
      <c r="R17" s="3">
        <v>0.01</v>
      </c>
      <c r="S17" s="3">
        <v>5.7000000000000002E-2</v>
      </c>
      <c r="T17" s="3">
        <v>-0.36099999999999999</v>
      </c>
      <c r="U17" s="3">
        <v>2.7E-2</v>
      </c>
    </row>
    <row r="18" spans="1:21" x14ac:dyDescent="0.25">
      <c r="A18" t="s">
        <v>423</v>
      </c>
      <c r="B18" t="s">
        <v>129</v>
      </c>
      <c r="C18" t="s">
        <v>21</v>
      </c>
      <c r="D18" s="4">
        <v>3.63</v>
      </c>
      <c r="E18" s="4">
        <v>4.0999999999999996</v>
      </c>
      <c r="F18" s="4">
        <v>0.58499999999999996</v>
      </c>
      <c r="G18" t="s">
        <v>1448</v>
      </c>
      <c r="I18" t="s">
        <v>424</v>
      </c>
      <c r="K18" s="3">
        <v>0</v>
      </c>
      <c r="L18" t="s">
        <v>1449</v>
      </c>
      <c r="N18" t="s">
        <v>425</v>
      </c>
      <c r="O18" s="3">
        <v>2.9000000000000001E-2</v>
      </c>
      <c r="P18" s="3">
        <v>0.114</v>
      </c>
      <c r="Q18" t="s">
        <v>426</v>
      </c>
      <c r="R18" s="3">
        <v>-2.3E-2</v>
      </c>
      <c r="S18" s="3">
        <v>0.75700000000000001</v>
      </c>
      <c r="U18" s="3">
        <v>-7.0000000000000001E-3</v>
      </c>
    </row>
    <row r="19" spans="1:21" x14ac:dyDescent="0.25">
      <c r="A19" t="s">
        <v>427</v>
      </c>
      <c r="B19" t="s">
        <v>130</v>
      </c>
      <c r="C19" t="s">
        <v>22</v>
      </c>
      <c r="D19" s="4">
        <v>1.89</v>
      </c>
      <c r="E19" s="4">
        <v>1.9750000000000001</v>
      </c>
      <c r="F19" s="4">
        <v>1.125</v>
      </c>
      <c r="G19" t="s">
        <v>1295</v>
      </c>
      <c r="H19" s="3">
        <v>1</v>
      </c>
      <c r="I19" t="s">
        <v>428</v>
      </c>
      <c r="J19" t="s">
        <v>1293</v>
      </c>
      <c r="K19" s="3">
        <v>0.06</v>
      </c>
      <c r="L19" t="s">
        <v>429</v>
      </c>
      <c r="M19" t="s">
        <v>430</v>
      </c>
      <c r="N19" t="s">
        <v>431</v>
      </c>
      <c r="O19" s="3">
        <v>19.247</v>
      </c>
      <c r="Q19" t="s">
        <v>432</v>
      </c>
      <c r="R19" s="3">
        <v>6.2E-2</v>
      </c>
      <c r="S19" s="3">
        <v>0.27</v>
      </c>
      <c r="T19" s="3">
        <v>-0.10299999999999999</v>
      </c>
      <c r="U19" s="3">
        <v>0.11799999999999999</v>
      </c>
    </row>
    <row r="20" spans="1:21" x14ac:dyDescent="0.25">
      <c r="A20" t="s">
        <v>433</v>
      </c>
      <c r="B20" t="s">
        <v>131</v>
      </c>
      <c r="C20" t="s">
        <v>21</v>
      </c>
      <c r="D20" s="4">
        <v>0.52</v>
      </c>
      <c r="E20" s="4">
        <v>0.57999999999999996</v>
      </c>
      <c r="F20" s="4">
        <v>0.46</v>
      </c>
      <c r="G20" t="s">
        <v>1292</v>
      </c>
      <c r="H20" s="3">
        <v>0</v>
      </c>
      <c r="I20" t="s">
        <v>434</v>
      </c>
      <c r="J20" t="s">
        <v>435</v>
      </c>
      <c r="K20" s="3">
        <v>4.1000000000000002E-2</v>
      </c>
      <c r="L20" t="s">
        <v>430</v>
      </c>
      <c r="N20" t="s">
        <v>436</v>
      </c>
      <c r="O20" s="3">
        <v>1.446</v>
      </c>
      <c r="P20" s="3">
        <v>8.0000000000000002E-3</v>
      </c>
      <c r="Q20" t="s">
        <v>437</v>
      </c>
      <c r="R20" s="3">
        <v>1.7999999999999999E-2</v>
      </c>
      <c r="S20" s="3">
        <v>0.38900000000000001</v>
      </c>
      <c r="U20" s="3">
        <v>6.0999999999999999E-2</v>
      </c>
    </row>
    <row r="21" spans="1:21" x14ac:dyDescent="0.25">
      <c r="A21" t="s">
        <v>438</v>
      </c>
      <c r="B21" t="s">
        <v>132</v>
      </c>
      <c r="C21" t="s">
        <v>26</v>
      </c>
      <c r="D21" s="4">
        <v>6</v>
      </c>
      <c r="E21" s="4">
        <v>6.08</v>
      </c>
      <c r="F21" s="4">
        <v>3.91</v>
      </c>
      <c r="G21" t="s">
        <v>1290</v>
      </c>
      <c r="H21" s="3">
        <v>0.1</v>
      </c>
      <c r="I21" t="s">
        <v>439</v>
      </c>
      <c r="J21" t="s">
        <v>440</v>
      </c>
      <c r="K21" s="3">
        <v>4.4999999999999998E-2</v>
      </c>
      <c r="L21" t="s">
        <v>1450</v>
      </c>
      <c r="M21" t="s">
        <v>1451</v>
      </c>
      <c r="N21" t="s">
        <v>441</v>
      </c>
      <c r="O21" s="3">
        <v>1.577</v>
      </c>
      <c r="P21" s="3">
        <v>8.9999999999999993E-3</v>
      </c>
      <c r="Q21" t="s">
        <v>442</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3"/>
  <sheetViews>
    <sheetView workbookViewId="0">
      <selection activeCell="E48" sqref="E48"/>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29" x14ac:dyDescent="0.25">
      <c r="A1" s="1" t="s">
        <v>40</v>
      </c>
      <c r="B1" s="1" t="s">
        <v>1</v>
      </c>
      <c r="C1" s="1" t="s">
        <v>1429</v>
      </c>
      <c r="D1" s="1" t="s">
        <v>28</v>
      </c>
      <c r="E1" s="1" t="s">
        <v>29</v>
      </c>
      <c r="F1" s="1" t="s">
        <v>30</v>
      </c>
      <c r="G1" s="1" t="s">
        <v>31</v>
      </c>
      <c r="H1" s="1" t="s">
        <v>32</v>
      </c>
      <c r="I1" s="1" t="s">
        <v>0</v>
      </c>
      <c r="J1" s="1" t="s">
        <v>2</v>
      </c>
      <c r="K1" s="1" t="s">
        <v>3</v>
      </c>
      <c r="L1" s="1" t="s">
        <v>1430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7">
        <v>45856</v>
      </c>
      <c r="B2" s="18" t="s">
        <v>85</v>
      </c>
      <c r="C2" s="18">
        <v>3.23</v>
      </c>
      <c r="D2" s="18" t="s">
        <v>1306</v>
      </c>
      <c r="E2" t="s">
        <v>1312</v>
      </c>
      <c r="F2">
        <v>2.7799999713897701</v>
      </c>
      <c r="G2" t="s">
        <v>1309</v>
      </c>
      <c r="H2" t="s">
        <v>1307</v>
      </c>
      <c r="I2" t="s">
        <v>779</v>
      </c>
      <c r="J2" t="s">
        <v>22</v>
      </c>
      <c r="K2" s="4">
        <v>2.79</v>
      </c>
      <c r="L2" s="18">
        <f t="shared" ref="L2:L4" si="0">(K2/C2-1)*100</f>
        <v>-13.622291021671828</v>
      </c>
      <c r="M2" s="4">
        <v>3.37</v>
      </c>
      <c r="N2" s="4">
        <v>2.38</v>
      </c>
      <c r="O2" t="s">
        <v>1290</v>
      </c>
      <c r="P2" s="3">
        <v>1</v>
      </c>
      <c r="Q2" t="s">
        <v>1440</v>
      </c>
      <c r="R2" t="s">
        <v>1441</v>
      </c>
      <c r="S2" s="3">
        <v>0</v>
      </c>
      <c r="T2" t="s">
        <v>1382</v>
      </c>
      <c r="V2" t="s">
        <v>1442</v>
      </c>
      <c r="W2" s="3">
        <v>2.7189999999999999</v>
      </c>
      <c r="Y2" t="s">
        <v>1443</v>
      </c>
      <c r="Z2" s="3">
        <v>9.8000000000000004E-2</v>
      </c>
      <c r="AA2" s="3">
        <v>5.5E-2</v>
      </c>
      <c r="AB2" s="3">
        <v>0.11600000000000001</v>
      </c>
      <c r="AC2" s="3">
        <v>0.122</v>
      </c>
    </row>
    <row r="3" spans="1:29" x14ac:dyDescent="0.25">
      <c r="A3" s="17">
        <v>45856</v>
      </c>
      <c r="B3" t="s">
        <v>125</v>
      </c>
      <c r="C3" s="18">
        <v>1.2649999999999999</v>
      </c>
      <c r="D3" s="18" t="s">
        <v>1305</v>
      </c>
      <c r="E3" t="s">
        <v>1312</v>
      </c>
      <c r="F3" s="18">
        <v>1.37</v>
      </c>
      <c r="G3" s="16" t="s">
        <v>1428</v>
      </c>
      <c r="H3" t="s">
        <v>1307</v>
      </c>
      <c r="I3" t="s">
        <v>393</v>
      </c>
      <c r="J3" t="s">
        <v>369</v>
      </c>
      <c r="K3" s="4">
        <v>1.2649999999999999</v>
      </c>
      <c r="L3">
        <f>(K3/C3-1)*100</f>
        <v>0</v>
      </c>
      <c r="M3" s="4">
        <v>1.855</v>
      </c>
      <c r="N3" s="4">
        <v>0.46</v>
      </c>
      <c r="O3" t="s">
        <v>349</v>
      </c>
      <c r="Q3" t="s">
        <v>394</v>
      </c>
      <c r="S3" s="3">
        <v>0</v>
      </c>
      <c r="T3" t="s">
        <v>1427</v>
      </c>
      <c r="V3" t="s">
        <v>395</v>
      </c>
      <c r="X3" s="3">
        <v>7.8E-2</v>
      </c>
      <c r="Y3" t="s">
        <v>396</v>
      </c>
      <c r="Z3" s="3">
        <v>-30.948</v>
      </c>
      <c r="AA3" s="3">
        <v>0.113</v>
      </c>
    </row>
    <row r="4" spans="1:29" x14ac:dyDescent="0.25">
      <c r="A4" s="2">
        <v>45793</v>
      </c>
      <c r="B4" t="s">
        <v>115</v>
      </c>
      <c r="C4">
        <v>3.26</v>
      </c>
      <c r="D4" t="s">
        <v>1306</v>
      </c>
      <c r="E4" t="s">
        <v>1312</v>
      </c>
      <c r="F4">
        <v>2.8099999427795401</v>
      </c>
      <c r="G4" t="s">
        <v>1309</v>
      </c>
      <c r="H4" t="s">
        <v>1307</v>
      </c>
      <c r="I4" t="s">
        <v>342</v>
      </c>
      <c r="J4" t="s">
        <v>343</v>
      </c>
      <c r="K4" s="4">
        <v>3.55</v>
      </c>
      <c r="L4">
        <f t="shared" si="0"/>
        <v>8.8957055214723866</v>
      </c>
      <c r="M4" s="4">
        <v>4.05</v>
      </c>
      <c r="N4" s="4">
        <v>1.325</v>
      </c>
      <c r="O4" t="s">
        <v>1363</v>
      </c>
      <c r="Q4" t="s">
        <v>344</v>
      </c>
      <c r="S4" s="3">
        <v>0</v>
      </c>
      <c r="T4" t="s">
        <v>1431</v>
      </c>
      <c r="V4" t="s">
        <v>345</v>
      </c>
      <c r="W4" s="3">
        <v>0.151</v>
      </c>
      <c r="X4" s="3">
        <v>1.4999999999999999E-2</v>
      </c>
      <c r="Y4" t="s">
        <v>346</v>
      </c>
      <c r="Z4" s="3">
        <v>-9.2999999999999999E-2</v>
      </c>
      <c r="AA4" s="3">
        <v>0.377</v>
      </c>
      <c r="AC4" s="3">
        <v>-6.9000000000000006E-2</v>
      </c>
    </row>
    <row r="5" spans="1:29" x14ac:dyDescent="0.25">
      <c r="A5" s="2">
        <v>45786</v>
      </c>
      <c r="B5" t="s">
        <v>116</v>
      </c>
      <c r="C5">
        <v>2.04</v>
      </c>
      <c r="D5" t="s">
        <v>1306</v>
      </c>
      <c r="E5" t="s">
        <v>1312</v>
      </c>
      <c r="F5">
        <v>1.9750000238418499</v>
      </c>
      <c r="G5" t="s">
        <v>1309</v>
      </c>
      <c r="H5" t="s">
        <v>1307</v>
      </c>
      <c r="I5" t="s">
        <v>347</v>
      </c>
      <c r="J5" t="s">
        <v>348</v>
      </c>
      <c r="K5" s="4">
        <v>2.57</v>
      </c>
      <c r="L5">
        <f t="shared" ref="L5:L43" si="1">(K5/C5-1)*100</f>
        <v>25.980392156862742</v>
      </c>
      <c r="M5" s="4">
        <v>2.6</v>
      </c>
      <c r="N5" s="4">
        <v>1.58</v>
      </c>
      <c r="O5" t="s">
        <v>374</v>
      </c>
      <c r="P5" s="3">
        <v>1</v>
      </c>
      <c r="Q5" t="s">
        <v>350</v>
      </c>
      <c r="R5" t="s">
        <v>351</v>
      </c>
      <c r="S5" s="3">
        <v>4.4999999999999998E-2</v>
      </c>
      <c r="T5" t="s">
        <v>352</v>
      </c>
      <c r="U5" t="s">
        <v>1432</v>
      </c>
      <c r="V5" t="s">
        <v>353</v>
      </c>
      <c r="W5" s="3">
        <v>2.2010000000000001</v>
      </c>
      <c r="X5" s="3">
        <v>7.0000000000000001E-3</v>
      </c>
      <c r="Y5" t="s">
        <v>354</v>
      </c>
      <c r="Z5" s="3">
        <v>1.4E-2</v>
      </c>
      <c r="AA5" s="3">
        <v>0.10199999999999999</v>
      </c>
      <c r="AB5" s="3">
        <v>0.13300000000000001</v>
      </c>
      <c r="AC5" s="3">
        <v>7.3999999999999996E-2</v>
      </c>
    </row>
    <row r="6" spans="1:29" x14ac:dyDescent="0.25">
      <c r="A6" s="2">
        <v>45786</v>
      </c>
      <c r="B6" t="s">
        <v>117</v>
      </c>
      <c r="C6">
        <v>2.59</v>
      </c>
      <c r="D6" t="s">
        <v>1306</v>
      </c>
      <c r="E6" t="s">
        <v>1312</v>
      </c>
      <c r="F6">
        <v>2.46000003814697</v>
      </c>
      <c r="G6" t="s">
        <v>1309</v>
      </c>
      <c r="H6" t="s">
        <v>1307</v>
      </c>
      <c r="I6" t="s">
        <v>355</v>
      </c>
      <c r="J6" t="s">
        <v>24</v>
      </c>
      <c r="K6" s="4">
        <v>3.35</v>
      </c>
      <c r="L6">
        <f t="shared" si="1"/>
        <v>29.343629343629352</v>
      </c>
      <c r="M6" s="4">
        <v>3.38</v>
      </c>
      <c r="N6" s="4">
        <v>1.45</v>
      </c>
      <c r="O6" t="s">
        <v>1433</v>
      </c>
      <c r="P6" s="3">
        <v>1</v>
      </c>
      <c r="Q6" t="s">
        <v>356</v>
      </c>
      <c r="S6" s="3">
        <v>0</v>
      </c>
      <c r="T6" t="s">
        <v>1383</v>
      </c>
      <c r="U6" t="s">
        <v>1434</v>
      </c>
      <c r="V6" t="s">
        <v>357</v>
      </c>
      <c r="W6" s="3">
        <v>0.14599999999999999</v>
      </c>
      <c r="X6" s="3">
        <v>8.9999999999999993E-3</v>
      </c>
      <c r="Y6" t="s">
        <v>358</v>
      </c>
      <c r="Z6" s="3">
        <v>-8.0000000000000002E-3</v>
      </c>
      <c r="AA6" s="3">
        <v>0.63800000000000001</v>
      </c>
      <c r="AC6" s="3">
        <v>-0.01</v>
      </c>
    </row>
    <row r="7" spans="1:29" x14ac:dyDescent="0.25">
      <c r="A7" s="2">
        <v>45786</v>
      </c>
      <c r="B7" t="s">
        <v>118</v>
      </c>
      <c r="C7">
        <v>1.2549999999999999</v>
      </c>
      <c r="D7" t="s">
        <v>1306</v>
      </c>
      <c r="E7" t="s">
        <v>1312</v>
      </c>
      <c r="F7">
        <v>1.1150778532028101</v>
      </c>
      <c r="G7" t="s">
        <v>1309</v>
      </c>
      <c r="H7" t="s">
        <v>1307</v>
      </c>
      <c r="I7" t="s">
        <v>359</v>
      </c>
      <c r="J7" t="s">
        <v>26</v>
      </c>
      <c r="K7" s="4">
        <v>1.26</v>
      </c>
      <c r="L7">
        <f t="shared" si="1"/>
        <v>0.39840637450199168</v>
      </c>
      <c r="M7" s="4">
        <v>1.2749999999999999</v>
      </c>
      <c r="N7" s="4">
        <v>1.03</v>
      </c>
      <c r="O7" t="s">
        <v>1295</v>
      </c>
      <c r="P7" s="3">
        <v>0</v>
      </c>
      <c r="Q7" t="s">
        <v>360</v>
      </c>
      <c r="S7" s="3">
        <v>0.08</v>
      </c>
      <c r="T7" t="s">
        <v>1435</v>
      </c>
      <c r="V7" t="s">
        <v>361</v>
      </c>
      <c r="W7" s="3">
        <v>0.85699999999999998</v>
      </c>
      <c r="X7" s="3">
        <v>7.0000000000000001E-3</v>
      </c>
      <c r="Y7" t="s">
        <v>362</v>
      </c>
      <c r="Z7" s="3">
        <v>-0.59899999999999998</v>
      </c>
      <c r="AA7" s="3">
        <v>-2E-3</v>
      </c>
      <c r="AC7" s="3">
        <v>-8.2000000000000003E-2</v>
      </c>
    </row>
    <row r="8" spans="1:29" x14ac:dyDescent="0.25">
      <c r="A8" s="2">
        <v>45786</v>
      </c>
      <c r="B8" t="s">
        <v>119</v>
      </c>
      <c r="C8">
        <v>1.7350000000000001</v>
      </c>
      <c r="D8" t="s">
        <v>1306</v>
      </c>
      <c r="E8" t="s">
        <v>1312</v>
      </c>
      <c r="F8">
        <v>1.5199999809265099</v>
      </c>
      <c r="G8" t="s">
        <v>1309</v>
      </c>
      <c r="H8" t="s">
        <v>1307</v>
      </c>
      <c r="I8" t="s">
        <v>363</v>
      </c>
      <c r="J8" t="s">
        <v>22</v>
      </c>
      <c r="K8" s="4">
        <v>1.6</v>
      </c>
      <c r="L8">
        <f t="shared" si="1"/>
        <v>-7.7809798270893404</v>
      </c>
      <c r="M8" s="4">
        <v>1.81</v>
      </c>
      <c r="N8" s="4">
        <v>0.97499999999999998</v>
      </c>
      <c r="O8" t="s">
        <v>364</v>
      </c>
      <c r="P8" s="3">
        <v>1</v>
      </c>
      <c r="Q8" t="s">
        <v>365</v>
      </c>
      <c r="R8" t="s">
        <v>23</v>
      </c>
      <c r="S8" s="3">
        <v>6.9000000000000006E-2</v>
      </c>
      <c r="T8" t="s">
        <v>1426</v>
      </c>
      <c r="V8" t="s">
        <v>366</v>
      </c>
      <c r="W8" s="3">
        <v>1.6830000000000001</v>
      </c>
      <c r="Y8" t="s">
        <v>367</v>
      </c>
      <c r="Z8" s="3">
        <v>9.6000000000000002E-2</v>
      </c>
      <c r="AA8" s="3">
        <v>0.14199999999999999</v>
      </c>
      <c r="AB8" s="3">
        <v>-0.25600000000000001</v>
      </c>
      <c r="AC8" s="3">
        <v>5.6000000000000001E-2</v>
      </c>
    </row>
    <row r="9" spans="1:29" x14ac:dyDescent="0.25">
      <c r="A9" s="2">
        <v>45786</v>
      </c>
      <c r="B9" t="s">
        <v>120</v>
      </c>
      <c r="C9">
        <v>0.755</v>
      </c>
      <c r="D9" t="s">
        <v>1306</v>
      </c>
      <c r="E9" t="s">
        <v>1312</v>
      </c>
      <c r="F9">
        <v>0.5</v>
      </c>
      <c r="G9" t="s">
        <v>1309</v>
      </c>
      <c r="H9" t="s">
        <v>1307</v>
      </c>
      <c r="I9" t="s">
        <v>368</v>
      </c>
      <c r="J9" t="s">
        <v>369</v>
      </c>
      <c r="K9" s="4">
        <v>0.48</v>
      </c>
      <c r="L9">
        <f t="shared" si="1"/>
        <v>-36.423841059602644</v>
      </c>
      <c r="M9" s="4">
        <v>0.78500000000000003</v>
      </c>
      <c r="N9" s="4">
        <v>0.3</v>
      </c>
      <c r="O9" t="s">
        <v>364</v>
      </c>
      <c r="Q9" t="s">
        <v>370</v>
      </c>
      <c r="S9" s="3">
        <v>0</v>
      </c>
      <c r="T9" t="s">
        <v>1436</v>
      </c>
      <c r="V9" t="s">
        <v>371</v>
      </c>
      <c r="W9" s="3">
        <v>2.1999999999999999E-2</v>
      </c>
      <c r="X9" s="3">
        <v>4.8000000000000001E-2</v>
      </c>
      <c r="Y9" t="s">
        <v>372</v>
      </c>
      <c r="Z9" s="3">
        <v>-26.218</v>
      </c>
      <c r="AA9" s="3">
        <v>6.2839999999999998</v>
      </c>
      <c r="AC9" s="3">
        <v>-5.2469999999999999</v>
      </c>
    </row>
    <row r="10" spans="1:29" x14ac:dyDescent="0.25">
      <c r="A10" s="2">
        <v>45786</v>
      </c>
      <c r="B10" t="s">
        <v>121</v>
      </c>
      <c r="C10">
        <v>1.865</v>
      </c>
      <c r="D10" t="s">
        <v>1306</v>
      </c>
      <c r="E10" t="s">
        <v>1312</v>
      </c>
      <c r="F10">
        <v>1.8450000286102199</v>
      </c>
      <c r="G10" t="s">
        <v>1309</v>
      </c>
      <c r="H10" t="s">
        <v>1307</v>
      </c>
      <c r="I10" t="s">
        <v>373</v>
      </c>
      <c r="J10" t="s">
        <v>22</v>
      </c>
      <c r="K10" s="4">
        <v>2.21</v>
      </c>
      <c r="L10">
        <f t="shared" si="1"/>
        <v>18.498659517426262</v>
      </c>
      <c r="M10" s="4">
        <v>2.2999999999999998</v>
      </c>
      <c r="N10" s="4">
        <v>1.39</v>
      </c>
      <c r="O10" t="s">
        <v>1290</v>
      </c>
      <c r="P10" s="3">
        <v>1</v>
      </c>
      <c r="Q10" t="s">
        <v>375</v>
      </c>
      <c r="R10" t="s">
        <v>376</v>
      </c>
      <c r="S10" s="3">
        <v>3.5000000000000003E-2</v>
      </c>
      <c r="T10" t="s">
        <v>1291</v>
      </c>
      <c r="V10" t="s">
        <v>377</v>
      </c>
      <c r="W10" s="3">
        <v>24.238</v>
      </c>
      <c r="Y10" t="s">
        <v>378</v>
      </c>
      <c r="Z10" s="3">
        <v>3.5000000000000003E-2</v>
      </c>
      <c r="AA10" s="3">
        <v>5.8000000000000003E-2</v>
      </c>
      <c r="AB10" s="3">
        <v>-0.17599999999999999</v>
      </c>
      <c r="AC10" s="3">
        <v>0.15</v>
      </c>
    </row>
    <row r="11" spans="1:29" x14ac:dyDescent="0.25">
      <c r="A11" s="2">
        <v>45786</v>
      </c>
      <c r="B11" t="s">
        <v>122</v>
      </c>
      <c r="C11">
        <v>7.29</v>
      </c>
      <c r="D11" t="s">
        <v>1306</v>
      </c>
      <c r="E11" t="s">
        <v>1312</v>
      </c>
      <c r="F11">
        <v>7.0100002288818297</v>
      </c>
      <c r="G11" t="s">
        <v>1309</v>
      </c>
      <c r="H11" t="s">
        <v>1307</v>
      </c>
      <c r="I11" t="s">
        <v>379</v>
      </c>
      <c r="J11" t="s">
        <v>369</v>
      </c>
      <c r="K11" s="4">
        <v>8.4499999999999993</v>
      </c>
      <c r="L11">
        <f t="shared" si="1"/>
        <v>15.912208504801084</v>
      </c>
      <c r="M11" s="4">
        <v>8.51</v>
      </c>
      <c r="N11" s="4">
        <v>3.75</v>
      </c>
      <c r="O11" t="s">
        <v>1374</v>
      </c>
      <c r="P11" s="3">
        <v>0.6</v>
      </c>
      <c r="Q11" t="s">
        <v>380</v>
      </c>
      <c r="R11" t="s">
        <v>381</v>
      </c>
      <c r="S11" s="3">
        <v>1.7000000000000001E-2</v>
      </c>
      <c r="T11" t="s">
        <v>1437</v>
      </c>
      <c r="U11" t="s">
        <v>1438</v>
      </c>
      <c r="V11" t="s">
        <v>382</v>
      </c>
      <c r="X11" s="3">
        <v>1E-3</v>
      </c>
      <c r="Y11" t="s">
        <v>383</v>
      </c>
      <c r="Z11" s="3">
        <v>1.2999999999999999E-2</v>
      </c>
      <c r="AA11" s="3">
        <v>0.13500000000000001</v>
      </c>
      <c r="AC11" s="3">
        <v>-2.762</v>
      </c>
    </row>
    <row r="12" spans="1:29" x14ac:dyDescent="0.25">
      <c r="A12" s="2">
        <v>45786</v>
      </c>
      <c r="B12" t="s">
        <v>123</v>
      </c>
      <c r="C12">
        <v>3.22</v>
      </c>
      <c r="D12" t="s">
        <v>1306</v>
      </c>
      <c r="E12" t="s">
        <v>1312</v>
      </c>
      <c r="F12">
        <v>3.41000008583068</v>
      </c>
      <c r="G12" t="s">
        <v>1309</v>
      </c>
      <c r="H12" t="s">
        <v>1307</v>
      </c>
      <c r="I12" t="s">
        <v>384</v>
      </c>
      <c r="J12" t="s">
        <v>343</v>
      </c>
      <c r="K12" s="4">
        <v>4.2</v>
      </c>
      <c r="L12">
        <f t="shared" si="1"/>
        <v>30.434782608695656</v>
      </c>
      <c r="M12" s="4">
        <v>5.19</v>
      </c>
      <c r="N12" s="4">
        <v>1.89</v>
      </c>
      <c r="O12" t="s">
        <v>1363</v>
      </c>
      <c r="Q12" t="s">
        <v>385</v>
      </c>
      <c r="S12" s="3">
        <v>0</v>
      </c>
      <c r="T12" t="s">
        <v>1439</v>
      </c>
      <c r="V12" t="s">
        <v>386</v>
      </c>
      <c r="W12" s="3">
        <v>0.44500000000000001</v>
      </c>
      <c r="X12" s="3">
        <v>2.1999999999999999E-2</v>
      </c>
      <c r="Y12" t="s">
        <v>387</v>
      </c>
      <c r="Z12" s="3">
        <v>-3.4000000000000002E-2</v>
      </c>
      <c r="AA12" s="3">
        <v>22.808</v>
      </c>
      <c r="AC12" s="3">
        <v>-0.02</v>
      </c>
    </row>
    <row r="13" spans="1:29" x14ac:dyDescent="0.25">
      <c r="A13" s="2">
        <v>45786</v>
      </c>
      <c r="B13" t="s">
        <v>124</v>
      </c>
      <c r="C13">
        <v>0.67500000000000004</v>
      </c>
      <c r="D13" t="s">
        <v>1306</v>
      </c>
      <c r="E13" t="s">
        <v>1312</v>
      </c>
      <c r="F13">
        <v>0.63999998569488503</v>
      </c>
      <c r="G13" t="s">
        <v>1309</v>
      </c>
      <c r="H13" t="s">
        <v>1307</v>
      </c>
      <c r="I13" t="s">
        <v>388</v>
      </c>
      <c r="J13" t="s">
        <v>26</v>
      </c>
      <c r="K13" s="4">
        <v>0.67</v>
      </c>
      <c r="L13">
        <f t="shared" si="1"/>
        <v>-0.74074074074074181</v>
      </c>
      <c r="M13" s="4">
        <v>0.69</v>
      </c>
      <c r="N13" s="4">
        <v>0.53500000000000003</v>
      </c>
      <c r="O13" t="s">
        <v>349</v>
      </c>
      <c r="P13" s="3">
        <v>0</v>
      </c>
      <c r="Q13" t="s">
        <v>389</v>
      </c>
      <c r="R13" t="s">
        <v>390</v>
      </c>
      <c r="S13" s="3">
        <v>7.4999999999999997E-2</v>
      </c>
      <c r="T13" t="s">
        <v>1425</v>
      </c>
      <c r="V13" t="s">
        <v>391</v>
      </c>
      <c r="W13" s="3">
        <v>0.59899999999999998</v>
      </c>
      <c r="X13" s="3">
        <v>1.2999999999999999E-2</v>
      </c>
      <c r="Y13" t="s">
        <v>392</v>
      </c>
      <c r="Z13" s="3">
        <v>0.26500000000000001</v>
      </c>
      <c r="AA13" s="3">
        <v>8.4000000000000005E-2</v>
      </c>
      <c r="AC13" s="3">
        <v>3.2000000000000001E-2</v>
      </c>
    </row>
    <row r="14" spans="1:29" x14ac:dyDescent="0.25">
      <c r="A14" s="2">
        <v>45786</v>
      </c>
      <c r="B14" t="s">
        <v>125</v>
      </c>
      <c r="C14">
        <v>1.7649999999999999</v>
      </c>
      <c r="D14" t="s">
        <v>1306</v>
      </c>
      <c r="E14" t="s">
        <v>1312</v>
      </c>
      <c r="F14" s="5">
        <v>1.1449999809265099</v>
      </c>
      <c r="G14" t="s">
        <v>1309</v>
      </c>
      <c r="H14" t="s">
        <v>1307</v>
      </c>
      <c r="I14" t="s">
        <v>393</v>
      </c>
      <c r="J14" t="s">
        <v>369</v>
      </c>
      <c r="K14" s="4">
        <v>1.26</v>
      </c>
      <c r="L14">
        <f t="shared" si="1"/>
        <v>-28.611898016997163</v>
      </c>
      <c r="M14" s="4">
        <v>1.855</v>
      </c>
      <c r="N14" s="4">
        <v>0.46</v>
      </c>
      <c r="O14" t="s">
        <v>349</v>
      </c>
      <c r="Q14" t="s">
        <v>394</v>
      </c>
      <c r="S14" s="3">
        <v>0</v>
      </c>
      <c r="T14" t="s">
        <v>1427</v>
      </c>
      <c r="V14" t="s">
        <v>395</v>
      </c>
      <c r="X14" s="3">
        <v>7.8E-2</v>
      </c>
      <c r="Y14" t="s">
        <v>396</v>
      </c>
      <c r="Z14" s="3">
        <v>-30.948</v>
      </c>
      <c r="AA14" s="3">
        <v>0.113</v>
      </c>
    </row>
    <row r="15" spans="1:29" x14ac:dyDescent="0.25">
      <c r="A15" s="2">
        <v>45786</v>
      </c>
      <c r="B15" t="s">
        <v>126</v>
      </c>
      <c r="C15">
        <v>1.51</v>
      </c>
      <c r="D15" t="s">
        <v>1306</v>
      </c>
      <c r="E15" t="s">
        <v>1312</v>
      </c>
      <c r="F15">
        <v>1.44550001621246</v>
      </c>
      <c r="G15" t="s">
        <v>1309</v>
      </c>
      <c r="H15" t="s">
        <v>1307</v>
      </c>
      <c r="I15" t="s">
        <v>397</v>
      </c>
      <c r="J15" t="s">
        <v>26</v>
      </c>
      <c r="K15" s="4">
        <v>1.58</v>
      </c>
      <c r="L15">
        <f t="shared" si="1"/>
        <v>4.635761589403975</v>
      </c>
      <c r="M15" s="4">
        <v>1.615</v>
      </c>
      <c r="N15" s="4">
        <v>1.07</v>
      </c>
      <c r="O15" t="s">
        <v>1444</v>
      </c>
      <c r="P15" s="3">
        <v>0</v>
      </c>
      <c r="Q15" t="s">
        <v>398</v>
      </c>
      <c r="R15" t="s">
        <v>399</v>
      </c>
      <c r="S15" s="3">
        <v>3.9E-2</v>
      </c>
      <c r="T15" t="s">
        <v>1439</v>
      </c>
      <c r="V15" t="s">
        <v>400</v>
      </c>
      <c r="W15" s="3">
        <v>0.47099999999999997</v>
      </c>
      <c r="X15" s="3">
        <v>1.4E-2</v>
      </c>
      <c r="Y15" t="s">
        <v>401</v>
      </c>
      <c r="Z15" s="3">
        <v>0.88700000000000001</v>
      </c>
      <c r="AA15" s="3">
        <v>0.246</v>
      </c>
      <c r="AB15" s="3">
        <v>0.40500000000000003</v>
      </c>
      <c r="AC15" s="3">
        <v>9.9000000000000005E-2</v>
      </c>
    </row>
    <row r="16" spans="1:29" x14ac:dyDescent="0.25">
      <c r="A16" s="2">
        <v>45786</v>
      </c>
      <c r="B16" t="s">
        <v>101</v>
      </c>
      <c r="C16">
        <v>1.78</v>
      </c>
      <c r="D16" t="s">
        <v>1306</v>
      </c>
      <c r="E16" t="s">
        <v>1312</v>
      </c>
      <c r="F16">
        <v>1.8049999475479099</v>
      </c>
      <c r="G16" t="s">
        <v>1309</v>
      </c>
      <c r="H16" t="s">
        <v>1307</v>
      </c>
      <c r="I16" t="s">
        <v>402</v>
      </c>
      <c r="J16" t="s">
        <v>343</v>
      </c>
      <c r="K16" s="4">
        <v>2.2200000000000002</v>
      </c>
      <c r="L16">
        <f t="shared" si="1"/>
        <v>24.719101123595522</v>
      </c>
      <c r="M16" s="4">
        <v>2.64</v>
      </c>
      <c r="N16" s="4">
        <v>1.1599999999999999</v>
      </c>
      <c r="O16" t="s">
        <v>1290</v>
      </c>
      <c r="Q16" t="s">
        <v>403</v>
      </c>
      <c r="R16" t="s">
        <v>404</v>
      </c>
      <c r="S16" s="3">
        <v>0</v>
      </c>
      <c r="T16" t="s">
        <v>1445</v>
      </c>
      <c r="V16" t="s">
        <v>405</v>
      </c>
      <c r="W16" s="3">
        <v>0.435</v>
      </c>
      <c r="X16" s="3">
        <v>1.0999999999999999E-2</v>
      </c>
      <c r="Y16" t="s">
        <v>406</v>
      </c>
      <c r="Z16" s="3">
        <v>1.0389999999999999</v>
      </c>
      <c r="AA16" s="3">
        <v>1.2090000000000001</v>
      </c>
      <c r="AC16" s="3">
        <v>1.337</v>
      </c>
    </row>
    <row r="17" spans="1:29" x14ac:dyDescent="0.25">
      <c r="A17" s="2">
        <v>45786</v>
      </c>
      <c r="B17" t="s">
        <v>127</v>
      </c>
      <c r="C17">
        <v>2.62</v>
      </c>
      <c r="D17" t="s">
        <v>1306</v>
      </c>
      <c r="E17" t="s">
        <v>1312</v>
      </c>
      <c r="F17">
        <v>2.5</v>
      </c>
      <c r="G17" t="s">
        <v>1309</v>
      </c>
      <c r="H17" t="s">
        <v>1307</v>
      </c>
      <c r="I17" t="s">
        <v>407</v>
      </c>
      <c r="J17" t="s">
        <v>24</v>
      </c>
      <c r="K17" s="4">
        <v>2.91</v>
      </c>
      <c r="L17">
        <f t="shared" si="1"/>
        <v>11.068702290076327</v>
      </c>
      <c r="M17" s="4">
        <v>3.22</v>
      </c>
      <c r="N17" s="4">
        <v>1.86</v>
      </c>
      <c r="O17" t="s">
        <v>349</v>
      </c>
      <c r="P17" s="3">
        <v>1</v>
      </c>
      <c r="Q17" t="s">
        <v>408</v>
      </c>
      <c r="R17" t="s">
        <v>409</v>
      </c>
      <c r="S17" s="3">
        <v>6.2E-2</v>
      </c>
      <c r="T17" t="s">
        <v>429</v>
      </c>
      <c r="U17" t="s">
        <v>1446</v>
      </c>
      <c r="V17" t="s">
        <v>410</v>
      </c>
      <c r="W17" s="3">
        <v>1.2929999999999999</v>
      </c>
      <c r="X17" s="3">
        <v>1.4E-2</v>
      </c>
      <c r="Y17" t="s">
        <v>411</v>
      </c>
      <c r="Z17" s="3">
        <v>4.2999999999999997E-2</v>
      </c>
      <c r="AA17" s="3">
        <v>0.14000000000000001</v>
      </c>
      <c r="AB17" s="3">
        <v>2.5999999999999999E-2</v>
      </c>
      <c r="AC17" s="3">
        <v>0.20699999999999999</v>
      </c>
    </row>
    <row r="18" spans="1:29" x14ac:dyDescent="0.25">
      <c r="A18" s="2">
        <v>45786</v>
      </c>
      <c r="B18" t="s">
        <v>128</v>
      </c>
      <c r="C18">
        <v>1.595</v>
      </c>
      <c r="D18" t="s">
        <v>1306</v>
      </c>
      <c r="E18" t="s">
        <v>1312</v>
      </c>
      <c r="F18">
        <v>1.5950000286102199</v>
      </c>
      <c r="G18" t="s">
        <v>1309</v>
      </c>
      <c r="H18" t="s">
        <v>1307</v>
      </c>
      <c r="I18" t="s">
        <v>412</v>
      </c>
      <c r="J18" t="s">
        <v>24</v>
      </c>
      <c r="K18" s="4">
        <v>1.76</v>
      </c>
      <c r="L18">
        <f t="shared" si="1"/>
        <v>10.344827586206895</v>
      </c>
      <c r="M18" s="4">
        <v>1.82</v>
      </c>
      <c r="N18" s="4">
        <v>1.085</v>
      </c>
      <c r="O18" t="s">
        <v>1316</v>
      </c>
      <c r="P18" s="3">
        <v>1</v>
      </c>
      <c r="Q18" t="s">
        <v>414</v>
      </c>
      <c r="R18" t="s">
        <v>415</v>
      </c>
      <c r="S18" s="3">
        <v>0.03</v>
      </c>
      <c r="T18" t="s">
        <v>404</v>
      </c>
      <c r="U18" t="s">
        <v>440</v>
      </c>
      <c r="V18" t="s">
        <v>416</v>
      </c>
      <c r="W18" s="3">
        <v>1.2809999999999999</v>
      </c>
      <c r="X18" s="3">
        <v>7.0000000000000001E-3</v>
      </c>
      <c r="Y18" t="s">
        <v>417</v>
      </c>
      <c r="Z18" s="3">
        <v>5.8000000000000003E-2</v>
      </c>
      <c r="AA18" s="3">
        <v>8.1000000000000003E-2</v>
      </c>
      <c r="AC18" s="3">
        <v>4.9000000000000002E-2</v>
      </c>
    </row>
    <row r="19" spans="1:29" x14ac:dyDescent="0.25">
      <c r="A19" s="2">
        <v>45786</v>
      </c>
      <c r="B19" t="s">
        <v>97</v>
      </c>
      <c r="C19">
        <v>2.81</v>
      </c>
      <c r="D19" t="s">
        <v>1306</v>
      </c>
      <c r="E19" t="s">
        <v>1312</v>
      </c>
      <c r="F19">
        <v>2.3699998855590798</v>
      </c>
      <c r="G19" t="s">
        <v>1309</v>
      </c>
      <c r="H19" t="s">
        <v>1307</v>
      </c>
      <c r="I19" t="s">
        <v>418</v>
      </c>
      <c r="J19" t="s">
        <v>348</v>
      </c>
      <c r="K19" s="4">
        <v>2.65</v>
      </c>
      <c r="L19">
        <f t="shared" si="1"/>
        <v>-5.6939501779359469</v>
      </c>
      <c r="M19" s="4">
        <v>3.02</v>
      </c>
      <c r="N19" s="4">
        <v>1.44</v>
      </c>
      <c r="O19" t="s">
        <v>1294</v>
      </c>
      <c r="P19" s="3">
        <v>1</v>
      </c>
      <c r="Q19" t="s">
        <v>419</v>
      </c>
      <c r="R19" t="s">
        <v>420</v>
      </c>
      <c r="S19" s="3">
        <v>5.2999999999999999E-2</v>
      </c>
      <c r="T19" t="s">
        <v>1317</v>
      </c>
      <c r="U19" t="s">
        <v>1447</v>
      </c>
      <c r="V19" t="s">
        <v>421</v>
      </c>
      <c r="W19" s="3">
        <v>0.11899999999999999</v>
      </c>
      <c r="X19" s="3">
        <v>1.7000000000000001E-2</v>
      </c>
      <c r="Y19" t="s">
        <v>422</v>
      </c>
      <c r="Z19" s="3">
        <v>0.01</v>
      </c>
      <c r="AA19" s="3">
        <v>5.7000000000000002E-2</v>
      </c>
      <c r="AB19" s="3">
        <v>-0.36099999999999999</v>
      </c>
      <c r="AC19" s="3">
        <v>2.7E-2</v>
      </c>
    </row>
    <row r="20" spans="1:29" x14ac:dyDescent="0.25">
      <c r="A20" s="2">
        <v>45786</v>
      </c>
      <c r="B20" t="s">
        <v>129</v>
      </c>
      <c r="C20">
        <v>1.35</v>
      </c>
      <c r="D20" t="s">
        <v>1306</v>
      </c>
      <c r="E20" t="s">
        <v>1312</v>
      </c>
      <c r="F20">
        <v>1.15999996662139</v>
      </c>
      <c r="G20" t="s">
        <v>1309</v>
      </c>
      <c r="H20" t="s">
        <v>1307</v>
      </c>
      <c r="I20" t="s">
        <v>423</v>
      </c>
      <c r="J20" t="s">
        <v>21</v>
      </c>
      <c r="K20" s="4">
        <v>3.63</v>
      </c>
      <c r="L20">
        <f t="shared" si="1"/>
        <v>168.88888888888886</v>
      </c>
      <c r="M20" s="4">
        <v>4.0999999999999996</v>
      </c>
      <c r="N20" s="4">
        <v>0.58499999999999996</v>
      </c>
      <c r="O20" t="s">
        <v>1448</v>
      </c>
      <c r="Q20" t="s">
        <v>424</v>
      </c>
      <c r="S20" s="3">
        <v>0</v>
      </c>
      <c r="T20" t="s">
        <v>1449</v>
      </c>
      <c r="V20" t="s">
        <v>425</v>
      </c>
      <c r="W20" s="3">
        <v>2.9000000000000001E-2</v>
      </c>
      <c r="X20" s="3">
        <v>0.114</v>
      </c>
      <c r="Y20" t="s">
        <v>426</v>
      </c>
      <c r="Z20" s="3">
        <v>-2.3E-2</v>
      </c>
      <c r="AA20" s="3">
        <v>0.75700000000000001</v>
      </c>
      <c r="AC20" s="3">
        <v>-7.0000000000000001E-3</v>
      </c>
    </row>
    <row r="21" spans="1:29" x14ac:dyDescent="0.25">
      <c r="A21" s="2">
        <v>45702</v>
      </c>
      <c r="B21" t="s">
        <v>130</v>
      </c>
      <c r="C21">
        <v>1.57</v>
      </c>
      <c r="D21" t="s">
        <v>1306</v>
      </c>
      <c r="E21" t="s">
        <v>1312</v>
      </c>
      <c r="F21">
        <v>1.49771392345428</v>
      </c>
      <c r="G21" t="s">
        <v>1309</v>
      </c>
      <c r="H21" t="s">
        <v>1307</v>
      </c>
      <c r="I21" t="s">
        <v>427</v>
      </c>
      <c r="J21" t="s">
        <v>22</v>
      </c>
      <c r="K21" s="4">
        <v>1.89</v>
      </c>
      <c r="L21">
        <f t="shared" si="1"/>
        <v>20.382165605095537</v>
      </c>
      <c r="M21" s="4">
        <v>1.9750000000000001</v>
      </c>
      <c r="N21" s="4">
        <v>1.125</v>
      </c>
      <c r="O21" t="s">
        <v>1295</v>
      </c>
      <c r="P21" s="3">
        <v>1</v>
      </c>
      <c r="Q21" t="s">
        <v>428</v>
      </c>
      <c r="R21" t="s">
        <v>1293</v>
      </c>
      <c r="S21" s="3">
        <v>0.06</v>
      </c>
      <c r="T21" t="s">
        <v>429</v>
      </c>
      <c r="U21" t="s">
        <v>430</v>
      </c>
      <c r="V21" t="s">
        <v>431</v>
      </c>
      <c r="W21" s="3">
        <v>19.247</v>
      </c>
      <c r="Y21" t="s">
        <v>432</v>
      </c>
      <c r="Z21" s="3">
        <v>6.2E-2</v>
      </c>
      <c r="AA21" s="3">
        <v>0.27</v>
      </c>
      <c r="AB21" s="3">
        <v>-0.10299999999999999</v>
      </c>
      <c r="AC21" s="3">
        <v>0.11799999999999999</v>
      </c>
    </row>
    <row r="22" spans="1:29" x14ac:dyDescent="0.25">
      <c r="A22" s="2">
        <v>45660</v>
      </c>
      <c r="B22" t="s">
        <v>131</v>
      </c>
      <c r="C22">
        <v>0.53500000000000003</v>
      </c>
      <c r="D22" t="s">
        <v>1306</v>
      </c>
      <c r="E22" t="s">
        <v>1312</v>
      </c>
      <c r="F22">
        <v>0.50499999523162797</v>
      </c>
      <c r="G22" t="s">
        <v>1309</v>
      </c>
      <c r="H22" t="s">
        <v>1307</v>
      </c>
      <c r="I22" t="s">
        <v>433</v>
      </c>
      <c r="J22" t="s">
        <v>21</v>
      </c>
      <c r="K22" s="4">
        <v>0.52</v>
      </c>
      <c r="L22">
        <f t="shared" si="1"/>
        <v>-2.8037383177570097</v>
      </c>
      <c r="M22" s="4">
        <v>0.57999999999999996</v>
      </c>
      <c r="N22" s="4">
        <v>0.46</v>
      </c>
      <c r="O22" t="s">
        <v>1292</v>
      </c>
      <c r="P22" s="3">
        <v>0</v>
      </c>
      <c r="Q22" t="s">
        <v>434</v>
      </c>
      <c r="R22" t="s">
        <v>435</v>
      </c>
      <c r="S22" s="3">
        <v>4.1000000000000002E-2</v>
      </c>
      <c r="T22" t="s">
        <v>430</v>
      </c>
      <c r="V22" t="s">
        <v>436</v>
      </c>
      <c r="W22" s="3">
        <v>1.446</v>
      </c>
      <c r="X22" s="3">
        <v>8.0000000000000002E-3</v>
      </c>
      <c r="Y22" t="s">
        <v>437</v>
      </c>
      <c r="Z22" s="3">
        <v>1.7999999999999999E-2</v>
      </c>
      <c r="AA22" s="3">
        <v>0.38900000000000001</v>
      </c>
      <c r="AC22" s="3">
        <v>6.0999999999999999E-2</v>
      </c>
    </row>
    <row r="23" spans="1:29" x14ac:dyDescent="0.25">
      <c r="A23" s="2">
        <v>45791</v>
      </c>
      <c r="B23" t="s">
        <v>133</v>
      </c>
      <c r="C23">
        <v>5.88</v>
      </c>
      <c r="D23" t="s">
        <v>1305</v>
      </c>
      <c r="E23" t="s">
        <v>1308</v>
      </c>
      <c r="F23">
        <v>5.88</v>
      </c>
      <c r="G23" t="s">
        <v>1428</v>
      </c>
      <c r="H23" t="s">
        <v>1307</v>
      </c>
      <c r="I23" t="s">
        <v>725</v>
      </c>
      <c r="J23" t="s">
        <v>1318</v>
      </c>
      <c r="K23" s="4">
        <v>5.88</v>
      </c>
      <c r="L23">
        <f t="shared" si="1"/>
        <v>0</v>
      </c>
      <c r="M23" s="4">
        <v>5.89</v>
      </c>
      <c r="N23" s="4">
        <v>2.5</v>
      </c>
      <c r="O23" t="s">
        <v>349</v>
      </c>
      <c r="Q23" t="s">
        <v>1319</v>
      </c>
      <c r="R23" t="s">
        <v>1320</v>
      </c>
      <c r="S23" s="3">
        <v>0</v>
      </c>
      <c r="T23" t="s">
        <v>1321</v>
      </c>
      <c r="U23" t="s">
        <v>1322</v>
      </c>
      <c r="V23" t="s">
        <v>1323</v>
      </c>
      <c r="W23" s="3">
        <v>1.7999999999999999E-2</v>
      </c>
      <c r="X23" s="3">
        <v>0.06</v>
      </c>
      <c r="Y23" t="s">
        <v>1324</v>
      </c>
      <c r="Z23" s="3">
        <v>0.02</v>
      </c>
      <c r="AA23" s="3">
        <v>0.53200000000000003</v>
      </c>
      <c r="AC23" s="3">
        <v>2.8000000000000001E-2</v>
      </c>
    </row>
    <row r="24" spans="1:29" x14ac:dyDescent="0.25">
      <c r="A24" s="2">
        <v>45764</v>
      </c>
      <c r="B24" t="s">
        <v>134</v>
      </c>
      <c r="C24">
        <v>1.2949999999999999</v>
      </c>
      <c r="D24" t="s">
        <v>1305</v>
      </c>
      <c r="E24" t="s">
        <v>1311</v>
      </c>
      <c r="F24">
        <v>1.2849999999999999</v>
      </c>
      <c r="G24" t="s">
        <v>1428</v>
      </c>
      <c r="H24" t="s">
        <v>1310</v>
      </c>
      <c r="I24" t="s">
        <v>726</v>
      </c>
      <c r="J24" t="s">
        <v>22</v>
      </c>
      <c r="K24" s="4">
        <v>1.38</v>
      </c>
      <c r="L24">
        <f t="shared" si="1"/>
        <v>6.5637065637065506</v>
      </c>
      <c r="M24" s="4">
        <v>1.9450000000000001</v>
      </c>
      <c r="N24" s="4">
        <v>0.81499999999999995</v>
      </c>
      <c r="O24" t="s">
        <v>349</v>
      </c>
      <c r="P24" s="3">
        <v>1</v>
      </c>
      <c r="Q24" t="s">
        <v>1325</v>
      </c>
      <c r="S24" s="3">
        <v>0</v>
      </c>
      <c r="T24" t="s">
        <v>1326</v>
      </c>
      <c r="V24" t="s">
        <v>1327</v>
      </c>
      <c r="W24" s="3">
        <v>1.077</v>
      </c>
      <c r="X24" s="3">
        <v>3.9E-2</v>
      </c>
      <c r="Y24" t="s">
        <v>1328</v>
      </c>
      <c r="Z24" s="3">
        <v>0.14000000000000001</v>
      </c>
      <c r="AA24" s="3">
        <v>0.73199999999999998</v>
      </c>
      <c r="AC24" s="3">
        <v>-0.26500000000000001</v>
      </c>
    </row>
    <row r="25" spans="1:29" x14ac:dyDescent="0.25">
      <c r="A25" s="2">
        <v>45764</v>
      </c>
      <c r="B25" t="s">
        <v>135</v>
      </c>
      <c r="C25">
        <v>6.04</v>
      </c>
      <c r="D25" t="s">
        <v>1305</v>
      </c>
      <c r="E25" t="s">
        <v>1311</v>
      </c>
      <c r="F25">
        <v>6</v>
      </c>
      <c r="G25" t="s">
        <v>1428</v>
      </c>
      <c r="H25" t="s">
        <v>1310</v>
      </c>
      <c r="I25" t="s">
        <v>727</v>
      </c>
      <c r="J25" t="s">
        <v>26</v>
      </c>
      <c r="K25" s="4">
        <v>7.2</v>
      </c>
      <c r="L25">
        <f t="shared" si="1"/>
        <v>19.205298013245041</v>
      </c>
      <c r="M25" s="4">
        <v>7.44</v>
      </c>
      <c r="N25" s="4">
        <v>5.46</v>
      </c>
      <c r="O25" t="s">
        <v>1329</v>
      </c>
      <c r="P25" s="3">
        <v>0</v>
      </c>
      <c r="Q25" t="s">
        <v>1330</v>
      </c>
      <c r="R25" t="s">
        <v>1331</v>
      </c>
      <c r="S25" s="3">
        <v>0</v>
      </c>
      <c r="T25" t="s">
        <v>1332</v>
      </c>
      <c r="U25" t="s">
        <v>1333</v>
      </c>
      <c r="V25" t="s">
        <v>1334</v>
      </c>
      <c r="W25" s="3">
        <v>1.546</v>
      </c>
      <c r="X25" s="3">
        <v>1.4E-2</v>
      </c>
      <c r="Y25" t="s">
        <v>1335</v>
      </c>
      <c r="Z25" s="3">
        <v>8.5000000000000006E-2</v>
      </c>
      <c r="AA25" s="3">
        <v>8.8999999999999996E-2</v>
      </c>
      <c r="AC25" s="3">
        <v>3.0000000000000001E-3</v>
      </c>
    </row>
    <row r="26" spans="1:29" x14ac:dyDescent="0.25">
      <c r="A26" s="2">
        <v>45758</v>
      </c>
      <c r="B26" t="s">
        <v>136</v>
      </c>
      <c r="C26">
        <v>15.01</v>
      </c>
      <c r="D26" t="s">
        <v>1305</v>
      </c>
      <c r="E26" t="s">
        <v>1311</v>
      </c>
      <c r="F26">
        <v>14.25</v>
      </c>
      <c r="G26" t="s">
        <v>1428</v>
      </c>
      <c r="H26" t="s">
        <v>1310</v>
      </c>
      <c r="I26" t="s">
        <v>728</v>
      </c>
      <c r="J26" t="s">
        <v>348</v>
      </c>
      <c r="K26" s="4">
        <v>18.850000000000001</v>
      </c>
      <c r="L26">
        <f t="shared" si="1"/>
        <v>25.582944703530998</v>
      </c>
      <c r="M26" s="4">
        <v>19.62</v>
      </c>
      <c r="N26" s="4">
        <v>13</v>
      </c>
      <c r="O26" t="s">
        <v>1303</v>
      </c>
      <c r="P26" s="3">
        <v>1</v>
      </c>
      <c r="Q26" t="s">
        <v>1336</v>
      </c>
      <c r="R26" t="s">
        <v>1337</v>
      </c>
      <c r="S26" s="3">
        <v>3.3000000000000002E-2</v>
      </c>
      <c r="T26" t="s">
        <v>1338</v>
      </c>
      <c r="U26" t="s">
        <v>1339</v>
      </c>
      <c r="V26" t="s">
        <v>1340</v>
      </c>
      <c r="W26" s="3">
        <v>1.151</v>
      </c>
      <c r="X26" s="3">
        <v>0.01</v>
      </c>
      <c r="Y26" t="s">
        <v>1341</v>
      </c>
      <c r="Z26" s="3">
        <v>0.13700000000000001</v>
      </c>
      <c r="AA26" s="3">
        <v>7.9000000000000001E-2</v>
      </c>
      <c r="AB26" s="3">
        <v>-1.7000000000000001E-2</v>
      </c>
      <c r="AC26" s="3">
        <v>0.29499999999999998</v>
      </c>
    </row>
    <row r="27" spans="1:29" x14ac:dyDescent="0.25">
      <c r="A27" s="2">
        <v>45758</v>
      </c>
      <c r="B27" t="s">
        <v>115</v>
      </c>
      <c r="C27">
        <v>2.42</v>
      </c>
      <c r="D27" t="s">
        <v>1305</v>
      </c>
      <c r="E27" t="s">
        <v>1311</v>
      </c>
      <c r="F27">
        <v>2.27</v>
      </c>
      <c r="G27" t="s">
        <v>1428</v>
      </c>
      <c r="H27" t="s">
        <v>1310</v>
      </c>
      <c r="I27" t="s">
        <v>342</v>
      </c>
      <c r="J27" t="s">
        <v>343</v>
      </c>
      <c r="K27" s="4">
        <v>3.03</v>
      </c>
      <c r="L27">
        <f t="shared" si="1"/>
        <v>25.206611570247929</v>
      </c>
      <c r="M27" s="4">
        <v>4.05</v>
      </c>
      <c r="N27" s="4">
        <v>1.325</v>
      </c>
      <c r="O27" t="s">
        <v>1313</v>
      </c>
      <c r="Q27" t="s">
        <v>344</v>
      </c>
      <c r="S27" s="3">
        <v>0</v>
      </c>
      <c r="T27" t="s">
        <v>1297</v>
      </c>
      <c r="V27" t="s">
        <v>345</v>
      </c>
      <c r="W27" s="3">
        <v>0.151</v>
      </c>
      <c r="X27" s="3">
        <v>1.4999999999999999E-2</v>
      </c>
      <c r="Y27" t="s">
        <v>346</v>
      </c>
      <c r="Z27" s="3">
        <v>-9.2999999999999999E-2</v>
      </c>
      <c r="AA27" s="3">
        <v>0.377</v>
      </c>
      <c r="AC27" s="3">
        <v>-6.9000000000000006E-2</v>
      </c>
    </row>
    <row r="28" spans="1:29" x14ac:dyDescent="0.25">
      <c r="A28" s="2">
        <v>45751</v>
      </c>
      <c r="B28" t="s">
        <v>137</v>
      </c>
      <c r="C28">
        <v>1.79</v>
      </c>
      <c r="D28" t="s">
        <v>1305</v>
      </c>
      <c r="E28" t="s">
        <v>1311</v>
      </c>
      <c r="F28">
        <v>1.74</v>
      </c>
      <c r="G28" t="s">
        <v>1428</v>
      </c>
      <c r="H28" t="s">
        <v>1310</v>
      </c>
      <c r="I28" t="s">
        <v>729</v>
      </c>
      <c r="J28" t="s">
        <v>369</v>
      </c>
      <c r="K28" s="4">
        <v>1.1499999999999999</v>
      </c>
      <c r="L28">
        <f t="shared" si="1"/>
        <v>-35.754189944134083</v>
      </c>
      <c r="M28" s="4">
        <v>2.08</v>
      </c>
      <c r="N28" s="4">
        <v>0.82</v>
      </c>
      <c r="O28" t="s">
        <v>374</v>
      </c>
      <c r="Q28" t="s">
        <v>1342</v>
      </c>
      <c r="S28" s="3">
        <v>0</v>
      </c>
      <c r="V28" t="s">
        <v>1343</v>
      </c>
      <c r="W28" s="3">
        <v>2.7770000000000001</v>
      </c>
      <c r="X28" s="3">
        <v>7.9000000000000001E-2</v>
      </c>
      <c r="Y28" t="s">
        <v>1344</v>
      </c>
      <c r="AC28" s="3">
        <v>-1.4730000000000001</v>
      </c>
    </row>
    <row r="29" spans="1:29" x14ac:dyDescent="0.25">
      <c r="A29" s="2">
        <v>45751</v>
      </c>
      <c r="B29" t="s">
        <v>138</v>
      </c>
      <c r="C29">
        <v>5.49</v>
      </c>
      <c r="D29" t="s">
        <v>1305</v>
      </c>
      <c r="E29" t="s">
        <v>1311</v>
      </c>
      <c r="F29">
        <v>5.2</v>
      </c>
      <c r="G29" t="s">
        <v>1428</v>
      </c>
      <c r="H29" t="s">
        <v>1310</v>
      </c>
      <c r="I29" t="s">
        <v>730</v>
      </c>
      <c r="J29" t="s">
        <v>24</v>
      </c>
      <c r="K29" s="4">
        <v>5.51</v>
      </c>
      <c r="L29">
        <f t="shared" si="1"/>
        <v>0.36429872495444826</v>
      </c>
      <c r="M29" s="4">
        <v>6.89</v>
      </c>
      <c r="N29" s="4">
        <v>3.98</v>
      </c>
      <c r="O29" t="s">
        <v>1345</v>
      </c>
      <c r="Q29" t="s">
        <v>1346</v>
      </c>
      <c r="R29" t="s">
        <v>1347</v>
      </c>
      <c r="S29" s="3">
        <v>0</v>
      </c>
      <c r="T29" t="s">
        <v>1348</v>
      </c>
      <c r="U29" t="s">
        <v>1349</v>
      </c>
      <c r="V29" t="s">
        <v>1350</v>
      </c>
      <c r="W29" s="3">
        <v>3.0000000000000001E-3</v>
      </c>
      <c r="X29" s="3">
        <v>1.7000000000000001E-2</v>
      </c>
      <c r="Y29" t="s">
        <v>1351</v>
      </c>
      <c r="Z29" s="3">
        <v>1.6E-2</v>
      </c>
      <c r="AC29" s="3">
        <v>5.0000000000000001E-3</v>
      </c>
    </row>
    <row r="30" spans="1:29" x14ac:dyDescent="0.25">
      <c r="A30" s="2">
        <v>45737</v>
      </c>
      <c r="B30" t="s">
        <v>139</v>
      </c>
      <c r="C30">
        <v>1.7050000000000001</v>
      </c>
      <c r="D30" t="s">
        <v>1305</v>
      </c>
      <c r="E30" t="s">
        <v>1311</v>
      </c>
      <c r="F30">
        <v>1.75</v>
      </c>
      <c r="G30" t="s">
        <v>1428</v>
      </c>
      <c r="H30" t="s">
        <v>1310</v>
      </c>
      <c r="I30" t="s">
        <v>731</v>
      </c>
      <c r="J30" t="s">
        <v>348</v>
      </c>
      <c r="K30" s="4">
        <v>1.85</v>
      </c>
      <c r="L30">
        <f t="shared" si="1"/>
        <v>8.5043988269794646</v>
      </c>
      <c r="M30" s="4">
        <v>2.06</v>
      </c>
      <c r="N30" s="4">
        <v>1.2450000000000001</v>
      </c>
      <c r="O30" t="s">
        <v>1294</v>
      </c>
      <c r="P30" s="3">
        <v>1</v>
      </c>
      <c r="Q30" t="s">
        <v>1352</v>
      </c>
      <c r="R30" t="s">
        <v>1353</v>
      </c>
      <c r="S30" s="3">
        <v>0</v>
      </c>
      <c r="T30" t="s">
        <v>429</v>
      </c>
      <c r="U30" t="s">
        <v>1354</v>
      </c>
      <c r="V30" t="s">
        <v>1355</v>
      </c>
      <c r="W30" s="3">
        <v>1.577</v>
      </c>
      <c r="X30" s="3">
        <v>1.2E-2</v>
      </c>
      <c r="Y30" t="s">
        <v>1356</v>
      </c>
      <c r="Z30" s="3">
        <v>6.0000000000000001E-3</v>
      </c>
      <c r="AA30" s="3">
        <v>2.1000000000000001E-2</v>
      </c>
      <c r="AB30" s="3">
        <v>-0.54100000000000004</v>
      </c>
      <c r="AC30" s="3">
        <v>2.8000000000000001E-2</v>
      </c>
    </row>
    <row r="31" spans="1:29" x14ac:dyDescent="0.25">
      <c r="A31" s="2">
        <v>45737</v>
      </c>
      <c r="B31" t="s">
        <v>140</v>
      </c>
      <c r="C31">
        <v>11.72</v>
      </c>
      <c r="D31" t="s">
        <v>1305</v>
      </c>
      <c r="E31" t="s">
        <v>1311</v>
      </c>
      <c r="F31">
        <v>11.78</v>
      </c>
      <c r="G31" t="s">
        <v>1428</v>
      </c>
      <c r="H31" t="s">
        <v>1310</v>
      </c>
      <c r="I31" t="s">
        <v>732</v>
      </c>
      <c r="J31" t="s">
        <v>21</v>
      </c>
      <c r="K31" s="4">
        <v>10.96</v>
      </c>
      <c r="L31">
        <f t="shared" si="1"/>
        <v>-6.4846416382252521</v>
      </c>
      <c r="M31" s="4">
        <v>13.6</v>
      </c>
      <c r="N31" s="4">
        <v>7.06</v>
      </c>
      <c r="O31" t="s">
        <v>374</v>
      </c>
      <c r="P31" s="3">
        <v>1</v>
      </c>
      <c r="Q31" t="s">
        <v>1357</v>
      </c>
      <c r="R31" t="s">
        <v>1358</v>
      </c>
      <c r="S31" s="3">
        <v>0</v>
      </c>
      <c r="T31" t="s">
        <v>1359</v>
      </c>
      <c r="U31" t="s">
        <v>1360</v>
      </c>
      <c r="V31" t="s">
        <v>1361</v>
      </c>
      <c r="W31" s="3">
        <v>3.8769999999999998</v>
      </c>
      <c r="X31" s="3">
        <v>8.0000000000000002E-3</v>
      </c>
      <c r="Y31" t="s">
        <v>1362</v>
      </c>
      <c r="Z31" s="3">
        <v>0.124</v>
      </c>
      <c r="AA31" s="3">
        <v>0.30299999999999999</v>
      </c>
      <c r="AB31" s="3">
        <v>-0.15</v>
      </c>
      <c r="AC31" s="3">
        <v>0.16500000000000001</v>
      </c>
    </row>
    <row r="32" spans="1:29" x14ac:dyDescent="0.25">
      <c r="A32" s="2">
        <v>45737</v>
      </c>
      <c r="B32" t="s">
        <v>141</v>
      </c>
      <c r="C32">
        <v>7.41</v>
      </c>
      <c r="D32" t="s">
        <v>1305</v>
      </c>
      <c r="E32" t="s">
        <v>1311</v>
      </c>
      <c r="F32">
        <v>7.5</v>
      </c>
      <c r="G32" t="s">
        <v>1428</v>
      </c>
      <c r="H32" t="s">
        <v>1310</v>
      </c>
      <c r="I32" t="s">
        <v>733</v>
      </c>
      <c r="J32" t="s">
        <v>22</v>
      </c>
      <c r="K32" s="4">
        <v>7.94</v>
      </c>
      <c r="L32">
        <f t="shared" si="1"/>
        <v>7.1524966261808487</v>
      </c>
      <c r="M32" s="4">
        <v>8.4499999999999993</v>
      </c>
      <c r="N32" s="4">
        <v>3.81</v>
      </c>
      <c r="O32" t="s">
        <v>1363</v>
      </c>
      <c r="P32" s="3">
        <v>1</v>
      </c>
      <c r="Q32" t="s">
        <v>1364</v>
      </c>
      <c r="R32" t="s">
        <v>1365</v>
      </c>
      <c r="S32" s="3">
        <v>2.5000000000000001E-2</v>
      </c>
      <c r="T32" t="s">
        <v>1366</v>
      </c>
      <c r="V32" t="s">
        <v>1367</v>
      </c>
      <c r="W32" s="3">
        <v>10.917999999999999</v>
      </c>
      <c r="X32" s="3">
        <v>3.0000000000000001E-3</v>
      </c>
      <c r="Y32" t="s">
        <v>1368</v>
      </c>
      <c r="Z32" s="3">
        <v>3.5000000000000003E-2</v>
      </c>
      <c r="AA32" s="3">
        <v>0.72499999999999998</v>
      </c>
      <c r="AB32" s="3">
        <v>5.7000000000000002E-2</v>
      </c>
      <c r="AC32" s="3">
        <v>0.10299999999999999</v>
      </c>
    </row>
    <row r="33" spans="1:29" x14ac:dyDescent="0.25">
      <c r="A33" s="2">
        <v>45730</v>
      </c>
      <c r="B33" t="s">
        <v>142</v>
      </c>
      <c r="C33">
        <v>1.0249999999999999</v>
      </c>
      <c r="D33" t="s">
        <v>1305</v>
      </c>
      <c r="E33" t="s">
        <v>1311</v>
      </c>
      <c r="F33">
        <v>0.99734880000000004</v>
      </c>
      <c r="G33" t="s">
        <v>1428</v>
      </c>
      <c r="H33" t="s">
        <v>1310</v>
      </c>
      <c r="I33" t="s">
        <v>734</v>
      </c>
      <c r="J33" t="s">
        <v>21</v>
      </c>
      <c r="K33" s="4">
        <v>0.98</v>
      </c>
      <c r="L33">
        <f t="shared" si="1"/>
        <v>-4.3902439024390176</v>
      </c>
      <c r="M33" s="4">
        <v>1.165</v>
      </c>
      <c r="N33" s="4">
        <v>0.86499999999999999</v>
      </c>
      <c r="O33" t="s">
        <v>364</v>
      </c>
      <c r="P33" s="3">
        <v>1</v>
      </c>
      <c r="Q33" t="s">
        <v>1369</v>
      </c>
      <c r="R33" t="s">
        <v>1370</v>
      </c>
      <c r="S33" s="3">
        <v>0.06</v>
      </c>
      <c r="T33" t="s">
        <v>1371</v>
      </c>
      <c r="V33" t="s">
        <v>1372</v>
      </c>
      <c r="W33" s="3">
        <v>0.91100000000000003</v>
      </c>
      <c r="X33" s="3">
        <v>1.2E-2</v>
      </c>
      <c r="Y33" t="s">
        <v>1373</v>
      </c>
      <c r="Z33" s="3">
        <v>0.104</v>
      </c>
      <c r="AA33" s="3">
        <v>0.26900000000000002</v>
      </c>
      <c r="AB33" s="3">
        <v>0.69499999999999995</v>
      </c>
      <c r="AC33" s="3">
        <v>0.16800000000000001</v>
      </c>
    </row>
    <row r="34" spans="1:29" x14ac:dyDescent="0.25">
      <c r="A34" s="2">
        <v>45730</v>
      </c>
      <c r="B34" t="s">
        <v>143</v>
      </c>
      <c r="C34">
        <v>16</v>
      </c>
      <c r="D34" t="s">
        <v>1305</v>
      </c>
      <c r="E34" t="s">
        <v>1311</v>
      </c>
      <c r="F34">
        <v>16.38</v>
      </c>
      <c r="G34" t="s">
        <v>1428</v>
      </c>
      <c r="H34" t="s">
        <v>1310</v>
      </c>
      <c r="I34" t="s">
        <v>735</v>
      </c>
      <c r="J34" t="s">
        <v>348</v>
      </c>
      <c r="K34" s="4">
        <v>21.8</v>
      </c>
      <c r="L34">
        <f t="shared" si="1"/>
        <v>36.250000000000007</v>
      </c>
      <c r="M34" s="4">
        <v>23.93</v>
      </c>
      <c r="N34" s="4">
        <v>8.7899999999999991</v>
      </c>
      <c r="O34" t="s">
        <v>1374</v>
      </c>
      <c r="Q34" t="s">
        <v>1375</v>
      </c>
      <c r="R34" t="s">
        <v>1376</v>
      </c>
      <c r="S34" s="3">
        <v>0</v>
      </c>
      <c r="T34" t="s">
        <v>1315</v>
      </c>
      <c r="U34" t="s">
        <v>1377</v>
      </c>
      <c r="V34" t="s">
        <v>1378</v>
      </c>
      <c r="W34" s="3">
        <v>0.16600000000000001</v>
      </c>
      <c r="X34" s="3">
        <v>1.7999999999999999E-2</v>
      </c>
      <c r="Y34" t="s">
        <v>1379</v>
      </c>
      <c r="Z34" s="3">
        <v>1.2E-2</v>
      </c>
      <c r="AA34" s="3">
        <v>0.151</v>
      </c>
      <c r="AB34" s="3">
        <v>-0.49</v>
      </c>
      <c r="AC34" s="3">
        <v>5.7000000000000002E-2</v>
      </c>
    </row>
    <row r="35" spans="1:29" x14ac:dyDescent="0.25">
      <c r="A35" s="2">
        <v>45723</v>
      </c>
      <c r="B35" t="s">
        <v>144</v>
      </c>
      <c r="C35">
        <v>3.1</v>
      </c>
      <c r="D35" t="s">
        <v>1305</v>
      </c>
      <c r="E35" t="s">
        <v>1311</v>
      </c>
      <c r="F35">
        <v>3.014885</v>
      </c>
      <c r="G35" t="s">
        <v>1428</v>
      </c>
      <c r="H35" t="s">
        <v>1310</v>
      </c>
      <c r="I35" t="s">
        <v>736</v>
      </c>
      <c r="J35" t="s">
        <v>369</v>
      </c>
      <c r="K35" s="4">
        <v>2.76</v>
      </c>
      <c r="L35">
        <f t="shared" si="1"/>
        <v>-10.967741935483877</v>
      </c>
      <c r="M35" s="4">
        <v>3.81</v>
      </c>
      <c r="N35" s="4">
        <v>2.2400000000000002</v>
      </c>
      <c r="O35" t="s">
        <v>374</v>
      </c>
      <c r="P35" s="3">
        <v>1</v>
      </c>
      <c r="Q35" t="s">
        <v>1380</v>
      </c>
      <c r="R35" t="s">
        <v>1381</v>
      </c>
      <c r="S35" s="3">
        <v>4.4999999999999998E-2</v>
      </c>
      <c r="T35" t="s">
        <v>1382</v>
      </c>
      <c r="U35" t="s">
        <v>1383</v>
      </c>
      <c r="V35" t="s">
        <v>1384</v>
      </c>
      <c r="W35" s="3">
        <v>1.869</v>
      </c>
      <c r="X35" s="3">
        <v>6.0000000000000001E-3</v>
      </c>
      <c r="Y35" t="s">
        <v>1385</v>
      </c>
      <c r="Z35" s="3">
        <v>4.2999999999999997E-2</v>
      </c>
      <c r="AA35" s="3">
        <v>2.5000000000000001E-2</v>
      </c>
      <c r="AB35" s="3">
        <v>-0.26200000000000001</v>
      </c>
      <c r="AC35" s="3">
        <v>0.184</v>
      </c>
    </row>
    <row r="36" spans="1:29" x14ac:dyDescent="0.25">
      <c r="A36" s="2">
        <v>45723</v>
      </c>
      <c r="B36" t="s">
        <v>145</v>
      </c>
      <c r="C36">
        <v>2.13</v>
      </c>
      <c r="D36" t="s">
        <v>1305</v>
      </c>
      <c r="E36" t="s">
        <v>1311</v>
      </c>
      <c r="F36">
        <v>2.0656979999999998</v>
      </c>
      <c r="G36" t="s">
        <v>1428</v>
      </c>
      <c r="H36" t="s">
        <v>1310</v>
      </c>
      <c r="I36" t="s">
        <v>737</v>
      </c>
      <c r="J36" t="s">
        <v>369</v>
      </c>
      <c r="K36" s="4">
        <v>2.6</v>
      </c>
      <c r="L36">
        <f t="shared" si="1"/>
        <v>22.065727699530523</v>
      </c>
      <c r="M36" s="4">
        <v>3.16</v>
      </c>
      <c r="N36" s="4">
        <v>1.89</v>
      </c>
      <c r="O36" t="s">
        <v>1316</v>
      </c>
      <c r="P36" s="3">
        <v>1</v>
      </c>
      <c r="Q36" t="s">
        <v>1386</v>
      </c>
      <c r="R36" t="s">
        <v>1387</v>
      </c>
      <c r="S36" s="3">
        <v>2.1999999999999999E-2</v>
      </c>
      <c r="T36" t="s">
        <v>1314</v>
      </c>
      <c r="U36" t="s">
        <v>1388</v>
      </c>
      <c r="V36" t="s">
        <v>1389</v>
      </c>
      <c r="W36" s="3">
        <v>0.76800000000000002</v>
      </c>
      <c r="X36" s="3">
        <v>6.0000000000000001E-3</v>
      </c>
      <c r="Y36" t="s">
        <v>1390</v>
      </c>
      <c r="Z36" s="3">
        <v>1.2E-2</v>
      </c>
      <c r="AA36" s="3">
        <v>0.10199999999999999</v>
      </c>
      <c r="AC36" s="3">
        <v>1.0999999999999999E-2</v>
      </c>
    </row>
    <row r="37" spans="1:29" x14ac:dyDescent="0.25">
      <c r="A37" s="2">
        <v>45723</v>
      </c>
      <c r="B37" t="s">
        <v>91</v>
      </c>
      <c r="C37">
        <v>4.5599999999999996</v>
      </c>
      <c r="D37" t="s">
        <v>1305</v>
      </c>
      <c r="E37" t="s">
        <v>1311</v>
      </c>
      <c r="F37">
        <v>4.55</v>
      </c>
      <c r="G37" t="s">
        <v>1428</v>
      </c>
      <c r="H37" t="s">
        <v>1310</v>
      </c>
      <c r="I37" t="s">
        <v>738</v>
      </c>
      <c r="J37" t="s">
        <v>1391</v>
      </c>
      <c r="K37" s="4">
        <v>3.91</v>
      </c>
      <c r="L37">
        <f t="shared" si="1"/>
        <v>-14.254385964912275</v>
      </c>
      <c r="M37" s="4">
        <v>5.45</v>
      </c>
      <c r="N37" s="4">
        <v>3.42</v>
      </c>
      <c r="O37" t="s">
        <v>1290</v>
      </c>
      <c r="P37" s="3">
        <v>1</v>
      </c>
      <c r="Q37" t="s">
        <v>1392</v>
      </c>
      <c r="R37" t="s">
        <v>1393</v>
      </c>
      <c r="S37" s="3">
        <v>0</v>
      </c>
      <c r="T37" t="s">
        <v>1394</v>
      </c>
      <c r="V37" t="s">
        <v>1395</v>
      </c>
      <c r="W37" s="3">
        <v>0.77</v>
      </c>
      <c r="X37" s="3">
        <v>2.1000000000000001E-2</v>
      </c>
      <c r="Y37" t="s">
        <v>1396</v>
      </c>
      <c r="Z37" s="3">
        <v>8.5999999999999993E-2</v>
      </c>
      <c r="AA37" s="3">
        <v>0.13800000000000001</v>
      </c>
      <c r="AB37" s="3">
        <v>-0.61099999999999999</v>
      </c>
      <c r="AC37" s="3">
        <v>7.0000000000000007E-2</v>
      </c>
    </row>
    <row r="38" spans="1:29" x14ac:dyDescent="0.25">
      <c r="A38" s="2">
        <v>45716</v>
      </c>
      <c r="B38" t="s">
        <v>146</v>
      </c>
      <c r="C38">
        <v>4.76</v>
      </c>
      <c r="D38" t="s">
        <v>1305</v>
      </c>
      <c r="E38" t="s">
        <v>1311</v>
      </c>
      <c r="F38">
        <v>4.6500000000000004</v>
      </c>
      <c r="G38" t="s">
        <v>1428</v>
      </c>
      <c r="H38" t="s">
        <v>1310</v>
      </c>
      <c r="I38" t="s">
        <v>739</v>
      </c>
      <c r="J38" t="s">
        <v>21</v>
      </c>
      <c r="K38" s="4">
        <v>3.97</v>
      </c>
      <c r="L38">
        <f t="shared" si="1"/>
        <v>-16.596638655462183</v>
      </c>
      <c r="M38" s="4">
        <v>6.62</v>
      </c>
      <c r="N38" s="4">
        <v>2.2799999999999998</v>
      </c>
      <c r="O38" t="s">
        <v>413</v>
      </c>
      <c r="Q38" t="s">
        <v>1397</v>
      </c>
      <c r="S38" s="3">
        <v>0</v>
      </c>
      <c r="T38" t="s">
        <v>1398</v>
      </c>
      <c r="U38" t="s">
        <v>1399</v>
      </c>
      <c r="V38" t="s">
        <v>1400</v>
      </c>
      <c r="W38" s="3">
        <v>8.9999999999999993E-3</v>
      </c>
      <c r="X38" s="3">
        <v>0.14699999999999999</v>
      </c>
      <c r="Y38" t="s">
        <v>1401</v>
      </c>
      <c r="Z38" s="3">
        <v>-2.1850000000000001</v>
      </c>
      <c r="AA38" s="3">
        <v>0.84099999999999997</v>
      </c>
      <c r="AC38" s="3">
        <v>-0.24099999999999999</v>
      </c>
    </row>
    <row r="39" spans="1:29" x14ac:dyDescent="0.25">
      <c r="A39" s="2">
        <v>45716</v>
      </c>
      <c r="B39" t="s">
        <v>147</v>
      </c>
      <c r="C39">
        <v>1.99</v>
      </c>
      <c r="D39" t="s">
        <v>1305</v>
      </c>
      <c r="E39" t="s">
        <v>1311</v>
      </c>
      <c r="F39">
        <v>1.93</v>
      </c>
      <c r="G39" t="s">
        <v>1428</v>
      </c>
      <c r="H39" t="s">
        <v>1310</v>
      </c>
      <c r="I39" t="s">
        <v>740</v>
      </c>
      <c r="J39" t="s">
        <v>369</v>
      </c>
      <c r="K39" s="4">
        <v>0.98</v>
      </c>
      <c r="L39">
        <f t="shared" si="1"/>
        <v>-50.753768844221113</v>
      </c>
      <c r="M39" s="4">
        <v>2.5</v>
      </c>
      <c r="N39" s="4">
        <v>0.88</v>
      </c>
      <c r="O39" t="s">
        <v>1402</v>
      </c>
      <c r="P39" s="3">
        <v>0</v>
      </c>
      <c r="Q39" t="s">
        <v>1403</v>
      </c>
      <c r="S39" s="3">
        <v>0</v>
      </c>
      <c r="T39" t="s">
        <v>1383</v>
      </c>
      <c r="V39" t="s">
        <v>1404</v>
      </c>
      <c r="W39" s="3">
        <v>0.19400000000000001</v>
      </c>
      <c r="X39" s="3">
        <v>0.04</v>
      </c>
      <c r="Y39" t="s">
        <v>1405</v>
      </c>
      <c r="Z39" s="3">
        <v>-0.47899999999999998</v>
      </c>
      <c r="AA39" s="3">
        <v>0.156</v>
      </c>
      <c r="AC39" s="3">
        <v>-0.35199999999999998</v>
      </c>
    </row>
    <row r="40" spans="1:29" x14ac:dyDescent="0.25">
      <c r="A40" s="2">
        <v>45681</v>
      </c>
      <c r="B40" t="s">
        <v>148</v>
      </c>
      <c r="C40">
        <v>2.8</v>
      </c>
      <c r="D40" t="s">
        <v>1305</v>
      </c>
      <c r="E40" t="s">
        <v>1312</v>
      </c>
      <c r="F40">
        <v>2.8</v>
      </c>
      <c r="G40" t="s">
        <v>1428</v>
      </c>
      <c r="H40" t="s">
        <v>1307</v>
      </c>
      <c r="I40" t="s">
        <v>741</v>
      </c>
      <c r="J40" t="s">
        <v>369</v>
      </c>
      <c r="K40" s="4">
        <v>1.77</v>
      </c>
      <c r="L40">
        <f t="shared" si="1"/>
        <v>-36.785714285714278</v>
      </c>
      <c r="M40" s="4">
        <v>4.5199999999999996</v>
      </c>
      <c r="N40" s="4">
        <v>1.48</v>
      </c>
      <c r="O40" t="s">
        <v>1294</v>
      </c>
      <c r="Q40" t="s">
        <v>1406</v>
      </c>
      <c r="S40" s="3">
        <v>0</v>
      </c>
      <c r="T40" t="s">
        <v>1407</v>
      </c>
      <c r="V40" t="s">
        <v>1408</v>
      </c>
      <c r="X40" s="3">
        <v>2.1000000000000001E-2</v>
      </c>
      <c r="Y40" t="s">
        <v>1409</v>
      </c>
      <c r="Z40" s="3">
        <v>-0.79600000000000004</v>
      </c>
      <c r="AC40" s="3">
        <v>-4.0750000000000002</v>
      </c>
    </row>
    <row r="41" spans="1:29" x14ac:dyDescent="0.25">
      <c r="A41" s="2">
        <v>45681</v>
      </c>
      <c r="B41" t="s">
        <v>149</v>
      </c>
      <c r="C41">
        <v>0.875</v>
      </c>
      <c r="D41" t="s">
        <v>1305</v>
      </c>
      <c r="E41" t="s">
        <v>1312</v>
      </c>
      <c r="F41">
        <v>0.83760409999999996</v>
      </c>
      <c r="G41" t="s">
        <v>1428</v>
      </c>
      <c r="H41" t="s">
        <v>1307</v>
      </c>
      <c r="I41" t="s">
        <v>742</v>
      </c>
      <c r="J41" t="s">
        <v>348</v>
      </c>
      <c r="K41" s="4">
        <v>0.63</v>
      </c>
      <c r="L41">
        <f t="shared" si="1"/>
        <v>-28.000000000000004</v>
      </c>
      <c r="M41" s="4">
        <v>1.2350000000000001</v>
      </c>
      <c r="N41" s="4">
        <v>0.56000000000000005</v>
      </c>
      <c r="O41" t="s">
        <v>1410</v>
      </c>
      <c r="P41" s="3">
        <v>1</v>
      </c>
      <c r="Q41" t="s">
        <v>1411</v>
      </c>
      <c r="R41" t="s">
        <v>1304</v>
      </c>
      <c r="S41" s="3">
        <v>8.0000000000000002E-3</v>
      </c>
      <c r="T41" t="s">
        <v>1412</v>
      </c>
      <c r="U41" t="s">
        <v>1413</v>
      </c>
      <c r="V41" t="s">
        <v>1414</v>
      </c>
      <c r="W41" s="3">
        <v>5.8380000000000001</v>
      </c>
      <c r="X41" s="3">
        <v>8.9999999999999993E-3</v>
      </c>
      <c r="Y41" t="s">
        <v>1415</v>
      </c>
      <c r="Z41" s="3">
        <v>8.9999999999999993E-3</v>
      </c>
      <c r="AA41" s="3">
        <v>5.6000000000000001E-2</v>
      </c>
      <c r="AB41" s="3">
        <v>-2.9000000000000001E-2</v>
      </c>
      <c r="AC41" s="3">
        <v>8.5000000000000006E-2</v>
      </c>
    </row>
    <row r="42" spans="1:29" x14ac:dyDescent="0.25">
      <c r="A42" s="2">
        <v>45674</v>
      </c>
      <c r="B42" t="s">
        <v>150</v>
      </c>
      <c r="C42">
        <v>5.27</v>
      </c>
      <c r="D42" t="s">
        <v>1305</v>
      </c>
      <c r="E42" t="s">
        <v>1312</v>
      </c>
      <c r="F42">
        <v>5.169619</v>
      </c>
      <c r="G42" t="s">
        <v>1428</v>
      </c>
      <c r="H42" t="s">
        <v>1307</v>
      </c>
      <c r="I42" t="s">
        <v>743</v>
      </c>
      <c r="J42" t="s">
        <v>26</v>
      </c>
      <c r="K42" s="4">
        <v>7.32</v>
      </c>
      <c r="L42">
        <f t="shared" si="1"/>
        <v>38.899430740037964</v>
      </c>
      <c r="M42" s="4">
        <v>7.38</v>
      </c>
      <c r="N42" s="4">
        <v>4.4400000000000004</v>
      </c>
      <c r="O42" t="s">
        <v>1290</v>
      </c>
      <c r="P42" s="3">
        <v>1</v>
      </c>
      <c r="Q42" t="s">
        <v>1416</v>
      </c>
      <c r="R42" t="s">
        <v>1417</v>
      </c>
      <c r="S42" s="3">
        <v>3.6999999999999998E-2</v>
      </c>
      <c r="T42" t="s">
        <v>404</v>
      </c>
      <c r="U42" t="s">
        <v>1418</v>
      </c>
      <c r="V42" t="s">
        <v>1419</v>
      </c>
      <c r="W42" s="3">
        <v>0.41199999999999998</v>
      </c>
      <c r="X42" s="3">
        <v>4.1000000000000002E-2</v>
      </c>
      <c r="Y42" t="s">
        <v>1420</v>
      </c>
      <c r="Z42" s="3">
        <v>0.115</v>
      </c>
      <c r="AA42" s="3">
        <v>8.7999999999999995E-2</v>
      </c>
      <c r="AB42" s="3">
        <v>6.4000000000000001E-2</v>
      </c>
      <c r="AC42" s="3">
        <v>0.11899999999999999</v>
      </c>
    </row>
    <row r="43" spans="1:29" x14ac:dyDescent="0.25">
      <c r="A43" s="2">
        <v>45660</v>
      </c>
      <c r="B43" t="s">
        <v>151</v>
      </c>
      <c r="C43">
        <v>1.36</v>
      </c>
      <c r="D43" t="s">
        <v>1305</v>
      </c>
      <c r="E43" t="s">
        <v>1312</v>
      </c>
      <c r="F43">
        <v>1.3526560000000001</v>
      </c>
      <c r="G43" t="s">
        <v>1428</v>
      </c>
      <c r="H43" t="s">
        <v>1307</v>
      </c>
      <c r="I43" t="s">
        <v>744</v>
      </c>
      <c r="J43" t="s">
        <v>369</v>
      </c>
      <c r="K43" s="4">
        <v>1.44</v>
      </c>
      <c r="L43">
        <f t="shared" si="1"/>
        <v>5.8823529411764497</v>
      </c>
      <c r="M43" s="4">
        <v>2.09</v>
      </c>
      <c r="N43" s="4">
        <v>0.89500000000000002</v>
      </c>
      <c r="O43" t="s">
        <v>1295</v>
      </c>
      <c r="Q43" t="s">
        <v>1421</v>
      </c>
      <c r="S43" s="3">
        <v>0</v>
      </c>
      <c r="T43" t="s">
        <v>1422</v>
      </c>
      <c r="V43" t="s">
        <v>1423</v>
      </c>
      <c r="W43" s="3">
        <v>2.1999999999999999E-2</v>
      </c>
      <c r="X43" s="3">
        <v>5.5E-2</v>
      </c>
      <c r="Y43" t="s">
        <v>1424</v>
      </c>
      <c r="Z43" s="3">
        <v>-1.8440000000000001</v>
      </c>
      <c r="AA43" s="3">
        <v>0.92900000000000005</v>
      </c>
      <c r="AC43" s="3">
        <v>-1.1299999999999999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42" sqref="H4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17.500393561271</v>
      </c>
      <c r="B2" s="5">
        <v>6074.8844449999997</v>
      </c>
      <c r="C2">
        <f>COUNTA(Trades!A2:A1048576)</f>
        <v>890</v>
      </c>
      <c r="D2">
        <f>COUNTIF(Trades!J2:J1048576,"&gt;0")</f>
        <v>457</v>
      </c>
      <c r="E2">
        <f>AVERAGEIF(Trades!J2:J1048576,"&gt;0")</f>
        <v>0.36080585927557446</v>
      </c>
      <c r="F2">
        <f>C2-D2</f>
        <v>433</v>
      </c>
      <c r="G2">
        <f>AVERAGEIF(Trades!J2:J1048576,"&lt;0")</f>
        <v>-0.13604272517321014</v>
      </c>
      <c r="H2">
        <v>-33.47</v>
      </c>
      <c r="I2" s="5">
        <v>18.972074467700772</v>
      </c>
      <c r="J2" s="5">
        <v>5.2292493196822942</v>
      </c>
      <c r="K2" s="5">
        <v>12.94821286975225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6"/>
  <sheetViews>
    <sheetView tabSelected="1" topLeftCell="A1314" workbookViewId="0">
      <selection activeCell="J1332" sqref="J133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D1336" si="0">B1335-MAX(100000,B2:B1335)</f>
        <v>-447975.21000000183</v>
      </c>
      <c r="E1335">
        <f>D1335/MAX($B$2:B1335,100000)</f>
        <v>-6.9072194228190276E-2</v>
      </c>
    </row>
    <row r="1336" spans="1:9" x14ac:dyDescent="0.25">
      <c r="A1336" s="2">
        <v>45870</v>
      </c>
      <c r="B1336">
        <v>6174884.4449999994</v>
      </c>
      <c r="C1336">
        <v>116901.92</v>
      </c>
      <c r="D1336">
        <f t="shared" si="0"/>
        <v>-310724.05500000063</v>
      </c>
      <c r="E1336">
        <f>D1336/MAX($B$2:B1336,100000)</f>
        <v>-4.7909776700212577E-2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902"/>
  <sheetViews>
    <sheetView workbookViewId="0">
      <selection activeCell="P22" sqref="P22"/>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8" max="18" width="15.28515625" bestFit="1" customWidth="1"/>
    <col min="19" max="19" width="13.28515625" bestFit="1" customWidth="1"/>
    <col min="20" max="20" width="10.42578125" bestFit="1" customWidth="1"/>
    <col min="21" max="21" width="10.7109375" bestFit="1" customWidth="1"/>
    <col min="22" max="22" width="15.28515625" customWidth="1"/>
    <col min="23" max="23" width="10.7109375" bestFit="1" customWidth="1"/>
    <col min="25" max="25" width="14" bestFit="1" customWidth="1"/>
    <col min="27" max="27" width="13.28515625" bestFit="1" customWidth="1"/>
    <col min="35" max="35" width="12.42578125" bestFit="1" customWidth="1"/>
    <col min="36" max="36" width="39.42578125" customWidth="1"/>
  </cols>
  <sheetData>
    <row r="1" spans="1:34" x14ac:dyDescent="0.25">
      <c r="A1" s="1" t="s">
        <v>1</v>
      </c>
      <c r="B1" s="1" t="s">
        <v>443</v>
      </c>
      <c r="C1" s="1" t="s">
        <v>44</v>
      </c>
      <c r="D1" s="1" t="s">
        <v>40</v>
      </c>
      <c r="E1" s="1" t="s">
        <v>45</v>
      </c>
      <c r="F1" s="1" t="s">
        <v>46</v>
      </c>
      <c r="G1" s="1" t="s">
        <v>47</v>
      </c>
      <c r="H1" s="1" t="s">
        <v>48</v>
      </c>
      <c r="I1" s="1" t="s">
        <v>49</v>
      </c>
      <c r="J1" s="1" t="s">
        <v>50</v>
      </c>
      <c r="K1" s="1" t="s">
        <v>51</v>
      </c>
      <c r="S1" s="3"/>
      <c r="W1" s="2"/>
      <c r="Y1" s="3"/>
      <c r="AA1" s="3"/>
      <c r="AG1" s="3"/>
      <c r="AH1" s="3"/>
    </row>
    <row r="2" spans="1:34" x14ac:dyDescent="0.25">
      <c r="A2" t="s">
        <v>85</v>
      </c>
      <c r="B2" t="s">
        <v>779</v>
      </c>
      <c r="C2" t="s">
        <v>1272</v>
      </c>
      <c r="D2" s="2">
        <v>45856</v>
      </c>
      <c r="E2">
        <v>3.23</v>
      </c>
      <c r="F2" s="2">
        <v>45870</v>
      </c>
      <c r="G2">
        <v>2.92</v>
      </c>
      <c r="H2" s="3">
        <v>-9.6000000000000002E-2</v>
      </c>
      <c r="I2">
        <v>-30898.6</v>
      </c>
      <c r="J2" s="3">
        <v>-9.7900000000000001E-2</v>
      </c>
      <c r="K2">
        <v>97734</v>
      </c>
      <c r="M2" s="3"/>
      <c r="N2" s="3"/>
      <c r="S2" s="3"/>
      <c r="W2" s="2"/>
      <c r="Y2" s="3"/>
      <c r="AA2" s="3"/>
      <c r="AG2" s="3"/>
      <c r="AH2" s="3"/>
    </row>
    <row r="3" spans="1:34" x14ac:dyDescent="0.25">
      <c r="A3" t="s">
        <v>115</v>
      </c>
      <c r="B3" t="s">
        <v>342</v>
      </c>
      <c r="C3" t="s">
        <v>1272</v>
      </c>
      <c r="D3" s="2">
        <v>45793</v>
      </c>
      <c r="E3">
        <v>3.31</v>
      </c>
      <c r="F3" s="2">
        <v>45870</v>
      </c>
      <c r="G3">
        <v>3.7</v>
      </c>
      <c r="H3" s="3">
        <v>0.1178</v>
      </c>
      <c r="I3">
        <v>33641.08</v>
      </c>
      <c r="J3" s="3">
        <v>0.1157</v>
      </c>
      <c r="K3">
        <v>87838</v>
      </c>
      <c r="M3" s="3"/>
      <c r="N3" s="3"/>
      <c r="R3" s="3"/>
      <c r="T3" s="2"/>
      <c r="V3" s="2"/>
      <c r="X3" s="3"/>
      <c r="Z3" s="3"/>
      <c r="AF3" s="3"/>
      <c r="AG3" s="3"/>
      <c r="AH3" s="3"/>
    </row>
    <row r="4" spans="1:34" x14ac:dyDescent="0.25">
      <c r="A4" t="s">
        <v>116</v>
      </c>
      <c r="B4" t="s">
        <v>347</v>
      </c>
      <c r="C4" t="s">
        <v>1272</v>
      </c>
      <c r="D4" s="2">
        <v>45786</v>
      </c>
      <c r="E4">
        <v>2.036613</v>
      </c>
      <c r="F4" s="2">
        <v>45870</v>
      </c>
      <c r="G4">
        <v>2.4500000000000002</v>
      </c>
      <c r="H4" s="3">
        <f>G4/E4-1</f>
        <v>0.20297768893746637</v>
      </c>
      <c r="I4">
        <f>(1+J4)*(K4*E4)-(K4*E4)</f>
        <v>52463.383668676019</v>
      </c>
      <c r="J4" s="3">
        <f>H4-0.001*2</f>
        <v>0.20097768893746637</v>
      </c>
      <c r="K4">
        <v>128174</v>
      </c>
      <c r="M4" s="3"/>
      <c r="N4" s="3"/>
      <c r="R4" s="3"/>
      <c r="T4" s="2"/>
      <c r="V4" s="2"/>
      <c r="X4" s="3"/>
      <c r="Z4" s="3"/>
      <c r="AF4" s="3"/>
      <c r="AG4" s="3"/>
      <c r="AH4" s="3"/>
    </row>
    <row r="5" spans="1:34" x14ac:dyDescent="0.25">
      <c r="A5" t="s">
        <v>117</v>
      </c>
      <c r="B5" t="s">
        <v>355</v>
      </c>
      <c r="C5" t="s">
        <v>1272</v>
      </c>
      <c r="D5" s="2">
        <v>45786</v>
      </c>
      <c r="E5">
        <v>2.64</v>
      </c>
      <c r="F5" s="2">
        <v>45870</v>
      </c>
      <c r="G5">
        <v>3.06</v>
      </c>
      <c r="H5" s="3">
        <v>0.15909999999999999</v>
      </c>
      <c r="I5">
        <v>45551.46</v>
      </c>
      <c r="J5" s="3">
        <v>0.15690000000000001</v>
      </c>
      <c r="K5">
        <v>98889</v>
      </c>
      <c r="M5" s="3"/>
      <c r="N5" s="3"/>
      <c r="R5" s="3"/>
      <c r="T5" s="2"/>
      <c r="V5" s="2"/>
      <c r="X5" s="3"/>
      <c r="Z5" s="3"/>
      <c r="AF5" s="3"/>
      <c r="AG5" s="3"/>
      <c r="AH5" s="3"/>
    </row>
    <row r="6" spans="1:34" x14ac:dyDescent="0.25">
      <c r="A6" t="s">
        <v>118</v>
      </c>
      <c r="B6" t="s">
        <v>359</v>
      </c>
      <c r="C6" t="s">
        <v>1272</v>
      </c>
      <c r="D6" s="2">
        <v>45786</v>
      </c>
      <c r="E6">
        <v>1.26</v>
      </c>
      <c r="F6" s="2">
        <v>45870</v>
      </c>
      <c r="G6">
        <v>1.25</v>
      </c>
      <c r="H6" s="3">
        <v>1.4200000000000001E-2</v>
      </c>
      <c r="I6">
        <v>3547.83</v>
      </c>
      <c r="J6" s="3">
        <v>1.2200000000000001E-2</v>
      </c>
      <c r="K6">
        <v>211847</v>
      </c>
      <c r="M6" s="3"/>
      <c r="N6" s="3"/>
      <c r="R6" s="3"/>
      <c r="T6" s="2"/>
      <c r="V6" s="2"/>
      <c r="X6" s="3"/>
      <c r="Z6" s="3"/>
      <c r="AF6" s="3"/>
      <c r="AG6" s="3"/>
      <c r="AH6" s="3"/>
    </row>
    <row r="7" spans="1:34" x14ac:dyDescent="0.25">
      <c r="A7" t="s">
        <v>119</v>
      </c>
      <c r="B7" t="s">
        <v>363</v>
      </c>
      <c r="C7" t="s">
        <v>1272</v>
      </c>
      <c r="D7" s="2">
        <v>45786</v>
      </c>
      <c r="E7">
        <v>1.79</v>
      </c>
      <c r="F7" s="2">
        <v>45870</v>
      </c>
      <c r="G7">
        <v>1.58</v>
      </c>
      <c r="H7" s="3">
        <v>-0.1173</v>
      </c>
      <c r="I7">
        <v>-34606.480000000003</v>
      </c>
      <c r="J7" s="3">
        <v>-0.1192</v>
      </c>
      <c r="K7">
        <v>145875</v>
      </c>
      <c r="M7" s="3"/>
      <c r="N7" s="3"/>
      <c r="R7" s="3"/>
      <c r="T7" s="2"/>
      <c r="V7" s="2"/>
      <c r="X7" s="3"/>
      <c r="Z7" s="3"/>
      <c r="AF7" s="3"/>
      <c r="AG7" s="3"/>
      <c r="AH7" s="3"/>
    </row>
    <row r="8" spans="1:34" x14ac:dyDescent="0.25">
      <c r="A8" t="s">
        <v>120</v>
      </c>
      <c r="B8" t="s">
        <v>368</v>
      </c>
      <c r="C8" t="s">
        <v>1272</v>
      </c>
      <c r="D8" s="2">
        <v>45786</v>
      </c>
      <c r="E8">
        <v>0.77500000000000002</v>
      </c>
      <c r="F8" s="2">
        <v>45870</v>
      </c>
      <c r="G8">
        <v>0.56499999999999995</v>
      </c>
      <c r="H8" s="3">
        <v>-0.27100000000000002</v>
      </c>
      <c r="I8">
        <v>-79176.84</v>
      </c>
      <c r="J8" s="3">
        <v>-0.2727</v>
      </c>
      <c r="K8">
        <v>336957</v>
      </c>
      <c r="M8" s="3"/>
      <c r="N8" s="3"/>
      <c r="R8" s="3"/>
      <c r="T8" s="2"/>
      <c r="V8" s="2"/>
      <c r="X8" s="3"/>
      <c r="Z8" s="3"/>
      <c r="AF8" s="3"/>
      <c r="AG8" s="3"/>
      <c r="AH8" s="3"/>
    </row>
    <row r="9" spans="1:34" x14ac:dyDescent="0.25">
      <c r="A9" t="s">
        <v>121</v>
      </c>
      <c r="B9" t="s">
        <v>373</v>
      </c>
      <c r="C9" t="s">
        <v>1272</v>
      </c>
      <c r="D9" s="2">
        <v>45786</v>
      </c>
      <c r="E9">
        <v>1.885</v>
      </c>
      <c r="F9" s="2">
        <v>45870</v>
      </c>
      <c r="G9">
        <v>2.16</v>
      </c>
      <c r="H9" s="3">
        <v>0.1459</v>
      </c>
      <c r="I9">
        <v>41739.26</v>
      </c>
      <c r="J9" s="3">
        <v>0.14369999999999999</v>
      </c>
      <c r="K9">
        <v>138550</v>
      </c>
      <c r="M9" s="3"/>
      <c r="N9" s="3"/>
      <c r="R9" s="3"/>
      <c r="T9" s="2"/>
      <c r="V9" s="2"/>
      <c r="X9" s="3"/>
      <c r="Z9" s="3"/>
      <c r="AF9" s="3"/>
      <c r="AG9" s="3"/>
      <c r="AH9" s="3"/>
    </row>
    <row r="10" spans="1:34" x14ac:dyDescent="0.25">
      <c r="A10" t="s">
        <v>122</v>
      </c>
      <c r="B10" t="s">
        <v>379</v>
      </c>
      <c r="C10" t="s">
        <v>1272</v>
      </c>
      <c r="D10" s="2">
        <v>45786</v>
      </c>
      <c r="E10">
        <v>7.29</v>
      </c>
      <c r="F10" s="2">
        <v>45870</v>
      </c>
      <c r="G10">
        <v>8.02</v>
      </c>
      <c r="H10" s="3">
        <v>0.10009999999999999</v>
      </c>
      <c r="I10">
        <v>28469.68</v>
      </c>
      <c r="J10" s="3">
        <v>9.8000000000000004E-2</v>
      </c>
      <c r="K10">
        <v>35828</v>
      </c>
      <c r="M10" s="3"/>
      <c r="N10" s="3"/>
      <c r="R10" s="3"/>
      <c r="T10" s="2"/>
      <c r="V10" s="2"/>
      <c r="X10" s="3"/>
      <c r="Z10" s="3"/>
      <c r="AF10" s="3"/>
      <c r="AG10" s="3"/>
      <c r="AH10" s="3"/>
    </row>
    <row r="11" spans="1:34" x14ac:dyDescent="0.25">
      <c r="A11" t="s">
        <v>123</v>
      </c>
      <c r="B11" t="s">
        <v>384</v>
      </c>
      <c r="C11" t="s">
        <v>1272</v>
      </c>
      <c r="D11" s="2">
        <v>45786</v>
      </c>
      <c r="E11">
        <v>3.32</v>
      </c>
      <c r="F11" s="2">
        <v>45870</v>
      </c>
      <c r="G11">
        <v>4.5999999999999996</v>
      </c>
      <c r="H11" s="3">
        <v>0.38550000000000001</v>
      </c>
      <c r="I11">
        <v>111280.29</v>
      </c>
      <c r="J11" s="3">
        <v>0.38319999999999999</v>
      </c>
      <c r="K11">
        <v>78679</v>
      </c>
      <c r="M11" s="3"/>
      <c r="N11" s="3"/>
      <c r="R11" s="3"/>
      <c r="T11" s="2"/>
      <c r="V11" s="2"/>
      <c r="X11" s="3"/>
      <c r="Z11" s="3"/>
      <c r="AF11" s="3"/>
      <c r="AG11" s="3"/>
      <c r="AH11" s="3"/>
    </row>
    <row r="12" spans="1:34" x14ac:dyDescent="0.25">
      <c r="A12" t="s">
        <v>124</v>
      </c>
      <c r="B12" t="s">
        <v>388</v>
      </c>
      <c r="C12" t="s">
        <v>1272</v>
      </c>
      <c r="D12" s="2">
        <v>45786</v>
      </c>
      <c r="E12">
        <v>0.68</v>
      </c>
      <c r="F12" s="2">
        <v>45870</v>
      </c>
      <c r="G12">
        <v>0.67</v>
      </c>
      <c r="H12" s="3">
        <v>2.29E-2</v>
      </c>
      <c r="I12">
        <v>6064.15</v>
      </c>
      <c r="J12" s="3">
        <v>2.0899999999999998E-2</v>
      </c>
      <c r="K12">
        <v>398842</v>
      </c>
      <c r="M12" s="3"/>
      <c r="N12" s="3"/>
      <c r="R12" s="3"/>
      <c r="T12" s="2"/>
      <c r="V12" s="2"/>
      <c r="X12" s="3"/>
      <c r="Z12" s="3"/>
      <c r="AF12" s="3"/>
      <c r="AG12" s="3"/>
      <c r="AH12" s="3"/>
    </row>
    <row r="13" spans="1:34" x14ac:dyDescent="0.25">
      <c r="A13" t="s">
        <v>126</v>
      </c>
      <c r="B13" t="s">
        <v>397</v>
      </c>
      <c r="C13" t="s">
        <v>1272</v>
      </c>
      <c r="D13" s="2">
        <v>45786</v>
      </c>
      <c r="E13">
        <v>1.5449999999999999</v>
      </c>
      <c r="F13" s="2">
        <v>45870</v>
      </c>
      <c r="G13">
        <v>1.54</v>
      </c>
      <c r="H13" s="3">
        <v>1.7100000000000001E-2</v>
      </c>
      <c r="I13">
        <v>4383.49</v>
      </c>
      <c r="J13" s="3">
        <v>1.5100000000000001E-2</v>
      </c>
      <c r="K13">
        <v>172572</v>
      </c>
      <c r="M13" s="3"/>
      <c r="N13" s="3"/>
      <c r="R13" s="3"/>
      <c r="T13" s="2"/>
      <c r="V13" s="2"/>
      <c r="X13" s="3"/>
      <c r="Z13" s="3"/>
      <c r="AF13" s="3"/>
      <c r="AG13" s="3"/>
      <c r="AH13" s="3"/>
    </row>
    <row r="14" spans="1:34" x14ac:dyDescent="0.25">
      <c r="A14" t="s">
        <v>101</v>
      </c>
      <c r="B14" t="s">
        <v>402</v>
      </c>
      <c r="C14" t="s">
        <v>1272</v>
      </c>
      <c r="D14" s="2">
        <v>45786</v>
      </c>
      <c r="E14">
        <v>1.8</v>
      </c>
      <c r="F14" s="2">
        <v>45870</v>
      </c>
      <c r="G14">
        <v>2.4</v>
      </c>
      <c r="H14" s="3">
        <v>0.33329999999999999</v>
      </c>
      <c r="I14">
        <v>96168.67</v>
      </c>
      <c r="J14" s="3">
        <v>0.33100000000000002</v>
      </c>
      <c r="K14">
        <v>145175</v>
      </c>
      <c r="M14" s="3"/>
      <c r="N14" s="3"/>
      <c r="R14" s="3"/>
      <c r="T14" s="2"/>
      <c r="V14" s="2"/>
      <c r="X14" s="3"/>
      <c r="Z14" s="3"/>
      <c r="AF14" s="3"/>
      <c r="AG14" s="3"/>
      <c r="AH14" s="3"/>
    </row>
    <row r="15" spans="1:34" x14ac:dyDescent="0.25">
      <c r="A15" t="s">
        <v>127</v>
      </c>
      <c r="B15" t="s">
        <v>407</v>
      </c>
      <c r="C15" t="s">
        <v>1272</v>
      </c>
      <c r="D15" s="2">
        <v>45786</v>
      </c>
      <c r="E15">
        <v>2.66</v>
      </c>
      <c r="F15" s="2">
        <v>45870</v>
      </c>
      <c r="G15">
        <v>3</v>
      </c>
      <c r="H15" s="3">
        <v>0.1278</v>
      </c>
      <c r="I15">
        <v>36521.96</v>
      </c>
      <c r="J15" s="3">
        <v>0.12570000000000001</v>
      </c>
      <c r="K15">
        <v>98248</v>
      </c>
      <c r="M15" s="3"/>
      <c r="N15" s="3"/>
      <c r="R15" s="3"/>
      <c r="T15" s="2"/>
      <c r="V15" s="2"/>
      <c r="X15" s="3"/>
      <c r="Z15" s="3"/>
      <c r="AF15" s="3"/>
      <c r="AG15" s="3"/>
      <c r="AH15" s="3"/>
    </row>
    <row r="16" spans="1:34" x14ac:dyDescent="0.25">
      <c r="A16" t="s">
        <v>128</v>
      </c>
      <c r="B16" t="s">
        <v>412</v>
      </c>
      <c r="C16" t="s">
        <v>1272</v>
      </c>
      <c r="D16" s="2">
        <v>45786</v>
      </c>
      <c r="E16">
        <v>1.66</v>
      </c>
      <c r="F16" s="2">
        <v>45870</v>
      </c>
      <c r="G16">
        <v>1.74</v>
      </c>
      <c r="H16" s="3">
        <v>4.82E-2</v>
      </c>
      <c r="I16">
        <v>13409.44</v>
      </c>
      <c r="J16" s="3">
        <v>4.6100000000000002E-2</v>
      </c>
      <c r="K16">
        <v>157449</v>
      </c>
      <c r="M16" s="3"/>
      <c r="N16" s="3"/>
      <c r="R16" s="3"/>
      <c r="T16" s="2"/>
      <c r="V16" s="2"/>
      <c r="X16" s="3"/>
      <c r="Z16" s="3"/>
      <c r="AF16" s="3"/>
      <c r="AG16" s="3"/>
      <c r="AH16" s="3"/>
    </row>
    <row r="17" spans="1:36" x14ac:dyDescent="0.25">
      <c r="A17" t="s">
        <v>97</v>
      </c>
      <c r="B17" t="s">
        <v>418</v>
      </c>
      <c r="C17" t="s">
        <v>1272</v>
      </c>
      <c r="D17" s="2">
        <v>45786</v>
      </c>
      <c r="E17">
        <v>2.9</v>
      </c>
      <c r="F17" s="2">
        <v>45870</v>
      </c>
      <c r="G17">
        <v>2.63</v>
      </c>
      <c r="H17" s="3">
        <v>-9.3100000000000002E-2</v>
      </c>
      <c r="I17">
        <v>-27612.240000000002</v>
      </c>
      <c r="J17" s="3">
        <v>-9.5000000000000001E-2</v>
      </c>
      <c r="K17">
        <v>90134</v>
      </c>
      <c r="M17" s="3"/>
      <c r="N17" s="3"/>
      <c r="R17" s="3"/>
      <c r="T17" s="2"/>
      <c r="V17" s="2"/>
      <c r="X17" s="3"/>
      <c r="Z17" s="3"/>
      <c r="AF17" s="3"/>
      <c r="AG17" s="3"/>
      <c r="AH17" s="3"/>
    </row>
    <row r="18" spans="1:36" x14ac:dyDescent="0.25">
      <c r="A18" t="s">
        <v>129</v>
      </c>
      <c r="B18" t="s">
        <v>423</v>
      </c>
      <c r="C18" t="s">
        <v>1272</v>
      </c>
      <c r="D18" s="2">
        <v>45786</v>
      </c>
      <c r="E18">
        <v>1.36</v>
      </c>
      <c r="F18" s="2">
        <v>45870</v>
      </c>
      <c r="G18">
        <v>3.01</v>
      </c>
      <c r="H18" s="3">
        <v>1.2132000000000001</v>
      </c>
      <c r="I18">
        <v>351694.17</v>
      </c>
      <c r="J18" s="3">
        <v>1.21</v>
      </c>
      <c r="K18">
        <v>192217</v>
      </c>
      <c r="M18" s="3"/>
      <c r="N18" s="3"/>
      <c r="R18" s="3"/>
      <c r="T18" s="2"/>
      <c r="V18" s="2"/>
      <c r="X18" s="3"/>
      <c r="Z18" s="3"/>
      <c r="AF18" s="3"/>
      <c r="AG18" s="3"/>
      <c r="AH18" s="3"/>
    </row>
    <row r="19" spans="1:36" x14ac:dyDescent="0.25">
      <c r="A19" t="s">
        <v>130</v>
      </c>
      <c r="B19" t="s">
        <v>427</v>
      </c>
      <c r="C19" t="s">
        <v>1272</v>
      </c>
      <c r="D19" s="2">
        <v>45702</v>
      </c>
      <c r="E19">
        <v>1.425</v>
      </c>
      <c r="F19" s="2">
        <v>45870</v>
      </c>
      <c r="G19">
        <v>1.91</v>
      </c>
      <c r="H19" s="3">
        <v>0.43640000000000001</v>
      </c>
      <c r="I19">
        <v>135431.59</v>
      </c>
      <c r="J19" s="3">
        <v>0.43390000000000001</v>
      </c>
      <c r="K19">
        <v>211179</v>
      </c>
      <c r="M19" s="3"/>
      <c r="N19" s="3"/>
      <c r="R19" s="3"/>
      <c r="T19" s="2"/>
      <c r="V19" s="2"/>
      <c r="X19" s="3"/>
      <c r="Z19" s="3"/>
      <c r="AF19" s="3"/>
      <c r="AG19" s="3"/>
      <c r="AH19" s="3"/>
      <c r="AI19" s="6"/>
      <c r="AJ19" s="6"/>
    </row>
    <row r="20" spans="1:36" x14ac:dyDescent="0.25">
      <c r="A20" t="s">
        <v>131</v>
      </c>
      <c r="B20" t="s">
        <v>433</v>
      </c>
      <c r="C20" t="s">
        <v>1272</v>
      </c>
      <c r="D20" s="2">
        <v>45660</v>
      </c>
      <c r="E20">
        <v>0.52570839999999996</v>
      </c>
      <c r="F20" s="2">
        <v>45870</v>
      </c>
      <c r="G20">
        <v>0.53500000000000003</v>
      </c>
      <c r="H20" s="3">
        <v>1.77E-2</v>
      </c>
      <c r="I20">
        <v>4977.18</v>
      </c>
      <c r="J20" s="3">
        <v>1.5699999999999999E-2</v>
      </c>
      <c r="K20">
        <v>543670</v>
      </c>
      <c r="M20" s="3"/>
      <c r="N20" s="3"/>
      <c r="R20" s="3"/>
      <c r="T20" s="2"/>
      <c r="V20" s="2"/>
      <c r="X20" s="3"/>
      <c r="Z20" s="3"/>
      <c r="AF20" s="3"/>
      <c r="AG20" s="3"/>
      <c r="AH20" s="3"/>
    </row>
    <row r="21" spans="1:36" x14ac:dyDescent="0.25">
      <c r="A21" t="s">
        <v>132</v>
      </c>
      <c r="B21" t="s">
        <v>438</v>
      </c>
      <c r="C21" t="s">
        <v>1272</v>
      </c>
      <c r="D21" s="2">
        <v>45569</v>
      </c>
      <c r="E21">
        <v>4.8722630000000002</v>
      </c>
      <c r="F21" s="2">
        <v>45870</v>
      </c>
      <c r="G21">
        <v>5.8</v>
      </c>
      <c r="H21" s="3">
        <v>0.19040000000000001</v>
      </c>
      <c r="I21">
        <v>62206.34</v>
      </c>
      <c r="J21" s="3">
        <v>0.18820000000000001</v>
      </c>
      <c r="K21">
        <v>60986</v>
      </c>
      <c r="M21" s="3"/>
      <c r="N21" s="3"/>
      <c r="R21" s="3"/>
      <c r="T21" s="2"/>
      <c r="V21" s="2"/>
      <c r="X21" s="3"/>
      <c r="Z21" s="3"/>
      <c r="AF21" s="3"/>
      <c r="AG21" s="3"/>
      <c r="AH21" s="3"/>
    </row>
    <row r="22" spans="1:36" x14ac:dyDescent="0.25">
      <c r="A22" t="s">
        <v>125</v>
      </c>
      <c r="B22" t="s">
        <v>393</v>
      </c>
      <c r="C22" t="s">
        <v>1273</v>
      </c>
      <c r="D22" s="15">
        <v>45786</v>
      </c>
      <c r="E22">
        <v>1.82</v>
      </c>
      <c r="F22" s="2">
        <v>45856</v>
      </c>
      <c r="G22">
        <v>1.25</v>
      </c>
      <c r="H22" s="3">
        <v>-0.31319999999999998</v>
      </c>
      <c r="I22">
        <v>-91465.98</v>
      </c>
      <c r="J22" s="3">
        <v>-0.31490000000000001</v>
      </c>
      <c r="K22">
        <v>159607</v>
      </c>
      <c r="R22" s="3"/>
      <c r="T22" s="2"/>
      <c r="V22" s="2"/>
      <c r="X22" s="3"/>
      <c r="Z22" s="3"/>
      <c r="AF22" s="3"/>
      <c r="AG22" s="3"/>
      <c r="AH22" s="3"/>
    </row>
    <row r="23" spans="1:36" x14ac:dyDescent="0.25">
      <c r="A23" t="s">
        <v>133</v>
      </c>
      <c r="B23" t="s">
        <v>725</v>
      </c>
      <c r="C23" t="s">
        <v>1273</v>
      </c>
      <c r="D23" s="2">
        <v>45695</v>
      </c>
      <c r="E23">
        <v>5.73</v>
      </c>
      <c r="F23" s="2">
        <v>45791</v>
      </c>
      <c r="G23">
        <v>5.88</v>
      </c>
      <c r="H23" s="3">
        <v>2.6200000000000001E-2</v>
      </c>
      <c r="I23">
        <v>6731.57</v>
      </c>
      <c r="J23" s="3">
        <v>2.4199999999999999E-2</v>
      </c>
      <c r="K23">
        <v>48642</v>
      </c>
      <c r="T23" s="15"/>
      <c r="V23" s="2"/>
      <c r="X23" s="3"/>
      <c r="Z23" s="3"/>
      <c r="AF23" s="3"/>
      <c r="AG23" s="3"/>
    </row>
    <row r="24" spans="1:36" x14ac:dyDescent="0.25">
      <c r="A24" t="s">
        <v>134</v>
      </c>
      <c r="B24" t="s">
        <v>726</v>
      </c>
      <c r="C24" t="s">
        <v>1273</v>
      </c>
      <c r="D24" s="2">
        <v>45674</v>
      </c>
      <c r="E24">
        <v>1.55</v>
      </c>
      <c r="F24" s="2">
        <v>45764</v>
      </c>
      <c r="G24">
        <v>1.2849999999999999</v>
      </c>
      <c r="H24" s="3">
        <v>-0.17100000000000001</v>
      </c>
      <c r="I24">
        <v>-48131.29</v>
      </c>
      <c r="J24" s="3">
        <v>-0.17280000000000001</v>
      </c>
      <c r="K24">
        <v>179705</v>
      </c>
      <c r="T24" s="2"/>
      <c r="U24" s="2"/>
      <c r="V24" s="2"/>
      <c r="W24" s="2"/>
      <c r="X24" s="3"/>
      <c r="Y24" s="3"/>
      <c r="Z24" s="3"/>
      <c r="AA24" s="3"/>
      <c r="AF24" s="3"/>
      <c r="AG24" s="3"/>
      <c r="AH24" s="3"/>
    </row>
    <row r="25" spans="1:36" x14ac:dyDescent="0.25">
      <c r="A25" t="s">
        <v>135</v>
      </c>
      <c r="B25" t="s">
        <v>727</v>
      </c>
      <c r="C25" t="s">
        <v>1273</v>
      </c>
      <c r="D25" s="2">
        <v>45268</v>
      </c>
      <c r="E25">
        <v>4.7785450000000003</v>
      </c>
      <c r="F25" s="2">
        <v>45764</v>
      </c>
      <c r="G25">
        <v>6</v>
      </c>
      <c r="H25" s="3">
        <v>0.25559999999999999</v>
      </c>
      <c r="I25">
        <v>52447.71</v>
      </c>
      <c r="J25" s="3">
        <v>0.25340000000000001</v>
      </c>
      <c r="K25">
        <v>43321</v>
      </c>
      <c r="T25" s="2"/>
      <c r="U25" s="2"/>
      <c r="V25" s="2"/>
      <c r="W25" s="2"/>
      <c r="X25" s="3"/>
      <c r="Y25" s="3"/>
      <c r="Z25" s="3"/>
      <c r="AA25" s="3"/>
      <c r="AF25" s="3"/>
      <c r="AG25" s="3"/>
      <c r="AH25" s="3"/>
    </row>
    <row r="26" spans="1:36" x14ac:dyDescent="0.25">
      <c r="A26" t="s">
        <v>136</v>
      </c>
      <c r="B26" t="s">
        <v>728</v>
      </c>
      <c r="C26" t="s">
        <v>1273</v>
      </c>
      <c r="D26" s="2">
        <v>45702</v>
      </c>
      <c r="E26">
        <v>17.670459999999999</v>
      </c>
      <c r="F26" s="2">
        <v>45758</v>
      </c>
      <c r="G26">
        <v>14.25</v>
      </c>
      <c r="H26" s="3">
        <v>-0.19359999999999999</v>
      </c>
      <c r="I26">
        <v>-54851.42</v>
      </c>
      <c r="J26" s="3">
        <v>-0.19539999999999999</v>
      </c>
      <c r="K26">
        <v>15888</v>
      </c>
      <c r="T26" s="2"/>
      <c r="U26" s="2"/>
      <c r="V26" s="2"/>
      <c r="W26" s="2"/>
      <c r="X26" s="3"/>
      <c r="Y26" s="3"/>
      <c r="Z26" s="3"/>
      <c r="AA26" s="3"/>
      <c r="AF26" s="3"/>
      <c r="AG26" s="3"/>
      <c r="AH26" s="3"/>
    </row>
    <row r="27" spans="1:36" x14ac:dyDescent="0.25">
      <c r="A27" t="s">
        <v>115</v>
      </c>
      <c r="B27" t="s">
        <v>342</v>
      </c>
      <c r="C27" t="s">
        <v>1273</v>
      </c>
      <c r="D27" s="2">
        <v>45702</v>
      </c>
      <c r="E27">
        <v>2.21</v>
      </c>
      <c r="F27" s="2">
        <v>45758</v>
      </c>
      <c r="G27">
        <v>2.27</v>
      </c>
      <c r="H27" s="3">
        <v>2.7099999999999999E-2</v>
      </c>
      <c r="I27">
        <v>7053.98</v>
      </c>
      <c r="J27" s="3">
        <v>2.5100000000000001E-2</v>
      </c>
      <c r="K27">
        <v>127053</v>
      </c>
      <c r="T27" s="2"/>
      <c r="U27" s="2"/>
      <c r="V27" s="2"/>
      <c r="W27" s="2"/>
      <c r="X27" s="3"/>
      <c r="Y27" s="3"/>
      <c r="Z27" s="3"/>
      <c r="AA27" s="3"/>
      <c r="AF27" s="3"/>
      <c r="AG27" s="3"/>
      <c r="AH27" s="3"/>
    </row>
    <row r="28" spans="1:36" x14ac:dyDescent="0.25">
      <c r="A28" t="s">
        <v>137</v>
      </c>
      <c r="B28" t="s">
        <v>729</v>
      </c>
      <c r="C28" t="s">
        <v>1273</v>
      </c>
      <c r="D28" s="2">
        <v>45688</v>
      </c>
      <c r="E28">
        <v>1.7</v>
      </c>
      <c r="F28" s="2">
        <v>45751</v>
      </c>
      <c r="G28">
        <v>1.74</v>
      </c>
      <c r="H28" s="3">
        <v>2.35E-2</v>
      </c>
      <c r="I28">
        <v>5947.25</v>
      </c>
      <c r="J28" s="3">
        <v>2.1499999999999998E-2</v>
      </c>
      <c r="K28">
        <v>162671</v>
      </c>
      <c r="T28" s="2"/>
      <c r="U28" s="2"/>
      <c r="V28" s="2"/>
      <c r="W28" s="2"/>
      <c r="X28" s="3"/>
      <c r="Y28" s="3"/>
      <c r="Z28" s="3"/>
      <c r="AA28" s="3"/>
      <c r="AF28" s="3"/>
      <c r="AG28" s="3"/>
      <c r="AH28" s="3"/>
    </row>
    <row r="29" spans="1:36" x14ac:dyDescent="0.25">
      <c r="A29" t="s">
        <v>138</v>
      </c>
      <c r="B29" t="s">
        <v>730</v>
      </c>
      <c r="C29" t="s">
        <v>1273</v>
      </c>
      <c r="D29" s="2">
        <v>45695</v>
      </c>
      <c r="E29">
        <v>6.48</v>
      </c>
      <c r="F29" s="2">
        <v>45751</v>
      </c>
      <c r="G29">
        <v>5.2</v>
      </c>
      <c r="H29" s="3">
        <v>-0.19750000000000001</v>
      </c>
      <c r="I29">
        <v>-55552.57</v>
      </c>
      <c r="J29" s="3">
        <v>-0.1993</v>
      </c>
      <c r="K29">
        <v>43008</v>
      </c>
      <c r="T29" s="2"/>
      <c r="U29" s="2"/>
      <c r="V29" s="2"/>
      <c r="W29" s="2"/>
      <c r="X29" s="3"/>
      <c r="Y29" s="3"/>
      <c r="Z29" s="3"/>
      <c r="AA29" s="3"/>
      <c r="AF29" s="3"/>
      <c r="AG29" s="3"/>
      <c r="AH29" s="3"/>
    </row>
    <row r="30" spans="1:36" x14ac:dyDescent="0.25">
      <c r="A30" t="s">
        <v>139</v>
      </c>
      <c r="B30" t="s">
        <v>731</v>
      </c>
      <c r="C30" t="s">
        <v>1273</v>
      </c>
      <c r="D30" s="2">
        <v>45590</v>
      </c>
      <c r="E30">
        <v>1.9650000000000001</v>
      </c>
      <c r="F30" s="2">
        <v>45737</v>
      </c>
      <c r="G30">
        <v>1.75</v>
      </c>
      <c r="H30" s="3">
        <v>-0.1094</v>
      </c>
      <c r="I30">
        <v>-34660.86</v>
      </c>
      <c r="J30" s="3">
        <v>-0.1113</v>
      </c>
      <c r="K30">
        <v>158475</v>
      </c>
      <c r="T30" s="2"/>
      <c r="U30" s="2"/>
      <c r="V30" s="2"/>
      <c r="W30" s="2"/>
      <c r="X30" s="3"/>
      <c r="Y30" s="3"/>
      <c r="Z30" s="3"/>
      <c r="AA30" s="3"/>
      <c r="AF30" s="3"/>
      <c r="AG30" s="3"/>
      <c r="AH30" s="3"/>
    </row>
    <row r="31" spans="1:36" x14ac:dyDescent="0.25">
      <c r="A31" t="s">
        <v>140</v>
      </c>
      <c r="B31" t="s">
        <v>732</v>
      </c>
      <c r="C31" t="s">
        <v>1273</v>
      </c>
      <c r="D31" s="2">
        <v>45709</v>
      </c>
      <c r="E31">
        <v>12.9</v>
      </c>
      <c r="F31" s="2">
        <v>45737</v>
      </c>
      <c r="G31">
        <v>11.78</v>
      </c>
      <c r="H31" s="3">
        <v>-8.6800000000000002E-2</v>
      </c>
      <c r="I31">
        <v>-24900.22</v>
      </c>
      <c r="J31" s="3">
        <v>-8.8700000000000001E-2</v>
      </c>
      <c r="K31">
        <v>21753</v>
      </c>
      <c r="T31" s="2"/>
      <c r="U31" s="2"/>
      <c r="V31" s="2"/>
      <c r="W31" s="2"/>
      <c r="X31" s="3"/>
      <c r="Y31" s="3"/>
      <c r="Z31" s="3"/>
      <c r="AA31" s="3"/>
      <c r="AF31" s="3"/>
      <c r="AG31" s="3"/>
      <c r="AH31" s="3"/>
    </row>
    <row r="32" spans="1:36" x14ac:dyDescent="0.25">
      <c r="A32" t="s">
        <v>141</v>
      </c>
      <c r="B32" t="s">
        <v>733</v>
      </c>
      <c r="C32" t="s">
        <v>1273</v>
      </c>
      <c r="D32" s="2">
        <v>45702</v>
      </c>
      <c r="E32">
        <v>7.1378370000000002</v>
      </c>
      <c r="F32" s="2">
        <v>45737</v>
      </c>
      <c r="G32">
        <v>7.5</v>
      </c>
      <c r="H32" s="3">
        <v>5.0700000000000002E-2</v>
      </c>
      <c r="I32">
        <v>13673.38</v>
      </c>
      <c r="J32" s="3">
        <v>4.87E-2</v>
      </c>
      <c r="K32">
        <v>39345</v>
      </c>
      <c r="T32" s="2"/>
      <c r="U32" s="2"/>
      <c r="V32" s="2"/>
      <c r="W32" s="2"/>
      <c r="X32" s="3"/>
      <c r="Y32" s="3"/>
      <c r="Z32" s="3"/>
      <c r="AA32" s="3"/>
      <c r="AF32" s="3"/>
      <c r="AG32" s="3"/>
      <c r="AH32" s="3"/>
    </row>
    <row r="33" spans="1:34" x14ac:dyDescent="0.25">
      <c r="A33" t="s">
        <v>142</v>
      </c>
      <c r="B33" t="s">
        <v>734</v>
      </c>
      <c r="C33" t="s">
        <v>1273</v>
      </c>
      <c r="D33" s="2">
        <v>45695</v>
      </c>
      <c r="E33">
        <v>1.123842</v>
      </c>
      <c r="F33" s="2">
        <v>45730</v>
      </c>
      <c r="G33">
        <v>0.99734880000000004</v>
      </c>
      <c r="H33" s="3">
        <v>-0.11260000000000001</v>
      </c>
      <c r="I33">
        <v>-31891.22</v>
      </c>
      <c r="J33" s="3">
        <v>-0.1144</v>
      </c>
      <c r="K33">
        <v>247960</v>
      </c>
      <c r="T33" s="2"/>
      <c r="U33" s="2"/>
      <c r="V33" s="2"/>
      <c r="W33" s="2"/>
      <c r="X33" s="3"/>
      <c r="Y33" s="3"/>
      <c r="Z33" s="3"/>
      <c r="AA33" s="3"/>
      <c r="AF33" s="3"/>
      <c r="AG33" s="3"/>
      <c r="AH33" s="3"/>
    </row>
    <row r="34" spans="1:34" x14ac:dyDescent="0.25">
      <c r="A34" t="s">
        <v>143</v>
      </c>
      <c r="B34" t="s">
        <v>735</v>
      </c>
      <c r="C34" t="s">
        <v>1273</v>
      </c>
      <c r="D34" s="2">
        <v>45569</v>
      </c>
      <c r="E34">
        <v>13</v>
      </c>
      <c r="F34" s="2">
        <v>45730</v>
      </c>
      <c r="G34">
        <v>16.38</v>
      </c>
      <c r="H34" s="3">
        <v>0.26</v>
      </c>
      <c r="I34">
        <v>76575.070000000007</v>
      </c>
      <c r="J34" s="3">
        <v>0.25769999999999998</v>
      </c>
      <c r="K34">
        <v>22854</v>
      </c>
      <c r="T34" s="2"/>
      <c r="U34" s="2"/>
      <c r="V34" s="2"/>
      <c r="W34" s="2"/>
      <c r="X34" s="3"/>
      <c r="Y34" s="3"/>
      <c r="Z34" s="3"/>
      <c r="AA34" s="3"/>
      <c r="AF34" s="3"/>
      <c r="AG34" s="3"/>
      <c r="AH34" s="3"/>
    </row>
    <row r="35" spans="1:34" x14ac:dyDescent="0.25">
      <c r="A35" t="s">
        <v>144</v>
      </c>
      <c r="B35" t="s">
        <v>736</v>
      </c>
      <c r="C35" t="s">
        <v>1273</v>
      </c>
      <c r="D35" s="2">
        <v>45534</v>
      </c>
      <c r="E35">
        <v>2.7396500000000001</v>
      </c>
      <c r="F35" s="2">
        <v>45723</v>
      </c>
      <c r="G35">
        <v>3.014885</v>
      </c>
      <c r="H35" s="3">
        <v>0.10050000000000001</v>
      </c>
      <c r="I35">
        <v>25395.3</v>
      </c>
      <c r="J35" s="3">
        <v>9.8400000000000001E-2</v>
      </c>
      <c r="K35">
        <v>94238</v>
      </c>
      <c r="T35" s="2"/>
      <c r="U35" s="2"/>
      <c r="V35" s="2"/>
      <c r="W35" s="2"/>
      <c r="X35" s="3"/>
      <c r="Y35" s="3"/>
      <c r="Z35" s="3"/>
      <c r="AA35" s="3"/>
      <c r="AF35" s="3"/>
      <c r="AG35" s="3"/>
      <c r="AH35" s="3"/>
    </row>
    <row r="36" spans="1:34" x14ac:dyDescent="0.25">
      <c r="A36" t="s">
        <v>145</v>
      </c>
      <c r="B36" t="s">
        <v>737</v>
      </c>
      <c r="C36" t="s">
        <v>1273</v>
      </c>
      <c r="D36" s="2">
        <v>45478</v>
      </c>
      <c r="E36">
        <v>2.6450070000000001</v>
      </c>
      <c r="F36" s="2">
        <v>45723</v>
      </c>
      <c r="G36">
        <v>2.0656979999999998</v>
      </c>
      <c r="H36" s="3">
        <v>-0.219</v>
      </c>
      <c r="I36">
        <v>-55012.9</v>
      </c>
      <c r="J36" s="3">
        <v>-0.2208</v>
      </c>
      <c r="K36">
        <v>94197</v>
      </c>
      <c r="T36" s="2"/>
      <c r="U36" s="2"/>
      <c r="V36" s="2"/>
      <c r="W36" s="2"/>
      <c r="X36" s="3"/>
      <c r="Y36" s="3"/>
      <c r="Z36" s="3"/>
      <c r="AA36" s="3"/>
      <c r="AF36" s="3"/>
      <c r="AG36" s="3"/>
      <c r="AH36" s="3"/>
    </row>
    <row r="37" spans="1:34" x14ac:dyDescent="0.25">
      <c r="A37" t="s">
        <v>91</v>
      </c>
      <c r="B37" t="s">
        <v>738</v>
      </c>
      <c r="C37" t="s">
        <v>1273</v>
      </c>
      <c r="D37" s="2">
        <v>45674</v>
      </c>
      <c r="E37">
        <v>4.68</v>
      </c>
      <c r="F37" s="2">
        <v>45723</v>
      </c>
      <c r="G37">
        <v>4.55</v>
      </c>
      <c r="H37" s="3">
        <v>-2.7799999999999998E-2</v>
      </c>
      <c r="I37">
        <v>-8285.86</v>
      </c>
      <c r="J37" s="3">
        <v>-2.98E-2</v>
      </c>
      <c r="K37">
        <v>59512</v>
      </c>
      <c r="T37" s="2"/>
      <c r="U37" s="2"/>
      <c r="V37" s="2"/>
      <c r="W37" s="2"/>
      <c r="X37" s="3"/>
      <c r="Y37" s="3"/>
      <c r="Z37" s="3"/>
      <c r="AA37" s="3"/>
      <c r="AF37" s="3"/>
      <c r="AG37" s="3"/>
      <c r="AH37" s="3"/>
    </row>
    <row r="38" spans="1:34" x14ac:dyDescent="0.25">
      <c r="A38" t="s">
        <v>146</v>
      </c>
      <c r="B38" t="s">
        <v>739</v>
      </c>
      <c r="C38" t="s">
        <v>1273</v>
      </c>
      <c r="D38" s="2">
        <v>45688</v>
      </c>
      <c r="E38">
        <v>5.93</v>
      </c>
      <c r="F38" s="2">
        <v>45716</v>
      </c>
      <c r="G38">
        <v>4.6500000000000004</v>
      </c>
      <c r="H38" s="3">
        <v>-0.21590000000000001</v>
      </c>
      <c r="I38">
        <v>-60190.07</v>
      </c>
      <c r="J38" s="3">
        <v>-0.21759999999999999</v>
      </c>
      <c r="K38">
        <v>46638</v>
      </c>
      <c r="T38" s="2"/>
      <c r="U38" s="2"/>
      <c r="V38" s="2"/>
      <c r="W38" s="2"/>
      <c r="X38" s="3"/>
      <c r="Y38" s="3"/>
      <c r="Z38" s="3"/>
      <c r="AA38" s="3"/>
      <c r="AF38" s="3"/>
      <c r="AG38" s="3"/>
      <c r="AH38" s="3"/>
    </row>
    <row r="39" spans="1:34" x14ac:dyDescent="0.25">
      <c r="A39" t="s">
        <v>147</v>
      </c>
      <c r="B39" t="s">
        <v>740</v>
      </c>
      <c r="C39" t="s">
        <v>1273</v>
      </c>
      <c r="D39" s="2">
        <v>45688</v>
      </c>
      <c r="E39">
        <v>2.46</v>
      </c>
      <c r="F39" s="2">
        <v>45716</v>
      </c>
      <c r="G39">
        <v>1.93</v>
      </c>
      <c r="H39" s="3">
        <v>-0.21540000000000001</v>
      </c>
      <c r="I39">
        <v>-60067.57</v>
      </c>
      <c r="J39" s="3">
        <v>-0.2172</v>
      </c>
      <c r="K39">
        <v>112404</v>
      </c>
      <c r="T39" s="2"/>
      <c r="U39" s="2"/>
      <c r="V39" s="2"/>
      <c r="W39" s="2"/>
      <c r="X39" s="3"/>
      <c r="Y39" s="3"/>
      <c r="Z39" s="3"/>
      <c r="AA39" s="3"/>
      <c r="AF39" s="3"/>
      <c r="AG39" s="3"/>
      <c r="AH39" s="3"/>
    </row>
    <row r="40" spans="1:34" x14ac:dyDescent="0.25">
      <c r="A40" t="s">
        <v>148</v>
      </c>
      <c r="B40" t="s">
        <v>741</v>
      </c>
      <c r="C40" t="s">
        <v>1273</v>
      </c>
      <c r="D40" s="2">
        <v>45660</v>
      </c>
      <c r="E40">
        <v>4.45</v>
      </c>
      <c r="F40" s="2">
        <v>45681</v>
      </c>
      <c r="G40">
        <v>2.8</v>
      </c>
      <c r="H40" s="3">
        <v>-0.37080000000000002</v>
      </c>
      <c r="I40">
        <v>-106450.14</v>
      </c>
      <c r="J40" s="3">
        <v>-0.37240000000000001</v>
      </c>
      <c r="K40">
        <v>64233</v>
      </c>
      <c r="T40" s="2"/>
      <c r="U40" s="2"/>
      <c r="V40" s="2"/>
      <c r="W40" s="2"/>
      <c r="X40" s="3"/>
      <c r="Y40" s="3"/>
      <c r="Z40" s="3"/>
      <c r="AA40" s="3"/>
      <c r="AF40" s="3"/>
      <c r="AG40" s="3"/>
      <c r="AH40" s="3"/>
    </row>
    <row r="41" spans="1:34" x14ac:dyDescent="0.25">
      <c r="A41" t="s">
        <v>149</v>
      </c>
      <c r="B41" t="s">
        <v>742</v>
      </c>
      <c r="C41" t="s">
        <v>1273</v>
      </c>
      <c r="D41" s="2">
        <v>45548</v>
      </c>
      <c r="E41">
        <v>0.82287750000000004</v>
      </c>
      <c r="F41" s="2">
        <v>45681</v>
      </c>
      <c r="G41">
        <v>0.83760409999999996</v>
      </c>
      <c r="H41" s="3">
        <v>1.7899999999999999E-2</v>
      </c>
      <c r="I41">
        <v>4091.65</v>
      </c>
      <c r="J41" s="3">
        <v>1.5900000000000001E-2</v>
      </c>
      <c r="K41">
        <v>313147</v>
      </c>
      <c r="T41" s="2"/>
      <c r="U41" s="2"/>
      <c r="V41" s="2"/>
      <c r="W41" s="2"/>
      <c r="X41" s="3"/>
      <c r="Y41" s="3"/>
      <c r="Z41" s="3"/>
      <c r="AA41" s="3"/>
      <c r="AF41" s="3"/>
      <c r="AG41" s="3"/>
      <c r="AH41" s="3"/>
    </row>
    <row r="42" spans="1:34" x14ac:dyDescent="0.25">
      <c r="A42" t="s">
        <v>150</v>
      </c>
      <c r="B42" t="s">
        <v>743</v>
      </c>
      <c r="C42" t="s">
        <v>1273</v>
      </c>
      <c r="D42" s="2">
        <v>45534</v>
      </c>
      <c r="E42">
        <v>5.2793070000000002</v>
      </c>
      <c r="F42" s="2">
        <v>45674</v>
      </c>
      <c r="G42">
        <v>5.169619</v>
      </c>
      <c r="H42" s="3">
        <v>-2.0799999999999999E-2</v>
      </c>
      <c r="I42">
        <v>-5875.66</v>
      </c>
      <c r="J42" s="3">
        <v>-2.2800000000000001E-2</v>
      </c>
      <c r="K42">
        <v>48908</v>
      </c>
      <c r="T42" s="2"/>
      <c r="U42" s="2"/>
      <c r="V42" s="2"/>
      <c r="W42" s="2"/>
      <c r="X42" s="3"/>
      <c r="Y42" s="3"/>
      <c r="Z42" s="3"/>
      <c r="AA42" s="3"/>
      <c r="AF42" s="3"/>
      <c r="AG42" s="3"/>
      <c r="AH42" s="3"/>
    </row>
    <row r="43" spans="1:34" x14ac:dyDescent="0.25">
      <c r="A43" t="s">
        <v>151</v>
      </c>
      <c r="B43" t="s">
        <v>744</v>
      </c>
      <c r="C43" t="s">
        <v>1273</v>
      </c>
      <c r="D43" s="2">
        <v>45471</v>
      </c>
      <c r="E43">
        <v>1.3427100000000001</v>
      </c>
      <c r="F43" s="2">
        <v>45660</v>
      </c>
      <c r="G43">
        <v>1.3526560000000001</v>
      </c>
      <c r="H43" s="3">
        <v>7.4000000000000003E-3</v>
      </c>
      <c r="I43">
        <v>1323.97</v>
      </c>
      <c r="J43" s="3">
        <v>5.4000000000000003E-3</v>
      </c>
      <c r="K43">
        <v>182600</v>
      </c>
      <c r="T43" s="2"/>
      <c r="U43" s="2"/>
      <c r="V43" s="2"/>
      <c r="W43" s="2"/>
      <c r="X43" s="3"/>
      <c r="Y43" s="3"/>
      <c r="Z43" s="3"/>
      <c r="AA43" s="3"/>
      <c r="AF43" s="3"/>
      <c r="AG43" s="3"/>
      <c r="AH43" s="3"/>
    </row>
    <row r="44" spans="1:34" x14ac:dyDescent="0.25">
      <c r="A44" t="s">
        <v>152</v>
      </c>
      <c r="B44" t="s">
        <v>745</v>
      </c>
      <c r="C44" t="s">
        <v>1273</v>
      </c>
      <c r="D44" s="2">
        <v>45632</v>
      </c>
      <c r="E44">
        <v>2.235484</v>
      </c>
      <c r="F44" s="2">
        <v>45653</v>
      </c>
      <c r="G44">
        <v>2.351613</v>
      </c>
      <c r="H44" s="3">
        <v>5.1900000000000002E-2</v>
      </c>
      <c r="I44">
        <v>14850.69</v>
      </c>
      <c r="J44" s="3">
        <v>4.99E-2</v>
      </c>
      <c r="K44">
        <v>133140</v>
      </c>
      <c r="T44" s="2"/>
      <c r="U44" s="2"/>
      <c r="V44" s="2"/>
      <c r="W44" s="2"/>
      <c r="X44" s="3"/>
      <c r="Y44" s="3"/>
      <c r="Z44" s="3"/>
      <c r="AA44" s="3"/>
      <c r="AF44" s="3"/>
      <c r="AG44" s="3"/>
      <c r="AH44" s="3"/>
    </row>
    <row r="45" spans="1:34" x14ac:dyDescent="0.25">
      <c r="A45" t="s">
        <v>153</v>
      </c>
      <c r="B45" t="s">
        <v>746</v>
      </c>
      <c r="C45" t="s">
        <v>1273</v>
      </c>
      <c r="D45" s="2">
        <v>45604</v>
      </c>
      <c r="E45">
        <v>0.80500000000000005</v>
      </c>
      <c r="F45" s="2">
        <v>45653</v>
      </c>
      <c r="G45">
        <v>0.72499999999999998</v>
      </c>
      <c r="H45" s="3">
        <v>-9.9400000000000002E-2</v>
      </c>
      <c r="I45">
        <v>-31053.55</v>
      </c>
      <c r="J45" s="3">
        <v>-0.1013</v>
      </c>
      <c r="K45">
        <v>380885</v>
      </c>
      <c r="T45" s="2"/>
      <c r="U45" s="2"/>
      <c r="V45" s="2"/>
      <c r="W45" s="2"/>
      <c r="X45" s="3"/>
      <c r="Y45" s="3"/>
      <c r="Z45" s="3"/>
      <c r="AA45" s="3"/>
      <c r="AF45" s="3"/>
      <c r="AG45" s="3"/>
      <c r="AH45" s="3"/>
    </row>
    <row r="46" spans="1:34" x14ac:dyDescent="0.25">
      <c r="A46" t="s">
        <v>154</v>
      </c>
      <c r="B46" t="s">
        <v>747</v>
      </c>
      <c r="C46" t="s">
        <v>1273</v>
      </c>
      <c r="D46" s="2">
        <v>45534</v>
      </c>
      <c r="E46">
        <v>0.54</v>
      </c>
      <c r="F46" s="2">
        <v>45653</v>
      </c>
      <c r="G46">
        <v>0.65</v>
      </c>
      <c r="H46" s="3">
        <v>0.20369999999999999</v>
      </c>
      <c r="I46">
        <v>52038.16</v>
      </c>
      <c r="J46" s="3">
        <v>0.20150000000000001</v>
      </c>
      <c r="K46">
        <v>478248</v>
      </c>
      <c r="T46" s="2"/>
      <c r="U46" s="2"/>
      <c r="V46" s="2"/>
      <c r="W46" s="2"/>
      <c r="X46" s="3"/>
      <c r="Y46" s="3"/>
      <c r="Z46" s="3"/>
      <c r="AA46" s="3"/>
      <c r="AF46" s="3"/>
      <c r="AG46" s="3"/>
      <c r="AH46" s="3"/>
    </row>
    <row r="47" spans="1:34" x14ac:dyDescent="0.25">
      <c r="A47" t="s">
        <v>78</v>
      </c>
      <c r="B47" t="s">
        <v>748</v>
      </c>
      <c r="C47" t="s">
        <v>1273</v>
      </c>
      <c r="D47" s="2">
        <v>45527</v>
      </c>
      <c r="E47">
        <v>1.0900000000000001</v>
      </c>
      <c r="F47" s="2">
        <v>45653</v>
      </c>
      <c r="G47">
        <v>2.17</v>
      </c>
      <c r="H47" s="3">
        <v>0.99080000000000001</v>
      </c>
      <c r="I47">
        <v>245258.76</v>
      </c>
      <c r="J47" s="3">
        <v>0.98780000000000001</v>
      </c>
      <c r="K47">
        <v>227779</v>
      </c>
      <c r="T47" s="2"/>
      <c r="U47" s="2"/>
      <c r="V47" s="2"/>
      <c r="W47" s="2"/>
      <c r="X47" s="3"/>
      <c r="Y47" s="3"/>
      <c r="Z47" s="3"/>
      <c r="AA47" s="3"/>
      <c r="AF47" s="3"/>
      <c r="AG47" s="3"/>
      <c r="AH47" s="3"/>
    </row>
    <row r="48" spans="1:34" x14ac:dyDescent="0.25">
      <c r="A48" t="s">
        <v>119</v>
      </c>
      <c r="B48" t="s">
        <v>363</v>
      </c>
      <c r="C48" t="s">
        <v>1273</v>
      </c>
      <c r="D48" s="2">
        <v>45527</v>
      </c>
      <c r="E48">
        <v>1.087874</v>
      </c>
      <c r="F48" s="2">
        <v>45653</v>
      </c>
      <c r="G48">
        <v>1.4973909999999999</v>
      </c>
      <c r="H48" s="3">
        <v>0.37640000000000001</v>
      </c>
      <c r="I48">
        <v>92880.54</v>
      </c>
      <c r="J48" s="3">
        <v>0.37409999999999999</v>
      </c>
      <c r="K48">
        <v>228246</v>
      </c>
      <c r="T48" s="2"/>
      <c r="U48" s="2"/>
      <c r="V48" s="2"/>
      <c r="W48" s="2"/>
      <c r="X48" s="3"/>
      <c r="Y48" s="3"/>
      <c r="Z48" s="3"/>
      <c r="AA48" s="3"/>
      <c r="AF48" s="3"/>
      <c r="AG48" s="3"/>
      <c r="AH48" s="3"/>
    </row>
    <row r="49" spans="1:34" x14ac:dyDescent="0.25">
      <c r="A49" t="s">
        <v>115</v>
      </c>
      <c r="B49" t="s">
        <v>342</v>
      </c>
      <c r="C49" t="s">
        <v>1273</v>
      </c>
      <c r="D49" s="2">
        <v>45478</v>
      </c>
      <c r="E49">
        <v>1.6319999999999999</v>
      </c>
      <c r="F49" s="2">
        <v>45653</v>
      </c>
      <c r="G49">
        <v>1.496</v>
      </c>
      <c r="H49" s="3">
        <v>-8.3299999999999999E-2</v>
      </c>
      <c r="I49">
        <v>-21242.2</v>
      </c>
      <c r="J49" s="3">
        <v>-8.5300000000000001E-2</v>
      </c>
      <c r="K49">
        <v>152681</v>
      </c>
      <c r="T49" s="2"/>
      <c r="U49" s="2"/>
      <c r="V49" s="2"/>
      <c r="W49" s="2"/>
      <c r="X49" s="3"/>
      <c r="Y49" s="3"/>
      <c r="Z49" s="3"/>
      <c r="AA49" s="3"/>
      <c r="AF49" s="3"/>
      <c r="AG49" s="3"/>
      <c r="AH49" s="3"/>
    </row>
    <row r="50" spans="1:34" x14ac:dyDescent="0.25">
      <c r="A50" t="s">
        <v>155</v>
      </c>
      <c r="B50" t="s">
        <v>749</v>
      </c>
      <c r="C50" t="s">
        <v>1273</v>
      </c>
      <c r="D50" s="2">
        <v>45268</v>
      </c>
      <c r="E50">
        <v>1.91</v>
      </c>
      <c r="F50" s="2">
        <v>45653</v>
      </c>
      <c r="G50">
        <v>6.07</v>
      </c>
      <c r="H50" s="3">
        <v>2.1779999999999999</v>
      </c>
      <c r="I50">
        <v>450228.44</v>
      </c>
      <c r="J50" s="3">
        <v>2.1738</v>
      </c>
      <c r="K50">
        <v>108436</v>
      </c>
      <c r="T50" s="2"/>
      <c r="U50" s="2"/>
      <c r="V50" s="2"/>
      <c r="W50" s="2"/>
      <c r="X50" s="3"/>
      <c r="Y50" s="3"/>
      <c r="Z50" s="3"/>
      <c r="AA50" s="3"/>
      <c r="AF50" s="3"/>
      <c r="AG50" s="3"/>
      <c r="AH50" s="3"/>
    </row>
    <row r="51" spans="1:34" x14ac:dyDescent="0.25">
      <c r="A51" t="s">
        <v>122</v>
      </c>
      <c r="B51" t="s">
        <v>379</v>
      </c>
      <c r="C51" t="s">
        <v>1273</v>
      </c>
      <c r="D51" s="2">
        <v>45177</v>
      </c>
      <c r="E51">
        <v>2.3856609999999998</v>
      </c>
      <c r="F51" s="2">
        <v>45653</v>
      </c>
      <c r="G51">
        <v>5.9801539999999997</v>
      </c>
      <c r="H51" s="3">
        <v>1.5066999999999999</v>
      </c>
      <c r="I51">
        <v>325996.89</v>
      </c>
      <c r="J51" s="3">
        <v>1.5032000000000001</v>
      </c>
      <c r="K51">
        <v>90905</v>
      </c>
      <c r="T51" s="2"/>
      <c r="U51" s="2"/>
      <c r="V51" s="2"/>
      <c r="W51" s="2"/>
      <c r="X51" s="3"/>
      <c r="Y51" s="3"/>
      <c r="Z51" s="3"/>
      <c r="AA51" s="3"/>
      <c r="AF51" s="3"/>
      <c r="AG51" s="3"/>
      <c r="AH51" s="3"/>
    </row>
    <row r="52" spans="1:34" x14ac:dyDescent="0.25">
      <c r="A52" t="s">
        <v>156</v>
      </c>
      <c r="B52" t="s">
        <v>750</v>
      </c>
      <c r="C52" t="s">
        <v>1273</v>
      </c>
      <c r="D52" s="2">
        <v>45534</v>
      </c>
      <c r="E52">
        <v>0.67310519999999996</v>
      </c>
      <c r="F52" s="2">
        <v>45632</v>
      </c>
      <c r="G52">
        <v>0.6321</v>
      </c>
      <c r="H52" s="3">
        <v>-6.0900000000000003E-2</v>
      </c>
      <c r="I52">
        <v>-16227.27</v>
      </c>
      <c r="J52" s="3">
        <v>-6.2899999999999998E-2</v>
      </c>
      <c r="K52">
        <v>383529</v>
      </c>
      <c r="T52" s="2"/>
      <c r="U52" s="2"/>
      <c r="V52" s="2"/>
      <c r="W52" s="2"/>
      <c r="X52" s="3"/>
      <c r="Y52" s="3"/>
      <c r="Z52" s="3"/>
      <c r="AA52" s="3"/>
      <c r="AF52" s="3"/>
      <c r="AG52" s="3"/>
      <c r="AH52" s="3"/>
    </row>
    <row r="53" spans="1:34" x14ac:dyDescent="0.25">
      <c r="A53" t="s">
        <v>157</v>
      </c>
      <c r="B53" t="s">
        <v>751</v>
      </c>
      <c r="C53" t="s">
        <v>1273</v>
      </c>
      <c r="D53" s="2">
        <v>45534</v>
      </c>
      <c r="E53">
        <v>1.365</v>
      </c>
      <c r="F53" s="2">
        <v>45618</v>
      </c>
      <c r="G53">
        <v>1.105</v>
      </c>
      <c r="H53" s="3">
        <v>-0.1905</v>
      </c>
      <c r="I53">
        <v>-49663.26</v>
      </c>
      <c r="J53" s="3">
        <v>-0.1923</v>
      </c>
      <c r="K53">
        <v>189215</v>
      </c>
      <c r="T53" s="2"/>
      <c r="U53" s="2"/>
      <c r="V53" s="2"/>
      <c r="W53" s="2"/>
      <c r="X53" s="3"/>
      <c r="Y53" s="3"/>
      <c r="Z53" s="3"/>
      <c r="AA53" s="3"/>
      <c r="AF53" s="3"/>
      <c r="AG53" s="3"/>
      <c r="AH53" s="3"/>
    </row>
    <row r="54" spans="1:34" x14ac:dyDescent="0.25">
      <c r="A54" t="s">
        <v>158</v>
      </c>
      <c r="B54" t="s">
        <v>752</v>
      </c>
      <c r="C54" t="s">
        <v>1273</v>
      </c>
      <c r="D54" s="2">
        <v>44911</v>
      </c>
      <c r="E54">
        <v>2.570754</v>
      </c>
      <c r="F54" s="2">
        <v>45604</v>
      </c>
      <c r="G54">
        <v>2.6177049999999999</v>
      </c>
      <c r="H54" s="3">
        <v>1.83E-2</v>
      </c>
      <c r="I54">
        <v>3453.89</v>
      </c>
      <c r="J54" s="3">
        <v>1.6199999999999999E-2</v>
      </c>
      <c r="K54">
        <v>82703</v>
      </c>
      <c r="T54" s="2"/>
      <c r="U54" s="2"/>
      <c r="V54" s="2"/>
      <c r="W54" s="2"/>
      <c r="X54" s="3"/>
      <c r="Y54" s="3"/>
      <c r="Z54" s="3"/>
      <c r="AA54" s="3"/>
      <c r="AF54" s="3"/>
      <c r="AG54" s="3"/>
      <c r="AH54" s="3"/>
    </row>
    <row r="55" spans="1:34" x14ac:dyDescent="0.25">
      <c r="A55" t="s">
        <v>159</v>
      </c>
      <c r="B55" t="s">
        <v>753</v>
      </c>
      <c r="C55" t="s">
        <v>1273</v>
      </c>
      <c r="D55" s="2">
        <v>45037</v>
      </c>
      <c r="E55">
        <v>9.5199829999999999</v>
      </c>
      <c r="F55" s="2">
        <v>45590</v>
      </c>
      <c r="G55">
        <v>11.01519</v>
      </c>
      <c r="H55" s="3">
        <v>0.15709999999999999</v>
      </c>
      <c r="I55">
        <v>33506.089999999997</v>
      </c>
      <c r="J55" s="3">
        <v>0.15490000000000001</v>
      </c>
      <c r="K55">
        <v>22721</v>
      </c>
      <c r="T55" s="2"/>
      <c r="U55" s="2"/>
      <c r="V55" s="2"/>
      <c r="W55" s="2"/>
      <c r="X55" s="3"/>
      <c r="Y55" s="3"/>
      <c r="Z55" s="3"/>
      <c r="AA55" s="3"/>
      <c r="AF55" s="3"/>
      <c r="AG55" s="3"/>
      <c r="AH55" s="3"/>
    </row>
    <row r="56" spans="1:34" x14ac:dyDescent="0.25">
      <c r="A56" t="s">
        <v>160</v>
      </c>
      <c r="B56" t="s">
        <v>754</v>
      </c>
      <c r="C56" t="s">
        <v>1273</v>
      </c>
      <c r="D56" s="2">
        <v>45128</v>
      </c>
      <c r="E56">
        <v>1.724593</v>
      </c>
      <c r="F56" s="2">
        <v>45569</v>
      </c>
      <c r="G56">
        <v>2.63</v>
      </c>
      <c r="H56" s="3">
        <v>0.52500000000000002</v>
      </c>
      <c r="I56">
        <v>114083.15</v>
      </c>
      <c r="J56" s="3">
        <v>0.52249999999999996</v>
      </c>
      <c r="K56">
        <v>126611</v>
      </c>
      <c r="T56" s="2"/>
      <c r="U56" s="2"/>
      <c r="V56" s="2"/>
      <c r="W56" s="2"/>
      <c r="X56" s="3"/>
      <c r="Y56" s="3"/>
      <c r="Z56" s="3"/>
      <c r="AA56" s="3"/>
      <c r="AF56" s="3"/>
      <c r="AG56" s="3"/>
      <c r="AH56" s="3"/>
    </row>
    <row r="57" spans="1:34" x14ac:dyDescent="0.25">
      <c r="A57" t="s">
        <v>161</v>
      </c>
      <c r="B57" t="s">
        <v>755</v>
      </c>
      <c r="C57" t="s">
        <v>1273</v>
      </c>
      <c r="D57" s="2">
        <v>45534</v>
      </c>
      <c r="E57">
        <v>14.47714</v>
      </c>
      <c r="F57" s="2">
        <v>45569</v>
      </c>
      <c r="G57">
        <v>15.98958</v>
      </c>
      <c r="H57" s="3">
        <v>0.1045</v>
      </c>
      <c r="I57">
        <v>26433.96</v>
      </c>
      <c r="J57" s="3">
        <v>0.1024</v>
      </c>
      <c r="K57">
        <v>17837</v>
      </c>
      <c r="T57" s="2"/>
      <c r="U57" s="2"/>
      <c r="V57" s="2"/>
      <c r="W57" s="2"/>
      <c r="X57" s="3"/>
      <c r="Y57" s="3"/>
      <c r="Z57" s="3"/>
      <c r="AA57" s="3"/>
      <c r="AF57" s="3"/>
      <c r="AG57" s="3"/>
      <c r="AH57" s="3"/>
    </row>
    <row r="58" spans="1:34" x14ac:dyDescent="0.25">
      <c r="A58" t="s">
        <v>162</v>
      </c>
      <c r="B58" t="s">
        <v>756</v>
      </c>
      <c r="C58" t="s">
        <v>1273</v>
      </c>
      <c r="D58" s="2">
        <v>45177</v>
      </c>
      <c r="E58">
        <v>3.8</v>
      </c>
      <c r="F58" s="2">
        <v>45548</v>
      </c>
      <c r="G58">
        <v>2.73</v>
      </c>
      <c r="H58" s="3">
        <v>-0.28160000000000002</v>
      </c>
      <c r="I58">
        <v>-61444.03</v>
      </c>
      <c r="J58" s="3">
        <v>-0.2833</v>
      </c>
      <c r="K58">
        <v>57076</v>
      </c>
      <c r="T58" s="2"/>
      <c r="U58" s="2"/>
      <c r="V58" s="2"/>
      <c r="W58" s="2"/>
      <c r="X58" s="3"/>
      <c r="Y58" s="3"/>
      <c r="Z58" s="3"/>
      <c r="AA58" s="3"/>
      <c r="AF58" s="3"/>
      <c r="AG58" s="3"/>
      <c r="AH58" s="3"/>
    </row>
    <row r="59" spans="1:34" x14ac:dyDescent="0.25">
      <c r="A59" t="s">
        <v>163</v>
      </c>
      <c r="B59" t="s">
        <v>757</v>
      </c>
      <c r="C59" t="s">
        <v>1273</v>
      </c>
      <c r="D59" s="2">
        <v>45429</v>
      </c>
      <c r="E59">
        <v>91.38</v>
      </c>
      <c r="F59" s="2">
        <v>45548</v>
      </c>
      <c r="G59">
        <v>74.98</v>
      </c>
      <c r="H59" s="3">
        <v>-0.17949999999999999</v>
      </c>
      <c r="I59">
        <v>-42095.12</v>
      </c>
      <c r="J59" s="3">
        <v>-0.18129999999999999</v>
      </c>
      <c r="K59">
        <v>2541</v>
      </c>
      <c r="T59" s="2"/>
      <c r="U59" s="2"/>
      <c r="V59" s="2"/>
      <c r="W59" s="2"/>
      <c r="X59" s="3"/>
      <c r="Y59" s="3"/>
      <c r="Z59" s="3"/>
      <c r="AA59" s="3"/>
      <c r="AF59" s="3"/>
      <c r="AG59" s="3"/>
      <c r="AH59" s="3"/>
    </row>
    <row r="60" spans="1:34" x14ac:dyDescent="0.25">
      <c r="A60" t="s">
        <v>164</v>
      </c>
      <c r="B60" t="s">
        <v>758</v>
      </c>
      <c r="C60" t="s">
        <v>1273</v>
      </c>
      <c r="D60" s="2">
        <v>45457</v>
      </c>
      <c r="E60">
        <v>3.3680379999999999</v>
      </c>
      <c r="F60" s="2">
        <v>45520</v>
      </c>
      <c r="G60">
        <v>3.1125970000000001</v>
      </c>
      <c r="H60" s="3">
        <v>-7.5800000000000006E-2</v>
      </c>
      <c r="I60">
        <v>-18782.919999999998</v>
      </c>
      <c r="J60" s="3">
        <v>-7.7799999999999994E-2</v>
      </c>
      <c r="K60">
        <v>71712</v>
      </c>
      <c r="T60" s="2"/>
      <c r="U60" s="2"/>
      <c r="V60" s="2"/>
      <c r="W60" s="2"/>
      <c r="X60" s="3"/>
      <c r="Y60" s="3"/>
      <c r="Z60" s="3"/>
      <c r="AA60" s="3"/>
      <c r="AF60" s="3"/>
      <c r="AG60" s="3"/>
      <c r="AH60" s="3"/>
    </row>
    <row r="61" spans="1:34" x14ac:dyDescent="0.25">
      <c r="A61" t="s">
        <v>165</v>
      </c>
      <c r="B61" t="s">
        <v>759</v>
      </c>
      <c r="C61" t="s">
        <v>1273</v>
      </c>
      <c r="D61" s="2">
        <v>45457</v>
      </c>
      <c r="E61">
        <v>2.5221179999999999</v>
      </c>
      <c r="F61" s="2">
        <v>45520</v>
      </c>
      <c r="G61">
        <v>2.4750640000000002</v>
      </c>
      <c r="H61" s="3">
        <v>-1.8700000000000001E-2</v>
      </c>
      <c r="I61">
        <v>-4985.1499999999996</v>
      </c>
      <c r="J61" s="3">
        <v>-2.06E-2</v>
      </c>
      <c r="K61">
        <v>95774</v>
      </c>
      <c r="T61" s="2"/>
      <c r="U61" s="2"/>
      <c r="V61" s="2"/>
      <c r="W61" s="2"/>
      <c r="X61" s="3"/>
      <c r="Y61" s="3"/>
      <c r="Z61" s="3"/>
      <c r="AA61" s="3"/>
      <c r="AF61" s="3"/>
      <c r="AG61" s="3"/>
      <c r="AH61" s="3"/>
    </row>
    <row r="62" spans="1:34" x14ac:dyDescent="0.25">
      <c r="A62" t="s">
        <v>129</v>
      </c>
      <c r="B62" t="s">
        <v>423</v>
      </c>
      <c r="C62" t="s">
        <v>1273</v>
      </c>
      <c r="D62" s="2">
        <v>45457</v>
      </c>
      <c r="E62">
        <v>1.31</v>
      </c>
      <c r="F62" s="2">
        <v>45520</v>
      </c>
      <c r="G62">
        <v>1.1200000000000001</v>
      </c>
      <c r="H62" s="3">
        <v>-0.14499999999999999</v>
      </c>
      <c r="I62">
        <v>-35489.29</v>
      </c>
      <c r="J62" s="3">
        <v>-0.1469</v>
      </c>
      <c r="K62">
        <v>184427</v>
      </c>
      <c r="T62" s="2"/>
      <c r="U62" s="2"/>
      <c r="V62" s="2"/>
      <c r="W62" s="2"/>
      <c r="X62" s="3"/>
      <c r="Y62" s="3"/>
      <c r="Z62" s="3"/>
      <c r="AA62" s="3"/>
      <c r="AF62" s="3"/>
      <c r="AG62" s="3"/>
      <c r="AH62" s="3"/>
    </row>
    <row r="63" spans="1:34" x14ac:dyDescent="0.25">
      <c r="A63" t="s">
        <v>166</v>
      </c>
      <c r="B63" t="s">
        <v>760</v>
      </c>
      <c r="C63" t="s">
        <v>1273</v>
      </c>
      <c r="D63" s="2">
        <v>45429</v>
      </c>
      <c r="E63">
        <v>3.99</v>
      </c>
      <c r="F63" s="2">
        <v>45520</v>
      </c>
      <c r="G63">
        <v>5.95</v>
      </c>
      <c r="H63" s="3">
        <v>0.49120000000000003</v>
      </c>
      <c r="I63">
        <v>113534.44</v>
      </c>
      <c r="J63" s="3">
        <v>0.48870000000000002</v>
      </c>
      <c r="K63">
        <v>58221</v>
      </c>
      <c r="T63" s="2"/>
      <c r="U63" s="2"/>
      <c r="V63" s="2"/>
      <c r="W63" s="2"/>
      <c r="X63" s="3"/>
      <c r="Y63" s="3"/>
      <c r="Z63" s="3"/>
      <c r="AA63" s="3"/>
      <c r="AF63" s="3"/>
      <c r="AG63" s="3"/>
      <c r="AH63" s="3"/>
    </row>
    <row r="64" spans="1:34" x14ac:dyDescent="0.25">
      <c r="A64" t="s">
        <v>167</v>
      </c>
      <c r="B64" t="s">
        <v>761</v>
      </c>
      <c r="C64" t="s">
        <v>1273</v>
      </c>
      <c r="D64" s="2">
        <v>45373</v>
      </c>
      <c r="E64">
        <v>1.74</v>
      </c>
      <c r="F64" s="2">
        <v>45520</v>
      </c>
      <c r="G64">
        <v>2.02</v>
      </c>
      <c r="H64" s="3">
        <v>0.16089999999999999</v>
      </c>
      <c r="I64">
        <v>36154.29</v>
      </c>
      <c r="J64" s="3">
        <v>0.1588</v>
      </c>
      <c r="K64">
        <v>130880</v>
      </c>
      <c r="T64" s="2"/>
      <c r="U64" s="2"/>
      <c r="V64" s="2"/>
      <c r="W64" s="2"/>
      <c r="X64" s="3"/>
      <c r="Y64" s="3"/>
      <c r="Z64" s="3"/>
      <c r="AA64" s="3"/>
      <c r="AF64" s="3"/>
      <c r="AG64" s="3"/>
      <c r="AH64" s="3"/>
    </row>
    <row r="65" spans="1:34" x14ac:dyDescent="0.25">
      <c r="A65" t="s">
        <v>138</v>
      </c>
      <c r="B65" t="s">
        <v>730</v>
      </c>
      <c r="C65" t="s">
        <v>1273</v>
      </c>
      <c r="D65" s="2">
        <v>45268</v>
      </c>
      <c r="E65">
        <v>2.79</v>
      </c>
      <c r="F65" s="2">
        <v>45520</v>
      </c>
      <c r="G65">
        <v>4.22</v>
      </c>
      <c r="H65" s="3">
        <v>0.51249999999999996</v>
      </c>
      <c r="I65">
        <v>105654.16</v>
      </c>
      <c r="J65" s="3">
        <v>0.51</v>
      </c>
      <c r="K65">
        <v>74248</v>
      </c>
      <c r="T65" s="2"/>
      <c r="U65" s="2"/>
      <c r="V65" s="2"/>
      <c r="W65" s="2"/>
      <c r="X65" s="3"/>
      <c r="Y65" s="3"/>
      <c r="Z65" s="3"/>
      <c r="AA65" s="3"/>
      <c r="AF65" s="3"/>
      <c r="AG65" s="3"/>
      <c r="AH65" s="3"/>
    </row>
    <row r="66" spans="1:34" x14ac:dyDescent="0.25">
      <c r="A66" t="s">
        <v>161</v>
      </c>
      <c r="B66" t="s">
        <v>755</v>
      </c>
      <c r="C66" t="s">
        <v>1273</v>
      </c>
      <c r="D66" s="2">
        <v>45037</v>
      </c>
      <c r="E66">
        <v>6.1594170000000004</v>
      </c>
      <c r="F66" s="2">
        <v>45520</v>
      </c>
      <c r="G66">
        <v>11.75099</v>
      </c>
      <c r="H66" s="3">
        <v>0.90780000000000005</v>
      </c>
      <c r="I66">
        <v>195747.03</v>
      </c>
      <c r="J66" s="3">
        <v>0.90490000000000004</v>
      </c>
      <c r="K66">
        <v>35120</v>
      </c>
      <c r="T66" s="2"/>
      <c r="U66" s="2"/>
      <c r="V66" s="2"/>
      <c r="W66" s="2"/>
      <c r="X66" s="3"/>
      <c r="Y66" s="3"/>
      <c r="Z66" s="3"/>
      <c r="AA66" s="3"/>
      <c r="AF66" s="3"/>
      <c r="AG66" s="3"/>
      <c r="AH66" s="3"/>
    </row>
    <row r="67" spans="1:34" x14ac:dyDescent="0.25">
      <c r="A67" t="s">
        <v>168</v>
      </c>
      <c r="B67" t="s">
        <v>762</v>
      </c>
      <c r="C67" t="s">
        <v>1273</v>
      </c>
      <c r="D67" s="2">
        <v>45275</v>
      </c>
      <c r="E67">
        <v>1.503703</v>
      </c>
      <c r="F67" s="2">
        <v>45471</v>
      </c>
      <c r="G67">
        <v>1.685524</v>
      </c>
      <c r="H67" s="3">
        <v>0.12089999999999999</v>
      </c>
      <c r="I67">
        <v>24605.81</v>
      </c>
      <c r="J67" s="3">
        <v>0.1188</v>
      </c>
      <c r="K67">
        <v>137746</v>
      </c>
      <c r="T67" s="2"/>
      <c r="U67" s="2"/>
      <c r="V67" s="2"/>
      <c r="W67" s="2"/>
      <c r="X67" s="3"/>
      <c r="Y67" s="3"/>
      <c r="Z67" s="3"/>
      <c r="AA67" s="3"/>
      <c r="AF67" s="3"/>
      <c r="AG67" s="3"/>
      <c r="AH67" s="3"/>
    </row>
    <row r="68" spans="1:34" x14ac:dyDescent="0.25">
      <c r="A68" t="s">
        <v>169</v>
      </c>
      <c r="B68" t="s">
        <v>763</v>
      </c>
      <c r="C68" t="s">
        <v>1273</v>
      </c>
      <c r="D68" s="2">
        <v>45268</v>
      </c>
      <c r="E68">
        <v>3.8499500000000002</v>
      </c>
      <c r="F68" s="2">
        <v>45471</v>
      </c>
      <c r="G68">
        <v>3.2999580000000002</v>
      </c>
      <c r="H68" s="3">
        <v>-0.1429</v>
      </c>
      <c r="I68">
        <v>-29963.09</v>
      </c>
      <c r="J68" s="3">
        <v>-0.1447</v>
      </c>
      <c r="K68">
        <v>53780</v>
      </c>
      <c r="T68" s="2"/>
      <c r="U68" s="2"/>
      <c r="V68" s="2"/>
      <c r="W68" s="2"/>
      <c r="X68" s="3"/>
      <c r="Y68" s="3"/>
      <c r="Z68" s="3"/>
      <c r="AA68" s="3"/>
      <c r="AF68" s="3"/>
      <c r="AG68" s="3"/>
      <c r="AH68" s="3"/>
    </row>
    <row r="69" spans="1:34" x14ac:dyDescent="0.25">
      <c r="A69" t="s">
        <v>153</v>
      </c>
      <c r="B69" t="s">
        <v>746</v>
      </c>
      <c r="C69" t="s">
        <v>1273</v>
      </c>
      <c r="D69" s="2">
        <v>45443</v>
      </c>
      <c r="E69">
        <v>0.55000000000000004</v>
      </c>
      <c r="F69" s="2">
        <v>45464</v>
      </c>
      <c r="G69">
        <v>0.56499999999999995</v>
      </c>
      <c r="H69" s="3">
        <v>2.7300000000000001E-2</v>
      </c>
      <c r="I69">
        <v>6130.51</v>
      </c>
      <c r="J69" s="3">
        <v>2.52E-2</v>
      </c>
      <c r="K69">
        <v>441520</v>
      </c>
      <c r="T69" s="2"/>
      <c r="U69" s="2"/>
      <c r="V69" s="2"/>
      <c r="W69" s="2"/>
      <c r="X69" s="3"/>
      <c r="Y69" s="3"/>
      <c r="Z69" s="3"/>
      <c r="AA69" s="3"/>
      <c r="AF69" s="3"/>
      <c r="AG69" s="3"/>
      <c r="AH69" s="3"/>
    </row>
    <row r="70" spans="1:34" x14ac:dyDescent="0.25">
      <c r="A70" t="s">
        <v>137</v>
      </c>
      <c r="B70" t="s">
        <v>729</v>
      </c>
      <c r="C70" t="s">
        <v>1273</v>
      </c>
      <c r="D70" s="2">
        <v>45457</v>
      </c>
      <c r="E70">
        <v>1.126374</v>
      </c>
      <c r="F70" s="2">
        <v>45464</v>
      </c>
      <c r="G70">
        <v>1.0320959999999999</v>
      </c>
      <c r="H70" s="3">
        <v>-8.3699999999999997E-2</v>
      </c>
      <c r="I70">
        <v>-20682.919999999998</v>
      </c>
      <c r="J70" s="3">
        <v>-8.5599999999999996E-2</v>
      </c>
      <c r="K70">
        <v>214472</v>
      </c>
      <c r="T70" s="2"/>
      <c r="U70" s="2"/>
      <c r="V70" s="2"/>
      <c r="W70" s="2"/>
      <c r="X70" s="3"/>
      <c r="Y70" s="3"/>
      <c r="Z70" s="3"/>
      <c r="AA70" s="3"/>
      <c r="AF70" s="3"/>
      <c r="AG70" s="3"/>
      <c r="AH70" s="3"/>
    </row>
    <row r="71" spans="1:34" x14ac:dyDescent="0.25">
      <c r="A71" t="s">
        <v>170</v>
      </c>
      <c r="B71" t="s">
        <v>764</v>
      </c>
      <c r="C71" t="s">
        <v>1273</v>
      </c>
      <c r="D71" s="2">
        <v>45289</v>
      </c>
      <c r="E71">
        <v>0.50361449999999996</v>
      </c>
      <c r="F71" s="2">
        <v>45450</v>
      </c>
      <c r="G71">
        <v>0.51500000000000001</v>
      </c>
      <c r="H71" s="3">
        <v>2.2599999999999999E-2</v>
      </c>
      <c r="I71">
        <v>4471.57</v>
      </c>
      <c r="J71" s="3">
        <v>2.06E-2</v>
      </c>
      <c r="K71">
        <v>431332</v>
      </c>
      <c r="T71" s="2"/>
      <c r="U71" s="2"/>
      <c r="V71" s="2"/>
      <c r="W71" s="2"/>
      <c r="X71" s="3"/>
      <c r="Y71" s="3"/>
      <c r="Z71" s="3"/>
      <c r="AA71" s="3"/>
      <c r="AF71" s="3"/>
      <c r="AG71" s="3"/>
      <c r="AH71" s="3"/>
    </row>
    <row r="72" spans="1:34" x14ac:dyDescent="0.25">
      <c r="A72" t="s">
        <v>171</v>
      </c>
      <c r="B72" t="s">
        <v>765</v>
      </c>
      <c r="C72" t="s">
        <v>1273</v>
      </c>
      <c r="D72" s="2">
        <v>45429</v>
      </c>
      <c r="E72">
        <v>3.98</v>
      </c>
      <c r="F72" s="2">
        <v>45450</v>
      </c>
      <c r="G72">
        <v>4.62</v>
      </c>
      <c r="H72" s="3">
        <v>0.1608</v>
      </c>
      <c r="I72">
        <v>36845.980000000003</v>
      </c>
      <c r="J72" s="3">
        <v>0.15859999999999999</v>
      </c>
      <c r="K72">
        <v>58356</v>
      </c>
      <c r="T72" s="2"/>
      <c r="U72" s="2"/>
      <c r="V72" s="2"/>
      <c r="W72" s="2"/>
      <c r="X72" s="3"/>
      <c r="Y72" s="3"/>
      <c r="Z72" s="3"/>
      <c r="AA72" s="3"/>
      <c r="AF72" s="3"/>
      <c r="AG72" s="3"/>
      <c r="AH72" s="3"/>
    </row>
    <row r="73" spans="1:34" x14ac:dyDescent="0.25">
      <c r="A73" t="s">
        <v>172</v>
      </c>
      <c r="B73" t="s">
        <v>766</v>
      </c>
      <c r="C73" t="s">
        <v>1273</v>
      </c>
      <c r="D73" s="2">
        <v>45429</v>
      </c>
      <c r="E73">
        <v>0.89500000000000002</v>
      </c>
      <c r="F73" s="2">
        <v>45450</v>
      </c>
      <c r="G73">
        <v>0.73499999999999999</v>
      </c>
      <c r="H73" s="3">
        <v>-0.17879999999999999</v>
      </c>
      <c r="I73">
        <v>-41948</v>
      </c>
      <c r="J73" s="3">
        <v>-0.18060000000000001</v>
      </c>
      <c r="K73">
        <v>259531</v>
      </c>
      <c r="T73" s="2"/>
      <c r="U73" s="2"/>
      <c r="V73" s="2"/>
      <c r="W73" s="2"/>
      <c r="X73" s="3"/>
      <c r="Y73" s="3"/>
      <c r="Z73" s="3"/>
      <c r="AA73" s="3"/>
      <c r="AF73" s="3"/>
      <c r="AG73" s="3"/>
      <c r="AH73" s="3"/>
    </row>
    <row r="74" spans="1:34" x14ac:dyDescent="0.25">
      <c r="A74" t="s">
        <v>173</v>
      </c>
      <c r="B74" t="s">
        <v>767</v>
      </c>
      <c r="C74" t="s">
        <v>1273</v>
      </c>
      <c r="D74" s="2">
        <v>45429</v>
      </c>
      <c r="E74">
        <v>0.51389870000000004</v>
      </c>
      <c r="F74" s="2">
        <v>45450</v>
      </c>
      <c r="G74">
        <v>0.48481020000000002</v>
      </c>
      <c r="H74" s="3">
        <v>-5.6599999999999998E-2</v>
      </c>
      <c r="I74">
        <v>-13601.89</v>
      </c>
      <c r="J74" s="3">
        <v>-5.8500000000000003E-2</v>
      </c>
      <c r="K74">
        <v>452082</v>
      </c>
      <c r="T74" s="2"/>
      <c r="U74" s="2"/>
      <c r="V74" s="2"/>
      <c r="W74" s="2"/>
      <c r="X74" s="3"/>
      <c r="Y74" s="3"/>
      <c r="Z74" s="3"/>
      <c r="AA74" s="3"/>
      <c r="AF74" s="3"/>
      <c r="AG74" s="3"/>
      <c r="AH74" s="3"/>
    </row>
    <row r="75" spans="1:34" x14ac:dyDescent="0.25">
      <c r="A75" t="s">
        <v>444</v>
      </c>
      <c r="B75" t="s">
        <v>768</v>
      </c>
      <c r="C75" t="s">
        <v>1273</v>
      </c>
      <c r="D75" s="2">
        <v>45268</v>
      </c>
      <c r="E75">
        <v>0.625</v>
      </c>
      <c r="F75" s="2">
        <v>45443</v>
      </c>
      <c r="G75">
        <v>0.67500000000000004</v>
      </c>
      <c r="H75" s="3">
        <v>0.08</v>
      </c>
      <c r="I75">
        <v>16135.14</v>
      </c>
      <c r="J75" s="3">
        <v>7.7899999999999997E-2</v>
      </c>
      <c r="K75">
        <v>331317</v>
      </c>
      <c r="T75" s="2"/>
      <c r="U75" s="2"/>
      <c r="V75" s="2"/>
      <c r="W75" s="2"/>
      <c r="X75" s="3"/>
      <c r="Y75" s="3"/>
      <c r="Z75" s="3"/>
      <c r="AA75" s="3"/>
      <c r="AF75" s="3"/>
      <c r="AG75" s="3"/>
      <c r="AH75" s="3"/>
    </row>
    <row r="76" spans="1:34" x14ac:dyDescent="0.25">
      <c r="A76" t="s">
        <v>129</v>
      </c>
      <c r="B76" t="s">
        <v>423</v>
      </c>
      <c r="C76" t="s">
        <v>1273</v>
      </c>
      <c r="D76" s="2">
        <v>45408</v>
      </c>
      <c r="E76">
        <v>0.89</v>
      </c>
      <c r="F76" s="2">
        <v>45415</v>
      </c>
      <c r="G76">
        <v>0.84</v>
      </c>
      <c r="H76" s="3">
        <v>-5.62E-2</v>
      </c>
      <c r="I76">
        <v>-13081.28</v>
      </c>
      <c r="J76" s="3">
        <v>-5.8099999999999999E-2</v>
      </c>
      <c r="K76">
        <v>252876</v>
      </c>
      <c r="T76" s="2"/>
      <c r="U76" s="2"/>
      <c r="V76" s="2"/>
      <c r="W76" s="2"/>
      <c r="X76" s="3"/>
      <c r="Y76" s="3"/>
      <c r="Z76" s="3"/>
      <c r="AA76" s="3"/>
      <c r="AF76" s="3"/>
      <c r="AG76" s="3"/>
      <c r="AH76" s="3"/>
    </row>
    <row r="77" spans="1:34" x14ac:dyDescent="0.25">
      <c r="A77" t="s">
        <v>151</v>
      </c>
      <c r="B77" t="s">
        <v>744</v>
      </c>
      <c r="C77" t="s">
        <v>1273</v>
      </c>
      <c r="D77" s="2">
        <v>45268</v>
      </c>
      <c r="E77">
        <v>1.0811500000000001</v>
      </c>
      <c r="F77" s="2">
        <v>45408</v>
      </c>
      <c r="G77">
        <v>0.95481609999999995</v>
      </c>
      <c r="H77" s="3">
        <v>-0.1169</v>
      </c>
      <c r="I77">
        <v>-24593.759999999998</v>
      </c>
      <c r="J77" s="3">
        <v>-0.1187</v>
      </c>
      <c r="K77">
        <v>191585</v>
      </c>
      <c r="T77" s="2"/>
      <c r="U77" s="2"/>
      <c r="V77" s="2"/>
      <c r="W77" s="2"/>
      <c r="X77" s="3"/>
      <c r="Y77" s="3"/>
      <c r="Z77" s="3"/>
      <c r="AA77" s="3"/>
      <c r="AF77" s="3"/>
      <c r="AG77" s="3"/>
      <c r="AH77" s="3"/>
    </row>
    <row r="78" spans="1:34" x14ac:dyDescent="0.25">
      <c r="A78" t="s">
        <v>174</v>
      </c>
      <c r="B78" t="s">
        <v>769</v>
      </c>
      <c r="C78" t="s">
        <v>1273</v>
      </c>
      <c r="D78" s="2">
        <v>45345</v>
      </c>
      <c r="E78">
        <v>2.6879620000000002</v>
      </c>
      <c r="F78" s="2">
        <v>45408</v>
      </c>
      <c r="G78">
        <v>2.6876920000000002</v>
      </c>
      <c r="H78" s="3">
        <v>-1E-4</v>
      </c>
      <c r="I78">
        <v>-445.9</v>
      </c>
      <c r="J78" s="3">
        <v>-2.0999999999999999E-3</v>
      </c>
      <c r="K78">
        <v>78981</v>
      </c>
      <c r="T78" s="2"/>
      <c r="U78" s="2"/>
      <c r="V78" s="2"/>
      <c r="W78" s="2"/>
      <c r="X78" s="3"/>
      <c r="Y78" s="3"/>
      <c r="Z78" s="3"/>
      <c r="AA78" s="3"/>
      <c r="AF78" s="3"/>
      <c r="AG78" s="3"/>
      <c r="AH78" s="3"/>
    </row>
    <row r="79" spans="1:34" x14ac:dyDescent="0.25">
      <c r="A79" t="s">
        <v>143</v>
      </c>
      <c r="B79" t="s">
        <v>735</v>
      </c>
      <c r="C79" t="s">
        <v>1273</v>
      </c>
      <c r="D79" s="2">
        <v>45268</v>
      </c>
      <c r="E79">
        <v>8.2100000000000009</v>
      </c>
      <c r="F79" s="2">
        <v>45408</v>
      </c>
      <c r="G79">
        <v>11.21</v>
      </c>
      <c r="H79" s="3">
        <v>0.3654</v>
      </c>
      <c r="I79">
        <v>75140.42</v>
      </c>
      <c r="J79" s="3">
        <v>0.36299999999999999</v>
      </c>
      <c r="K79">
        <v>25210</v>
      </c>
      <c r="T79" s="2"/>
      <c r="U79" s="2"/>
      <c r="V79" s="2"/>
      <c r="W79" s="2"/>
      <c r="X79" s="3"/>
      <c r="Y79" s="3"/>
      <c r="Z79" s="3"/>
      <c r="AA79" s="3"/>
      <c r="AF79" s="3"/>
      <c r="AG79" s="3"/>
      <c r="AH79" s="3"/>
    </row>
    <row r="80" spans="1:34" x14ac:dyDescent="0.25">
      <c r="A80" t="s">
        <v>175</v>
      </c>
      <c r="B80" t="s">
        <v>770</v>
      </c>
      <c r="C80" t="s">
        <v>1273</v>
      </c>
      <c r="D80" s="2">
        <v>45268</v>
      </c>
      <c r="E80">
        <v>5.5</v>
      </c>
      <c r="F80" s="2">
        <v>45408</v>
      </c>
      <c r="G80">
        <v>6.5</v>
      </c>
      <c r="H80" s="3">
        <v>0.18179999999999999</v>
      </c>
      <c r="I80">
        <v>37183.379999999997</v>
      </c>
      <c r="J80" s="3">
        <v>0.17960000000000001</v>
      </c>
      <c r="K80">
        <v>37635</v>
      </c>
      <c r="T80" s="2"/>
      <c r="U80" s="2"/>
      <c r="V80" s="2"/>
      <c r="W80" s="2"/>
      <c r="X80" s="3"/>
      <c r="Y80" s="3"/>
      <c r="Z80" s="3"/>
      <c r="AA80" s="3"/>
      <c r="AF80" s="3"/>
      <c r="AG80" s="3"/>
      <c r="AH80" s="3"/>
    </row>
    <row r="81" spans="1:34" x14ac:dyDescent="0.25">
      <c r="A81" t="s">
        <v>176</v>
      </c>
      <c r="B81" t="s">
        <v>771</v>
      </c>
      <c r="C81" t="s">
        <v>1273</v>
      </c>
      <c r="D81" s="2">
        <v>45268</v>
      </c>
      <c r="E81">
        <v>1.34</v>
      </c>
      <c r="F81" s="2">
        <v>45408</v>
      </c>
      <c r="G81">
        <v>1.39</v>
      </c>
      <c r="H81" s="3">
        <v>3.73E-2</v>
      </c>
      <c r="I81">
        <v>7303.31</v>
      </c>
      <c r="J81" s="3">
        <v>3.5299999999999998E-2</v>
      </c>
      <c r="K81">
        <v>154502</v>
      </c>
      <c r="T81" s="2"/>
      <c r="U81" s="2"/>
      <c r="V81" s="2"/>
      <c r="W81" s="2"/>
      <c r="X81" s="3"/>
      <c r="Y81" s="3"/>
      <c r="Z81" s="3"/>
      <c r="AA81" s="3"/>
      <c r="AF81" s="3"/>
      <c r="AG81" s="3"/>
      <c r="AH81" s="3"/>
    </row>
    <row r="82" spans="1:34" x14ac:dyDescent="0.25">
      <c r="A82" t="s">
        <v>109</v>
      </c>
      <c r="B82" t="s">
        <v>772</v>
      </c>
      <c r="C82" t="s">
        <v>1273</v>
      </c>
      <c r="D82" s="2">
        <v>45191</v>
      </c>
      <c r="E82">
        <v>2.1599659999999998</v>
      </c>
      <c r="F82" s="2">
        <v>45373</v>
      </c>
      <c r="G82">
        <v>2.098862</v>
      </c>
      <c r="H82" s="3">
        <v>-2.8299999999999999E-2</v>
      </c>
      <c r="I82">
        <v>-6458.63</v>
      </c>
      <c r="J82" s="3">
        <v>-3.0300000000000001E-2</v>
      </c>
      <c r="K82">
        <v>98812</v>
      </c>
      <c r="T82" s="2"/>
      <c r="U82" s="2"/>
      <c r="V82" s="2"/>
      <c r="W82" s="2"/>
      <c r="X82" s="3"/>
      <c r="Y82" s="3"/>
      <c r="Z82" s="3"/>
      <c r="AA82" s="3"/>
      <c r="AF82" s="3"/>
      <c r="AG82" s="3"/>
      <c r="AH82" s="3"/>
    </row>
    <row r="83" spans="1:34" x14ac:dyDescent="0.25">
      <c r="A83" t="s">
        <v>177</v>
      </c>
      <c r="B83" t="s">
        <v>773</v>
      </c>
      <c r="C83" t="s">
        <v>1273</v>
      </c>
      <c r="D83" s="2">
        <v>45191</v>
      </c>
      <c r="E83">
        <v>2.8376100000000002</v>
      </c>
      <c r="F83" s="2">
        <v>45345</v>
      </c>
      <c r="G83">
        <v>3.1977009999999999</v>
      </c>
      <c r="H83" s="3">
        <v>0.12690000000000001</v>
      </c>
      <c r="I83">
        <v>26627.82</v>
      </c>
      <c r="J83" s="3">
        <v>0.12479999999999999</v>
      </c>
      <c r="K83">
        <v>75208</v>
      </c>
      <c r="T83" s="2"/>
      <c r="U83" s="2"/>
      <c r="V83" s="2"/>
      <c r="W83" s="2"/>
      <c r="X83" s="3"/>
      <c r="Y83" s="3"/>
      <c r="Z83" s="3"/>
      <c r="AA83" s="3"/>
      <c r="AF83" s="3"/>
      <c r="AG83" s="3"/>
      <c r="AH83" s="3"/>
    </row>
    <row r="84" spans="1:34" x14ac:dyDescent="0.25">
      <c r="A84" t="s">
        <v>178</v>
      </c>
      <c r="B84" t="s">
        <v>774</v>
      </c>
      <c r="C84" t="s">
        <v>1273</v>
      </c>
      <c r="D84" s="2">
        <v>45268</v>
      </c>
      <c r="E84">
        <v>3.2011120000000002</v>
      </c>
      <c r="F84" s="2">
        <v>45289</v>
      </c>
      <c r="G84">
        <v>3.254086</v>
      </c>
      <c r="H84" s="3">
        <v>1.6500000000000001E-2</v>
      </c>
      <c r="I84">
        <v>3009.49</v>
      </c>
      <c r="J84" s="3">
        <v>1.4500000000000001E-2</v>
      </c>
      <c r="K84">
        <v>64694</v>
      </c>
      <c r="T84" s="2"/>
      <c r="U84" s="2"/>
      <c r="V84" s="2"/>
      <c r="W84" s="2"/>
      <c r="X84" s="3"/>
      <c r="Y84" s="3"/>
      <c r="Z84" s="3"/>
      <c r="AA84" s="3"/>
      <c r="AF84" s="3"/>
      <c r="AG84" s="3"/>
      <c r="AH84" s="3"/>
    </row>
    <row r="85" spans="1:34" x14ac:dyDescent="0.25">
      <c r="A85" t="s">
        <v>110</v>
      </c>
      <c r="B85" t="s">
        <v>775</v>
      </c>
      <c r="C85" t="s">
        <v>1273</v>
      </c>
      <c r="D85" s="2">
        <v>45044</v>
      </c>
      <c r="E85">
        <v>0.755</v>
      </c>
      <c r="F85" s="2">
        <v>45254</v>
      </c>
      <c r="G85">
        <v>1.0549999999999999</v>
      </c>
      <c r="H85" s="3">
        <v>0.39739999999999998</v>
      </c>
      <c r="I85">
        <v>86213.89</v>
      </c>
      <c r="J85" s="3">
        <v>0.39500000000000002</v>
      </c>
      <c r="K85">
        <v>289124</v>
      </c>
      <c r="T85" s="2"/>
      <c r="U85" s="2"/>
      <c r="V85" s="2"/>
      <c r="W85" s="2"/>
      <c r="X85" s="3"/>
      <c r="Y85" s="3"/>
      <c r="Z85" s="3"/>
      <c r="AA85" s="3"/>
      <c r="AF85" s="3"/>
      <c r="AG85" s="3"/>
      <c r="AH85" s="3"/>
    </row>
    <row r="86" spans="1:34" x14ac:dyDescent="0.25">
      <c r="A86" t="s">
        <v>179</v>
      </c>
      <c r="B86" t="s">
        <v>776</v>
      </c>
      <c r="C86" t="s">
        <v>1273</v>
      </c>
      <c r="D86" s="2">
        <v>44876</v>
      </c>
      <c r="E86">
        <v>2.72</v>
      </c>
      <c r="F86" s="2">
        <v>45247</v>
      </c>
      <c r="G86">
        <v>3.19</v>
      </c>
      <c r="H86" s="3">
        <v>0.17280000000000001</v>
      </c>
      <c r="I86">
        <v>39550.21</v>
      </c>
      <c r="J86" s="3">
        <v>0.1706</v>
      </c>
      <c r="K86">
        <v>85221</v>
      </c>
      <c r="T86" s="2"/>
      <c r="U86" s="2"/>
      <c r="V86" s="2"/>
      <c r="W86" s="2"/>
      <c r="X86" s="3"/>
      <c r="Y86" s="3"/>
      <c r="Z86" s="3"/>
      <c r="AA86" s="3"/>
      <c r="AF86" s="3"/>
      <c r="AG86" s="3"/>
      <c r="AH86" s="3"/>
    </row>
    <row r="87" spans="1:34" x14ac:dyDescent="0.25">
      <c r="A87" t="s">
        <v>180</v>
      </c>
      <c r="B87" t="s">
        <v>777</v>
      </c>
      <c r="C87" t="s">
        <v>1273</v>
      </c>
      <c r="D87" s="2">
        <v>45177</v>
      </c>
      <c r="E87">
        <v>0.70030720000000002</v>
      </c>
      <c r="F87" s="2">
        <v>45247</v>
      </c>
      <c r="G87">
        <v>0.70030720000000002</v>
      </c>
      <c r="H87" s="3">
        <v>0</v>
      </c>
      <c r="I87">
        <v>-433.86</v>
      </c>
      <c r="J87" s="3">
        <v>-2E-3</v>
      </c>
      <c r="K87">
        <v>309765</v>
      </c>
      <c r="T87" s="2"/>
      <c r="U87" s="2"/>
      <c r="V87" s="2"/>
      <c r="W87" s="2"/>
      <c r="X87" s="3"/>
      <c r="Y87" s="3"/>
      <c r="Z87" s="3"/>
      <c r="AA87" s="3"/>
      <c r="AF87" s="3"/>
      <c r="AG87" s="3"/>
      <c r="AH87" s="3"/>
    </row>
    <row r="88" spans="1:34" x14ac:dyDescent="0.25">
      <c r="A88" t="s">
        <v>181</v>
      </c>
      <c r="B88" t="s">
        <v>778</v>
      </c>
      <c r="C88" t="s">
        <v>1273</v>
      </c>
      <c r="D88" s="2">
        <v>45100</v>
      </c>
      <c r="E88">
        <v>4.1660649999999997</v>
      </c>
      <c r="F88" s="2">
        <v>45226</v>
      </c>
      <c r="G88">
        <v>3.777606</v>
      </c>
      <c r="H88" s="3">
        <v>-9.3200000000000005E-2</v>
      </c>
      <c r="I88">
        <v>-20056.39</v>
      </c>
      <c r="J88" s="3">
        <v>-9.5200000000000007E-2</v>
      </c>
      <c r="K88">
        <v>50596</v>
      </c>
      <c r="T88" s="2"/>
      <c r="U88" s="2"/>
      <c r="V88" s="2"/>
      <c r="W88" s="2"/>
      <c r="X88" s="3"/>
      <c r="Y88" s="3"/>
      <c r="Z88" s="3"/>
      <c r="AA88" s="3"/>
      <c r="AF88" s="3"/>
      <c r="AG88" s="3"/>
      <c r="AH88" s="3"/>
    </row>
    <row r="89" spans="1:34" x14ac:dyDescent="0.25">
      <c r="A89" t="s">
        <v>85</v>
      </c>
      <c r="B89" t="s">
        <v>779</v>
      </c>
      <c r="C89" t="s">
        <v>1273</v>
      </c>
      <c r="D89" s="2">
        <v>45100</v>
      </c>
      <c r="E89">
        <v>2.4500000000000002</v>
      </c>
      <c r="F89" s="2">
        <v>45212</v>
      </c>
      <c r="G89">
        <v>2.41</v>
      </c>
      <c r="H89" s="3">
        <v>-1.6299999999999999E-2</v>
      </c>
      <c r="I89">
        <v>-3857.33</v>
      </c>
      <c r="J89" s="3">
        <v>-1.83E-2</v>
      </c>
      <c r="K89">
        <v>85986</v>
      </c>
      <c r="T89" s="2"/>
      <c r="U89" s="2"/>
      <c r="V89" s="2"/>
      <c r="W89" s="2"/>
      <c r="X89" s="3"/>
      <c r="Y89" s="3"/>
      <c r="Z89" s="3"/>
      <c r="AA89" s="3"/>
      <c r="AF89" s="3"/>
      <c r="AG89" s="3"/>
      <c r="AH89" s="3"/>
    </row>
    <row r="90" spans="1:34" x14ac:dyDescent="0.25">
      <c r="A90" t="s">
        <v>182</v>
      </c>
      <c r="B90" t="s">
        <v>780</v>
      </c>
      <c r="C90" t="s">
        <v>1273</v>
      </c>
      <c r="D90" s="2">
        <v>45177</v>
      </c>
      <c r="E90">
        <v>1.906817</v>
      </c>
      <c r="F90" s="2">
        <v>45205</v>
      </c>
      <c r="G90">
        <v>1.6176539999999999</v>
      </c>
      <c r="H90" s="3">
        <v>-0.15160000000000001</v>
      </c>
      <c r="I90">
        <v>-33285</v>
      </c>
      <c r="J90" s="3">
        <v>-0.1535</v>
      </c>
      <c r="K90">
        <v>113722</v>
      </c>
      <c r="T90" s="2"/>
      <c r="U90" s="2"/>
      <c r="V90" s="2"/>
      <c r="W90" s="2"/>
      <c r="X90" s="3"/>
      <c r="Y90" s="3"/>
      <c r="Z90" s="3"/>
      <c r="AA90" s="3"/>
      <c r="AF90" s="3"/>
      <c r="AG90" s="3"/>
      <c r="AH90" s="3"/>
    </row>
    <row r="91" spans="1:34" x14ac:dyDescent="0.25">
      <c r="A91" t="s">
        <v>178</v>
      </c>
      <c r="B91" t="s">
        <v>774</v>
      </c>
      <c r="C91" t="s">
        <v>1273</v>
      </c>
      <c r="D91" s="2">
        <v>44988</v>
      </c>
      <c r="E91">
        <v>2.1206209999999999</v>
      </c>
      <c r="F91" s="2">
        <v>45198</v>
      </c>
      <c r="G91">
        <v>2.6638090000000001</v>
      </c>
      <c r="H91" s="3">
        <v>0.25609999999999999</v>
      </c>
      <c r="I91">
        <v>55155.78</v>
      </c>
      <c r="J91" s="3">
        <v>0.25390000000000001</v>
      </c>
      <c r="K91">
        <v>102443</v>
      </c>
      <c r="T91" s="2"/>
      <c r="U91" s="2"/>
      <c r="V91" s="2"/>
      <c r="W91" s="2"/>
      <c r="X91" s="3"/>
      <c r="Y91" s="3"/>
      <c r="Z91" s="3"/>
      <c r="AA91" s="3"/>
      <c r="AF91" s="3"/>
      <c r="AG91" s="3"/>
      <c r="AH91" s="3"/>
    </row>
    <row r="92" spans="1:34" x14ac:dyDescent="0.25">
      <c r="A92" t="s">
        <v>183</v>
      </c>
      <c r="B92" t="s">
        <v>781</v>
      </c>
      <c r="C92" t="s">
        <v>1273</v>
      </c>
      <c r="D92" s="2">
        <v>45142</v>
      </c>
      <c r="E92">
        <v>6.3790800000000001</v>
      </c>
      <c r="F92" s="2">
        <v>45198</v>
      </c>
      <c r="G92">
        <v>5.9479889999999997</v>
      </c>
      <c r="H92" s="3">
        <v>-6.7599999999999993E-2</v>
      </c>
      <c r="I92">
        <v>-15037.19</v>
      </c>
      <c r="J92" s="3">
        <v>-6.9500000000000006E-2</v>
      </c>
      <c r="K92">
        <v>33912</v>
      </c>
      <c r="T92" s="2"/>
      <c r="U92" s="2"/>
      <c r="V92" s="2"/>
      <c r="W92" s="2"/>
      <c r="X92" s="3"/>
      <c r="Y92" s="3"/>
      <c r="Z92" s="3"/>
      <c r="AA92" s="3"/>
      <c r="AF92" s="3"/>
      <c r="AG92" s="3"/>
      <c r="AH92" s="3"/>
    </row>
    <row r="93" spans="1:34" x14ac:dyDescent="0.25">
      <c r="A93" t="s">
        <v>108</v>
      </c>
      <c r="B93" t="s">
        <v>782</v>
      </c>
      <c r="C93" t="s">
        <v>1273</v>
      </c>
      <c r="D93" s="2">
        <v>45100</v>
      </c>
      <c r="E93">
        <v>0.82327939999999999</v>
      </c>
      <c r="F93" s="2">
        <v>45198</v>
      </c>
      <c r="G93">
        <v>0.65076140000000005</v>
      </c>
      <c r="H93" s="3">
        <v>-0.20949999999999999</v>
      </c>
      <c r="I93">
        <v>-44530.83</v>
      </c>
      <c r="J93" s="3">
        <v>-0.21129999999999999</v>
      </c>
      <c r="K93">
        <v>255936</v>
      </c>
      <c r="T93" s="2"/>
      <c r="U93" s="2"/>
      <c r="V93" s="2"/>
      <c r="W93" s="2"/>
      <c r="X93" s="3"/>
      <c r="Y93" s="3"/>
      <c r="Z93" s="3"/>
      <c r="AA93" s="3"/>
      <c r="AF93" s="3"/>
      <c r="AG93" s="3"/>
      <c r="AH93" s="3"/>
    </row>
    <row r="94" spans="1:34" x14ac:dyDescent="0.25">
      <c r="A94" t="s">
        <v>150</v>
      </c>
      <c r="B94" t="s">
        <v>743</v>
      </c>
      <c r="C94" t="s">
        <v>1273</v>
      </c>
      <c r="D94" s="2">
        <v>45037</v>
      </c>
      <c r="E94">
        <v>4.4135759999999999</v>
      </c>
      <c r="F94" s="2">
        <v>45198</v>
      </c>
      <c r="G94">
        <v>4.2661499999999997</v>
      </c>
      <c r="H94" s="3">
        <v>-3.3399999999999999E-2</v>
      </c>
      <c r="I94">
        <v>-7644.65</v>
      </c>
      <c r="J94" s="3">
        <v>-3.5400000000000001E-2</v>
      </c>
      <c r="K94">
        <v>48971</v>
      </c>
      <c r="T94" s="2"/>
      <c r="U94" s="2"/>
      <c r="V94" s="2"/>
      <c r="W94" s="2"/>
      <c r="X94" s="3"/>
      <c r="Y94" s="3"/>
      <c r="Z94" s="3"/>
      <c r="AA94" s="3"/>
      <c r="AF94" s="3"/>
      <c r="AG94" s="3"/>
      <c r="AH94" s="3"/>
    </row>
    <row r="95" spans="1:34" x14ac:dyDescent="0.25">
      <c r="A95" t="s">
        <v>107</v>
      </c>
      <c r="B95" t="s">
        <v>783</v>
      </c>
      <c r="C95" t="s">
        <v>1273</v>
      </c>
      <c r="D95" s="2">
        <v>45100</v>
      </c>
      <c r="E95">
        <v>2.1796609999999998</v>
      </c>
      <c r="F95" s="2">
        <v>45190</v>
      </c>
      <c r="G95">
        <v>1.8181689999999999</v>
      </c>
      <c r="H95" s="3">
        <v>-0.1658</v>
      </c>
      <c r="I95">
        <v>-35328.25</v>
      </c>
      <c r="J95" s="3">
        <v>-0.16769999999999999</v>
      </c>
      <c r="K95">
        <v>96660</v>
      </c>
      <c r="T95" s="2"/>
      <c r="U95" s="2"/>
      <c r="V95" s="2"/>
      <c r="W95" s="2"/>
      <c r="X95" s="3"/>
      <c r="Y95" s="3"/>
      <c r="Z95" s="3"/>
      <c r="AA95" s="3"/>
      <c r="AF95" s="3"/>
      <c r="AG95" s="3"/>
      <c r="AH95" s="3"/>
    </row>
    <row r="96" spans="1:34" x14ac:dyDescent="0.25">
      <c r="A96" t="s">
        <v>184</v>
      </c>
      <c r="B96" t="s">
        <v>784</v>
      </c>
      <c r="C96" t="s">
        <v>1273</v>
      </c>
      <c r="D96" s="2">
        <v>45177</v>
      </c>
      <c r="E96">
        <v>14.3</v>
      </c>
      <c r="F96" s="2">
        <v>45184</v>
      </c>
      <c r="G96">
        <v>12.86</v>
      </c>
      <c r="H96" s="3">
        <v>-0.1007</v>
      </c>
      <c r="I96">
        <v>-22253.88</v>
      </c>
      <c r="J96" s="3">
        <v>-0.1026</v>
      </c>
      <c r="K96">
        <v>15168</v>
      </c>
      <c r="T96" s="2"/>
      <c r="U96" s="2"/>
      <c r="V96" s="2"/>
      <c r="W96" s="2"/>
      <c r="X96" s="3"/>
      <c r="Y96" s="3"/>
      <c r="Z96" s="3"/>
      <c r="AA96" s="3"/>
      <c r="AF96" s="3"/>
      <c r="AG96" s="3"/>
      <c r="AH96" s="3"/>
    </row>
    <row r="97" spans="1:34" x14ac:dyDescent="0.25">
      <c r="A97" t="s">
        <v>185</v>
      </c>
      <c r="B97" t="s">
        <v>785</v>
      </c>
      <c r="C97" t="s">
        <v>1273</v>
      </c>
      <c r="D97" s="2">
        <v>45100</v>
      </c>
      <c r="E97">
        <v>0.69567319999999999</v>
      </c>
      <c r="F97" s="2">
        <v>45183</v>
      </c>
      <c r="G97">
        <v>0.36597030000000003</v>
      </c>
      <c r="H97" s="3">
        <v>-0.47389999999999999</v>
      </c>
      <c r="I97">
        <v>-100201.81</v>
      </c>
      <c r="J97" s="3">
        <v>-0.47549999999999998</v>
      </c>
      <c r="K97">
        <v>302940</v>
      </c>
      <c r="T97" s="2"/>
      <c r="U97" s="2"/>
      <c r="V97" s="2"/>
      <c r="W97" s="2"/>
      <c r="X97" s="3"/>
      <c r="Y97" s="3"/>
      <c r="Z97" s="3"/>
      <c r="AA97" s="3"/>
      <c r="AF97" s="3"/>
      <c r="AG97" s="3"/>
      <c r="AH97" s="3"/>
    </row>
    <row r="98" spans="1:34" x14ac:dyDescent="0.25">
      <c r="A98" t="s">
        <v>186</v>
      </c>
      <c r="B98" t="s">
        <v>786</v>
      </c>
      <c r="C98" t="s">
        <v>1273</v>
      </c>
      <c r="D98" s="2">
        <v>45037</v>
      </c>
      <c r="E98">
        <v>1.04</v>
      </c>
      <c r="F98" s="2">
        <v>45170</v>
      </c>
      <c r="G98">
        <v>1.05</v>
      </c>
      <c r="H98" s="3">
        <v>9.5999999999999992E-3</v>
      </c>
      <c r="I98">
        <v>1644.37</v>
      </c>
      <c r="J98" s="3">
        <v>7.6E-3</v>
      </c>
      <c r="K98">
        <v>207885</v>
      </c>
      <c r="T98" s="2"/>
      <c r="U98" s="2"/>
      <c r="V98" s="2"/>
      <c r="W98" s="2"/>
      <c r="X98" s="3"/>
      <c r="Y98" s="3"/>
      <c r="Z98" s="3"/>
      <c r="AA98" s="3"/>
      <c r="AF98" s="3"/>
      <c r="AG98" s="3"/>
      <c r="AH98" s="3"/>
    </row>
    <row r="99" spans="1:34" x14ac:dyDescent="0.25">
      <c r="A99" t="s">
        <v>187</v>
      </c>
      <c r="B99" t="s">
        <v>787</v>
      </c>
      <c r="C99" t="s">
        <v>1273</v>
      </c>
      <c r="D99" s="2">
        <v>45142</v>
      </c>
      <c r="E99">
        <v>0.55500000000000005</v>
      </c>
      <c r="F99" s="2">
        <v>45170</v>
      </c>
      <c r="G99">
        <v>0.44</v>
      </c>
      <c r="H99" s="3">
        <v>-0.2072</v>
      </c>
      <c r="I99">
        <v>-45208.94</v>
      </c>
      <c r="J99" s="3">
        <v>-0.20899999999999999</v>
      </c>
      <c r="K99">
        <v>389749</v>
      </c>
      <c r="T99" s="2"/>
      <c r="U99" s="2"/>
      <c r="V99" s="2"/>
      <c r="W99" s="2"/>
      <c r="X99" s="3"/>
      <c r="Y99" s="3"/>
      <c r="Z99" s="3"/>
      <c r="AA99" s="3"/>
      <c r="AF99" s="3"/>
      <c r="AG99" s="3"/>
      <c r="AH99" s="3"/>
    </row>
    <row r="100" spans="1:34" x14ac:dyDescent="0.25">
      <c r="A100" t="s">
        <v>188</v>
      </c>
      <c r="B100" t="s">
        <v>788</v>
      </c>
      <c r="C100" t="s">
        <v>1273</v>
      </c>
      <c r="D100" s="2">
        <v>45100</v>
      </c>
      <c r="E100">
        <v>7.3885149999999999</v>
      </c>
      <c r="F100" s="2">
        <v>45170</v>
      </c>
      <c r="G100">
        <v>7.6398869999999999</v>
      </c>
      <c r="H100" s="3">
        <v>3.4000000000000002E-2</v>
      </c>
      <c r="I100">
        <v>6741.91</v>
      </c>
      <c r="J100" s="3">
        <v>3.2000000000000001E-2</v>
      </c>
      <c r="K100">
        <v>28526</v>
      </c>
      <c r="T100" s="2"/>
      <c r="U100" s="2"/>
      <c r="V100" s="2"/>
      <c r="W100" s="2"/>
      <c r="X100" s="3"/>
      <c r="Y100" s="3"/>
      <c r="Z100" s="3"/>
      <c r="AA100" s="3"/>
      <c r="AF100" s="3"/>
      <c r="AG100" s="3"/>
      <c r="AH100" s="3"/>
    </row>
    <row r="101" spans="1:34" x14ac:dyDescent="0.25">
      <c r="A101" t="s">
        <v>94</v>
      </c>
      <c r="B101" t="s">
        <v>789</v>
      </c>
      <c r="C101" t="s">
        <v>1273</v>
      </c>
      <c r="D101" s="2">
        <v>45037</v>
      </c>
      <c r="E101">
        <v>12.85003</v>
      </c>
      <c r="F101" s="2">
        <v>45170</v>
      </c>
      <c r="G101">
        <v>15.915570000000001</v>
      </c>
      <c r="H101" s="3">
        <v>0.23860000000000001</v>
      </c>
      <c r="I101">
        <v>51087.66</v>
      </c>
      <c r="J101" s="3">
        <v>0.23630000000000001</v>
      </c>
      <c r="K101">
        <v>16823</v>
      </c>
      <c r="T101" s="2"/>
      <c r="U101" s="2"/>
      <c r="V101" s="2"/>
      <c r="W101" s="2"/>
      <c r="X101" s="3"/>
      <c r="Y101" s="3"/>
      <c r="Z101" s="3"/>
      <c r="AA101" s="3"/>
      <c r="AF101" s="3"/>
      <c r="AG101" s="3"/>
      <c r="AH101" s="3"/>
    </row>
    <row r="102" spans="1:34" x14ac:dyDescent="0.25">
      <c r="A102" t="s">
        <v>189</v>
      </c>
      <c r="B102" t="s">
        <v>790</v>
      </c>
      <c r="C102" t="s">
        <v>1273</v>
      </c>
      <c r="D102" s="2">
        <v>45100</v>
      </c>
      <c r="E102">
        <v>2.4794640000000001</v>
      </c>
      <c r="F102" s="2">
        <v>45163</v>
      </c>
      <c r="G102">
        <v>1.9973460000000001</v>
      </c>
      <c r="H102" s="3">
        <v>-0.19439999999999999</v>
      </c>
      <c r="I102">
        <v>-41355.21</v>
      </c>
      <c r="J102" s="3">
        <v>-0.1963</v>
      </c>
      <c r="K102">
        <v>84989</v>
      </c>
      <c r="T102" s="2"/>
      <c r="U102" s="2"/>
      <c r="V102" s="2"/>
      <c r="W102" s="2"/>
      <c r="X102" s="3"/>
      <c r="Y102" s="3"/>
      <c r="Z102" s="3"/>
      <c r="AA102" s="3"/>
      <c r="AF102" s="3"/>
      <c r="AG102" s="3"/>
      <c r="AH102" s="3"/>
    </row>
    <row r="103" spans="1:34" x14ac:dyDescent="0.25">
      <c r="A103" t="s">
        <v>190</v>
      </c>
      <c r="B103" t="s">
        <v>791</v>
      </c>
      <c r="C103" t="s">
        <v>1273</v>
      </c>
      <c r="D103" s="2">
        <v>45114</v>
      </c>
      <c r="E103">
        <v>3.17</v>
      </c>
      <c r="F103" s="2">
        <v>45163</v>
      </c>
      <c r="G103">
        <v>2.95</v>
      </c>
      <c r="H103" s="3">
        <v>-6.9400000000000003E-2</v>
      </c>
      <c r="I103">
        <v>-15215.16</v>
      </c>
      <c r="J103" s="3">
        <v>-7.1300000000000002E-2</v>
      </c>
      <c r="K103">
        <v>67288</v>
      </c>
      <c r="T103" s="2"/>
      <c r="U103" s="2"/>
      <c r="V103" s="2"/>
      <c r="W103" s="2"/>
      <c r="X103" s="3"/>
      <c r="Y103" s="3"/>
      <c r="Z103" s="3"/>
      <c r="AA103" s="3"/>
      <c r="AF103" s="3"/>
      <c r="AG103" s="3"/>
      <c r="AH103" s="3"/>
    </row>
    <row r="104" spans="1:34" x14ac:dyDescent="0.25">
      <c r="A104" t="s">
        <v>25</v>
      </c>
      <c r="B104" t="s">
        <v>792</v>
      </c>
      <c r="C104" t="s">
        <v>1273</v>
      </c>
      <c r="D104" s="2">
        <v>45037</v>
      </c>
      <c r="E104">
        <v>2.4184800000000002</v>
      </c>
      <c r="F104" s="2">
        <v>45142</v>
      </c>
      <c r="G104">
        <v>2.6350600000000002</v>
      </c>
      <c r="H104" s="3">
        <v>8.9599999999999999E-2</v>
      </c>
      <c r="I104">
        <v>18905.810000000001</v>
      </c>
      <c r="J104" s="3">
        <v>8.7499999999999994E-2</v>
      </c>
      <c r="K104">
        <v>89378</v>
      </c>
      <c r="T104" s="2"/>
      <c r="U104" s="2"/>
      <c r="V104" s="2"/>
      <c r="W104" s="2"/>
      <c r="X104" s="3"/>
      <c r="Y104" s="3"/>
      <c r="Z104" s="3"/>
      <c r="AA104" s="3"/>
      <c r="AF104" s="3"/>
      <c r="AG104" s="3"/>
      <c r="AH104" s="3"/>
    </row>
    <row r="105" spans="1:34" x14ac:dyDescent="0.25">
      <c r="A105" t="s">
        <v>445</v>
      </c>
      <c r="B105" t="s">
        <v>793</v>
      </c>
      <c r="C105" t="s">
        <v>1273</v>
      </c>
      <c r="D105" s="2">
        <v>44806</v>
      </c>
      <c r="E105">
        <v>4.8841190000000001</v>
      </c>
      <c r="F105" s="2">
        <v>45121</v>
      </c>
      <c r="G105">
        <v>4.75936</v>
      </c>
      <c r="H105" s="3">
        <v>-2.5499999999999998E-2</v>
      </c>
      <c r="I105">
        <v>-6547.55</v>
      </c>
      <c r="J105" s="3">
        <v>-2.75E-2</v>
      </c>
      <c r="K105">
        <v>48716</v>
      </c>
      <c r="T105" s="2"/>
      <c r="U105" s="2"/>
      <c r="V105" s="2"/>
      <c r="W105" s="2"/>
      <c r="X105" s="3"/>
      <c r="Y105" s="3"/>
      <c r="Z105" s="3"/>
      <c r="AA105" s="3"/>
      <c r="AF105" s="3"/>
      <c r="AG105" s="3"/>
      <c r="AH105" s="3"/>
    </row>
    <row r="106" spans="1:34" x14ac:dyDescent="0.25">
      <c r="A106" t="s">
        <v>191</v>
      </c>
      <c r="B106" t="s">
        <v>794</v>
      </c>
      <c r="C106" t="s">
        <v>1273</v>
      </c>
      <c r="D106" s="2">
        <v>45037</v>
      </c>
      <c r="E106">
        <v>1.384806</v>
      </c>
      <c r="F106" s="2">
        <v>45107</v>
      </c>
      <c r="G106">
        <v>1.1571670000000001</v>
      </c>
      <c r="H106" s="3">
        <v>-0.16439999999999999</v>
      </c>
      <c r="I106">
        <v>-35940</v>
      </c>
      <c r="J106" s="3">
        <v>-0.16619999999999999</v>
      </c>
      <c r="K106">
        <v>156138</v>
      </c>
      <c r="T106" s="2"/>
      <c r="U106" s="2"/>
      <c r="V106" s="2"/>
      <c r="W106" s="2"/>
      <c r="X106" s="3"/>
      <c r="Y106" s="3"/>
      <c r="Z106" s="3"/>
      <c r="AA106" s="3"/>
      <c r="AF106" s="3"/>
      <c r="AG106" s="3"/>
      <c r="AH106" s="3"/>
    </row>
    <row r="107" spans="1:34" x14ac:dyDescent="0.25">
      <c r="A107" t="s">
        <v>192</v>
      </c>
      <c r="B107" t="s">
        <v>795</v>
      </c>
      <c r="C107" t="s">
        <v>1273</v>
      </c>
      <c r="D107" s="2">
        <v>44785</v>
      </c>
      <c r="E107">
        <v>5.8011980000000003</v>
      </c>
      <c r="F107" s="2">
        <v>45100</v>
      </c>
      <c r="G107">
        <v>6.3844459999999996</v>
      </c>
      <c r="H107" s="3">
        <v>0.10050000000000001</v>
      </c>
      <c r="I107">
        <v>24529.98</v>
      </c>
      <c r="J107" s="3">
        <v>9.8400000000000001E-2</v>
      </c>
      <c r="K107">
        <v>42955</v>
      </c>
      <c r="T107" s="2"/>
      <c r="U107" s="2"/>
      <c r="V107" s="2"/>
      <c r="W107" s="2"/>
      <c r="X107" s="3"/>
      <c r="Y107" s="3"/>
      <c r="Z107" s="3"/>
      <c r="AA107" s="3"/>
      <c r="AF107" s="3"/>
      <c r="AG107" s="3"/>
      <c r="AH107" s="3"/>
    </row>
    <row r="108" spans="1:34" x14ac:dyDescent="0.25">
      <c r="A108" t="s">
        <v>193</v>
      </c>
      <c r="B108" t="s">
        <v>796</v>
      </c>
      <c r="C108" t="s">
        <v>1273</v>
      </c>
      <c r="D108" s="2">
        <v>45037</v>
      </c>
      <c r="E108">
        <v>1.0410250000000001</v>
      </c>
      <c r="F108" s="2">
        <v>45086</v>
      </c>
      <c r="G108">
        <v>1.027563</v>
      </c>
      <c r="H108" s="3">
        <v>-1.29E-2</v>
      </c>
      <c r="I108">
        <v>-3226.32</v>
      </c>
      <c r="J108" s="3">
        <v>-1.49E-2</v>
      </c>
      <c r="K108">
        <v>207740</v>
      </c>
      <c r="T108" s="2"/>
      <c r="U108" s="2"/>
      <c r="V108" s="2"/>
      <c r="W108" s="2"/>
      <c r="X108" s="3"/>
      <c r="Y108" s="3"/>
      <c r="Z108" s="3"/>
      <c r="AA108" s="3"/>
      <c r="AF108" s="3"/>
      <c r="AG108" s="3"/>
      <c r="AH108" s="3"/>
    </row>
    <row r="109" spans="1:34" x14ac:dyDescent="0.25">
      <c r="A109" t="s">
        <v>59</v>
      </c>
      <c r="B109" t="s">
        <v>797</v>
      </c>
      <c r="C109" t="s">
        <v>1273</v>
      </c>
      <c r="D109" s="2">
        <v>44883</v>
      </c>
      <c r="E109">
        <v>8.4</v>
      </c>
      <c r="F109" s="2">
        <v>45086</v>
      </c>
      <c r="G109">
        <v>13.01</v>
      </c>
      <c r="H109" s="3">
        <v>0.54879999999999995</v>
      </c>
      <c r="I109">
        <v>124626.1</v>
      </c>
      <c r="J109" s="3">
        <v>0.54630000000000001</v>
      </c>
      <c r="K109">
        <v>27160</v>
      </c>
      <c r="T109" s="2"/>
      <c r="U109" s="2"/>
      <c r="V109" s="2"/>
      <c r="W109" s="2"/>
      <c r="X109" s="3"/>
      <c r="Y109" s="3"/>
      <c r="Z109" s="3"/>
      <c r="AA109" s="3"/>
      <c r="AF109" s="3"/>
      <c r="AG109" s="3"/>
      <c r="AH109" s="3"/>
    </row>
    <row r="110" spans="1:34" x14ac:dyDescent="0.25">
      <c r="A110" t="s">
        <v>194</v>
      </c>
      <c r="B110" t="s">
        <v>798</v>
      </c>
      <c r="C110" t="s">
        <v>1273</v>
      </c>
      <c r="D110" s="2">
        <v>45037</v>
      </c>
      <c r="E110">
        <v>2.2611940000000001</v>
      </c>
      <c r="F110" s="2">
        <v>45079</v>
      </c>
      <c r="G110">
        <v>2.2789990000000002</v>
      </c>
      <c r="H110" s="3">
        <v>7.9000000000000008E-3</v>
      </c>
      <c r="I110">
        <v>1269.1400000000001</v>
      </c>
      <c r="J110" s="3">
        <v>5.8999999999999999E-3</v>
      </c>
      <c r="K110">
        <v>95677</v>
      </c>
      <c r="T110" s="2"/>
      <c r="U110" s="2"/>
      <c r="V110" s="2"/>
      <c r="W110" s="2"/>
      <c r="X110" s="3"/>
      <c r="Y110" s="3"/>
      <c r="Z110" s="3"/>
      <c r="AA110" s="3"/>
      <c r="AF110" s="3"/>
      <c r="AG110" s="3"/>
      <c r="AH110" s="3"/>
    </row>
    <row r="111" spans="1:34" x14ac:dyDescent="0.25">
      <c r="A111" t="s">
        <v>109</v>
      </c>
      <c r="B111" t="s">
        <v>772</v>
      </c>
      <c r="C111" t="s">
        <v>1273</v>
      </c>
      <c r="D111" s="2">
        <v>44799</v>
      </c>
      <c r="E111">
        <v>1.717481</v>
      </c>
      <c r="F111" s="2">
        <v>45079</v>
      </c>
      <c r="G111">
        <v>1.7463550000000001</v>
      </c>
      <c r="H111" s="3">
        <v>1.6799999999999999E-2</v>
      </c>
      <c r="I111">
        <v>3606.08</v>
      </c>
      <c r="J111" s="3">
        <v>1.4800000000000001E-2</v>
      </c>
      <c r="K111">
        <v>141915</v>
      </c>
      <c r="T111" s="2"/>
      <c r="U111" s="2"/>
      <c r="V111" s="2"/>
      <c r="W111" s="2"/>
      <c r="X111" s="3"/>
      <c r="Y111" s="3"/>
      <c r="Z111" s="3"/>
      <c r="AA111" s="3"/>
      <c r="AF111" s="3"/>
      <c r="AG111" s="3"/>
      <c r="AH111" s="3"/>
    </row>
    <row r="112" spans="1:34" x14ac:dyDescent="0.25">
      <c r="A112" t="s">
        <v>190</v>
      </c>
      <c r="B112" t="s">
        <v>791</v>
      </c>
      <c r="C112" t="s">
        <v>1273</v>
      </c>
      <c r="D112" s="2">
        <v>45072</v>
      </c>
      <c r="E112">
        <v>2.34</v>
      </c>
      <c r="F112" s="2">
        <v>45079</v>
      </c>
      <c r="G112">
        <v>1.92</v>
      </c>
      <c r="H112" s="3">
        <v>-0.17949999999999999</v>
      </c>
      <c r="I112">
        <v>-39513.879999999997</v>
      </c>
      <c r="J112" s="3">
        <v>-0.18129999999999999</v>
      </c>
      <c r="K112">
        <v>93136</v>
      </c>
      <c r="T112" s="2"/>
      <c r="U112" s="2"/>
      <c r="V112" s="2"/>
      <c r="W112" s="2"/>
      <c r="X112" s="3"/>
      <c r="Y112" s="3"/>
      <c r="Z112" s="3"/>
      <c r="AA112" s="3"/>
      <c r="AF112" s="3"/>
      <c r="AG112" s="3"/>
      <c r="AH112" s="3"/>
    </row>
    <row r="113" spans="1:34" x14ac:dyDescent="0.25">
      <c r="A113" t="s">
        <v>160</v>
      </c>
      <c r="B113" t="s">
        <v>754</v>
      </c>
      <c r="C113" t="s">
        <v>1273</v>
      </c>
      <c r="D113" s="2">
        <v>45037</v>
      </c>
      <c r="E113">
        <v>1.5065409999999999</v>
      </c>
      <c r="F113" s="2">
        <v>45065</v>
      </c>
      <c r="G113">
        <v>1.4916739999999999</v>
      </c>
      <c r="H113" s="3">
        <v>-9.9000000000000008E-3</v>
      </c>
      <c r="I113">
        <v>-2564.7800000000002</v>
      </c>
      <c r="J113" s="3">
        <v>-1.1900000000000001E-2</v>
      </c>
      <c r="K113">
        <v>143563</v>
      </c>
      <c r="T113" s="2"/>
      <c r="U113" s="2"/>
      <c r="V113" s="2"/>
      <c r="W113" s="2"/>
      <c r="X113" s="3"/>
      <c r="Y113" s="3"/>
      <c r="Z113" s="3"/>
      <c r="AA113" s="3"/>
      <c r="AF113" s="3"/>
      <c r="AG113" s="3"/>
      <c r="AH113" s="3"/>
    </row>
    <row r="114" spans="1:34" x14ac:dyDescent="0.25">
      <c r="A114" t="s">
        <v>195</v>
      </c>
      <c r="B114" t="s">
        <v>799</v>
      </c>
      <c r="C114" t="s">
        <v>1273</v>
      </c>
      <c r="D114" s="2">
        <v>45037</v>
      </c>
      <c r="E114">
        <v>0.92</v>
      </c>
      <c r="F114" s="2">
        <v>45065</v>
      </c>
      <c r="G114">
        <v>0.83499999999999996</v>
      </c>
      <c r="H114" s="3">
        <v>-9.2399999999999996E-2</v>
      </c>
      <c r="I114">
        <v>-20391.419999999998</v>
      </c>
      <c r="J114" s="3">
        <v>-9.4299999999999995E-2</v>
      </c>
      <c r="K114">
        <v>235046</v>
      </c>
      <c r="T114" s="2"/>
      <c r="U114" s="2"/>
      <c r="V114" s="2"/>
      <c r="W114" s="2"/>
      <c r="X114" s="3"/>
      <c r="Y114" s="3"/>
      <c r="Z114" s="3"/>
      <c r="AA114" s="3"/>
      <c r="AF114" s="3"/>
      <c r="AG114" s="3"/>
      <c r="AH114" s="3"/>
    </row>
    <row r="115" spans="1:34" x14ac:dyDescent="0.25">
      <c r="A115" t="s">
        <v>152</v>
      </c>
      <c r="B115" t="s">
        <v>745</v>
      </c>
      <c r="C115" t="s">
        <v>1273</v>
      </c>
      <c r="D115" s="2">
        <v>44785</v>
      </c>
      <c r="E115">
        <v>1.747649</v>
      </c>
      <c r="F115" s="2">
        <v>45044</v>
      </c>
      <c r="G115">
        <v>1.5334920000000001</v>
      </c>
      <c r="H115" s="3">
        <v>-0.1225</v>
      </c>
      <c r="I115">
        <v>-31007.11</v>
      </c>
      <c r="J115" s="3">
        <v>-0.1244</v>
      </c>
      <c r="K115">
        <v>142602</v>
      </c>
      <c r="T115" s="2"/>
      <c r="U115" s="2"/>
      <c r="V115" s="2"/>
      <c r="W115" s="2"/>
      <c r="X115" s="3"/>
      <c r="Y115" s="3"/>
      <c r="Z115" s="3"/>
      <c r="AA115" s="3"/>
      <c r="AF115" s="3"/>
      <c r="AG115" s="3"/>
      <c r="AH115" s="3"/>
    </row>
    <row r="116" spans="1:34" x14ac:dyDescent="0.25">
      <c r="A116" t="s">
        <v>446</v>
      </c>
      <c r="B116" t="s">
        <v>800</v>
      </c>
      <c r="C116" t="s">
        <v>1273</v>
      </c>
      <c r="D116" s="2">
        <v>44876</v>
      </c>
      <c r="E116">
        <v>2.1</v>
      </c>
      <c r="F116" s="2">
        <v>45027</v>
      </c>
      <c r="G116">
        <v>2.2000000000000002</v>
      </c>
      <c r="H116" s="3">
        <v>4.7600000000000003E-2</v>
      </c>
      <c r="I116">
        <v>10566.52</v>
      </c>
      <c r="J116" s="3">
        <v>4.5600000000000002E-2</v>
      </c>
      <c r="K116">
        <v>110413</v>
      </c>
      <c r="T116" s="2"/>
      <c r="U116" s="2"/>
      <c r="V116" s="2"/>
      <c r="W116" s="2"/>
      <c r="X116" s="3"/>
      <c r="Y116" s="3"/>
      <c r="Z116" s="3"/>
      <c r="AA116" s="3"/>
      <c r="AF116" s="3"/>
      <c r="AG116" s="3"/>
      <c r="AH116" s="3"/>
    </row>
    <row r="117" spans="1:34" x14ac:dyDescent="0.25">
      <c r="A117" t="s">
        <v>196</v>
      </c>
      <c r="B117" t="s">
        <v>801</v>
      </c>
      <c r="C117" t="s">
        <v>1273</v>
      </c>
      <c r="D117" s="2">
        <v>44876</v>
      </c>
      <c r="E117">
        <v>2.3166380000000002</v>
      </c>
      <c r="F117" s="2">
        <v>45016</v>
      </c>
      <c r="G117">
        <v>2.071307</v>
      </c>
      <c r="H117" s="3">
        <v>-0.10589999999999999</v>
      </c>
      <c r="I117">
        <v>-25000.86</v>
      </c>
      <c r="J117" s="3">
        <v>-0.10780000000000001</v>
      </c>
      <c r="K117">
        <v>100116</v>
      </c>
      <c r="T117" s="2"/>
      <c r="U117" s="2"/>
      <c r="V117" s="2"/>
      <c r="W117" s="2"/>
      <c r="X117" s="3"/>
      <c r="Y117" s="3"/>
      <c r="Z117" s="3"/>
      <c r="AA117" s="3"/>
      <c r="AF117" s="3"/>
      <c r="AG117" s="3"/>
      <c r="AH117" s="3"/>
    </row>
    <row r="118" spans="1:34" x14ac:dyDescent="0.25">
      <c r="A118" t="s">
        <v>183</v>
      </c>
      <c r="B118" t="s">
        <v>781</v>
      </c>
      <c r="C118" t="s">
        <v>1273</v>
      </c>
      <c r="D118" s="2">
        <v>44974</v>
      </c>
      <c r="E118">
        <v>4.5998650000000003</v>
      </c>
      <c r="F118" s="2">
        <v>45009</v>
      </c>
      <c r="G118">
        <v>3.5937100000000002</v>
      </c>
      <c r="H118" s="3">
        <v>-0.21870000000000001</v>
      </c>
      <c r="I118">
        <v>-48787.12</v>
      </c>
      <c r="J118" s="3">
        <v>-0.2205</v>
      </c>
      <c r="K118">
        <v>48097</v>
      </c>
      <c r="T118" s="2"/>
      <c r="U118" s="2"/>
      <c r="V118" s="2"/>
      <c r="W118" s="2"/>
      <c r="X118" s="3"/>
      <c r="Y118" s="3"/>
      <c r="Z118" s="3"/>
      <c r="AA118" s="3"/>
      <c r="AF118" s="3"/>
      <c r="AG118" s="3"/>
      <c r="AH118" s="3"/>
    </row>
    <row r="119" spans="1:34" x14ac:dyDescent="0.25">
      <c r="A119" t="s">
        <v>197</v>
      </c>
      <c r="B119" t="s">
        <v>802</v>
      </c>
      <c r="C119" t="s">
        <v>1273</v>
      </c>
      <c r="D119" s="2">
        <v>44876</v>
      </c>
      <c r="E119">
        <v>10.800129999999999</v>
      </c>
      <c r="F119" s="2">
        <v>45009</v>
      </c>
      <c r="G119">
        <v>9.1829040000000006</v>
      </c>
      <c r="H119" s="3">
        <v>-0.1497</v>
      </c>
      <c r="I119">
        <v>-35150.959999999999</v>
      </c>
      <c r="J119" s="3">
        <v>-0.15160000000000001</v>
      </c>
      <c r="K119">
        <v>21470</v>
      </c>
      <c r="T119" s="2"/>
      <c r="U119" s="2"/>
      <c r="V119" s="2"/>
      <c r="W119" s="2"/>
      <c r="X119" s="3"/>
      <c r="Y119" s="3"/>
      <c r="Z119" s="3"/>
      <c r="AA119" s="3"/>
      <c r="AF119" s="3"/>
      <c r="AG119" s="3"/>
      <c r="AH119" s="3"/>
    </row>
    <row r="120" spans="1:34" x14ac:dyDescent="0.25">
      <c r="A120" t="s">
        <v>177</v>
      </c>
      <c r="B120" t="s">
        <v>773</v>
      </c>
      <c r="C120" t="s">
        <v>1273</v>
      </c>
      <c r="D120" s="2">
        <v>44876</v>
      </c>
      <c r="E120">
        <v>2.7582979999999999</v>
      </c>
      <c r="F120" s="2">
        <v>45009</v>
      </c>
      <c r="G120">
        <v>2.7230479999999999</v>
      </c>
      <c r="H120" s="3">
        <v>-1.2800000000000001E-2</v>
      </c>
      <c r="I120">
        <v>-3425.22</v>
      </c>
      <c r="J120" s="3">
        <v>-1.4800000000000001E-2</v>
      </c>
      <c r="K120">
        <v>84093</v>
      </c>
      <c r="T120" s="2"/>
      <c r="U120" s="2"/>
      <c r="V120" s="2"/>
      <c r="W120" s="2"/>
      <c r="X120" s="3"/>
      <c r="Y120" s="3"/>
      <c r="Z120" s="3"/>
      <c r="AA120" s="3"/>
      <c r="AF120" s="3"/>
      <c r="AG120" s="3"/>
      <c r="AH120" s="3"/>
    </row>
    <row r="121" spans="1:34" x14ac:dyDescent="0.25">
      <c r="A121" t="s">
        <v>151</v>
      </c>
      <c r="B121" t="s">
        <v>744</v>
      </c>
      <c r="C121" t="s">
        <v>1273</v>
      </c>
      <c r="D121" s="2">
        <v>44995</v>
      </c>
      <c r="E121">
        <v>0.92389180000000004</v>
      </c>
      <c r="F121" s="2">
        <v>45002</v>
      </c>
      <c r="G121">
        <v>0.87474870000000005</v>
      </c>
      <c r="H121" s="3">
        <v>-5.3199999999999997E-2</v>
      </c>
      <c r="I121">
        <v>-12149.25</v>
      </c>
      <c r="J121" s="3">
        <v>-5.5100000000000003E-2</v>
      </c>
      <c r="K121">
        <v>238493</v>
      </c>
      <c r="T121" s="2"/>
      <c r="U121" s="2"/>
      <c r="V121" s="2"/>
      <c r="W121" s="2"/>
      <c r="X121" s="3"/>
      <c r="Y121" s="3"/>
      <c r="Z121" s="3"/>
      <c r="AA121" s="3"/>
      <c r="AF121" s="3"/>
      <c r="AG121" s="3"/>
      <c r="AH121" s="3"/>
    </row>
    <row r="122" spans="1:34" x14ac:dyDescent="0.25">
      <c r="A122" t="s">
        <v>194</v>
      </c>
      <c r="B122" t="s">
        <v>798</v>
      </c>
      <c r="C122" t="s">
        <v>1273</v>
      </c>
      <c r="D122" s="2">
        <v>44988</v>
      </c>
      <c r="E122">
        <v>2.0477650000000001</v>
      </c>
      <c r="F122" s="2">
        <v>45002</v>
      </c>
      <c r="G122">
        <v>2.0030260000000002</v>
      </c>
      <c r="H122" s="3">
        <v>-2.18E-2</v>
      </c>
      <c r="I122">
        <v>-5176.5</v>
      </c>
      <c r="J122" s="3">
        <v>-2.3800000000000002E-2</v>
      </c>
      <c r="K122">
        <v>106098</v>
      </c>
      <c r="T122" s="2"/>
      <c r="U122" s="2"/>
      <c r="V122" s="2"/>
      <c r="W122" s="2"/>
      <c r="X122" s="3"/>
      <c r="Y122" s="3"/>
      <c r="Z122" s="3"/>
      <c r="AA122" s="3"/>
      <c r="AF122" s="3"/>
      <c r="AG122" s="3"/>
      <c r="AH122" s="3"/>
    </row>
    <row r="123" spans="1:34" x14ac:dyDescent="0.25">
      <c r="A123" t="s">
        <v>198</v>
      </c>
      <c r="B123" t="s">
        <v>803</v>
      </c>
      <c r="C123" t="s">
        <v>1273</v>
      </c>
      <c r="D123" s="2">
        <v>44904</v>
      </c>
      <c r="E123">
        <v>1.72</v>
      </c>
      <c r="F123" s="2">
        <v>45002</v>
      </c>
      <c r="G123">
        <v>1.46</v>
      </c>
      <c r="H123" s="3">
        <v>-0.1512</v>
      </c>
      <c r="I123">
        <v>-34200.5</v>
      </c>
      <c r="J123" s="3">
        <v>-0.153</v>
      </c>
      <c r="K123">
        <v>129951</v>
      </c>
      <c r="T123" s="2"/>
      <c r="U123" s="2"/>
      <c r="V123" s="2"/>
      <c r="W123" s="2"/>
      <c r="X123" s="3"/>
      <c r="Y123" s="3"/>
      <c r="Z123" s="3"/>
      <c r="AA123" s="3"/>
      <c r="AF123" s="3"/>
      <c r="AG123" s="3"/>
      <c r="AH123" s="3"/>
    </row>
    <row r="124" spans="1:34" x14ac:dyDescent="0.25">
      <c r="A124" t="s">
        <v>199</v>
      </c>
      <c r="B124" t="s">
        <v>804</v>
      </c>
      <c r="C124" t="s">
        <v>1273</v>
      </c>
      <c r="D124" s="2">
        <v>44883</v>
      </c>
      <c r="E124">
        <v>0.64500000000000002</v>
      </c>
      <c r="F124" s="2">
        <v>45002</v>
      </c>
      <c r="G124">
        <v>0.64</v>
      </c>
      <c r="H124" s="3">
        <v>-7.7999999999999996E-3</v>
      </c>
      <c r="I124">
        <v>-2222.9</v>
      </c>
      <c r="J124" s="3">
        <v>-9.7000000000000003E-3</v>
      </c>
      <c r="K124">
        <v>353684</v>
      </c>
      <c r="T124" s="2"/>
      <c r="U124" s="2"/>
      <c r="V124" s="2"/>
      <c r="W124" s="2"/>
      <c r="X124" s="3"/>
      <c r="Y124" s="3"/>
      <c r="Z124" s="3"/>
      <c r="AA124" s="3"/>
      <c r="AF124" s="3"/>
      <c r="AG124" s="3"/>
      <c r="AH124" s="3"/>
    </row>
    <row r="125" spans="1:34" x14ac:dyDescent="0.25">
      <c r="A125" t="s">
        <v>447</v>
      </c>
      <c r="B125" t="s">
        <v>805</v>
      </c>
      <c r="C125" t="s">
        <v>1273</v>
      </c>
      <c r="D125" s="2">
        <v>44981</v>
      </c>
      <c r="E125">
        <v>1.9413910000000001</v>
      </c>
      <c r="F125" s="2">
        <v>44995</v>
      </c>
      <c r="G125">
        <v>1.79253</v>
      </c>
      <c r="H125" s="3">
        <v>-7.6700000000000004E-2</v>
      </c>
      <c r="I125">
        <v>-17336.919999999998</v>
      </c>
      <c r="J125" s="3">
        <v>-7.8600000000000003E-2</v>
      </c>
      <c r="K125">
        <v>113614</v>
      </c>
      <c r="T125" s="2"/>
      <c r="U125" s="2"/>
      <c r="V125" s="2"/>
      <c r="W125" s="2"/>
      <c r="X125" s="3"/>
      <c r="Y125" s="3"/>
      <c r="Z125" s="3"/>
      <c r="AA125" s="3"/>
      <c r="AF125" s="3"/>
      <c r="AG125" s="3"/>
      <c r="AH125" s="3"/>
    </row>
    <row r="126" spans="1:34" x14ac:dyDescent="0.25">
      <c r="A126" t="s">
        <v>123</v>
      </c>
      <c r="B126" t="s">
        <v>384</v>
      </c>
      <c r="C126" t="s">
        <v>1273</v>
      </c>
      <c r="D126" s="2">
        <v>44925</v>
      </c>
      <c r="E126">
        <v>3.1421250000000001</v>
      </c>
      <c r="F126" s="2">
        <v>44995</v>
      </c>
      <c r="G126">
        <v>3.2119499999999999</v>
      </c>
      <c r="H126" s="3">
        <v>2.2200000000000001E-2</v>
      </c>
      <c r="I126">
        <v>4340.21</v>
      </c>
      <c r="J126" s="3">
        <v>2.0199999999999999E-2</v>
      </c>
      <c r="K126">
        <v>68381</v>
      </c>
      <c r="T126" s="2"/>
      <c r="U126" s="2"/>
      <c r="V126" s="2"/>
      <c r="W126" s="2"/>
      <c r="X126" s="3"/>
      <c r="Y126" s="3"/>
      <c r="Z126" s="3"/>
      <c r="AA126" s="3"/>
      <c r="AF126" s="3"/>
      <c r="AG126" s="3"/>
      <c r="AH126" s="3"/>
    </row>
    <row r="127" spans="1:34" x14ac:dyDescent="0.25">
      <c r="A127" t="s">
        <v>162</v>
      </c>
      <c r="B127" t="s">
        <v>756</v>
      </c>
      <c r="C127" t="s">
        <v>1273</v>
      </c>
      <c r="D127" s="2">
        <v>44876</v>
      </c>
      <c r="E127">
        <v>4.05</v>
      </c>
      <c r="F127" s="2">
        <v>44995</v>
      </c>
      <c r="G127">
        <v>3.16</v>
      </c>
      <c r="H127" s="3">
        <v>-0.2198</v>
      </c>
      <c r="I127">
        <v>-51341.05</v>
      </c>
      <c r="J127" s="3">
        <v>-0.2215</v>
      </c>
      <c r="K127">
        <v>57223</v>
      </c>
      <c r="T127" s="2"/>
      <c r="U127" s="2"/>
      <c r="V127" s="2"/>
      <c r="W127" s="2"/>
      <c r="X127" s="3"/>
      <c r="Y127" s="3"/>
      <c r="Z127" s="3"/>
      <c r="AA127" s="3"/>
      <c r="AF127" s="3"/>
      <c r="AG127" s="3"/>
      <c r="AH127" s="3"/>
    </row>
    <row r="128" spans="1:34" x14ac:dyDescent="0.25">
      <c r="A128" t="s">
        <v>200</v>
      </c>
      <c r="B128" t="s">
        <v>806</v>
      </c>
      <c r="C128" t="s">
        <v>1273</v>
      </c>
      <c r="D128" s="2">
        <v>44876</v>
      </c>
      <c r="E128">
        <v>0.85117240000000005</v>
      </c>
      <c r="F128" s="2">
        <v>44988</v>
      </c>
      <c r="G128">
        <v>0.73510350000000002</v>
      </c>
      <c r="H128" s="3">
        <v>-0.13639999999999999</v>
      </c>
      <c r="I128">
        <v>-32056.45</v>
      </c>
      <c r="J128" s="3">
        <v>-0.13819999999999999</v>
      </c>
      <c r="K128">
        <v>272461</v>
      </c>
      <c r="T128" s="2"/>
      <c r="U128" s="2"/>
      <c r="V128" s="2"/>
      <c r="W128" s="2"/>
      <c r="X128" s="3"/>
      <c r="Y128" s="3"/>
      <c r="Z128" s="3"/>
      <c r="AA128" s="3"/>
      <c r="AF128" s="3"/>
      <c r="AG128" s="3"/>
      <c r="AH128" s="3"/>
    </row>
    <row r="129" spans="1:34" x14ac:dyDescent="0.25">
      <c r="A129" t="s">
        <v>201</v>
      </c>
      <c r="B129" t="s">
        <v>807</v>
      </c>
      <c r="C129" t="s">
        <v>1273</v>
      </c>
      <c r="D129" s="2">
        <v>44876</v>
      </c>
      <c r="E129">
        <v>0.61499999999999999</v>
      </c>
      <c r="F129" s="2">
        <v>44988</v>
      </c>
      <c r="G129">
        <v>0.53</v>
      </c>
      <c r="H129" s="3">
        <v>-0.13819999999999999</v>
      </c>
      <c r="I129">
        <v>-32465.98</v>
      </c>
      <c r="J129" s="3">
        <v>-0.1401</v>
      </c>
      <c r="K129">
        <v>376876</v>
      </c>
      <c r="T129" s="2"/>
      <c r="U129" s="2"/>
      <c r="V129" s="2"/>
      <c r="W129" s="2"/>
      <c r="X129" s="3"/>
      <c r="Y129" s="3"/>
      <c r="Z129" s="3"/>
      <c r="AA129" s="3"/>
      <c r="AF129" s="3"/>
      <c r="AG129" s="3"/>
      <c r="AH129" s="3"/>
    </row>
    <row r="130" spans="1:34" x14ac:dyDescent="0.25">
      <c r="A130" t="s">
        <v>94</v>
      </c>
      <c r="B130" t="s">
        <v>789</v>
      </c>
      <c r="C130" t="s">
        <v>1273</v>
      </c>
      <c r="D130" s="2">
        <v>44785</v>
      </c>
      <c r="E130">
        <v>9.9629499999999993</v>
      </c>
      <c r="F130" s="2">
        <v>44981</v>
      </c>
      <c r="G130">
        <v>10.438230000000001</v>
      </c>
      <c r="H130" s="3">
        <v>4.7699999999999999E-2</v>
      </c>
      <c r="I130">
        <v>11380.61</v>
      </c>
      <c r="J130" s="3">
        <v>4.5699999999999998E-2</v>
      </c>
      <c r="K130">
        <v>25019</v>
      </c>
      <c r="T130" s="2"/>
      <c r="U130" s="2"/>
      <c r="V130" s="2"/>
      <c r="W130" s="2"/>
      <c r="X130" s="3"/>
      <c r="Y130" s="3"/>
      <c r="Z130" s="3"/>
      <c r="AA130" s="3"/>
      <c r="AF130" s="3"/>
      <c r="AG130" s="3"/>
      <c r="AH130" s="3"/>
    </row>
    <row r="131" spans="1:34" x14ac:dyDescent="0.25">
      <c r="A131" t="s">
        <v>88</v>
      </c>
      <c r="B131" t="s">
        <v>808</v>
      </c>
      <c r="C131" t="s">
        <v>1273</v>
      </c>
      <c r="D131" s="2">
        <v>44876</v>
      </c>
      <c r="E131">
        <v>2.5895760000000001</v>
      </c>
      <c r="F131" s="2">
        <v>44974</v>
      </c>
      <c r="G131">
        <v>1.7754289999999999</v>
      </c>
      <c r="H131" s="3">
        <v>-0.31440000000000001</v>
      </c>
      <c r="I131">
        <v>-73323.12</v>
      </c>
      <c r="J131" s="3">
        <v>-0.31609999999999999</v>
      </c>
      <c r="K131">
        <v>89581</v>
      </c>
      <c r="T131" s="2"/>
      <c r="U131" s="2"/>
      <c r="V131" s="2"/>
      <c r="W131" s="2"/>
      <c r="X131" s="3"/>
      <c r="Y131" s="3"/>
      <c r="Z131" s="3"/>
      <c r="AA131" s="3"/>
      <c r="AF131" s="3"/>
      <c r="AG131" s="3"/>
      <c r="AH131" s="3"/>
    </row>
    <row r="132" spans="1:34" x14ac:dyDescent="0.25">
      <c r="A132" t="s">
        <v>202</v>
      </c>
      <c r="B132" t="s">
        <v>809</v>
      </c>
      <c r="C132" t="s">
        <v>1273</v>
      </c>
      <c r="D132" s="2">
        <v>44876</v>
      </c>
      <c r="E132">
        <v>1.7257499999999999</v>
      </c>
      <c r="F132" s="2">
        <v>44925</v>
      </c>
      <c r="G132">
        <v>0.95550009999999996</v>
      </c>
      <c r="H132" s="3">
        <v>-0.44629999999999997</v>
      </c>
      <c r="I132">
        <v>-103838.66</v>
      </c>
      <c r="J132" s="3">
        <v>-0.44790000000000002</v>
      </c>
      <c r="K132">
        <v>134344</v>
      </c>
      <c r="T132" s="2"/>
      <c r="U132" s="2"/>
      <c r="V132" s="2"/>
      <c r="W132" s="2"/>
      <c r="X132" s="3"/>
      <c r="Y132" s="3"/>
      <c r="Z132" s="3"/>
      <c r="AA132" s="3"/>
      <c r="AF132" s="3"/>
      <c r="AG132" s="3"/>
      <c r="AH132" s="3"/>
    </row>
    <row r="133" spans="1:34" x14ac:dyDescent="0.25">
      <c r="A133" t="s">
        <v>104</v>
      </c>
      <c r="B133" t="s">
        <v>810</v>
      </c>
      <c r="C133" t="s">
        <v>1273</v>
      </c>
      <c r="D133" s="2">
        <v>44806</v>
      </c>
      <c r="E133">
        <v>11.47105</v>
      </c>
      <c r="F133" s="2">
        <v>44925</v>
      </c>
      <c r="G133">
        <v>11.8141</v>
      </c>
      <c r="H133" s="3">
        <v>2.9899999999999999E-2</v>
      </c>
      <c r="I133">
        <v>6633.2</v>
      </c>
      <c r="J133" s="3">
        <v>2.7900000000000001E-2</v>
      </c>
      <c r="K133">
        <v>20744</v>
      </c>
      <c r="T133" s="2"/>
      <c r="U133" s="2"/>
      <c r="V133" s="2"/>
      <c r="W133" s="2"/>
      <c r="X133" s="3"/>
      <c r="Y133" s="3"/>
      <c r="Z133" s="3"/>
      <c r="AA133" s="3"/>
      <c r="AF133" s="3"/>
      <c r="AG133" s="3"/>
      <c r="AH133" s="3"/>
    </row>
    <row r="134" spans="1:34" x14ac:dyDescent="0.25">
      <c r="A134" t="s">
        <v>203</v>
      </c>
      <c r="B134" t="s">
        <v>811</v>
      </c>
      <c r="C134" t="s">
        <v>1273</v>
      </c>
      <c r="D134" s="2">
        <v>44876</v>
      </c>
      <c r="E134">
        <v>1.127351</v>
      </c>
      <c r="F134" s="2">
        <v>44911</v>
      </c>
      <c r="G134">
        <v>0.9514842</v>
      </c>
      <c r="H134" s="3">
        <v>-0.156</v>
      </c>
      <c r="I134">
        <v>-36591.85</v>
      </c>
      <c r="J134" s="3">
        <v>-0.1578</v>
      </c>
      <c r="K134">
        <v>205635</v>
      </c>
      <c r="T134" s="2"/>
      <c r="U134" s="2"/>
      <c r="V134" s="2"/>
      <c r="W134" s="2"/>
      <c r="X134" s="3"/>
      <c r="Y134" s="3"/>
      <c r="Z134" s="3"/>
      <c r="AA134" s="3"/>
      <c r="AF134" s="3"/>
      <c r="AG134" s="3"/>
      <c r="AH134" s="3"/>
    </row>
    <row r="135" spans="1:34" x14ac:dyDescent="0.25">
      <c r="A135" t="s">
        <v>448</v>
      </c>
      <c r="B135" t="s">
        <v>812</v>
      </c>
      <c r="C135" t="s">
        <v>1273</v>
      </c>
      <c r="D135" s="2">
        <v>44799</v>
      </c>
      <c r="E135">
        <v>2.0499999999999998</v>
      </c>
      <c r="F135" s="2">
        <v>44901</v>
      </c>
      <c r="G135">
        <v>2.09</v>
      </c>
      <c r="H135" s="3">
        <v>1.95E-2</v>
      </c>
      <c r="I135">
        <v>4264.01</v>
      </c>
      <c r="J135" s="3">
        <v>1.7500000000000002E-2</v>
      </c>
      <c r="K135">
        <v>118907</v>
      </c>
      <c r="T135" s="2"/>
      <c r="U135" s="2"/>
      <c r="V135" s="2"/>
      <c r="W135" s="2"/>
      <c r="X135" s="3"/>
      <c r="Y135" s="3"/>
      <c r="Z135" s="3"/>
      <c r="AA135" s="3"/>
      <c r="AF135" s="3"/>
      <c r="AG135" s="3"/>
      <c r="AH135" s="3"/>
    </row>
    <row r="136" spans="1:34" x14ac:dyDescent="0.25">
      <c r="A136" t="s">
        <v>108</v>
      </c>
      <c r="B136" t="s">
        <v>782</v>
      </c>
      <c r="C136" t="s">
        <v>1273</v>
      </c>
      <c r="D136" s="2">
        <v>44785</v>
      </c>
      <c r="E136">
        <v>0.594225</v>
      </c>
      <c r="F136" s="2">
        <v>44883</v>
      </c>
      <c r="G136">
        <v>0.57024870000000005</v>
      </c>
      <c r="H136" s="3">
        <v>-4.0300000000000002E-2</v>
      </c>
      <c r="I136">
        <v>-10548.11</v>
      </c>
      <c r="J136" s="3">
        <v>-4.2299999999999997E-2</v>
      </c>
      <c r="K136">
        <v>419562</v>
      </c>
      <c r="T136" s="2"/>
      <c r="U136" s="2"/>
      <c r="V136" s="2"/>
      <c r="W136" s="2"/>
      <c r="X136" s="3"/>
      <c r="Y136" s="3"/>
      <c r="Z136" s="3"/>
      <c r="AA136" s="3"/>
      <c r="AF136" s="3"/>
      <c r="AG136" s="3"/>
      <c r="AH136" s="3"/>
    </row>
    <row r="137" spans="1:34" x14ac:dyDescent="0.25">
      <c r="A137" t="s">
        <v>105</v>
      </c>
      <c r="B137" t="s">
        <v>813</v>
      </c>
      <c r="C137" t="s">
        <v>1273</v>
      </c>
      <c r="D137" s="2">
        <v>44806</v>
      </c>
      <c r="E137">
        <v>0.8604465</v>
      </c>
      <c r="F137" s="2">
        <v>44855</v>
      </c>
      <c r="G137">
        <v>0.74734279999999997</v>
      </c>
      <c r="H137" s="3">
        <v>-0.13139999999999999</v>
      </c>
      <c r="I137">
        <v>-31717.5</v>
      </c>
      <c r="J137" s="3">
        <v>-0.1333</v>
      </c>
      <c r="K137">
        <v>276498</v>
      </c>
      <c r="T137" s="2"/>
      <c r="U137" s="2"/>
      <c r="V137" s="2"/>
      <c r="W137" s="2"/>
      <c r="X137" s="3"/>
      <c r="Y137" s="3"/>
      <c r="Z137" s="3"/>
      <c r="AA137" s="3"/>
      <c r="AF137" s="3"/>
      <c r="AG137" s="3"/>
      <c r="AH137" s="3"/>
    </row>
    <row r="138" spans="1:34" x14ac:dyDescent="0.25">
      <c r="A138" t="s">
        <v>449</v>
      </c>
      <c r="B138" t="s">
        <v>814</v>
      </c>
      <c r="C138" t="s">
        <v>1273</v>
      </c>
      <c r="D138" s="2">
        <v>44645</v>
      </c>
      <c r="E138">
        <v>0.81499999999999995</v>
      </c>
      <c r="F138" s="2">
        <v>44855</v>
      </c>
      <c r="G138">
        <v>1.06</v>
      </c>
      <c r="H138" s="3">
        <v>0.30059999999999998</v>
      </c>
      <c r="I138">
        <v>76907.25</v>
      </c>
      <c r="J138" s="3">
        <v>0.29830000000000001</v>
      </c>
      <c r="K138">
        <v>316328</v>
      </c>
      <c r="T138" s="2"/>
      <c r="U138" s="2"/>
      <c r="V138" s="2"/>
      <c r="W138" s="2"/>
      <c r="X138" s="3"/>
      <c r="Y138" s="3"/>
      <c r="Z138" s="3"/>
      <c r="AA138" s="3"/>
      <c r="AF138" s="3"/>
      <c r="AG138" s="3"/>
      <c r="AH138" s="3"/>
    </row>
    <row r="139" spans="1:34" x14ac:dyDescent="0.25">
      <c r="A139" t="s">
        <v>204</v>
      </c>
      <c r="B139" t="s">
        <v>815</v>
      </c>
      <c r="C139" t="s">
        <v>1273</v>
      </c>
      <c r="D139" s="2">
        <v>44783</v>
      </c>
      <c r="E139">
        <v>1.8348230000000001</v>
      </c>
      <c r="F139" s="2">
        <v>44848</v>
      </c>
      <c r="G139">
        <v>1.5611839999999999</v>
      </c>
      <c r="H139" s="3">
        <v>-0.14910000000000001</v>
      </c>
      <c r="I139">
        <v>-37573.980000000003</v>
      </c>
      <c r="J139" s="3">
        <v>-0.151</v>
      </c>
      <c r="K139">
        <v>135629</v>
      </c>
      <c r="T139" s="2"/>
      <c r="U139" s="2"/>
      <c r="V139" s="2"/>
      <c r="W139" s="2"/>
      <c r="X139" s="3"/>
      <c r="Y139" s="3"/>
      <c r="Z139" s="3"/>
      <c r="AA139" s="3"/>
      <c r="AF139" s="3"/>
      <c r="AG139" s="3"/>
      <c r="AH139" s="3"/>
    </row>
    <row r="140" spans="1:34" x14ac:dyDescent="0.25">
      <c r="A140" t="s">
        <v>182</v>
      </c>
      <c r="B140" t="s">
        <v>780</v>
      </c>
      <c r="C140" t="s">
        <v>1273</v>
      </c>
      <c r="D140" s="2">
        <v>44379</v>
      </c>
      <c r="E140">
        <v>2.0895220000000001</v>
      </c>
      <c r="F140" s="2">
        <v>44841</v>
      </c>
      <c r="G140">
        <v>1.9810399999999999</v>
      </c>
      <c r="H140" s="3">
        <v>-5.1900000000000002E-2</v>
      </c>
      <c r="I140">
        <v>-14989.41</v>
      </c>
      <c r="J140" s="3">
        <v>-5.3900000000000003E-2</v>
      </c>
      <c r="K140">
        <v>133177</v>
      </c>
      <c r="T140" s="2"/>
      <c r="U140" s="2"/>
      <c r="V140" s="2"/>
      <c r="W140" s="2"/>
      <c r="X140" s="3"/>
      <c r="Y140" s="3"/>
      <c r="Z140" s="3"/>
      <c r="AA140" s="3"/>
      <c r="AF140" s="3"/>
      <c r="AG140" s="3"/>
      <c r="AH140" s="3"/>
    </row>
    <row r="141" spans="1:34" x14ac:dyDescent="0.25">
      <c r="A141" t="s">
        <v>59</v>
      </c>
      <c r="B141" t="s">
        <v>797</v>
      </c>
      <c r="C141" t="s">
        <v>1273</v>
      </c>
      <c r="D141" s="2">
        <v>44820</v>
      </c>
      <c r="E141">
        <v>6.51</v>
      </c>
      <c r="F141" s="2">
        <v>44841</v>
      </c>
      <c r="G141">
        <v>6.45</v>
      </c>
      <c r="H141" s="3">
        <v>-9.1999999999999998E-3</v>
      </c>
      <c r="I141">
        <v>-2737.82</v>
      </c>
      <c r="J141" s="3">
        <v>-1.12E-2</v>
      </c>
      <c r="K141">
        <v>37525</v>
      </c>
      <c r="T141" s="2"/>
      <c r="U141" s="2"/>
      <c r="V141" s="2"/>
      <c r="W141" s="2"/>
      <c r="X141" s="3"/>
      <c r="Y141" s="3"/>
      <c r="Z141" s="3"/>
      <c r="AA141" s="3"/>
      <c r="AF141" s="3"/>
      <c r="AG141" s="3"/>
      <c r="AH141" s="3"/>
    </row>
    <row r="142" spans="1:34" x14ac:dyDescent="0.25">
      <c r="A142" t="s">
        <v>184</v>
      </c>
      <c r="B142" t="s">
        <v>784</v>
      </c>
      <c r="C142" t="s">
        <v>1273</v>
      </c>
      <c r="D142" s="2">
        <v>44785</v>
      </c>
      <c r="E142">
        <v>10.09</v>
      </c>
      <c r="F142" s="2">
        <v>44834</v>
      </c>
      <c r="G142">
        <v>7.300001</v>
      </c>
      <c r="H142" s="3">
        <v>-0.27650000000000002</v>
      </c>
      <c r="I142">
        <v>-69373.41</v>
      </c>
      <c r="J142" s="3">
        <v>-0.2782</v>
      </c>
      <c r="K142">
        <v>24711</v>
      </c>
      <c r="T142" s="2"/>
      <c r="U142" s="2"/>
      <c r="V142" s="2"/>
      <c r="W142" s="2"/>
      <c r="X142" s="3"/>
      <c r="Y142" s="3"/>
      <c r="Z142" s="3"/>
      <c r="AA142" s="3"/>
      <c r="AF142" s="3"/>
      <c r="AG142" s="3"/>
      <c r="AH142" s="3"/>
    </row>
    <row r="143" spans="1:34" x14ac:dyDescent="0.25">
      <c r="A143" t="s">
        <v>149</v>
      </c>
      <c r="B143" t="s">
        <v>742</v>
      </c>
      <c r="C143" t="s">
        <v>1273</v>
      </c>
      <c r="D143" s="2">
        <v>44820</v>
      </c>
      <c r="E143">
        <v>0.51734309999999994</v>
      </c>
      <c r="F143" s="2">
        <v>44834</v>
      </c>
      <c r="G143">
        <v>0.4648004</v>
      </c>
      <c r="H143" s="3">
        <v>-0.1016</v>
      </c>
      <c r="I143">
        <v>-25267.63</v>
      </c>
      <c r="J143" s="3">
        <v>-0.10349999999999999</v>
      </c>
      <c r="K143">
        <v>472073</v>
      </c>
      <c r="T143" s="2"/>
      <c r="U143" s="2"/>
      <c r="V143" s="2"/>
      <c r="W143" s="2"/>
      <c r="X143" s="3"/>
      <c r="Y143" s="3"/>
      <c r="Z143" s="3"/>
      <c r="AA143" s="3"/>
      <c r="AF143" s="3"/>
      <c r="AG143" s="3"/>
      <c r="AH143" s="3"/>
    </row>
    <row r="144" spans="1:34" x14ac:dyDescent="0.25">
      <c r="A144" t="s">
        <v>205</v>
      </c>
      <c r="B144" t="s">
        <v>816</v>
      </c>
      <c r="C144" t="s">
        <v>1273</v>
      </c>
      <c r="D144" s="2">
        <v>44820</v>
      </c>
      <c r="E144">
        <v>0.52</v>
      </c>
      <c r="F144" s="2">
        <v>44834</v>
      </c>
      <c r="G144">
        <v>0.42</v>
      </c>
      <c r="H144" s="3">
        <v>-0.1923</v>
      </c>
      <c r="I144">
        <v>-47412.12</v>
      </c>
      <c r="J144" s="3">
        <v>-0.19409999999999999</v>
      </c>
      <c r="K144">
        <v>469706</v>
      </c>
      <c r="T144" s="2"/>
      <c r="U144" s="2"/>
      <c r="V144" s="2"/>
      <c r="W144" s="2"/>
      <c r="X144" s="3"/>
      <c r="Y144" s="3"/>
      <c r="Z144" s="3"/>
      <c r="AA144" s="3"/>
      <c r="AF144" s="3"/>
      <c r="AG144" s="3"/>
      <c r="AH144" s="3"/>
    </row>
    <row r="145" spans="1:34" x14ac:dyDescent="0.25">
      <c r="A145" t="s">
        <v>206</v>
      </c>
      <c r="B145" t="s">
        <v>817</v>
      </c>
      <c r="C145" t="s">
        <v>1273</v>
      </c>
      <c r="D145" s="2">
        <v>44820</v>
      </c>
      <c r="E145">
        <v>22.382490000000001</v>
      </c>
      <c r="F145" s="2">
        <v>44834</v>
      </c>
      <c r="G145">
        <v>20.47372</v>
      </c>
      <c r="H145" s="3">
        <v>-8.5300000000000001E-2</v>
      </c>
      <c r="I145">
        <v>-21298.1</v>
      </c>
      <c r="J145" s="3">
        <v>-8.72E-2</v>
      </c>
      <c r="K145">
        <v>10913</v>
      </c>
      <c r="T145" s="2"/>
      <c r="U145" s="2"/>
      <c r="V145" s="2"/>
      <c r="W145" s="2"/>
      <c r="X145" s="3"/>
      <c r="Y145" s="3"/>
      <c r="Z145" s="3"/>
      <c r="AA145" s="3"/>
      <c r="AF145" s="3"/>
      <c r="AG145" s="3"/>
      <c r="AH145" s="3"/>
    </row>
    <row r="146" spans="1:34" x14ac:dyDescent="0.25">
      <c r="A146" t="s">
        <v>103</v>
      </c>
      <c r="B146" t="s">
        <v>818</v>
      </c>
      <c r="C146" t="s">
        <v>1273</v>
      </c>
      <c r="D146" s="2">
        <v>44792</v>
      </c>
      <c r="E146">
        <v>1.9311799999999999</v>
      </c>
      <c r="F146" s="2">
        <v>44834</v>
      </c>
      <c r="G146">
        <v>2.0546060000000002</v>
      </c>
      <c r="H146" s="3">
        <v>6.3899999999999998E-2</v>
      </c>
      <c r="I146">
        <v>15368.85</v>
      </c>
      <c r="J146" s="3">
        <v>6.1800000000000001E-2</v>
      </c>
      <c r="K146">
        <v>128674</v>
      </c>
      <c r="T146" s="2"/>
      <c r="U146" s="2"/>
      <c r="V146" s="2"/>
      <c r="W146" s="2"/>
      <c r="X146" s="3"/>
      <c r="Y146" s="3"/>
      <c r="Z146" s="3"/>
      <c r="AA146" s="3"/>
      <c r="AF146" s="3"/>
      <c r="AG146" s="3"/>
      <c r="AH146" s="3"/>
    </row>
    <row r="147" spans="1:34" x14ac:dyDescent="0.25">
      <c r="A147" t="s">
        <v>167</v>
      </c>
      <c r="B147" t="s">
        <v>761</v>
      </c>
      <c r="C147" t="s">
        <v>1273</v>
      </c>
      <c r="D147" s="2">
        <v>44785</v>
      </c>
      <c r="E147">
        <v>2.84</v>
      </c>
      <c r="F147" s="2">
        <v>44827</v>
      </c>
      <c r="G147">
        <v>2.4</v>
      </c>
      <c r="H147" s="3">
        <v>-0.15490000000000001</v>
      </c>
      <c r="I147">
        <v>-39074.71</v>
      </c>
      <c r="J147" s="3">
        <v>-0.15679999999999999</v>
      </c>
      <c r="K147">
        <v>87761</v>
      </c>
      <c r="T147" s="2"/>
      <c r="U147" s="2"/>
      <c r="V147" s="2"/>
      <c r="W147" s="2"/>
      <c r="X147" s="3"/>
      <c r="Y147" s="3"/>
      <c r="Z147" s="3"/>
      <c r="AA147" s="3"/>
      <c r="AF147" s="3"/>
      <c r="AG147" s="3"/>
      <c r="AH147" s="3"/>
    </row>
    <row r="148" spans="1:34" x14ac:dyDescent="0.25">
      <c r="A148" t="s">
        <v>90</v>
      </c>
      <c r="B148" t="s">
        <v>819</v>
      </c>
      <c r="C148" t="s">
        <v>1273</v>
      </c>
      <c r="D148" s="2">
        <v>44799</v>
      </c>
      <c r="E148">
        <v>0.55500000000000005</v>
      </c>
      <c r="F148" s="2">
        <v>44827</v>
      </c>
      <c r="G148">
        <v>0.55500000000000005</v>
      </c>
      <c r="H148" s="3">
        <v>0</v>
      </c>
      <c r="I148">
        <v>-487.57</v>
      </c>
      <c r="J148" s="3">
        <v>-2E-3</v>
      </c>
      <c r="K148">
        <v>439250</v>
      </c>
      <c r="T148" s="2"/>
      <c r="U148" s="2"/>
      <c r="V148" s="2"/>
      <c r="W148" s="2"/>
      <c r="X148" s="3"/>
      <c r="Y148" s="3"/>
      <c r="Z148" s="3"/>
      <c r="AA148" s="3"/>
      <c r="AF148" s="3"/>
      <c r="AG148" s="3"/>
      <c r="AH148" s="3"/>
    </row>
    <row r="149" spans="1:34" x14ac:dyDescent="0.25">
      <c r="A149" t="s">
        <v>175</v>
      </c>
      <c r="B149" t="s">
        <v>770</v>
      </c>
      <c r="C149" t="s">
        <v>1273</v>
      </c>
      <c r="D149" s="2">
        <v>44792</v>
      </c>
      <c r="E149">
        <v>6.8570659999999997</v>
      </c>
      <c r="F149" s="2">
        <v>44813</v>
      </c>
      <c r="G149">
        <v>4.9230219999999996</v>
      </c>
      <c r="H149" s="3">
        <v>-0.28210000000000002</v>
      </c>
      <c r="I149">
        <v>-70520.56</v>
      </c>
      <c r="J149" s="3">
        <v>-0.2838</v>
      </c>
      <c r="K149">
        <v>36242</v>
      </c>
      <c r="T149" s="2"/>
      <c r="U149" s="2"/>
      <c r="V149" s="2"/>
      <c r="W149" s="2"/>
      <c r="X149" s="3"/>
      <c r="Y149" s="3"/>
      <c r="Z149" s="3"/>
      <c r="AA149" s="3"/>
      <c r="AF149" s="3"/>
      <c r="AG149" s="3"/>
      <c r="AH149" s="3"/>
    </row>
    <row r="150" spans="1:34" x14ac:dyDescent="0.25">
      <c r="A150" t="s">
        <v>134</v>
      </c>
      <c r="B150" t="s">
        <v>726</v>
      </c>
      <c r="C150" t="s">
        <v>1273</v>
      </c>
      <c r="D150" s="2">
        <v>44785</v>
      </c>
      <c r="E150">
        <v>4.24</v>
      </c>
      <c r="F150" s="2">
        <v>44813</v>
      </c>
      <c r="G150">
        <v>4.1100000000000003</v>
      </c>
      <c r="H150" s="3">
        <v>-3.0700000000000002E-2</v>
      </c>
      <c r="I150">
        <v>-8134.29</v>
      </c>
      <c r="J150" s="3">
        <v>-3.2599999999999997E-2</v>
      </c>
      <c r="K150">
        <v>58795</v>
      </c>
      <c r="T150" s="2"/>
      <c r="U150" s="2"/>
      <c r="V150" s="2"/>
      <c r="W150" s="2"/>
      <c r="X150" s="3"/>
      <c r="Y150" s="3"/>
      <c r="Z150" s="3"/>
      <c r="AA150" s="3"/>
      <c r="AF150" s="3"/>
      <c r="AG150" s="3"/>
      <c r="AH150" s="3"/>
    </row>
    <row r="151" spans="1:34" x14ac:dyDescent="0.25">
      <c r="A151" t="s">
        <v>207</v>
      </c>
      <c r="B151" t="s">
        <v>820</v>
      </c>
      <c r="C151" t="s">
        <v>1273</v>
      </c>
      <c r="D151" s="2">
        <v>44785</v>
      </c>
      <c r="E151">
        <v>1.97</v>
      </c>
      <c r="F151" s="2">
        <v>44813</v>
      </c>
      <c r="G151">
        <v>1.2350000000000001</v>
      </c>
      <c r="H151" s="3">
        <v>-0.37309999999999999</v>
      </c>
      <c r="I151">
        <v>-93441.25</v>
      </c>
      <c r="J151" s="3">
        <v>-0.37469999999999998</v>
      </c>
      <c r="K151">
        <v>126579</v>
      </c>
      <c r="T151" s="2"/>
      <c r="U151" s="2"/>
      <c r="V151" s="2"/>
      <c r="W151" s="2"/>
      <c r="X151" s="3"/>
      <c r="Y151" s="3"/>
      <c r="Z151" s="3"/>
      <c r="AA151" s="3"/>
      <c r="AF151" s="3"/>
      <c r="AG151" s="3"/>
      <c r="AH151" s="3"/>
    </row>
    <row r="152" spans="1:34" x14ac:dyDescent="0.25">
      <c r="A152" t="s">
        <v>109</v>
      </c>
      <c r="B152" t="s">
        <v>772</v>
      </c>
      <c r="C152" t="s">
        <v>1273</v>
      </c>
      <c r="D152" s="2">
        <v>44652</v>
      </c>
      <c r="E152">
        <v>1.4777560000000001</v>
      </c>
      <c r="F152" s="2">
        <v>44771</v>
      </c>
      <c r="G152">
        <v>1.327949</v>
      </c>
      <c r="H152" s="3">
        <v>-0.1014</v>
      </c>
      <c r="I152">
        <v>-26856.78</v>
      </c>
      <c r="J152" s="3">
        <v>-0.1033</v>
      </c>
      <c r="K152">
        <v>175980</v>
      </c>
      <c r="T152" s="2"/>
      <c r="U152" s="2"/>
      <c r="V152" s="2"/>
      <c r="W152" s="2"/>
      <c r="X152" s="3"/>
      <c r="Y152" s="3"/>
      <c r="Z152" s="3"/>
      <c r="AA152" s="3"/>
      <c r="AF152" s="3"/>
      <c r="AG152" s="3"/>
      <c r="AH152" s="3"/>
    </row>
    <row r="153" spans="1:34" x14ac:dyDescent="0.25">
      <c r="A153" t="s">
        <v>450</v>
      </c>
      <c r="B153" t="s">
        <v>821</v>
      </c>
      <c r="C153" t="s">
        <v>1273</v>
      </c>
      <c r="D153" s="2">
        <v>44645</v>
      </c>
      <c r="E153">
        <v>7.8496649999999999</v>
      </c>
      <c r="F153" s="2">
        <v>44750</v>
      </c>
      <c r="G153">
        <v>7.81</v>
      </c>
      <c r="H153" s="3">
        <v>-5.1000000000000004E-3</v>
      </c>
      <c r="I153">
        <v>-1818.25</v>
      </c>
      <c r="J153" s="3">
        <v>-7.0000000000000001E-3</v>
      </c>
      <c r="K153">
        <v>32865</v>
      </c>
      <c r="T153" s="2"/>
      <c r="U153" s="2"/>
      <c r="V153" s="2"/>
      <c r="W153" s="2"/>
      <c r="X153" s="3"/>
      <c r="Y153" s="3"/>
      <c r="Z153" s="3"/>
      <c r="AA153" s="3"/>
      <c r="AF153" s="3"/>
      <c r="AG153" s="3"/>
      <c r="AH153" s="3"/>
    </row>
    <row r="154" spans="1:34" x14ac:dyDescent="0.25">
      <c r="A154" t="s">
        <v>188</v>
      </c>
      <c r="B154" t="s">
        <v>788</v>
      </c>
      <c r="C154" t="s">
        <v>1273</v>
      </c>
      <c r="D154" s="2">
        <v>44645</v>
      </c>
      <c r="E154">
        <v>6.833691</v>
      </c>
      <c r="F154" s="2">
        <v>44736</v>
      </c>
      <c r="G154">
        <v>5.1252680000000002</v>
      </c>
      <c r="H154" s="3">
        <v>-0.25</v>
      </c>
      <c r="I154">
        <v>-64908.29</v>
      </c>
      <c r="J154" s="3">
        <v>-0.25180000000000002</v>
      </c>
      <c r="K154">
        <v>37729</v>
      </c>
      <c r="T154" s="2"/>
      <c r="U154" s="2"/>
      <c r="V154" s="2"/>
      <c r="W154" s="2"/>
      <c r="X154" s="3"/>
      <c r="Y154" s="3"/>
      <c r="Z154" s="3"/>
      <c r="AA154" s="3"/>
      <c r="AF154" s="3"/>
      <c r="AG154" s="3"/>
      <c r="AH154" s="3"/>
    </row>
    <row r="155" spans="1:34" x14ac:dyDescent="0.25">
      <c r="A155" t="s">
        <v>208</v>
      </c>
      <c r="B155" t="s">
        <v>822</v>
      </c>
      <c r="C155" t="s">
        <v>1273</v>
      </c>
      <c r="D155" s="2">
        <v>44561</v>
      </c>
      <c r="E155">
        <v>2.8324500000000001</v>
      </c>
      <c r="F155" s="2">
        <v>44736</v>
      </c>
      <c r="G155">
        <v>2.1090610000000001</v>
      </c>
      <c r="H155" s="3">
        <v>-0.25540000000000002</v>
      </c>
      <c r="I155">
        <v>-72814.84</v>
      </c>
      <c r="J155" s="3">
        <v>-0.2571</v>
      </c>
      <c r="K155">
        <v>99975</v>
      </c>
      <c r="T155" s="2"/>
      <c r="U155" s="2"/>
      <c r="V155" s="2"/>
      <c r="W155" s="2"/>
      <c r="X155" s="3"/>
      <c r="Y155" s="3"/>
      <c r="Z155" s="3"/>
      <c r="AA155" s="3"/>
      <c r="AF155" s="3"/>
      <c r="AG155" s="3"/>
      <c r="AH155" s="3"/>
    </row>
    <row r="156" spans="1:34" x14ac:dyDescent="0.25">
      <c r="A156" t="s">
        <v>65</v>
      </c>
      <c r="B156" t="s">
        <v>823</v>
      </c>
      <c r="C156" t="s">
        <v>1273</v>
      </c>
      <c r="D156" s="2">
        <v>44652</v>
      </c>
      <c r="E156">
        <v>2.3356469999999998</v>
      </c>
      <c r="F156" s="2">
        <v>44736</v>
      </c>
      <c r="G156">
        <v>2.605057</v>
      </c>
      <c r="H156" s="3">
        <v>0.1153</v>
      </c>
      <c r="I156">
        <v>29454.74</v>
      </c>
      <c r="J156" s="3">
        <v>0.1132</v>
      </c>
      <c r="K156">
        <v>111373</v>
      </c>
      <c r="T156" s="2"/>
      <c r="U156" s="2"/>
      <c r="V156" s="2"/>
      <c r="W156" s="2"/>
      <c r="X156" s="3"/>
      <c r="Y156" s="3"/>
      <c r="Z156" s="3"/>
      <c r="AA156" s="3"/>
      <c r="AF156" s="3"/>
      <c r="AG156" s="3"/>
      <c r="AH156" s="3"/>
    </row>
    <row r="157" spans="1:34" x14ac:dyDescent="0.25">
      <c r="A157" t="s">
        <v>178</v>
      </c>
      <c r="B157" t="s">
        <v>774</v>
      </c>
      <c r="C157" t="s">
        <v>1273</v>
      </c>
      <c r="D157" s="2">
        <v>44645</v>
      </c>
      <c r="E157">
        <v>1.804943</v>
      </c>
      <c r="F157" s="2">
        <v>44729</v>
      </c>
      <c r="G157">
        <v>1.509253</v>
      </c>
      <c r="H157" s="3">
        <v>-0.1638</v>
      </c>
      <c r="I157">
        <v>-42728.3</v>
      </c>
      <c r="J157" s="3">
        <v>-0.16569999999999999</v>
      </c>
      <c r="K157">
        <v>142902</v>
      </c>
      <c r="T157" s="2"/>
      <c r="U157" s="2"/>
      <c r="V157" s="2"/>
      <c r="W157" s="2"/>
      <c r="X157" s="3"/>
      <c r="Y157" s="3"/>
      <c r="Z157" s="3"/>
      <c r="AA157" s="3"/>
      <c r="AF157" s="3"/>
      <c r="AG157" s="3"/>
      <c r="AH157" s="3"/>
    </row>
    <row r="158" spans="1:34" x14ac:dyDescent="0.25">
      <c r="A158" t="s">
        <v>209</v>
      </c>
      <c r="B158" t="s">
        <v>824</v>
      </c>
      <c r="C158" t="s">
        <v>1273</v>
      </c>
      <c r="D158" s="2">
        <v>44652</v>
      </c>
      <c r="E158">
        <v>3.197219</v>
      </c>
      <c r="F158" s="2">
        <v>44722</v>
      </c>
      <c r="G158">
        <v>3.6425700000000001</v>
      </c>
      <c r="H158" s="3">
        <v>0.13930000000000001</v>
      </c>
      <c r="I158">
        <v>35687.800000000003</v>
      </c>
      <c r="J158" s="3">
        <v>0.13719999999999999</v>
      </c>
      <c r="K158">
        <v>81384</v>
      </c>
      <c r="T158" s="2"/>
      <c r="U158" s="2"/>
      <c r="V158" s="2"/>
      <c r="W158" s="2"/>
      <c r="X158" s="3"/>
      <c r="Y158" s="3"/>
      <c r="Z158" s="3"/>
      <c r="AA158" s="3"/>
      <c r="AF158" s="3"/>
      <c r="AG158" s="3"/>
      <c r="AH158" s="3"/>
    </row>
    <row r="159" spans="1:34" x14ac:dyDescent="0.25">
      <c r="A159" t="s">
        <v>167</v>
      </c>
      <c r="B159" t="s">
        <v>761</v>
      </c>
      <c r="C159" t="s">
        <v>1273</v>
      </c>
      <c r="D159" s="2">
        <v>44645</v>
      </c>
      <c r="E159">
        <v>2.58</v>
      </c>
      <c r="F159" s="2">
        <v>44715</v>
      </c>
      <c r="G159">
        <v>2.4</v>
      </c>
      <c r="H159" s="3">
        <v>-6.9800000000000001E-2</v>
      </c>
      <c r="I159">
        <v>-18489.310000000001</v>
      </c>
      <c r="J159" s="3">
        <v>-7.17E-2</v>
      </c>
      <c r="K159">
        <v>99953</v>
      </c>
      <c r="T159" s="2"/>
      <c r="U159" s="2"/>
      <c r="V159" s="2"/>
      <c r="W159" s="2"/>
      <c r="X159" s="3"/>
      <c r="Y159" s="3"/>
      <c r="Z159" s="3"/>
      <c r="AA159" s="3"/>
      <c r="AF159" s="3"/>
      <c r="AG159" s="3"/>
      <c r="AH159" s="3"/>
    </row>
    <row r="160" spans="1:34" x14ac:dyDescent="0.25">
      <c r="A160" t="s">
        <v>210</v>
      </c>
      <c r="B160" t="s">
        <v>825</v>
      </c>
      <c r="C160" t="s">
        <v>1273</v>
      </c>
      <c r="D160" s="2">
        <v>44652</v>
      </c>
      <c r="E160">
        <v>1.2676449999999999</v>
      </c>
      <c r="F160" s="2">
        <v>44701</v>
      </c>
      <c r="G160">
        <v>1.350498</v>
      </c>
      <c r="H160" s="3">
        <v>6.54E-2</v>
      </c>
      <c r="I160">
        <v>16458.5</v>
      </c>
      <c r="J160" s="3">
        <v>6.3299999999999995E-2</v>
      </c>
      <c r="K160">
        <v>205129</v>
      </c>
      <c r="T160" s="2"/>
      <c r="U160" s="2"/>
      <c r="V160" s="2"/>
      <c r="W160" s="2"/>
      <c r="X160" s="3"/>
      <c r="Y160" s="3"/>
      <c r="Z160" s="3"/>
      <c r="AA160" s="3"/>
      <c r="AF160" s="3"/>
      <c r="AG160" s="3"/>
      <c r="AH160" s="3"/>
    </row>
    <row r="161" spans="1:34" x14ac:dyDescent="0.25">
      <c r="A161" t="s">
        <v>102</v>
      </c>
      <c r="B161" t="s">
        <v>826</v>
      </c>
      <c r="C161" t="s">
        <v>1273</v>
      </c>
      <c r="D161" s="2">
        <v>44652</v>
      </c>
      <c r="E161">
        <v>0.64</v>
      </c>
      <c r="F161" s="2">
        <v>44701</v>
      </c>
      <c r="G161">
        <v>0.63</v>
      </c>
      <c r="H161" s="3">
        <v>-1.5599999999999999E-2</v>
      </c>
      <c r="I161">
        <v>-4580.29</v>
      </c>
      <c r="J161" s="3">
        <v>-1.7600000000000001E-2</v>
      </c>
      <c r="K161">
        <v>406414</v>
      </c>
      <c r="T161" s="2"/>
      <c r="U161" s="2"/>
      <c r="V161" s="2"/>
      <c r="W161" s="2"/>
      <c r="X161" s="3"/>
      <c r="Y161" s="3"/>
      <c r="Z161" s="3"/>
      <c r="AA161" s="3"/>
      <c r="AF161" s="3"/>
      <c r="AG161" s="3"/>
      <c r="AH161" s="3"/>
    </row>
    <row r="162" spans="1:34" x14ac:dyDescent="0.25">
      <c r="A162" t="s">
        <v>64</v>
      </c>
      <c r="B162" t="s">
        <v>827</v>
      </c>
      <c r="C162" t="s">
        <v>1273</v>
      </c>
      <c r="D162" s="2">
        <v>44652</v>
      </c>
      <c r="E162">
        <v>1.830584</v>
      </c>
      <c r="F162" s="2">
        <v>44701</v>
      </c>
      <c r="G162">
        <v>1.814092</v>
      </c>
      <c r="H162" s="3">
        <v>-8.9999999999999993E-3</v>
      </c>
      <c r="I162">
        <v>-2862.01</v>
      </c>
      <c r="J162" s="3">
        <v>-1.0999999999999999E-2</v>
      </c>
      <c r="K162">
        <v>142129</v>
      </c>
      <c r="T162" s="2"/>
      <c r="U162" s="2"/>
      <c r="V162" s="2"/>
      <c r="W162" s="2"/>
      <c r="X162" s="3"/>
      <c r="Y162" s="3"/>
      <c r="Z162" s="3"/>
      <c r="AA162" s="3"/>
      <c r="AF162" s="3"/>
      <c r="AG162" s="3"/>
      <c r="AH162" s="3"/>
    </row>
    <row r="163" spans="1:34" x14ac:dyDescent="0.25">
      <c r="A163" t="s">
        <v>211</v>
      </c>
      <c r="B163" t="s">
        <v>828</v>
      </c>
      <c r="C163" t="s">
        <v>1273</v>
      </c>
      <c r="D163" s="2">
        <v>44652</v>
      </c>
      <c r="E163">
        <v>0.98127679999999995</v>
      </c>
      <c r="F163" s="2">
        <v>44701</v>
      </c>
      <c r="G163">
        <v>1.111218</v>
      </c>
      <c r="H163" s="3">
        <v>0.13239999999999999</v>
      </c>
      <c r="I163">
        <v>33904.71</v>
      </c>
      <c r="J163" s="3">
        <v>0.1303</v>
      </c>
      <c r="K163">
        <v>265194</v>
      </c>
      <c r="T163" s="2"/>
      <c r="U163" s="2"/>
      <c r="V163" s="2"/>
      <c r="W163" s="2"/>
      <c r="X163" s="3"/>
      <c r="Y163" s="3"/>
      <c r="Z163" s="3"/>
      <c r="AA163" s="3"/>
      <c r="AF163" s="3"/>
      <c r="AG163" s="3"/>
      <c r="AH163" s="3"/>
    </row>
    <row r="164" spans="1:34" x14ac:dyDescent="0.25">
      <c r="A164" t="s">
        <v>212</v>
      </c>
      <c r="B164" t="s">
        <v>829</v>
      </c>
      <c r="C164" t="s">
        <v>1273</v>
      </c>
      <c r="D164" s="2">
        <v>44645</v>
      </c>
      <c r="E164">
        <v>0.92398449999999999</v>
      </c>
      <c r="F164" s="2">
        <v>44701</v>
      </c>
      <c r="G164">
        <v>0.8084865</v>
      </c>
      <c r="H164" s="3">
        <v>-0.125</v>
      </c>
      <c r="I164">
        <v>-32715.51</v>
      </c>
      <c r="J164" s="3">
        <v>-0.12690000000000001</v>
      </c>
      <c r="K164">
        <v>279070</v>
      </c>
      <c r="T164" s="2"/>
      <c r="U164" s="2"/>
      <c r="V164" s="2"/>
      <c r="W164" s="2"/>
      <c r="X164" s="3"/>
      <c r="Y164" s="3"/>
      <c r="Z164" s="3"/>
      <c r="AA164" s="3"/>
      <c r="AF164" s="3"/>
      <c r="AG164" s="3"/>
      <c r="AH164" s="3"/>
    </row>
    <row r="165" spans="1:34" x14ac:dyDescent="0.25">
      <c r="A165" t="s">
        <v>451</v>
      </c>
      <c r="B165" t="s">
        <v>830</v>
      </c>
      <c r="C165" t="s">
        <v>1273</v>
      </c>
      <c r="D165" s="2">
        <v>44645</v>
      </c>
      <c r="E165">
        <v>0.95</v>
      </c>
      <c r="F165" s="2">
        <v>44701</v>
      </c>
      <c r="G165">
        <v>0.82499999999999996</v>
      </c>
      <c r="H165" s="3">
        <v>-0.13159999999999999</v>
      </c>
      <c r="I165">
        <v>-34416.75</v>
      </c>
      <c r="J165" s="3">
        <v>-0.13339999999999999</v>
      </c>
      <c r="K165">
        <v>271479</v>
      </c>
      <c r="T165" s="2"/>
      <c r="U165" s="2"/>
      <c r="V165" s="2"/>
      <c r="W165" s="2"/>
      <c r="X165" s="3"/>
      <c r="Y165" s="3"/>
      <c r="Z165" s="3"/>
      <c r="AA165" s="3"/>
      <c r="AF165" s="3"/>
      <c r="AG165" s="3"/>
      <c r="AH165" s="3"/>
    </row>
    <row r="166" spans="1:34" x14ac:dyDescent="0.25">
      <c r="A166" t="s">
        <v>213</v>
      </c>
      <c r="B166" t="s">
        <v>831</v>
      </c>
      <c r="C166" t="s">
        <v>1273</v>
      </c>
      <c r="D166" s="2">
        <v>44645</v>
      </c>
      <c r="E166">
        <v>0.81043050000000005</v>
      </c>
      <c r="F166" s="2">
        <v>44701</v>
      </c>
      <c r="G166">
        <v>0.72938740000000002</v>
      </c>
      <c r="H166" s="3">
        <v>-0.1</v>
      </c>
      <c r="I166">
        <v>-26285.56</v>
      </c>
      <c r="J166" s="3">
        <v>-0.1019</v>
      </c>
      <c r="K166">
        <v>318293</v>
      </c>
      <c r="T166" s="2"/>
      <c r="U166" s="2"/>
      <c r="V166" s="2"/>
      <c r="W166" s="2"/>
      <c r="X166" s="3"/>
      <c r="Y166" s="3"/>
      <c r="Z166" s="3"/>
      <c r="AA166" s="3"/>
      <c r="AF166" s="3"/>
      <c r="AG166" s="3"/>
      <c r="AH166" s="3"/>
    </row>
    <row r="167" spans="1:34" x14ac:dyDescent="0.25">
      <c r="A167" t="s">
        <v>214</v>
      </c>
      <c r="B167" t="s">
        <v>832</v>
      </c>
      <c r="C167" t="s">
        <v>1273</v>
      </c>
      <c r="D167" s="2">
        <v>44652</v>
      </c>
      <c r="E167">
        <v>1.75</v>
      </c>
      <c r="F167" s="2">
        <v>44694</v>
      </c>
      <c r="G167">
        <v>1.585</v>
      </c>
      <c r="H167" s="3">
        <v>-9.4299999999999995E-2</v>
      </c>
      <c r="I167">
        <v>-25017.439999999999</v>
      </c>
      <c r="J167" s="3">
        <v>-9.6199999999999994E-2</v>
      </c>
      <c r="K167">
        <v>148617</v>
      </c>
      <c r="T167" s="2"/>
      <c r="U167" s="2"/>
      <c r="V167" s="2"/>
      <c r="W167" s="2"/>
      <c r="X167" s="3"/>
      <c r="Y167" s="3"/>
      <c r="Z167" s="3"/>
      <c r="AA167" s="3"/>
      <c r="AF167" s="3"/>
      <c r="AG167" s="3"/>
      <c r="AH167" s="3"/>
    </row>
    <row r="168" spans="1:34" x14ac:dyDescent="0.25">
      <c r="A168" t="s">
        <v>215</v>
      </c>
      <c r="B168" t="s">
        <v>833</v>
      </c>
      <c r="C168" t="s">
        <v>1273</v>
      </c>
      <c r="D168" s="2">
        <v>44652</v>
      </c>
      <c r="E168">
        <v>0.68</v>
      </c>
      <c r="F168" s="2">
        <v>44694</v>
      </c>
      <c r="G168">
        <v>0.63</v>
      </c>
      <c r="H168" s="3">
        <v>-7.3499999999999996E-2</v>
      </c>
      <c r="I168">
        <v>-19630.18</v>
      </c>
      <c r="J168" s="3">
        <v>-7.5499999999999998E-2</v>
      </c>
      <c r="K168">
        <v>382580</v>
      </c>
      <c r="T168" s="2"/>
      <c r="U168" s="2"/>
      <c r="V168" s="2"/>
      <c r="W168" s="2"/>
      <c r="X168" s="3"/>
      <c r="Y168" s="3"/>
      <c r="Z168" s="3"/>
      <c r="AA168" s="3"/>
      <c r="AF168" s="3"/>
      <c r="AG168" s="3"/>
      <c r="AH168" s="3"/>
    </row>
    <row r="169" spans="1:34" x14ac:dyDescent="0.25">
      <c r="A169" t="s">
        <v>216</v>
      </c>
      <c r="B169" t="s">
        <v>834</v>
      </c>
      <c r="C169" t="s">
        <v>1273</v>
      </c>
      <c r="D169" s="2">
        <v>44652</v>
      </c>
      <c r="E169">
        <v>1.23</v>
      </c>
      <c r="F169" s="2">
        <v>44694</v>
      </c>
      <c r="G169">
        <v>1.2150000000000001</v>
      </c>
      <c r="H169" s="3">
        <v>-1.2200000000000001E-2</v>
      </c>
      <c r="I169">
        <v>-3691.15</v>
      </c>
      <c r="J169" s="3">
        <v>-1.4200000000000001E-2</v>
      </c>
      <c r="K169">
        <v>211588</v>
      </c>
      <c r="T169" s="2"/>
      <c r="U169" s="2"/>
      <c r="V169" s="2"/>
      <c r="W169" s="2"/>
      <c r="X169" s="3"/>
      <c r="Y169" s="3"/>
      <c r="Z169" s="3"/>
      <c r="AA169" s="3"/>
      <c r="AF169" s="3"/>
      <c r="AG169" s="3"/>
      <c r="AH169" s="3"/>
    </row>
    <row r="170" spans="1:34" x14ac:dyDescent="0.25">
      <c r="A170" t="s">
        <v>452</v>
      </c>
      <c r="B170" t="s">
        <v>835</v>
      </c>
      <c r="C170" t="s">
        <v>1273</v>
      </c>
      <c r="D170" s="2">
        <v>44287</v>
      </c>
      <c r="E170">
        <v>1.284832</v>
      </c>
      <c r="F170" s="2">
        <v>44642</v>
      </c>
      <c r="G170">
        <v>1.5</v>
      </c>
      <c r="H170" s="3">
        <v>0.16750000000000001</v>
      </c>
      <c r="I170">
        <v>42425.87</v>
      </c>
      <c r="J170" s="3">
        <v>0.1653</v>
      </c>
      <c r="K170">
        <v>199761</v>
      </c>
      <c r="T170" s="2"/>
      <c r="U170" s="2"/>
      <c r="V170" s="2"/>
      <c r="W170" s="2"/>
      <c r="X170" s="3"/>
      <c r="Y170" s="3"/>
      <c r="Z170" s="3"/>
      <c r="AA170" s="3"/>
      <c r="AF170" s="3"/>
      <c r="AG170" s="3"/>
      <c r="AH170" s="3"/>
    </row>
    <row r="171" spans="1:34" x14ac:dyDescent="0.25">
      <c r="A171" t="s">
        <v>453</v>
      </c>
      <c r="B171" t="s">
        <v>836</v>
      </c>
      <c r="C171" t="s">
        <v>1273</v>
      </c>
      <c r="D171" s="2">
        <v>44498</v>
      </c>
      <c r="E171">
        <v>4.5006510000000004</v>
      </c>
      <c r="F171" s="2">
        <v>44638</v>
      </c>
      <c r="G171">
        <v>4.59</v>
      </c>
      <c r="H171" s="3">
        <v>1.9900000000000001E-2</v>
      </c>
      <c r="I171">
        <v>5278.35</v>
      </c>
      <c r="J171" s="3">
        <v>1.78E-2</v>
      </c>
      <c r="K171">
        <v>65767</v>
      </c>
      <c r="T171" s="2"/>
      <c r="U171" s="2"/>
      <c r="V171" s="2"/>
      <c r="W171" s="2"/>
      <c r="X171" s="3"/>
      <c r="Y171" s="3"/>
      <c r="Z171" s="3"/>
      <c r="AA171" s="3"/>
      <c r="AF171" s="3"/>
      <c r="AG171" s="3"/>
      <c r="AH171" s="3"/>
    </row>
    <row r="172" spans="1:34" x14ac:dyDescent="0.25">
      <c r="A172" t="s">
        <v>203</v>
      </c>
      <c r="B172" t="s">
        <v>811</v>
      </c>
      <c r="C172" t="s">
        <v>1273</v>
      </c>
      <c r="D172" s="2">
        <v>44568</v>
      </c>
      <c r="E172">
        <v>1.2244440000000001</v>
      </c>
      <c r="F172" s="2">
        <v>44638</v>
      </c>
      <c r="G172">
        <v>1.0350790000000001</v>
      </c>
      <c r="H172" s="3">
        <v>-0.1547</v>
      </c>
      <c r="I172">
        <v>-45240.44</v>
      </c>
      <c r="J172" s="3">
        <v>-0.1565</v>
      </c>
      <c r="K172">
        <v>236089</v>
      </c>
      <c r="T172" s="2"/>
      <c r="U172" s="2"/>
      <c r="V172" s="2"/>
      <c r="W172" s="2"/>
      <c r="X172" s="3"/>
      <c r="Y172" s="3"/>
      <c r="Z172" s="3"/>
      <c r="AA172" s="3"/>
      <c r="AF172" s="3"/>
      <c r="AG172" s="3"/>
      <c r="AH172" s="3"/>
    </row>
    <row r="173" spans="1:34" x14ac:dyDescent="0.25">
      <c r="A173" t="s">
        <v>217</v>
      </c>
      <c r="B173" t="s">
        <v>837</v>
      </c>
      <c r="C173" t="s">
        <v>1273</v>
      </c>
      <c r="D173" s="2">
        <v>43994</v>
      </c>
      <c r="E173">
        <v>3.02</v>
      </c>
      <c r="F173" s="2">
        <v>44624</v>
      </c>
      <c r="G173">
        <v>3.34</v>
      </c>
      <c r="H173" s="3">
        <v>0.106</v>
      </c>
      <c r="I173">
        <v>20823.810000000001</v>
      </c>
      <c r="J173" s="3">
        <v>0.10390000000000001</v>
      </c>
      <c r="K173">
        <v>66394</v>
      </c>
      <c r="T173" s="2"/>
      <c r="U173" s="2"/>
      <c r="V173" s="2"/>
      <c r="W173" s="2"/>
      <c r="X173" s="3"/>
      <c r="Y173" s="3"/>
      <c r="Z173" s="3"/>
      <c r="AA173" s="3"/>
      <c r="AF173" s="3"/>
      <c r="AG173" s="3"/>
      <c r="AH173" s="3"/>
    </row>
    <row r="174" spans="1:34" x14ac:dyDescent="0.25">
      <c r="A174" t="s">
        <v>211</v>
      </c>
      <c r="B174" t="s">
        <v>828</v>
      </c>
      <c r="C174" t="s">
        <v>1273</v>
      </c>
      <c r="D174" s="2">
        <v>44561</v>
      </c>
      <c r="E174">
        <v>0.5804492</v>
      </c>
      <c r="F174" s="2">
        <v>44617</v>
      </c>
      <c r="G174">
        <v>0.63358899999999996</v>
      </c>
      <c r="H174" s="3">
        <v>9.1499999999999998E-2</v>
      </c>
      <c r="I174">
        <v>25334.73</v>
      </c>
      <c r="J174" s="3">
        <v>8.9499999999999996E-2</v>
      </c>
      <c r="K174">
        <v>487903</v>
      </c>
      <c r="T174" s="2"/>
      <c r="U174" s="2"/>
      <c r="V174" s="2"/>
      <c r="W174" s="2"/>
      <c r="X174" s="3"/>
      <c r="Y174" s="3"/>
      <c r="Z174" s="3"/>
      <c r="AA174" s="3"/>
      <c r="AF174" s="3"/>
      <c r="AG174" s="3"/>
      <c r="AH174" s="3"/>
    </row>
    <row r="175" spans="1:34" x14ac:dyDescent="0.25">
      <c r="A175" t="s">
        <v>218</v>
      </c>
      <c r="B175" t="s">
        <v>838</v>
      </c>
      <c r="C175" t="s">
        <v>1273</v>
      </c>
      <c r="D175" s="2">
        <v>44183</v>
      </c>
      <c r="E175">
        <v>2.4236149999999999</v>
      </c>
      <c r="F175" s="2">
        <v>44610</v>
      </c>
      <c r="G175">
        <v>4.2207800000000004</v>
      </c>
      <c r="H175" s="3">
        <v>0.74150000000000005</v>
      </c>
      <c r="I175">
        <v>188103.14</v>
      </c>
      <c r="J175" s="3">
        <v>0.73880000000000001</v>
      </c>
      <c r="K175">
        <v>105055</v>
      </c>
      <c r="T175" s="2"/>
      <c r="U175" s="2"/>
      <c r="V175" s="2"/>
      <c r="W175" s="2"/>
      <c r="X175" s="3"/>
      <c r="Y175" s="3"/>
      <c r="Z175" s="3"/>
      <c r="AA175" s="3"/>
      <c r="AF175" s="3"/>
      <c r="AG175" s="3"/>
      <c r="AH175" s="3"/>
    </row>
    <row r="176" spans="1:34" x14ac:dyDescent="0.25">
      <c r="A176" t="s">
        <v>219</v>
      </c>
      <c r="B176" t="s">
        <v>839</v>
      </c>
      <c r="C176" t="s">
        <v>1273</v>
      </c>
      <c r="D176" s="2">
        <v>44568</v>
      </c>
      <c r="E176">
        <v>3.4</v>
      </c>
      <c r="F176" s="2">
        <v>44596</v>
      </c>
      <c r="G176">
        <v>2.96</v>
      </c>
      <c r="H176" s="3">
        <v>-0.12939999999999999</v>
      </c>
      <c r="I176">
        <v>-37946.85</v>
      </c>
      <c r="J176" s="3">
        <v>-0.1313</v>
      </c>
      <c r="K176">
        <v>85014</v>
      </c>
      <c r="T176" s="2"/>
      <c r="U176" s="2"/>
      <c r="V176" s="2"/>
      <c r="W176" s="2"/>
      <c r="X176" s="3"/>
      <c r="Y176" s="3"/>
      <c r="Z176" s="3"/>
      <c r="AA176" s="3"/>
      <c r="AF176" s="3"/>
      <c r="AG176" s="3"/>
      <c r="AH176" s="3"/>
    </row>
    <row r="177" spans="1:34" x14ac:dyDescent="0.25">
      <c r="A177" t="s">
        <v>117</v>
      </c>
      <c r="B177" t="s">
        <v>355</v>
      </c>
      <c r="C177" t="s">
        <v>1273</v>
      </c>
      <c r="D177" s="2">
        <v>44498</v>
      </c>
      <c r="E177">
        <v>1.2050000000000001</v>
      </c>
      <c r="F177" s="2">
        <v>44596</v>
      </c>
      <c r="G177">
        <v>1.06</v>
      </c>
      <c r="H177" s="3">
        <v>-0.1203</v>
      </c>
      <c r="I177">
        <v>-36170.79</v>
      </c>
      <c r="J177" s="3">
        <v>-0.1222</v>
      </c>
      <c r="K177">
        <v>245617</v>
      </c>
      <c r="T177" s="2"/>
      <c r="U177" s="2"/>
      <c r="V177" s="2"/>
      <c r="W177" s="2"/>
      <c r="X177" s="3"/>
      <c r="Y177" s="3"/>
      <c r="Z177" s="3"/>
      <c r="AA177" s="3"/>
      <c r="AF177" s="3"/>
      <c r="AG177" s="3"/>
      <c r="AH177" s="3"/>
    </row>
    <row r="178" spans="1:34" x14ac:dyDescent="0.25">
      <c r="A178" t="s">
        <v>220</v>
      </c>
      <c r="B178" t="s">
        <v>840</v>
      </c>
      <c r="C178" t="s">
        <v>1273</v>
      </c>
      <c r="D178" s="2">
        <v>44287</v>
      </c>
      <c r="E178">
        <v>3.635751</v>
      </c>
      <c r="F178" s="2">
        <v>44596</v>
      </c>
      <c r="G178">
        <v>6.8428250000000004</v>
      </c>
      <c r="H178" s="3">
        <v>0.8821</v>
      </c>
      <c r="I178">
        <v>225721.19</v>
      </c>
      <c r="J178" s="3">
        <v>0.87919999999999998</v>
      </c>
      <c r="K178">
        <v>70613</v>
      </c>
      <c r="T178" s="2"/>
      <c r="U178" s="2"/>
      <c r="V178" s="2"/>
      <c r="W178" s="2"/>
      <c r="X178" s="3"/>
      <c r="Y178" s="3"/>
      <c r="Z178" s="3"/>
      <c r="AA178" s="3"/>
      <c r="AF178" s="3"/>
      <c r="AG178" s="3"/>
      <c r="AH178" s="3"/>
    </row>
    <row r="179" spans="1:34" x14ac:dyDescent="0.25">
      <c r="A179" t="s">
        <v>101</v>
      </c>
      <c r="B179" t="s">
        <v>402</v>
      </c>
      <c r="C179" t="s">
        <v>1273</v>
      </c>
      <c r="D179" s="2">
        <v>44582</v>
      </c>
      <c r="E179">
        <v>2.15</v>
      </c>
      <c r="F179" s="2">
        <v>44596</v>
      </c>
      <c r="G179">
        <v>1.865</v>
      </c>
      <c r="H179" s="3">
        <v>-0.1326</v>
      </c>
      <c r="I179">
        <v>-38305.47</v>
      </c>
      <c r="J179" s="3">
        <v>-0.13439999999999999</v>
      </c>
      <c r="K179">
        <v>132538</v>
      </c>
      <c r="T179" s="2"/>
      <c r="U179" s="2"/>
      <c r="V179" s="2"/>
      <c r="W179" s="2"/>
      <c r="X179" s="3"/>
      <c r="Y179" s="3"/>
      <c r="Z179" s="3"/>
      <c r="AA179" s="3"/>
      <c r="AF179" s="3"/>
      <c r="AG179" s="3"/>
      <c r="AH179" s="3"/>
    </row>
    <row r="180" spans="1:34" x14ac:dyDescent="0.25">
      <c r="A180" t="s">
        <v>454</v>
      </c>
      <c r="B180" t="s">
        <v>841</v>
      </c>
      <c r="C180" t="s">
        <v>1273</v>
      </c>
      <c r="D180" s="2">
        <v>44575</v>
      </c>
      <c r="E180">
        <v>0.875</v>
      </c>
      <c r="F180" s="2">
        <v>44589</v>
      </c>
      <c r="G180">
        <v>0.70499999999999996</v>
      </c>
      <c r="H180" s="3">
        <v>-0.1943</v>
      </c>
      <c r="I180">
        <v>-55527.41</v>
      </c>
      <c r="J180" s="3">
        <v>-0.1961</v>
      </c>
      <c r="K180">
        <v>323624</v>
      </c>
      <c r="T180" s="2"/>
      <c r="U180" s="2"/>
      <c r="V180" s="2"/>
      <c r="W180" s="2"/>
      <c r="X180" s="3"/>
      <c r="Y180" s="3"/>
      <c r="Z180" s="3"/>
      <c r="AA180" s="3"/>
      <c r="AF180" s="3"/>
      <c r="AG180" s="3"/>
      <c r="AH180" s="3"/>
    </row>
    <row r="181" spans="1:34" x14ac:dyDescent="0.25">
      <c r="A181" t="s">
        <v>88</v>
      </c>
      <c r="B181" t="s">
        <v>808</v>
      </c>
      <c r="C181" t="s">
        <v>1273</v>
      </c>
      <c r="D181" s="2">
        <v>44568</v>
      </c>
      <c r="E181">
        <v>1.8262780000000001</v>
      </c>
      <c r="F181" s="2">
        <v>44589</v>
      </c>
      <c r="G181">
        <v>1.7586379999999999</v>
      </c>
      <c r="H181" s="3">
        <v>-3.6999999999999998E-2</v>
      </c>
      <c r="I181">
        <v>-11271.84</v>
      </c>
      <c r="J181" s="3">
        <v>-3.9E-2</v>
      </c>
      <c r="K181">
        <v>158257</v>
      </c>
      <c r="T181" s="2"/>
      <c r="U181" s="2"/>
      <c r="V181" s="2"/>
      <c r="W181" s="2"/>
      <c r="X181" s="3"/>
      <c r="Y181" s="3"/>
      <c r="Z181" s="3"/>
      <c r="AA181" s="3"/>
      <c r="AF181" s="3"/>
      <c r="AG181" s="3"/>
      <c r="AH181" s="3"/>
    </row>
    <row r="182" spans="1:34" x14ac:dyDescent="0.25">
      <c r="A182" t="s">
        <v>455</v>
      </c>
      <c r="B182" t="s">
        <v>842</v>
      </c>
      <c r="C182" t="s">
        <v>1273</v>
      </c>
      <c r="D182" s="2">
        <v>44568</v>
      </c>
      <c r="E182">
        <v>2.5</v>
      </c>
      <c r="F182" s="2">
        <v>44589</v>
      </c>
      <c r="G182">
        <v>2.52</v>
      </c>
      <c r="H182" s="3">
        <v>8.0000000000000002E-3</v>
      </c>
      <c r="I182">
        <v>1732.32</v>
      </c>
      <c r="J182" s="3">
        <v>6.0000000000000001E-3</v>
      </c>
      <c r="K182">
        <v>115642</v>
      </c>
      <c r="T182" s="2"/>
      <c r="U182" s="2"/>
      <c r="V182" s="2"/>
      <c r="W182" s="2"/>
      <c r="X182" s="3"/>
      <c r="Y182" s="3"/>
      <c r="Z182" s="3"/>
      <c r="AA182" s="3"/>
      <c r="AF182" s="3"/>
      <c r="AG182" s="3"/>
      <c r="AH182" s="3"/>
    </row>
    <row r="183" spans="1:34" x14ac:dyDescent="0.25">
      <c r="A183" t="s">
        <v>221</v>
      </c>
      <c r="B183" t="s">
        <v>843</v>
      </c>
      <c r="C183" t="s">
        <v>1273</v>
      </c>
      <c r="D183" s="2">
        <v>44561</v>
      </c>
      <c r="E183">
        <v>0.875</v>
      </c>
      <c r="F183" s="2">
        <v>44589</v>
      </c>
      <c r="G183">
        <v>0.745</v>
      </c>
      <c r="H183" s="3">
        <v>-0.14860000000000001</v>
      </c>
      <c r="I183">
        <v>-42604.21</v>
      </c>
      <c r="J183" s="3">
        <v>-0.15040000000000001</v>
      </c>
      <c r="K183">
        <v>323691</v>
      </c>
      <c r="T183" s="2"/>
      <c r="U183" s="2"/>
      <c r="V183" s="2"/>
      <c r="W183" s="2"/>
      <c r="X183" s="3"/>
      <c r="Y183" s="3"/>
      <c r="Z183" s="3"/>
      <c r="AA183" s="3"/>
      <c r="AF183" s="3"/>
      <c r="AG183" s="3"/>
      <c r="AH183" s="3"/>
    </row>
    <row r="184" spans="1:34" x14ac:dyDescent="0.25">
      <c r="A184" t="s">
        <v>167</v>
      </c>
      <c r="B184" t="s">
        <v>761</v>
      </c>
      <c r="C184" t="s">
        <v>1273</v>
      </c>
      <c r="D184" s="2">
        <v>44561</v>
      </c>
      <c r="E184">
        <v>2.38</v>
      </c>
      <c r="F184" s="2">
        <v>44589</v>
      </c>
      <c r="G184">
        <v>2.0499999999999998</v>
      </c>
      <c r="H184" s="3">
        <v>-0.13869999999999999</v>
      </c>
      <c r="I184">
        <v>-39802.19</v>
      </c>
      <c r="J184" s="3">
        <v>-0.14050000000000001</v>
      </c>
      <c r="K184">
        <v>119015</v>
      </c>
      <c r="T184" s="2"/>
      <c r="U184" s="2"/>
      <c r="V184" s="2"/>
      <c r="W184" s="2"/>
      <c r="X184" s="3"/>
      <c r="Y184" s="3"/>
      <c r="Z184" s="3"/>
      <c r="AA184" s="3"/>
      <c r="AF184" s="3"/>
      <c r="AG184" s="3"/>
      <c r="AH184" s="3"/>
    </row>
    <row r="185" spans="1:34" x14ac:dyDescent="0.25">
      <c r="A185" t="s">
        <v>141</v>
      </c>
      <c r="B185" t="s">
        <v>733</v>
      </c>
      <c r="C185" t="s">
        <v>1273</v>
      </c>
      <c r="D185" s="2">
        <v>44287</v>
      </c>
      <c r="E185">
        <v>4.7091250000000002</v>
      </c>
      <c r="F185" s="2">
        <v>44589</v>
      </c>
      <c r="G185">
        <v>7.1156259999999998</v>
      </c>
      <c r="H185" s="3">
        <v>0.51100000000000001</v>
      </c>
      <c r="I185">
        <v>130526.62</v>
      </c>
      <c r="J185" s="3">
        <v>0.50849999999999995</v>
      </c>
      <c r="K185">
        <v>54507</v>
      </c>
      <c r="T185" s="2"/>
      <c r="U185" s="2"/>
      <c r="V185" s="2"/>
      <c r="W185" s="2"/>
      <c r="X185" s="3"/>
      <c r="Y185" s="3"/>
      <c r="Z185" s="3"/>
      <c r="AA185" s="3"/>
      <c r="AF185" s="3"/>
      <c r="AG185" s="3"/>
      <c r="AH185" s="3"/>
    </row>
    <row r="186" spans="1:34" x14ac:dyDescent="0.25">
      <c r="A186" t="s">
        <v>222</v>
      </c>
      <c r="B186" t="s">
        <v>844</v>
      </c>
      <c r="C186" t="s">
        <v>1273</v>
      </c>
      <c r="D186" s="2">
        <v>44498</v>
      </c>
      <c r="E186">
        <v>1.4670840000000001</v>
      </c>
      <c r="F186" s="2">
        <v>44582</v>
      </c>
      <c r="G186">
        <v>1.3474839999999999</v>
      </c>
      <c r="H186" s="3">
        <v>-8.1500000000000003E-2</v>
      </c>
      <c r="I186">
        <v>-24691.14</v>
      </c>
      <c r="J186" s="3">
        <v>-8.3400000000000002E-2</v>
      </c>
      <c r="K186">
        <v>201701</v>
      </c>
      <c r="T186" s="2"/>
      <c r="U186" s="2"/>
      <c r="V186" s="2"/>
      <c r="W186" s="2"/>
      <c r="X186" s="3"/>
      <c r="Y186" s="3"/>
      <c r="Z186" s="3"/>
      <c r="AA186" s="3"/>
      <c r="AF186" s="3"/>
      <c r="AG186" s="3"/>
      <c r="AH186" s="3"/>
    </row>
    <row r="187" spans="1:34" x14ac:dyDescent="0.25">
      <c r="A187" t="s">
        <v>223</v>
      </c>
      <c r="B187" t="s">
        <v>845</v>
      </c>
      <c r="C187" t="s">
        <v>1273</v>
      </c>
      <c r="D187" s="2">
        <v>43994</v>
      </c>
      <c r="E187">
        <v>1.5113529999999999</v>
      </c>
      <c r="F187" s="2">
        <v>44554</v>
      </c>
      <c r="G187">
        <v>0.27500000000000002</v>
      </c>
      <c r="H187" s="3">
        <v>-0.81799999999999995</v>
      </c>
      <c r="I187">
        <v>-164280.04</v>
      </c>
      <c r="J187" s="3">
        <v>-0.81920000000000004</v>
      </c>
      <c r="K187">
        <v>132683</v>
      </c>
      <c r="T187" s="2"/>
      <c r="U187" s="2"/>
      <c r="V187" s="2"/>
      <c r="W187" s="2"/>
      <c r="X187" s="3"/>
      <c r="Y187" s="3"/>
      <c r="Z187" s="3"/>
      <c r="AA187" s="3"/>
      <c r="AF187" s="3"/>
      <c r="AG187" s="3"/>
      <c r="AH187" s="3"/>
    </row>
    <row r="188" spans="1:34" x14ac:dyDescent="0.25">
      <c r="A188" t="s">
        <v>224</v>
      </c>
      <c r="B188" t="s">
        <v>846</v>
      </c>
      <c r="C188" t="s">
        <v>1273</v>
      </c>
      <c r="D188" s="2">
        <v>44498</v>
      </c>
      <c r="E188">
        <v>11.65185</v>
      </c>
      <c r="F188" s="2">
        <v>44547</v>
      </c>
      <c r="G188">
        <v>11.57606</v>
      </c>
      <c r="H188" s="3">
        <v>-6.4999999999999997E-3</v>
      </c>
      <c r="I188">
        <v>-2515.5500000000002</v>
      </c>
      <c r="J188" s="3">
        <v>-8.5000000000000006E-3</v>
      </c>
      <c r="K188">
        <v>25405</v>
      </c>
      <c r="T188" s="2"/>
      <c r="U188" s="2"/>
      <c r="V188" s="2"/>
      <c r="W188" s="2"/>
      <c r="X188" s="3"/>
      <c r="Y188" s="3"/>
      <c r="Z188" s="3"/>
      <c r="AA188" s="3"/>
      <c r="AF188" s="3"/>
      <c r="AG188" s="3"/>
      <c r="AH188" s="3"/>
    </row>
    <row r="189" spans="1:34" x14ac:dyDescent="0.25">
      <c r="A189" t="s">
        <v>447</v>
      </c>
      <c r="B189" t="s">
        <v>805</v>
      </c>
      <c r="C189" t="s">
        <v>1273</v>
      </c>
      <c r="D189" s="2">
        <v>44148</v>
      </c>
      <c r="E189">
        <v>1.4888140000000001</v>
      </c>
      <c r="F189" s="2">
        <v>44540</v>
      </c>
      <c r="G189">
        <v>1.8759520000000001</v>
      </c>
      <c r="H189" s="3">
        <v>0.26</v>
      </c>
      <c r="I189">
        <v>61198.78</v>
      </c>
      <c r="J189" s="3">
        <v>0.25779999999999997</v>
      </c>
      <c r="K189">
        <v>159466</v>
      </c>
      <c r="T189" s="2"/>
      <c r="U189" s="2"/>
      <c r="V189" s="2"/>
      <c r="W189" s="2"/>
      <c r="X189" s="3"/>
      <c r="Y189" s="3"/>
      <c r="Z189" s="3"/>
      <c r="AA189" s="3"/>
      <c r="AF189" s="3"/>
      <c r="AG189" s="3"/>
      <c r="AH189" s="3"/>
    </row>
    <row r="190" spans="1:34" x14ac:dyDescent="0.25">
      <c r="A190" t="s">
        <v>225</v>
      </c>
      <c r="B190" t="s">
        <v>847</v>
      </c>
      <c r="C190" t="s">
        <v>1273</v>
      </c>
      <c r="D190" s="2">
        <v>44512</v>
      </c>
      <c r="E190">
        <v>8.6199999999999992</v>
      </c>
      <c r="F190" s="2">
        <v>44540</v>
      </c>
      <c r="G190">
        <v>8.0399999999999991</v>
      </c>
      <c r="H190" s="3">
        <v>-6.7299999999999999E-2</v>
      </c>
      <c r="I190">
        <v>-20939.189999999999</v>
      </c>
      <c r="J190" s="3">
        <v>-6.9199999999999998E-2</v>
      </c>
      <c r="K190">
        <v>35094</v>
      </c>
      <c r="T190" s="2"/>
      <c r="U190" s="2"/>
      <c r="V190" s="2"/>
      <c r="W190" s="2"/>
      <c r="X190" s="3"/>
      <c r="Y190" s="3"/>
      <c r="Z190" s="3"/>
      <c r="AA190" s="3"/>
      <c r="AF190" s="3"/>
      <c r="AG190" s="3"/>
      <c r="AH190" s="3"/>
    </row>
    <row r="191" spans="1:34" x14ac:dyDescent="0.25">
      <c r="A191" t="s">
        <v>63</v>
      </c>
      <c r="B191" t="s">
        <v>848</v>
      </c>
      <c r="C191" t="s">
        <v>1273</v>
      </c>
      <c r="D191" s="2">
        <v>44498</v>
      </c>
      <c r="E191">
        <v>1.7350000000000001</v>
      </c>
      <c r="F191" s="2">
        <v>44540</v>
      </c>
      <c r="G191">
        <v>1.59</v>
      </c>
      <c r="H191" s="3">
        <v>-8.3599999999999994E-2</v>
      </c>
      <c r="I191">
        <v>-25309.58</v>
      </c>
      <c r="J191" s="3">
        <v>-8.5500000000000007E-2</v>
      </c>
      <c r="K191">
        <v>170636</v>
      </c>
      <c r="T191" s="2"/>
      <c r="U191" s="2"/>
      <c r="V191" s="2"/>
      <c r="W191" s="2"/>
      <c r="X191" s="3"/>
      <c r="Y191" s="3"/>
      <c r="Z191" s="3"/>
      <c r="AA191" s="3"/>
      <c r="AF191" s="3"/>
      <c r="AG191" s="3"/>
      <c r="AH191" s="3"/>
    </row>
    <row r="192" spans="1:34" x14ac:dyDescent="0.25">
      <c r="A192" t="s">
        <v>226</v>
      </c>
      <c r="B192" t="s">
        <v>849</v>
      </c>
      <c r="C192" t="s">
        <v>1273</v>
      </c>
      <c r="D192" s="2">
        <v>44512</v>
      </c>
      <c r="E192">
        <v>0.81</v>
      </c>
      <c r="F192" s="2">
        <v>44533</v>
      </c>
      <c r="G192">
        <v>0.61</v>
      </c>
      <c r="H192" s="3">
        <v>-0.24690000000000001</v>
      </c>
      <c r="I192">
        <v>-75211.64</v>
      </c>
      <c r="J192" s="3">
        <v>-0.2487</v>
      </c>
      <c r="K192">
        <v>373407</v>
      </c>
      <c r="T192" s="2"/>
      <c r="U192" s="2"/>
      <c r="V192" s="2"/>
      <c r="W192" s="2"/>
      <c r="X192" s="3"/>
      <c r="Y192" s="3"/>
      <c r="Z192" s="3"/>
      <c r="AA192" s="3"/>
      <c r="AF192" s="3"/>
      <c r="AG192" s="3"/>
      <c r="AH192" s="3"/>
    </row>
    <row r="193" spans="1:34" x14ac:dyDescent="0.25">
      <c r="A193" t="s">
        <v>454</v>
      </c>
      <c r="B193" t="s">
        <v>841</v>
      </c>
      <c r="C193" t="s">
        <v>1273</v>
      </c>
      <c r="D193" s="2">
        <v>44512</v>
      </c>
      <c r="E193">
        <v>0.55000000000000004</v>
      </c>
      <c r="F193" s="2">
        <v>44533</v>
      </c>
      <c r="G193">
        <v>0.54500000000000004</v>
      </c>
      <c r="H193" s="3">
        <v>-9.1000000000000004E-3</v>
      </c>
      <c r="I193">
        <v>-3352.12</v>
      </c>
      <c r="J193" s="3">
        <v>-1.11E-2</v>
      </c>
      <c r="K193">
        <v>549979</v>
      </c>
      <c r="T193" s="2"/>
      <c r="U193" s="2"/>
      <c r="V193" s="2"/>
      <c r="W193" s="2"/>
      <c r="X193" s="3"/>
      <c r="Y193" s="3"/>
      <c r="Z193" s="3"/>
      <c r="AA193" s="3"/>
      <c r="AF193" s="3"/>
      <c r="AG193" s="3"/>
      <c r="AH193" s="3"/>
    </row>
    <row r="194" spans="1:34" x14ac:dyDescent="0.25">
      <c r="A194" t="s">
        <v>227</v>
      </c>
      <c r="B194" t="s">
        <v>850</v>
      </c>
      <c r="C194" t="s">
        <v>1273</v>
      </c>
      <c r="D194" s="2">
        <v>44498</v>
      </c>
      <c r="E194">
        <v>6.0535800000000002</v>
      </c>
      <c r="F194" s="2">
        <v>44533</v>
      </c>
      <c r="G194">
        <v>4.9115710000000004</v>
      </c>
      <c r="H194" s="3">
        <v>-0.18870000000000001</v>
      </c>
      <c r="I194">
        <v>-56364.29</v>
      </c>
      <c r="J194" s="3">
        <v>-0.1905</v>
      </c>
      <c r="K194">
        <v>48886</v>
      </c>
      <c r="T194" s="2"/>
      <c r="U194" s="2"/>
      <c r="V194" s="2"/>
      <c r="W194" s="2"/>
      <c r="X194" s="3"/>
      <c r="Y194" s="3"/>
      <c r="Z194" s="3"/>
      <c r="AA194" s="3"/>
      <c r="AF194" s="3"/>
      <c r="AG194" s="3"/>
      <c r="AH194" s="3"/>
    </row>
    <row r="195" spans="1:34" x14ac:dyDescent="0.25">
      <c r="A195" t="s">
        <v>85</v>
      </c>
      <c r="B195" t="s">
        <v>779</v>
      </c>
      <c r="C195" t="s">
        <v>1273</v>
      </c>
      <c r="D195" s="2">
        <v>44379</v>
      </c>
      <c r="E195">
        <v>2.2799999999999998</v>
      </c>
      <c r="F195" s="2">
        <v>44533</v>
      </c>
      <c r="G195">
        <v>2.12</v>
      </c>
      <c r="H195" s="3">
        <v>-7.0199999999999999E-2</v>
      </c>
      <c r="I195">
        <v>-20066.990000000002</v>
      </c>
      <c r="J195" s="3">
        <v>-7.2099999999999997E-2</v>
      </c>
      <c r="K195">
        <v>122062</v>
      </c>
      <c r="T195" s="2"/>
      <c r="U195" s="2"/>
      <c r="V195" s="2"/>
      <c r="W195" s="2"/>
      <c r="X195" s="3"/>
      <c r="Y195" s="3"/>
      <c r="Z195" s="3"/>
      <c r="AA195" s="3"/>
      <c r="AF195" s="3"/>
      <c r="AG195" s="3"/>
      <c r="AH195" s="3"/>
    </row>
    <row r="196" spans="1:34" x14ac:dyDescent="0.25">
      <c r="A196" t="s">
        <v>138</v>
      </c>
      <c r="B196" t="s">
        <v>730</v>
      </c>
      <c r="C196" t="s">
        <v>1273</v>
      </c>
      <c r="D196" s="2">
        <v>44519</v>
      </c>
      <c r="E196">
        <v>1.77</v>
      </c>
      <c r="F196" s="2">
        <v>44533</v>
      </c>
      <c r="G196">
        <v>1.54</v>
      </c>
      <c r="H196" s="3">
        <v>-0.12989999999999999</v>
      </c>
      <c r="I196">
        <v>-39077.33</v>
      </c>
      <c r="J196" s="3">
        <v>-0.1318</v>
      </c>
      <c r="K196">
        <v>167491</v>
      </c>
      <c r="T196" s="2"/>
      <c r="U196" s="2"/>
      <c r="V196" s="2"/>
      <c r="W196" s="2"/>
      <c r="X196" s="3"/>
      <c r="Y196" s="3"/>
      <c r="Z196" s="3"/>
      <c r="AA196" s="3"/>
      <c r="AF196" s="3"/>
      <c r="AG196" s="3"/>
      <c r="AH196" s="3"/>
    </row>
    <row r="197" spans="1:34" x14ac:dyDescent="0.25">
      <c r="A197" t="s">
        <v>456</v>
      </c>
      <c r="B197" t="s">
        <v>851</v>
      </c>
      <c r="C197" t="s">
        <v>1273</v>
      </c>
      <c r="D197" s="2">
        <v>44274</v>
      </c>
      <c r="E197">
        <v>4.707281</v>
      </c>
      <c r="F197" s="2">
        <v>44519</v>
      </c>
      <c r="G197">
        <v>4.3608399999999996</v>
      </c>
      <c r="H197" s="3">
        <v>-7.3599999999999999E-2</v>
      </c>
      <c r="I197">
        <v>-19633.7</v>
      </c>
      <c r="J197" s="3">
        <v>-7.5499999999999998E-2</v>
      </c>
      <c r="K197">
        <v>55227</v>
      </c>
      <c r="T197" s="2"/>
      <c r="U197" s="2"/>
      <c r="V197" s="2"/>
      <c r="W197" s="2"/>
      <c r="X197" s="3"/>
      <c r="Y197" s="3"/>
      <c r="Z197" s="3"/>
      <c r="AA197" s="3"/>
      <c r="AF197" s="3"/>
      <c r="AG197" s="3"/>
      <c r="AH197" s="3"/>
    </row>
    <row r="198" spans="1:34" x14ac:dyDescent="0.25">
      <c r="A198" t="s">
        <v>208</v>
      </c>
      <c r="B198" t="s">
        <v>822</v>
      </c>
      <c r="C198" t="s">
        <v>1273</v>
      </c>
      <c r="D198" s="2">
        <v>44337</v>
      </c>
      <c r="E198">
        <v>2.7159170000000001</v>
      </c>
      <c r="F198" s="2">
        <v>44519</v>
      </c>
      <c r="G198">
        <v>2.5254099999999999</v>
      </c>
      <c r="H198" s="3">
        <v>-7.0099999999999996E-2</v>
      </c>
      <c r="I198">
        <v>-19313.509999999998</v>
      </c>
      <c r="J198" s="3">
        <v>-7.2099999999999997E-2</v>
      </c>
      <c r="K198">
        <v>98665</v>
      </c>
      <c r="T198" s="2"/>
      <c r="U198" s="2"/>
      <c r="V198" s="2"/>
      <c r="W198" s="2"/>
      <c r="X198" s="3"/>
      <c r="Y198" s="3"/>
      <c r="Z198" s="3"/>
      <c r="AA198" s="3"/>
      <c r="AF198" s="3"/>
      <c r="AG198" s="3"/>
      <c r="AH198" s="3"/>
    </row>
    <row r="199" spans="1:34" x14ac:dyDescent="0.25">
      <c r="A199" t="s">
        <v>91</v>
      </c>
      <c r="B199" t="s">
        <v>738</v>
      </c>
      <c r="C199" t="s">
        <v>1273</v>
      </c>
      <c r="D199" s="2">
        <v>44379</v>
      </c>
      <c r="E199">
        <v>6.4415690000000003</v>
      </c>
      <c r="F199" s="2">
        <v>44512</v>
      </c>
      <c r="G199">
        <v>6.6446810000000003</v>
      </c>
      <c r="H199" s="3">
        <v>3.15E-2</v>
      </c>
      <c r="I199">
        <v>8211.39</v>
      </c>
      <c r="J199" s="3">
        <v>2.9499999999999998E-2</v>
      </c>
      <c r="K199">
        <v>43212</v>
      </c>
      <c r="T199" s="2"/>
      <c r="U199" s="2"/>
      <c r="V199" s="2"/>
      <c r="W199" s="2"/>
      <c r="X199" s="3"/>
      <c r="Y199" s="3"/>
      <c r="Z199" s="3"/>
      <c r="AA199" s="3"/>
      <c r="AF199" s="3"/>
      <c r="AG199" s="3"/>
      <c r="AH199" s="3"/>
    </row>
    <row r="200" spans="1:34" x14ac:dyDescent="0.25">
      <c r="A200" t="s">
        <v>457</v>
      </c>
      <c r="B200" t="s">
        <v>852</v>
      </c>
      <c r="C200" t="s">
        <v>1273</v>
      </c>
      <c r="D200" s="2">
        <v>44106</v>
      </c>
      <c r="E200">
        <v>0.84581139999999999</v>
      </c>
      <c r="F200" s="2">
        <v>44498</v>
      </c>
      <c r="G200">
        <v>1.1499999999999999</v>
      </c>
      <c r="H200" s="3">
        <v>0.35959999999999998</v>
      </c>
      <c r="I200">
        <v>84859.97</v>
      </c>
      <c r="J200" s="3">
        <v>0.35730000000000001</v>
      </c>
      <c r="K200">
        <v>280814</v>
      </c>
      <c r="T200" s="2"/>
      <c r="U200" s="2"/>
      <c r="V200" s="2"/>
      <c r="W200" s="2"/>
      <c r="X200" s="3"/>
      <c r="Y200" s="3"/>
      <c r="Z200" s="3"/>
      <c r="AA200" s="3"/>
      <c r="AF200" s="3"/>
      <c r="AG200" s="3"/>
      <c r="AH200" s="3"/>
    </row>
    <row r="201" spans="1:34" x14ac:dyDescent="0.25">
      <c r="A201" t="s">
        <v>226</v>
      </c>
      <c r="B201" t="s">
        <v>849</v>
      </c>
      <c r="C201" t="s">
        <v>1273</v>
      </c>
      <c r="D201" s="2">
        <v>44449</v>
      </c>
      <c r="E201">
        <v>0.64</v>
      </c>
      <c r="F201" s="2">
        <v>44484</v>
      </c>
      <c r="G201">
        <v>0.58499999999999996</v>
      </c>
      <c r="H201" s="3">
        <v>-8.5900000000000004E-2</v>
      </c>
      <c r="I201">
        <v>-26465.439999999999</v>
      </c>
      <c r="J201" s="3">
        <v>-8.7900000000000006E-2</v>
      </c>
      <c r="K201">
        <v>470706</v>
      </c>
      <c r="T201" s="2"/>
      <c r="U201" s="2"/>
      <c r="V201" s="2"/>
      <c r="W201" s="2"/>
      <c r="X201" s="3"/>
      <c r="Y201" s="3"/>
      <c r="Z201" s="3"/>
      <c r="AA201" s="3"/>
      <c r="AF201" s="3"/>
      <c r="AG201" s="3"/>
      <c r="AH201" s="3"/>
    </row>
    <row r="202" spans="1:34" x14ac:dyDescent="0.25">
      <c r="A202" t="s">
        <v>458</v>
      </c>
      <c r="B202" t="s">
        <v>853</v>
      </c>
      <c r="C202" t="s">
        <v>1273</v>
      </c>
      <c r="D202" s="2">
        <v>44379</v>
      </c>
      <c r="E202">
        <v>2.08</v>
      </c>
      <c r="F202" s="2">
        <v>44483</v>
      </c>
      <c r="G202">
        <v>2.5</v>
      </c>
      <c r="H202" s="3">
        <v>0.2019</v>
      </c>
      <c r="I202">
        <v>55588.18</v>
      </c>
      <c r="J202" s="3">
        <v>0.19969999999999999</v>
      </c>
      <c r="K202">
        <v>133812</v>
      </c>
      <c r="T202" s="2"/>
      <c r="U202" s="2"/>
      <c r="V202" s="2"/>
      <c r="W202" s="2"/>
      <c r="X202" s="3"/>
      <c r="Y202" s="3"/>
      <c r="Z202" s="3"/>
      <c r="AA202" s="3"/>
      <c r="AF202" s="3"/>
      <c r="AG202" s="3"/>
      <c r="AH202" s="3"/>
    </row>
    <row r="203" spans="1:34" x14ac:dyDescent="0.25">
      <c r="A203" t="s">
        <v>190</v>
      </c>
      <c r="B203" t="s">
        <v>791</v>
      </c>
      <c r="C203" t="s">
        <v>1273</v>
      </c>
      <c r="D203" s="2">
        <v>44287</v>
      </c>
      <c r="E203">
        <v>1.52</v>
      </c>
      <c r="F203" s="2">
        <v>44477</v>
      </c>
      <c r="G203">
        <v>3.09</v>
      </c>
      <c r="H203" s="3">
        <v>1.0328999999999999</v>
      </c>
      <c r="I203">
        <v>264424.11</v>
      </c>
      <c r="J203" s="3">
        <v>1.0299</v>
      </c>
      <c r="K203">
        <v>168919</v>
      </c>
      <c r="T203" s="2"/>
      <c r="U203" s="2"/>
      <c r="V203" s="2"/>
      <c r="W203" s="2"/>
      <c r="X203" s="3"/>
      <c r="Y203" s="3"/>
      <c r="Z203" s="3"/>
      <c r="AA203" s="3"/>
      <c r="AF203" s="3"/>
      <c r="AG203" s="3"/>
      <c r="AH203" s="3"/>
    </row>
    <row r="204" spans="1:34" x14ac:dyDescent="0.25">
      <c r="A204" t="s">
        <v>171</v>
      </c>
      <c r="B204" t="s">
        <v>765</v>
      </c>
      <c r="C204" t="s">
        <v>1273</v>
      </c>
      <c r="D204" s="2">
        <v>44400</v>
      </c>
      <c r="E204">
        <v>10.08</v>
      </c>
      <c r="F204" s="2">
        <v>44470</v>
      </c>
      <c r="G204">
        <v>13.59</v>
      </c>
      <c r="H204" s="3">
        <v>0.34820000000000001</v>
      </c>
      <c r="I204">
        <v>96247.11</v>
      </c>
      <c r="J204" s="3">
        <v>0.34589999999999999</v>
      </c>
      <c r="K204">
        <v>27607</v>
      </c>
      <c r="T204" s="2"/>
      <c r="U204" s="2"/>
      <c r="V204" s="2"/>
      <c r="W204" s="2"/>
      <c r="X204" s="3"/>
      <c r="Y204" s="3"/>
      <c r="Z204" s="3"/>
      <c r="AA204" s="3"/>
      <c r="AF204" s="3"/>
      <c r="AG204" s="3"/>
      <c r="AH204" s="3"/>
    </row>
    <row r="205" spans="1:34" x14ac:dyDescent="0.25">
      <c r="A205" t="s">
        <v>228</v>
      </c>
      <c r="B205" t="s">
        <v>854</v>
      </c>
      <c r="C205" t="s">
        <v>1273</v>
      </c>
      <c r="D205" s="2">
        <v>44456</v>
      </c>
      <c r="E205">
        <v>3.3386100000000001</v>
      </c>
      <c r="F205" s="2">
        <v>44470</v>
      </c>
      <c r="G205">
        <v>2.8203779999999998</v>
      </c>
      <c r="H205" s="3">
        <v>-0.1552</v>
      </c>
      <c r="I205">
        <v>-47337.82</v>
      </c>
      <c r="J205" s="3">
        <v>-0.15709999999999999</v>
      </c>
      <c r="K205">
        <v>90272</v>
      </c>
      <c r="T205" s="2"/>
      <c r="U205" s="2"/>
      <c r="V205" s="2"/>
      <c r="W205" s="2"/>
      <c r="X205" s="3"/>
      <c r="Y205" s="3"/>
      <c r="Z205" s="3"/>
      <c r="AA205" s="3"/>
      <c r="AF205" s="3"/>
      <c r="AG205" s="3"/>
      <c r="AH205" s="3"/>
    </row>
    <row r="206" spans="1:34" x14ac:dyDescent="0.25">
      <c r="A206" t="s">
        <v>88</v>
      </c>
      <c r="B206" t="s">
        <v>808</v>
      </c>
      <c r="C206" t="s">
        <v>1273</v>
      </c>
      <c r="D206" s="2">
        <v>44407</v>
      </c>
      <c r="E206">
        <v>1.25617</v>
      </c>
      <c r="F206" s="2">
        <v>44470</v>
      </c>
      <c r="G206">
        <v>1.1208899999999999</v>
      </c>
      <c r="H206" s="3">
        <v>-0.1077</v>
      </c>
      <c r="I206">
        <v>-30644.53</v>
      </c>
      <c r="J206" s="3">
        <v>-0.1096</v>
      </c>
      <c r="K206">
        <v>222615</v>
      </c>
      <c r="T206" s="2"/>
      <c r="U206" s="2"/>
      <c r="V206" s="2"/>
      <c r="W206" s="2"/>
      <c r="X206" s="3"/>
      <c r="Y206" s="3"/>
      <c r="Z206" s="3"/>
      <c r="AA206" s="3"/>
      <c r="AF206" s="3"/>
      <c r="AG206" s="3"/>
      <c r="AH206" s="3"/>
    </row>
    <row r="207" spans="1:34" x14ac:dyDescent="0.25">
      <c r="A207" t="s">
        <v>227</v>
      </c>
      <c r="B207" t="s">
        <v>850</v>
      </c>
      <c r="C207" t="s">
        <v>1273</v>
      </c>
      <c r="D207" s="2">
        <v>44274</v>
      </c>
      <c r="E207">
        <v>5.28688</v>
      </c>
      <c r="F207" s="2">
        <v>44456</v>
      </c>
      <c r="G207">
        <v>5.0415549999999998</v>
      </c>
      <c r="H207" s="3">
        <v>-4.6399999999999997E-2</v>
      </c>
      <c r="I207">
        <v>-12572.27</v>
      </c>
      <c r="J207" s="3">
        <v>-4.8399999999999999E-2</v>
      </c>
      <c r="K207">
        <v>49177</v>
      </c>
      <c r="T207" s="2"/>
      <c r="U207" s="2"/>
      <c r="V207" s="2"/>
      <c r="W207" s="2"/>
      <c r="X207" s="3"/>
      <c r="Y207" s="3"/>
      <c r="Z207" s="3"/>
      <c r="AA207" s="3"/>
      <c r="AF207" s="3"/>
      <c r="AG207" s="3"/>
      <c r="AH207" s="3"/>
    </row>
    <row r="208" spans="1:34" x14ac:dyDescent="0.25">
      <c r="A208" t="s">
        <v>229</v>
      </c>
      <c r="B208" t="s">
        <v>855</v>
      </c>
      <c r="C208" t="s">
        <v>1273</v>
      </c>
      <c r="D208" s="2">
        <v>44287</v>
      </c>
      <c r="E208">
        <v>0.65</v>
      </c>
      <c r="F208" s="2">
        <v>44449</v>
      </c>
      <c r="G208">
        <v>0.75999989999999995</v>
      </c>
      <c r="H208" s="3">
        <v>0.16919999999999999</v>
      </c>
      <c r="I208">
        <v>42886.1</v>
      </c>
      <c r="J208" s="3">
        <v>0.1671</v>
      </c>
      <c r="K208">
        <v>394936</v>
      </c>
      <c r="T208" s="2"/>
      <c r="U208" s="2"/>
      <c r="V208" s="2"/>
      <c r="W208" s="2"/>
      <c r="X208" s="3"/>
      <c r="Y208" s="3"/>
      <c r="Z208" s="3"/>
      <c r="AA208" s="3"/>
      <c r="AF208" s="3"/>
      <c r="AG208" s="3"/>
      <c r="AH208" s="3"/>
    </row>
    <row r="209" spans="1:34" x14ac:dyDescent="0.25">
      <c r="A209" t="s">
        <v>230</v>
      </c>
      <c r="B209" t="s">
        <v>856</v>
      </c>
      <c r="C209" t="s">
        <v>1273</v>
      </c>
      <c r="D209" s="2">
        <v>44295</v>
      </c>
      <c r="E209">
        <v>0.62226499999999996</v>
      </c>
      <c r="F209" s="2">
        <v>44407</v>
      </c>
      <c r="G209">
        <v>0.63394079999999997</v>
      </c>
      <c r="H209" s="3">
        <v>1.8800000000000001E-2</v>
      </c>
      <c r="I209">
        <v>4347.1000000000004</v>
      </c>
      <c r="J209" s="3">
        <v>1.67E-2</v>
      </c>
      <c r="K209">
        <v>417204</v>
      </c>
      <c r="T209" s="2"/>
      <c r="U209" s="2"/>
      <c r="V209" s="2"/>
      <c r="W209" s="2"/>
      <c r="X209" s="3"/>
      <c r="Y209" s="3"/>
      <c r="Z209" s="3"/>
      <c r="AA209" s="3"/>
      <c r="AF209" s="3"/>
      <c r="AG209" s="3"/>
      <c r="AH209" s="3"/>
    </row>
    <row r="210" spans="1:34" x14ac:dyDescent="0.25">
      <c r="A210" t="s">
        <v>231</v>
      </c>
      <c r="B210" t="s">
        <v>857</v>
      </c>
      <c r="C210" t="s">
        <v>1273</v>
      </c>
      <c r="D210" s="2">
        <v>44295</v>
      </c>
      <c r="E210">
        <v>1.165</v>
      </c>
      <c r="F210" s="2">
        <v>44400</v>
      </c>
      <c r="G210">
        <v>0.96</v>
      </c>
      <c r="H210" s="3">
        <v>-0.17599999999999999</v>
      </c>
      <c r="I210">
        <v>-46169.41</v>
      </c>
      <c r="J210" s="3">
        <v>-0.17780000000000001</v>
      </c>
      <c r="K210">
        <v>222906</v>
      </c>
      <c r="T210" s="2"/>
      <c r="U210" s="2"/>
      <c r="V210" s="2"/>
      <c r="W210" s="2"/>
      <c r="X210" s="3"/>
      <c r="Y210" s="3"/>
      <c r="Z210" s="3"/>
      <c r="AA210" s="3"/>
      <c r="AF210" s="3"/>
      <c r="AG210" s="3"/>
      <c r="AH210" s="3"/>
    </row>
    <row r="211" spans="1:34" x14ac:dyDescent="0.25">
      <c r="A211" t="s">
        <v>175</v>
      </c>
      <c r="B211" t="s">
        <v>770</v>
      </c>
      <c r="C211" t="s">
        <v>1273</v>
      </c>
      <c r="D211" s="2">
        <v>44295</v>
      </c>
      <c r="E211">
        <v>7.5603559999999996</v>
      </c>
      <c r="F211" s="2">
        <v>44379</v>
      </c>
      <c r="G211">
        <v>5.9779549999999997</v>
      </c>
      <c r="H211" s="3">
        <v>-0.20930000000000001</v>
      </c>
      <c r="I211">
        <v>-54796.58</v>
      </c>
      <c r="J211" s="3">
        <v>-0.21110000000000001</v>
      </c>
      <c r="K211">
        <v>34335</v>
      </c>
      <c r="T211" s="2"/>
      <c r="U211" s="2"/>
      <c r="V211" s="2"/>
      <c r="W211" s="2"/>
      <c r="X211" s="3"/>
      <c r="Y211" s="3"/>
      <c r="Z211" s="3"/>
      <c r="AA211" s="3"/>
      <c r="AF211" s="3"/>
      <c r="AG211" s="3"/>
      <c r="AH211" s="3"/>
    </row>
    <row r="212" spans="1:34" x14ac:dyDescent="0.25">
      <c r="A212" t="s">
        <v>232</v>
      </c>
      <c r="B212" t="s">
        <v>858</v>
      </c>
      <c r="C212" t="s">
        <v>1273</v>
      </c>
      <c r="D212" s="2">
        <v>44295</v>
      </c>
      <c r="E212">
        <v>5.5283769999999999</v>
      </c>
      <c r="F212" s="2">
        <v>44379</v>
      </c>
      <c r="G212">
        <v>7.3155260000000002</v>
      </c>
      <c r="H212" s="3">
        <v>0.32329999999999998</v>
      </c>
      <c r="I212">
        <v>83328.460000000006</v>
      </c>
      <c r="J212" s="3">
        <v>0.32090000000000002</v>
      </c>
      <c r="K212">
        <v>46964</v>
      </c>
      <c r="T212" s="2"/>
      <c r="U212" s="2"/>
      <c r="V212" s="2"/>
      <c r="W212" s="2"/>
      <c r="X212" s="3"/>
      <c r="Y212" s="3"/>
      <c r="Z212" s="3"/>
      <c r="AA212" s="3"/>
      <c r="AF212" s="3"/>
      <c r="AG212" s="3"/>
      <c r="AH212" s="3"/>
    </row>
    <row r="213" spans="1:34" x14ac:dyDescent="0.25">
      <c r="A213" t="s">
        <v>233</v>
      </c>
      <c r="B213" t="s">
        <v>859</v>
      </c>
      <c r="C213" t="s">
        <v>1273</v>
      </c>
      <c r="D213" s="2">
        <v>44295</v>
      </c>
      <c r="E213">
        <v>1.669529</v>
      </c>
      <c r="F213" s="2">
        <v>44379</v>
      </c>
      <c r="G213">
        <v>1.5163960000000001</v>
      </c>
      <c r="H213" s="3">
        <v>-9.1700000000000004E-2</v>
      </c>
      <c r="I213">
        <v>-24312.13</v>
      </c>
      <c r="J213" s="3">
        <v>-9.3600000000000003E-2</v>
      </c>
      <c r="K213">
        <v>155529</v>
      </c>
      <c r="T213" s="2"/>
      <c r="U213" s="2"/>
      <c r="V213" s="2"/>
      <c r="W213" s="2"/>
      <c r="X213" s="3"/>
      <c r="Y213" s="3"/>
      <c r="Z213" s="3"/>
      <c r="AA213" s="3"/>
      <c r="AF213" s="3"/>
      <c r="AG213" s="3"/>
      <c r="AH213" s="3"/>
    </row>
    <row r="214" spans="1:34" x14ac:dyDescent="0.25">
      <c r="A214" t="s">
        <v>234</v>
      </c>
      <c r="B214" t="s">
        <v>860</v>
      </c>
      <c r="C214" t="s">
        <v>1273</v>
      </c>
      <c r="D214" s="2">
        <v>44287</v>
      </c>
      <c r="E214">
        <v>17.339300000000001</v>
      </c>
      <c r="F214" s="2">
        <v>44379</v>
      </c>
      <c r="G214">
        <v>15.497960000000001</v>
      </c>
      <c r="H214" s="3">
        <v>-0.1062</v>
      </c>
      <c r="I214">
        <v>-27754.69</v>
      </c>
      <c r="J214" s="3">
        <v>-0.1081</v>
      </c>
      <c r="K214">
        <v>14809</v>
      </c>
      <c r="T214" s="2"/>
      <c r="U214" s="2"/>
      <c r="V214" s="2"/>
      <c r="W214" s="2"/>
      <c r="X214" s="3"/>
      <c r="Y214" s="3"/>
      <c r="Z214" s="3"/>
      <c r="AA214" s="3"/>
      <c r="AF214" s="3"/>
      <c r="AG214" s="3"/>
      <c r="AH214" s="3"/>
    </row>
    <row r="215" spans="1:34" x14ac:dyDescent="0.25">
      <c r="A215" t="s">
        <v>459</v>
      </c>
      <c r="B215" t="s">
        <v>861</v>
      </c>
      <c r="C215" t="s">
        <v>1273</v>
      </c>
      <c r="D215" s="2">
        <v>44008</v>
      </c>
      <c r="E215">
        <v>0.79257610000000001</v>
      </c>
      <c r="F215" s="2">
        <v>44378</v>
      </c>
      <c r="G215">
        <v>1.295094</v>
      </c>
      <c r="H215" s="3">
        <v>0.63400000000000001</v>
      </c>
      <c r="I215">
        <v>129501.84</v>
      </c>
      <c r="J215" s="3">
        <v>0.63139999999999996</v>
      </c>
      <c r="K215">
        <v>258781</v>
      </c>
      <c r="T215" s="2"/>
      <c r="U215" s="2"/>
      <c r="V215" s="2"/>
      <c r="W215" s="2"/>
      <c r="X215" s="3"/>
      <c r="Y215" s="3"/>
      <c r="Z215" s="3"/>
      <c r="AA215" s="3"/>
      <c r="AF215" s="3"/>
      <c r="AG215" s="3"/>
      <c r="AH215" s="3"/>
    </row>
    <row r="216" spans="1:34" x14ac:dyDescent="0.25">
      <c r="A216" t="s">
        <v>455</v>
      </c>
      <c r="B216" t="s">
        <v>842</v>
      </c>
      <c r="C216" t="s">
        <v>1273</v>
      </c>
      <c r="D216" s="2">
        <v>44323</v>
      </c>
      <c r="E216">
        <v>2.46</v>
      </c>
      <c r="F216" s="2">
        <v>44337</v>
      </c>
      <c r="G216">
        <v>1.3</v>
      </c>
      <c r="H216" s="3">
        <v>-0.47149999999999997</v>
      </c>
      <c r="I216">
        <v>-128868.96</v>
      </c>
      <c r="J216" s="3">
        <v>-0.47310000000000002</v>
      </c>
      <c r="K216">
        <v>110735</v>
      </c>
      <c r="T216" s="2"/>
      <c r="U216" s="2"/>
      <c r="V216" s="2"/>
      <c r="W216" s="2"/>
      <c r="X216" s="3"/>
      <c r="Y216" s="3"/>
      <c r="Z216" s="3"/>
      <c r="AA216" s="3"/>
      <c r="AF216" s="3"/>
      <c r="AG216" s="3"/>
      <c r="AH216" s="3"/>
    </row>
    <row r="217" spans="1:34" x14ac:dyDescent="0.25">
      <c r="A217" t="s">
        <v>108</v>
      </c>
      <c r="B217" t="s">
        <v>782</v>
      </c>
      <c r="C217" t="s">
        <v>1273</v>
      </c>
      <c r="D217" s="2">
        <v>44239</v>
      </c>
      <c r="E217">
        <v>0.62782360000000004</v>
      </c>
      <c r="F217" s="2">
        <v>44323</v>
      </c>
      <c r="G217">
        <v>0.54604830000000004</v>
      </c>
      <c r="H217" s="3">
        <v>-0.1303</v>
      </c>
      <c r="I217">
        <v>-35447.08</v>
      </c>
      <c r="J217" s="3">
        <v>-0.1321</v>
      </c>
      <c r="K217">
        <v>427335</v>
      </c>
      <c r="T217" s="2"/>
      <c r="U217" s="2"/>
      <c r="V217" s="2"/>
      <c r="W217" s="2"/>
      <c r="X217" s="3"/>
      <c r="Y217" s="3"/>
      <c r="Z217" s="3"/>
      <c r="AA217" s="3"/>
      <c r="AF217" s="3"/>
      <c r="AG217" s="3"/>
      <c r="AH217" s="3"/>
    </row>
    <row r="218" spans="1:34" x14ac:dyDescent="0.25">
      <c r="A218" t="s">
        <v>235</v>
      </c>
      <c r="B218" t="s">
        <v>862</v>
      </c>
      <c r="C218" t="s">
        <v>1273</v>
      </c>
      <c r="D218" s="2">
        <v>44148</v>
      </c>
      <c r="E218">
        <v>3.3864899999999998</v>
      </c>
      <c r="F218" s="2">
        <v>44287</v>
      </c>
      <c r="G218">
        <v>3.503587</v>
      </c>
      <c r="H218" s="3">
        <v>3.4599999999999999E-2</v>
      </c>
      <c r="I218">
        <v>7724.73</v>
      </c>
      <c r="J218" s="3">
        <v>3.2500000000000001E-2</v>
      </c>
      <c r="K218">
        <v>70093</v>
      </c>
      <c r="T218" s="2"/>
      <c r="U218" s="2"/>
      <c r="V218" s="2"/>
      <c r="W218" s="2"/>
      <c r="X218" s="3"/>
      <c r="Y218" s="3"/>
      <c r="Z218" s="3"/>
      <c r="AA218" s="3"/>
      <c r="AF218" s="3"/>
      <c r="AG218" s="3"/>
      <c r="AH218" s="3"/>
    </row>
    <row r="219" spans="1:34" x14ac:dyDescent="0.25">
      <c r="A219" t="s">
        <v>70</v>
      </c>
      <c r="B219" t="s">
        <v>863</v>
      </c>
      <c r="C219" t="s">
        <v>1273</v>
      </c>
      <c r="D219" s="2">
        <v>44148</v>
      </c>
      <c r="E219">
        <v>3.4930080000000001</v>
      </c>
      <c r="F219" s="2">
        <v>44287</v>
      </c>
      <c r="G219">
        <v>4.6277920000000003</v>
      </c>
      <c r="H219" s="3">
        <v>0.32490000000000002</v>
      </c>
      <c r="I219">
        <v>76584.929999999993</v>
      </c>
      <c r="J219" s="3">
        <v>0.32250000000000001</v>
      </c>
      <c r="K219">
        <v>67975</v>
      </c>
      <c r="T219" s="2"/>
      <c r="U219" s="2"/>
      <c r="V219" s="2"/>
      <c r="W219" s="2"/>
      <c r="X219" s="3"/>
      <c r="Y219" s="3"/>
      <c r="Z219" s="3"/>
      <c r="AA219" s="3"/>
      <c r="AF219" s="3"/>
      <c r="AG219" s="3"/>
      <c r="AH219" s="3"/>
    </row>
    <row r="220" spans="1:34" x14ac:dyDescent="0.25">
      <c r="A220" t="s">
        <v>236</v>
      </c>
      <c r="B220" t="s">
        <v>864</v>
      </c>
      <c r="C220" t="s">
        <v>1273</v>
      </c>
      <c r="D220" s="2">
        <v>44232</v>
      </c>
      <c r="E220">
        <v>0.66132930000000001</v>
      </c>
      <c r="F220" s="2">
        <v>44281</v>
      </c>
      <c r="G220">
        <v>0.63472110000000004</v>
      </c>
      <c r="H220" s="3">
        <v>-4.02E-2</v>
      </c>
      <c r="I220">
        <v>-10873.06</v>
      </c>
      <c r="J220" s="3">
        <v>-4.2200000000000001E-2</v>
      </c>
      <c r="K220">
        <v>389656</v>
      </c>
      <c r="T220" s="2"/>
      <c r="U220" s="2"/>
      <c r="V220" s="2"/>
      <c r="W220" s="2"/>
      <c r="X220" s="3"/>
      <c r="Y220" s="3"/>
      <c r="Z220" s="3"/>
      <c r="AA220" s="3"/>
      <c r="AF220" s="3"/>
      <c r="AG220" s="3"/>
      <c r="AH220" s="3"/>
    </row>
    <row r="221" spans="1:34" x14ac:dyDescent="0.25">
      <c r="A221" t="s">
        <v>67</v>
      </c>
      <c r="B221" t="s">
        <v>865</v>
      </c>
      <c r="C221" t="s">
        <v>1273</v>
      </c>
      <c r="D221" s="2">
        <v>44148</v>
      </c>
      <c r="E221">
        <v>2.4900000000000002</v>
      </c>
      <c r="F221" s="2">
        <v>44267</v>
      </c>
      <c r="G221">
        <v>3.71</v>
      </c>
      <c r="H221" s="3">
        <v>0.49</v>
      </c>
      <c r="I221">
        <v>115764.96</v>
      </c>
      <c r="J221" s="3">
        <v>0.48749999999999999</v>
      </c>
      <c r="K221">
        <v>95374</v>
      </c>
      <c r="T221" s="2"/>
      <c r="U221" s="2"/>
      <c r="V221" s="2"/>
      <c r="W221" s="2"/>
      <c r="X221" s="3"/>
      <c r="Y221" s="3"/>
      <c r="Z221" s="3"/>
      <c r="AA221" s="3"/>
      <c r="AF221" s="3"/>
      <c r="AG221" s="3"/>
      <c r="AH221" s="3"/>
    </row>
    <row r="222" spans="1:34" x14ac:dyDescent="0.25">
      <c r="A222" t="s">
        <v>220</v>
      </c>
      <c r="B222" t="s">
        <v>840</v>
      </c>
      <c r="C222" t="s">
        <v>1273</v>
      </c>
      <c r="D222" s="2">
        <v>44148</v>
      </c>
      <c r="E222">
        <v>3.0967699999999998</v>
      </c>
      <c r="F222" s="2">
        <v>44267</v>
      </c>
      <c r="G222">
        <v>3.1635759999999999</v>
      </c>
      <c r="H222" s="3">
        <v>2.1600000000000001E-2</v>
      </c>
      <c r="I222">
        <v>4643.49</v>
      </c>
      <c r="J222" s="3">
        <v>1.9599999999999999E-2</v>
      </c>
      <c r="K222">
        <v>76694</v>
      </c>
      <c r="T222" s="2"/>
      <c r="U222" s="2"/>
      <c r="V222" s="2"/>
      <c r="W222" s="2"/>
      <c r="X222" s="3"/>
      <c r="Y222" s="3"/>
      <c r="Z222" s="3"/>
      <c r="AA222" s="3"/>
      <c r="AF222" s="3"/>
      <c r="AG222" s="3"/>
      <c r="AH222" s="3"/>
    </row>
    <row r="223" spans="1:34" x14ac:dyDescent="0.25">
      <c r="A223" t="s">
        <v>174</v>
      </c>
      <c r="B223" t="s">
        <v>769</v>
      </c>
      <c r="C223" t="s">
        <v>1273</v>
      </c>
      <c r="D223" s="2">
        <v>44008</v>
      </c>
      <c r="E223">
        <v>0.92753620000000003</v>
      </c>
      <c r="F223" s="2">
        <v>44267</v>
      </c>
      <c r="G223">
        <v>1.423899</v>
      </c>
      <c r="H223" s="3">
        <v>0.53510000000000002</v>
      </c>
      <c r="I223">
        <v>109208.13</v>
      </c>
      <c r="J223" s="3">
        <v>0.53259999999999996</v>
      </c>
      <c r="K223">
        <v>221064</v>
      </c>
      <c r="T223" s="2"/>
      <c r="U223" s="2"/>
      <c r="V223" s="2"/>
      <c r="W223" s="2"/>
      <c r="X223" s="3"/>
      <c r="Y223" s="3"/>
      <c r="Z223" s="3"/>
      <c r="AA223" s="3"/>
      <c r="AF223" s="3"/>
      <c r="AG223" s="3"/>
      <c r="AH223" s="3"/>
    </row>
    <row r="224" spans="1:34" x14ac:dyDescent="0.25">
      <c r="A224" t="s">
        <v>237</v>
      </c>
      <c r="B224" t="s">
        <v>866</v>
      </c>
      <c r="C224" t="s">
        <v>1273</v>
      </c>
      <c r="D224" s="2">
        <v>44253</v>
      </c>
      <c r="E224">
        <v>0.54</v>
      </c>
      <c r="F224" s="2">
        <v>44267</v>
      </c>
      <c r="G224">
        <v>0.505</v>
      </c>
      <c r="H224" s="3">
        <v>-6.4799999999999996E-2</v>
      </c>
      <c r="I224">
        <v>-18053.79</v>
      </c>
      <c r="J224" s="3">
        <v>-6.6799999999999998E-2</v>
      </c>
      <c r="K224">
        <v>500868</v>
      </c>
      <c r="T224" s="2"/>
      <c r="U224" s="2"/>
      <c r="V224" s="2"/>
      <c r="W224" s="2"/>
      <c r="X224" s="3"/>
      <c r="Y224" s="3"/>
      <c r="Z224" s="3"/>
      <c r="AA224" s="3"/>
      <c r="AF224" s="3"/>
      <c r="AG224" s="3"/>
      <c r="AH224" s="3"/>
    </row>
    <row r="225" spans="1:34" x14ac:dyDescent="0.25">
      <c r="A225" t="s">
        <v>238</v>
      </c>
      <c r="B225" t="s">
        <v>867</v>
      </c>
      <c r="C225" t="s">
        <v>1273</v>
      </c>
      <c r="D225" s="2">
        <v>44189</v>
      </c>
      <c r="E225">
        <v>6.23</v>
      </c>
      <c r="F225" s="2">
        <v>44260</v>
      </c>
      <c r="G225">
        <v>5.07</v>
      </c>
      <c r="H225" s="3">
        <v>-0.1862</v>
      </c>
      <c r="I225">
        <v>-48642.92</v>
      </c>
      <c r="J225" s="3">
        <v>-0.188</v>
      </c>
      <c r="K225">
        <v>41529</v>
      </c>
      <c r="T225" s="2"/>
      <c r="U225" s="2"/>
      <c r="V225" s="2"/>
      <c r="W225" s="2"/>
      <c r="X225" s="3"/>
      <c r="Y225" s="3"/>
      <c r="Z225" s="3"/>
      <c r="AA225" s="3"/>
      <c r="AF225" s="3"/>
      <c r="AG225" s="3"/>
      <c r="AH225" s="3"/>
    </row>
    <row r="226" spans="1:34" x14ac:dyDescent="0.25">
      <c r="A226" t="s">
        <v>239</v>
      </c>
      <c r="B226" t="s">
        <v>868</v>
      </c>
      <c r="C226" t="s">
        <v>1273</v>
      </c>
      <c r="D226" s="2">
        <v>44155</v>
      </c>
      <c r="E226">
        <v>1.5139990000000001</v>
      </c>
      <c r="F226" s="2">
        <v>44260</v>
      </c>
      <c r="G226">
        <v>1.8715759999999999</v>
      </c>
      <c r="H226" s="3">
        <v>0.23619999999999999</v>
      </c>
      <c r="I226">
        <v>56063.19</v>
      </c>
      <c r="J226" s="3">
        <v>0.2339</v>
      </c>
      <c r="K226">
        <v>158285</v>
      </c>
      <c r="T226" s="2"/>
      <c r="U226" s="2"/>
      <c r="V226" s="2"/>
      <c r="W226" s="2"/>
      <c r="X226" s="3"/>
      <c r="Y226" s="3"/>
      <c r="Z226" s="3"/>
      <c r="AA226" s="3"/>
      <c r="AF226" s="3"/>
      <c r="AG226" s="3"/>
      <c r="AH226" s="3"/>
    </row>
    <row r="227" spans="1:34" x14ac:dyDescent="0.25">
      <c r="A227" t="s">
        <v>85</v>
      </c>
      <c r="B227" t="s">
        <v>779</v>
      </c>
      <c r="C227" t="s">
        <v>1273</v>
      </c>
      <c r="D227" s="2">
        <v>44120</v>
      </c>
      <c r="E227">
        <v>1.75</v>
      </c>
      <c r="F227" s="2">
        <v>44260</v>
      </c>
      <c r="G227">
        <v>1.91</v>
      </c>
      <c r="H227" s="3">
        <v>9.1399999999999995E-2</v>
      </c>
      <c r="I227">
        <v>21782.85</v>
      </c>
      <c r="J227" s="3">
        <v>8.9300000000000004E-2</v>
      </c>
      <c r="K227">
        <v>139330</v>
      </c>
      <c r="T227" s="2"/>
      <c r="U227" s="2"/>
      <c r="V227" s="2"/>
      <c r="W227" s="2"/>
      <c r="X227" s="3"/>
      <c r="Y227" s="3"/>
      <c r="Z227" s="3"/>
      <c r="AA227" s="3"/>
      <c r="AF227" s="3"/>
      <c r="AG227" s="3"/>
      <c r="AH227" s="3"/>
    </row>
    <row r="228" spans="1:34" x14ac:dyDescent="0.25">
      <c r="A228" t="s">
        <v>240</v>
      </c>
      <c r="B228" t="s">
        <v>869</v>
      </c>
      <c r="C228" t="s">
        <v>1273</v>
      </c>
      <c r="D228" s="2">
        <v>44106</v>
      </c>
      <c r="E228">
        <v>2.5476740000000002</v>
      </c>
      <c r="F228" s="2">
        <v>44260</v>
      </c>
      <c r="G228">
        <v>3.3415870000000001</v>
      </c>
      <c r="H228" s="3">
        <v>0.31159999999999999</v>
      </c>
      <c r="I228">
        <v>73472.97</v>
      </c>
      <c r="J228" s="3">
        <v>0.30930000000000002</v>
      </c>
      <c r="K228">
        <v>93237</v>
      </c>
      <c r="T228" s="2"/>
      <c r="U228" s="2"/>
      <c r="V228" s="2"/>
      <c r="W228" s="2"/>
      <c r="X228" s="3"/>
      <c r="Y228" s="3"/>
      <c r="Z228" s="3"/>
      <c r="AA228" s="3"/>
      <c r="AF228" s="3"/>
      <c r="AG228" s="3"/>
      <c r="AH228" s="3"/>
    </row>
    <row r="229" spans="1:34" x14ac:dyDescent="0.25">
      <c r="A229" t="s">
        <v>241</v>
      </c>
      <c r="B229" t="s">
        <v>870</v>
      </c>
      <c r="C229" t="s">
        <v>1273</v>
      </c>
      <c r="D229" s="2">
        <v>43987</v>
      </c>
      <c r="E229">
        <v>6.4630330000000002</v>
      </c>
      <c r="F229" s="2">
        <v>44260</v>
      </c>
      <c r="G229">
        <v>8.8389240000000004</v>
      </c>
      <c r="H229" s="3">
        <v>0.36759999999999998</v>
      </c>
      <c r="I229">
        <v>72521.89</v>
      </c>
      <c r="J229" s="3">
        <v>0.36520000000000002</v>
      </c>
      <c r="K229">
        <v>30722</v>
      </c>
      <c r="T229" s="2"/>
      <c r="U229" s="2"/>
      <c r="V229" s="2"/>
      <c r="W229" s="2"/>
      <c r="X229" s="3"/>
      <c r="Y229" s="3"/>
      <c r="Z229" s="3"/>
      <c r="AA229" s="3"/>
      <c r="AF229" s="3"/>
      <c r="AG229" s="3"/>
      <c r="AH229" s="3"/>
    </row>
    <row r="230" spans="1:34" x14ac:dyDescent="0.25">
      <c r="A230" t="s">
        <v>182</v>
      </c>
      <c r="B230" t="s">
        <v>780</v>
      </c>
      <c r="C230" t="s">
        <v>1273</v>
      </c>
      <c r="D230" s="2">
        <v>44008</v>
      </c>
      <c r="E230">
        <v>1.601485</v>
      </c>
      <c r="F230" s="2">
        <v>44253</v>
      </c>
      <c r="G230">
        <v>1.8422149999999999</v>
      </c>
      <c r="H230" s="3">
        <v>0.15029999999999999</v>
      </c>
      <c r="I230">
        <v>30383.56</v>
      </c>
      <c r="J230" s="3">
        <v>0.1482</v>
      </c>
      <c r="K230">
        <v>128046</v>
      </c>
      <c r="T230" s="2"/>
      <c r="U230" s="2"/>
      <c r="V230" s="2"/>
      <c r="W230" s="2"/>
      <c r="X230" s="3"/>
      <c r="Y230" s="3"/>
      <c r="Z230" s="3"/>
      <c r="AA230" s="3"/>
      <c r="AF230" s="3"/>
      <c r="AG230" s="3"/>
      <c r="AH230" s="3"/>
    </row>
    <row r="231" spans="1:34" x14ac:dyDescent="0.25">
      <c r="A231" t="s">
        <v>242</v>
      </c>
      <c r="B231" t="s">
        <v>871</v>
      </c>
      <c r="C231" t="s">
        <v>1273</v>
      </c>
      <c r="D231" s="2">
        <v>44148</v>
      </c>
      <c r="E231">
        <v>0.84</v>
      </c>
      <c r="F231" s="2">
        <v>44239</v>
      </c>
      <c r="G231">
        <v>0.71</v>
      </c>
      <c r="H231" s="3">
        <v>-0.15479999999999999</v>
      </c>
      <c r="I231">
        <v>-37177.35</v>
      </c>
      <c r="J231" s="3">
        <v>-0.15659999999999999</v>
      </c>
      <c r="K231">
        <v>282610</v>
      </c>
      <c r="T231" s="2"/>
      <c r="U231" s="2"/>
      <c r="V231" s="2"/>
      <c r="W231" s="2"/>
      <c r="X231" s="3"/>
      <c r="Y231" s="3"/>
      <c r="Z231" s="3"/>
      <c r="AA231" s="3"/>
      <c r="AF231" s="3"/>
      <c r="AG231" s="3"/>
      <c r="AH231" s="3"/>
    </row>
    <row r="232" spans="1:34" x14ac:dyDescent="0.25">
      <c r="A232" t="s">
        <v>460</v>
      </c>
      <c r="B232" t="s">
        <v>872</v>
      </c>
      <c r="C232" t="s">
        <v>1273</v>
      </c>
      <c r="D232" s="2">
        <v>44008</v>
      </c>
      <c r="E232">
        <v>0.59499999999999997</v>
      </c>
      <c r="F232" s="2">
        <v>44230</v>
      </c>
      <c r="G232">
        <v>1.0649999999999999</v>
      </c>
      <c r="H232" s="3">
        <v>0.78990000000000005</v>
      </c>
      <c r="I232">
        <v>161472.85999999999</v>
      </c>
      <c r="J232" s="3">
        <v>0.78710000000000002</v>
      </c>
      <c r="K232">
        <v>344777</v>
      </c>
      <c r="T232" s="2"/>
      <c r="U232" s="2"/>
      <c r="V232" s="2"/>
      <c r="W232" s="2"/>
      <c r="X232" s="3"/>
      <c r="Y232" s="3"/>
      <c r="Z232" s="3"/>
      <c r="AA232" s="3"/>
      <c r="AF232" s="3"/>
      <c r="AG232" s="3"/>
      <c r="AH232" s="3"/>
    </row>
    <row r="233" spans="1:34" x14ac:dyDescent="0.25">
      <c r="A233" t="s">
        <v>243</v>
      </c>
      <c r="B233" t="s">
        <v>873</v>
      </c>
      <c r="C233" t="s">
        <v>1273</v>
      </c>
      <c r="D233" s="2">
        <v>44148</v>
      </c>
      <c r="E233">
        <v>1.405</v>
      </c>
      <c r="F233" s="2">
        <v>44218</v>
      </c>
      <c r="G233">
        <v>1.02</v>
      </c>
      <c r="H233" s="3">
        <v>-0.27400000000000002</v>
      </c>
      <c r="I233">
        <v>-65479.09</v>
      </c>
      <c r="J233" s="3">
        <v>-0.2757</v>
      </c>
      <c r="K233">
        <v>169011</v>
      </c>
      <c r="T233" s="2"/>
      <c r="U233" s="2"/>
      <c r="V233" s="2"/>
      <c r="W233" s="2"/>
      <c r="X233" s="3"/>
      <c r="Y233" s="3"/>
      <c r="Z233" s="3"/>
      <c r="AA233" s="3"/>
      <c r="AF233" s="3"/>
      <c r="AG233" s="3"/>
      <c r="AH233" s="3"/>
    </row>
    <row r="234" spans="1:34" x14ac:dyDescent="0.25">
      <c r="A234" t="s">
        <v>244</v>
      </c>
      <c r="B234" t="s">
        <v>874</v>
      </c>
      <c r="C234" t="s">
        <v>1273</v>
      </c>
      <c r="D234" s="2">
        <v>44106</v>
      </c>
      <c r="E234">
        <v>1.1599999999999999</v>
      </c>
      <c r="F234" s="2">
        <v>44189</v>
      </c>
      <c r="G234">
        <v>1.0900000000000001</v>
      </c>
      <c r="H234" s="3">
        <v>-6.0299999999999999E-2</v>
      </c>
      <c r="I234">
        <v>-14792.1</v>
      </c>
      <c r="J234" s="3">
        <v>-6.2300000000000001E-2</v>
      </c>
      <c r="K234">
        <v>204735</v>
      </c>
      <c r="T234" s="2"/>
      <c r="U234" s="2"/>
      <c r="V234" s="2"/>
      <c r="W234" s="2"/>
      <c r="X234" s="3"/>
      <c r="Y234" s="3"/>
      <c r="Z234" s="3"/>
      <c r="AA234" s="3"/>
      <c r="AF234" s="3"/>
      <c r="AG234" s="3"/>
      <c r="AH234" s="3"/>
    </row>
    <row r="235" spans="1:34" x14ac:dyDescent="0.25">
      <c r="A235" t="s">
        <v>461</v>
      </c>
      <c r="B235" t="s">
        <v>875</v>
      </c>
      <c r="C235" t="s">
        <v>1273</v>
      </c>
      <c r="D235" s="2">
        <v>44153</v>
      </c>
      <c r="E235">
        <v>2.4500000000000002</v>
      </c>
      <c r="F235" s="2">
        <v>44181</v>
      </c>
      <c r="G235">
        <v>2.99</v>
      </c>
      <c r="H235" s="3">
        <v>0.22040000000000001</v>
      </c>
      <c r="I235">
        <v>51898.83</v>
      </c>
      <c r="J235" s="3">
        <v>0.21820000000000001</v>
      </c>
      <c r="K235">
        <v>97087</v>
      </c>
      <c r="T235" s="2"/>
      <c r="U235" s="2"/>
      <c r="V235" s="2"/>
      <c r="W235" s="2"/>
      <c r="X235" s="3"/>
      <c r="Y235" s="3"/>
      <c r="Z235" s="3"/>
      <c r="AA235" s="3"/>
      <c r="AF235" s="3"/>
      <c r="AG235" s="3"/>
      <c r="AH235" s="3"/>
    </row>
    <row r="236" spans="1:34" x14ac:dyDescent="0.25">
      <c r="A236" t="s">
        <v>462</v>
      </c>
      <c r="B236" t="s">
        <v>876</v>
      </c>
      <c r="C236" t="s">
        <v>1273</v>
      </c>
      <c r="D236" s="2">
        <v>44134</v>
      </c>
      <c r="E236">
        <v>1.386234</v>
      </c>
      <c r="F236" s="2">
        <v>44141</v>
      </c>
      <c r="G236">
        <v>1.0374099999999999</v>
      </c>
      <c r="H236" s="3">
        <v>-0.25159999999999999</v>
      </c>
      <c r="I236">
        <v>-61974.13</v>
      </c>
      <c r="J236" s="3">
        <v>-0.25340000000000001</v>
      </c>
      <c r="K236">
        <v>176440</v>
      </c>
      <c r="T236" s="2"/>
      <c r="U236" s="2"/>
      <c r="V236" s="2"/>
      <c r="W236" s="2"/>
      <c r="X236" s="3"/>
      <c r="Y236" s="3"/>
      <c r="Z236" s="3"/>
      <c r="AA236" s="3"/>
      <c r="AF236" s="3"/>
      <c r="AG236" s="3"/>
      <c r="AH236" s="3"/>
    </row>
    <row r="237" spans="1:34" x14ac:dyDescent="0.25">
      <c r="A237" t="s">
        <v>192</v>
      </c>
      <c r="B237" t="s">
        <v>795</v>
      </c>
      <c r="C237" t="s">
        <v>1273</v>
      </c>
      <c r="D237" s="2">
        <v>44120</v>
      </c>
      <c r="E237">
        <v>6.175522</v>
      </c>
      <c r="F237" s="2">
        <v>44141</v>
      </c>
      <c r="G237">
        <v>5.3753140000000004</v>
      </c>
      <c r="H237" s="3">
        <v>-0.12959999999999999</v>
      </c>
      <c r="I237">
        <v>-32053.11</v>
      </c>
      <c r="J237" s="3">
        <v>-0.13139999999999999</v>
      </c>
      <c r="K237">
        <v>39486</v>
      </c>
      <c r="T237" s="2"/>
      <c r="U237" s="2"/>
      <c r="V237" s="2"/>
      <c r="W237" s="2"/>
      <c r="X237" s="3"/>
      <c r="Y237" s="3"/>
      <c r="Z237" s="3"/>
      <c r="AA237" s="3"/>
      <c r="AF237" s="3"/>
      <c r="AG237" s="3"/>
      <c r="AH237" s="3"/>
    </row>
    <row r="238" spans="1:34" x14ac:dyDescent="0.25">
      <c r="A238" t="s">
        <v>61</v>
      </c>
      <c r="B238" t="s">
        <v>877</v>
      </c>
      <c r="C238" t="s">
        <v>1273</v>
      </c>
      <c r="D238" s="2">
        <v>44120</v>
      </c>
      <c r="E238">
        <v>0.83577120000000005</v>
      </c>
      <c r="F238" s="2">
        <v>44141</v>
      </c>
      <c r="G238">
        <v>0.70970520000000004</v>
      </c>
      <c r="H238" s="3">
        <v>-0.15079999999999999</v>
      </c>
      <c r="I238">
        <v>-37236.39</v>
      </c>
      <c r="J238" s="3">
        <v>-0.1527</v>
      </c>
      <c r="K238">
        <v>291795</v>
      </c>
      <c r="T238" s="2"/>
      <c r="U238" s="2"/>
      <c r="V238" s="2"/>
      <c r="W238" s="2"/>
      <c r="X238" s="3"/>
      <c r="Y238" s="3"/>
      <c r="Z238" s="3"/>
      <c r="AA238" s="3"/>
      <c r="AF238" s="3"/>
      <c r="AG238" s="3"/>
      <c r="AH238" s="3"/>
    </row>
    <row r="239" spans="1:34" x14ac:dyDescent="0.25">
      <c r="A239" t="s">
        <v>200</v>
      </c>
      <c r="B239" t="s">
        <v>806</v>
      </c>
      <c r="C239" t="s">
        <v>1273</v>
      </c>
      <c r="D239" s="2">
        <v>44120</v>
      </c>
      <c r="E239">
        <v>0.52901739999999997</v>
      </c>
      <c r="F239" s="2">
        <v>44141</v>
      </c>
      <c r="G239">
        <v>0.58281590000000005</v>
      </c>
      <c r="H239" s="3">
        <v>0.1017</v>
      </c>
      <c r="I239">
        <v>24290.61</v>
      </c>
      <c r="J239" s="3">
        <v>9.9599999999999994E-2</v>
      </c>
      <c r="K239">
        <v>461039</v>
      </c>
      <c r="T239" s="2"/>
      <c r="U239" s="2"/>
      <c r="V239" s="2"/>
      <c r="W239" s="2"/>
      <c r="X239" s="3"/>
      <c r="Y239" s="3"/>
      <c r="Z239" s="3"/>
      <c r="AA239" s="3"/>
      <c r="AF239" s="3"/>
      <c r="AG239" s="3"/>
      <c r="AH239" s="3"/>
    </row>
    <row r="240" spans="1:34" x14ac:dyDescent="0.25">
      <c r="A240" t="s">
        <v>463</v>
      </c>
      <c r="B240" t="s">
        <v>878</v>
      </c>
      <c r="C240" t="s">
        <v>1273</v>
      </c>
      <c r="D240" s="2">
        <v>44120</v>
      </c>
      <c r="E240">
        <v>2.2553800000000002</v>
      </c>
      <c r="F240" s="2">
        <v>44141</v>
      </c>
      <c r="G240">
        <v>1.8141099999999999</v>
      </c>
      <c r="H240" s="3">
        <v>-0.19570000000000001</v>
      </c>
      <c r="I240">
        <v>-48163.47</v>
      </c>
      <c r="J240" s="3">
        <v>-0.19750000000000001</v>
      </c>
      <c r="K240">
        <v>108150</v>
      </c>
      <c r="T240" s="2"/>
      <c r="U240" s="2"/>
      <c r="V240" s="2"/>
      <c r="W240" s="2"/>
      <c r="X240" s="3"/>
      <c r="Y240" s="3"/>
      <c r="Z240" s="3"/>
      <c r="AA240" s="3"/>
      <c r="AF240" s="3"/>
      <c r="AG240" s="3"/>
      <c r="AH240" s="3"/>
    </row>
    <row r="241" spans="1:34" x14ac:dyDescent="0.25">
      <c r="A241" t="s">
        <v>232</v>
      </c>
      <c r="B241" t="s">
        <v>858</v>
      </c>
      <c r="C241" t="s">
        <v>1273</v>
      </c>
      <c r="D241" s="2">
        <v>44120</v>
      </c>
      <c r="E241">
        <v>3.0342250000000002</v>
      </c>
      <c r="F241" s="2">
        <v>44141</v>
      </c>
      <c r="G241">
        <v>2.5825279999999999</v>
      </c>
      <c r="H241" s="3">
        <v>-0.1489</v>
      </c>
      <c r="I241">
        <v>-36766.65</v>
      </c>
      <c r="J241" s="3">
        <v>-0.1507</v>
      </c>
      <c r="K241">
        <v>80397</v>
      </c>
      <c r="T241" s="2"/>
      <c r="U241" s="2"/>
      <c r="V241" s="2"/>
      <c r="W241" s="2"/>
      <c r="X241" s="3"/>
      <c r="Y241" s="3"/>
      <c r="Z241" s="3"/>
      <c r="AA241" s="3"/>
      <c r="AF241" s="3"/>
      <c r="AG241" s="3"/>
      <c r="AH241" s="3"/>
    </row>
    <row r="242" spans="1:34" x14ac:dyDescent="0.25">
      <c r="A242" t="s">
        <v>245</v>
      </c>
      <c r="B242" t="s">
        <v>879</v>
      </c>
      <c r="C242" t="s">
        <v>1273</v>
      </c>
      <c r="D242" s="2">
        <v>44106</v>
      </c>
      <c r="E242">
        <v>1.7687930000000001</v>
      </c>
      <c r="F242" s="2">
        <v>44141</v>
      </c>
      <c r="G242">
        <v>1.3395459999999999</v>
      </c>
      <c r="H242" s="3">
        <v>-0.2427</v>
      </c>
      <c r="I242">
        <v>-58068.35</v>
      </c>
      <c r="J242" s="3">
        <v>-0.24440000000000001</v>
      </c>
      <c r="K242">
        <v>134307</v>
      </c>
      <c r="T242" s="2"/>
      <c r="U242" s="2"/>
      <c r="V242" s="2"/>
      <c r="W242" s="2"/>
      <c r="X242" s="3"/>
      <c r="Y242" s="3"/>
      <c r="Z242" s="3"/>
      <c r="AA242" s="3"/>
      <c r="AF242" s="3"/>
      <c r="AG242" s="3"/>
      <c r="AH242" s="3"/>
    </row>
    <row r="243" spans="1:34" x14ac:dyDescent="0.25">
      <c r="A243" t="s">
        <v>246</v>
      </c>
      <c r="B243" t="s">
        <v>880</v>
      </c>
      <c r="C243" t="s">
        <v>1273</v>
      </c>
      <c r="D243" s="2">
        <v>44057</v>
      </c>
      <c r="E243">
        <v>2.267655</v>
      </c>
      <c r="F243" s="2">
        <v>44141</v>
      </c>
      <c r="G243">
        <v>2.9026749999999999</v>
      </c>
      <c r="H243" s="3">
        <v>0.28000000000000003</v>
      </c>
      <c r="I243">
        <v>62950.96</v>
      </c>
      <c r="J243" s="3">
        <v>0.27779999999999999</v>
      </c>
      <c r="K243">
        <v>99946</v>
      </c>
      <c r="T243" s="2"/>
      <c r="U243" s="2"/>
      <c r="V243" s="2"/>
      <c r="W243" s="2"/>
      <c r="X243" s="3"/>
      <c r="Y243" s="3"/>
      <c r="Z243" s="3"/>
      <c r="AA243" s="3"/>
      <c r="AF243" s="3"/>
      <c r="AG243" s="3"/>
      <c r="AH243" s="3"/>
    </row>
    <row r="244" spans="1:34" x14ac:dyDescent="0.25">
      <c r="A244" t="s">
        <v>247</v>
      </c>
      <c r="B244" t="s">
        <v>881</v>
      </c>
      <c r="C244" t="s">
        <v>1273</v>
      </c>
      <c r="D244" s="2">
        <v>43987</v>
      </c>
      <c r="E244">
        <v>0.82499999999999996</v>
      </c>
      <c r="F244" s="2">
        <v>44141</v>
      </c>
      <c r="G244">
        <v>0.95499999999999996</v>
      </c>
      <c r="H244" s="3">
        <v>0.15759999999999999</v>
      </c>
      <c r="I244">
        <v>30871.27</v>
      </c>
      <c r="J244" s="3">
        <v>0.15540000000000001</v>
      </c>
      <c r="K244">
        <v>240768</v>
      </c>
      <c r="T244" s="2"/>
      <c r="U244" s="2"/>
      <c r="V244" s="2"/>
      <c r="W244" s="2"/>
      <c r="X244" s="3"/>
      <c r="Y244" s="3"/>
      <c r="Z244" s="3"/>
      <c r="AA244" s="3"/>
      <c r="AF244" s="3"/>
      <c r="AG244" s="3"/>
      <c r="AH244" s="3"/>
    </row>
    <row r="245" spans="1:34" x14ac:dyDescent="0.25">
      <c r="A245" t="s">
        <v>464</v>
      </c>
      <c r="B245" t="s">
        <v>882</v>
      </c>
      <c r="C245" t="s">
        <v>1273</v>
      </c>
      <c r="D245" s="2">
        <v>43994</v>
      </c>
      <c r="E245">
        <v>0.81</v>
      </c>
      <c r="F245" s="2">
        <v>44134</v>
      </c>
      <c r="G245">
        <v>0.92500000000000004</v>
      </c>
      <c r="H245" s="3">
        <v>0.14199999999999999</v>
      </c>
      <c r="I245">
        <v>28043.62</v>
      </c>
      <c r="J245" s="3">
        <v>0.13980000000000001</v>
      </c>
      <c r="K245">
        <v>247593</v>
      </c>
      <c r="T245" s="2"/>
      <c r="U245" s="2"/>
      <c r="V245" s="2"/>
      <c r="W245" s="2"/>
      <c r="X245" s="3"/>
      <c r="Y245" s="3"/>
      <c r="Z245" s="3"/>
      <c r="AA245" s="3"/>
      <c r="AF245" s="3"/>
      <c r="AG245" s="3"/>
      <c r="AH245" s="3"/>
    </row>
    <row r="246" spans="1:34" x14ac:dyDescent="0.25">
      <c r="A246" t="s">
        <v>465</v>
      </c>
      <c r="B246" t="s">
        <v>883</v>
      </c>
      <c r="C246" t="s">
        <v>1273</v>
      </c>
      <c r="D246" s="2">
        <v>44106</v>
      </c>
      <c r="E246">
        <v>2.492855</v>
      </c>
      <c r="F246" s="2">
        <v>44113</v>
      </c>
      <c r="G246">
        <v>2.6057389999999998</v>
      </c>
      <c r="H246" s="3">
        <v>4.53E-2</v>
      </c>
      <c r="I246">
        <v>10267.64</v>
      </c>
      <c r="J246" s="3">
        <v>4.3200000000000002E-2</v>
      </c>
      <c r="K246">
        <v>95260</v>
      </c>
      <c r="T246" s="2"/>
      <c r="U246" s="2"/>
      <c r="V246" s="2"/>
      <c r="W246" s="2"/>
      <c r="X246" s="3"/>
      <c r="Y246" s="3"/>
      <c r="Z246" s="3"/>
      <c r="AA246" s="3"/>
      <c r="AF246" s="3"/>
      <c r="AG246" s="3"/>
      <c r="AH246" s="3"/>
    </row>
    <row r="247" spans="1:34" x14ac:dyDescent="0.25">
      <c r="A247" t="s">
        <v>232</v>
      </c>
      <c r="B247" t="s">
        <v>858</v>
      </c>
      <c r="C247" t="s">
        <v>1273</v>
      </c>
      <c r="D247" s="2">
        <v>44106</v>
      </c>
      <c r="E247">
        <v>2.3861379999999999</v>
      </c>
      <c r="F247" s="2">
        <v>44113</v>
      </c>
      <c r="G247">
        <v>2.5530689999999998</v>
      </c>
      <c r="H247" s="3">
        <v>7.0000000000000007E-2</v>
      </c>
      <c r="I247">
        <v>16129.2</v>
      </c>
      <c r="J247" s="3">
        <v>6.7900000000000002E-2</v>
      </c>
      <c r="K247">
        <v>99568</v>
      </c>
      <c r="T247" s="2"/>
      <c r="U247" s="2"/>
      <c r="V247" s="2"/>
      <c r="W247" s="2"/>
      <c r="X247" s="3"/>
      <c r="Y247" s="3"/>
      <c r="Z247" s="3"/>
      <c r="AA247" s="3"/>
      <c r="AF247" s="3"/>
      <c r="AG247" s="3"/>
      <c r="AH247" s="3"/>
    </row>
    <row r="248" spans="1:34" x14ac:dyDescent="0.25">
      <c r="A248" t="s">
        <v>248</v>
      </c>
      <c r="B248" t="s">
        <v>884</v>
      </c>
      <c r="C248" t="s">
        <v>1273</v>
      </c>
      <c r="D248" s="2">
        <v>44106</v>
      </c>
      <c r="E248">
        <v>0.9784429</v>
      </c>
      <c r="F248" s="2">
        <v>44113</v>
      </c>
      <c r="G248">
        <v>1.106463</v>
      </c>
      <c r="H248" s="3">
        <v>0.1308</v>
      </c>
      <c r="I248">
        <v>30582.23</v>
      </c>
      <c r="J248" s="3">
        <v>0.12870000000000001</v>
      </c>
      <c r="K248">
        <v>242841</v>
      </c>
      <c r="T248" s="2"/>
      <c r="U248" s="2"/>
      <c r="V248" s="2"/>
      <c r="W248" s="2"/>
      <c r="X248" s="3"/>
      <c r="Y248" s="3"/>
      <c r="Z248" s="3"/>
      <c r="AA248" s="3"/>
      <c r="AF248" s="3"/>
      <c r="AG248" s="3"/>
      <c r="AH248" s="3"/>
    </row>
    <row r="249" spans="1:34" x14ac:dyDescent="0.25">
      <c r="A249" t="s">
        <v>466</v>
      </c>
      <c r="B249" t="s">
        <v>885</v>
      </c>
      <c r="C249" t="s">
        <v>1273</v>
      </c>
      <c r="D249" s="2">
        <v>44015</v>
      </c>
      <c r="E249">
        <v>0.88685999999999998</v>
      </c>
      <c r="F249" s="2">
        <v>44113</v>
      </c>
      <c r="G249">
        <v>1.202188</v>
      </c>
      <c r="H249" s="3">
        <v>0.35560000000000003</v>
      </c>
      <c r="I249">
        <v>72121.39</v>
      </c>
      <c r="J249" s="3">
        <v>0.35320000000000001</v>
      </c>
      <c r="K249">
        <v>230244</v>
      </c>
      <c r="T249" s="2"/>
      <c r="U249" s="2"/>
      <c r="V249" s="2"/>
      <c r="W249" s="2"/>
      <c r="X249" s="3"/>
      <c r="Y249" s="3"/>
      <c r="Z249" s="3"/>
      <c r="AA249" s="3"/>
      <c r="AF249" s="3"/>
      <c r="AG249" s="3"/>
      <c r="AH249" s="3"/>
    </row>
    <row r="250" spans="1:34" x14ac:dyDescent="0.25">
      <c r="A250" t="s">
        <v>243</v>
      </c>
      <c r="B250" t="s">
        <v>873</v>
      </c>
      <c r="C250" t="s">
        <v>1273</v>
      </c>
      <c r="D250" s="2">
        <v>43987</v>
      </c>
      <c r="E250">
        <v>0.90500000000000003</v>
      </c>
      <c r="F250" s="2">
        <v>44113</v>
      </c>
      <c r="G250">
        <v>1.105</v>
      </c>
      <c r="H250" s="3">
        <v>0.221</v>
      </c>
      <c r="I250">
        <v>43447.519999999997</v>
      </c>
      <c r="J250" s="3">
        <v>0.21879999999999999</v>
      </c>
      <c r="K250">
        <v>219443</v>
      </c>
      <c r="T250" s="2"/>
      <c r="U250" s="2"/>
      <c r="V250" s="2"/>
      <c r="W250" s="2"/>
      <c r="X250" s="3"/>
      <c r="Y250" s="3"/>
      <c r="Z250" s="3"/>
      <c r="AA250" s="3"/>
      <c r="AF250" s="3"/>
      <c r="AG250" s="3"/>
      <c r="AH250" s="3"/>
    </row>
    <row r="251" spans="1:34" x14ac:dyDescent="0.25">
      <c r="A251" t="s">
        <v>249</v>
      </c>
      <c r="B251" t="s">
        <v>886</v>
      </c>
      <c r="C251" t="s">
        <v>1273</v>
      </c>
      <c r="D251" s="2">
        <v>43987</v>
      </c>
      <c r="E251">
        <v>1.2419720000000001</v>
      </c>
      <c r="F251" s="2">
        <v>44113</v>
      </c>
      <c r="G251">
        <v>1.1370480000000001</v>
      </c>
      <c r="H251" s="3">
        <v>-8.4500000000000006E-2</v>
      </c>
      <c r="I251">
        <v>-17159.79</v>
      </c>
      <c r="J251" s="3">
        <v>-8.6400000000000005E-2</v>
      </c>
      <c r="K251">
        <v>159919</v>
      </c>
      <c r="T251" s="2"/>
      <c r="U251" s="2"/>
      <c r="V251" s="2"/>
      <c r="W251" s="2"/>
      <c r="X251" s="3"/>
      <c r="Y251" s="3"/>
      <c r="Z251" s="3"/>
      <c r="AA251" s="3"/>
      <c r="AF251" s="3"/>
      <c r="AG251" s="3"/>
      <c r="AH251" s="3"/>
    </row>
    <row r="252" spans="1:34" x14ac:dyDescent="0.25">
      <c r="A252" t="s">
        <v>238</v>
      </c>
      <c r="B252" t="s">
        <v>867</v>
      </c>
      <c r="C252" t="s">
        <v>1273</v>
      </c>
      <c r="D252" s="2">
        <v>44008</v>
      </c>
      <c r="E252">
        <v>1.68</v>
      </c>
      <c r="F252" s="2">
        <v>44092</v>
      </c>
      <c r="G252">
        <v>3.97</v>
      </c>
      <c r="H252" s="3">
        <v>1.3631</v>
      </c>
      <c r="I252">
        <v>278912.28000000003</v>
      </c>
      <c r="J252" s="3">
        <v>1.3596999999999999</v>
      </c>
      <c r="K252">
        <v>122097</v>
      </c>
      <c r="T252" s="2"/>
      <c r="U252" s="2"/>
      <c r="V252" s="2"/>
      <c r="W252" s="2"/>
      <c r="X252" s="3"/>
      <c r="Y252" s="3"/>
      <c r="Z252" s="3"/>
      <c r="AA252" s="3"/>
      <c r="AF252" s="3"/>
      <c r="AG252" s="3"/>
      <c r="AH252" s="3"/>
    </row>
    <row r="253" spans="1:34" x14ac:dyDescent="0.25">
      <c r="A253" t="s">
        <v>467</v>
      </c>
      <c r="B253" t="s">
        <v>887</v>
      </c>
      <c r="C253" t="s">
        <v>1273</v>
      </c>
      <c r="D253" s="2">
        <v>44008</v>
      </c>
      <c r="E253">
        <v>1.9375</v>
      </c>
      <c r="F253" s="2">
        <v>44092</v>
      </c>
      <c r="G253">
        <v>1.7175</v>
      </c>
      <c r="H253" s="3">
        <v>-0.1135</v>
      </c>
      <c r="I253">
        <v>-23682.83</v>
      </c>
      <c r="J253" s="3">
        <v>-0.1154</v>
      </c>
      <c r="K253">
        <v>105890</v>
      </c>
      <c r="T253" s="2"/>
      <c r="U253" s="2"/>
      <c r="V253" s="2"/>
      <c r="W253" s="2"/>
      <c r="X253" s="3"/>
      <c r="Y253" s="3"/>
      <c r="Z253" s="3"/>
      <c r="AA253" s="3"/>
      <c r="AF253" s="3"/>
      <c r="AG253" s="3"/>
      <c r="AH253" s="3"/>
    </row>
    <row r="254" spans="1:34" x14ac:dyDescent="0.25">
      <c r="A254" t="s">
        <v>56</v>
      </c>
      <c r="B254" t="s">
        <v>888</v>
      </c>
      <c r="C254" t="s">
        <v>1273</v>
      </c>
      <c r="D254" s="2">
        <v>43994</v>
      </c>
      <c r="E254">
        <v>6</v>
      </c>
      <c r="F254" s="2">
        <v>44092</v>
      </c>
      <c r="G254">
        <v>6</v>
      </c>
      <c r="H254" s="3">
        <v>0</v>
      </c>
      <c r="I254">
        <v>-400.98</v>
      </c>
      <c r="J254" s="3">
        <v>-2E-3</v>
      </c>
      <c r="K254">
        <v>33415</v>
      </c>
      <c r="T254" s="2"/>
      <c r="U254" s="2"/>
      <c r="V254" s="2"/>
      <c r="W254" s="2"/>
      <c r="X254" s="3"/>
      <c r="Y254" s="3"/>
      <c r="Z254" s="3"/>
      <c r="AA254" s="3"/>
      <c r="AF254" s="3"/>
      <c r="AG254" s="3"/>
      <c r="AH254" s="3"/>
    </row>
    <row r="255" spans="1:34" x14ac:dyDescent="0.25">
      <c r="A255" t="s">
        <v>192</v>
      </c>
      <c r="B255" t="s">
        <v>795</v>
      </c>
      <c r="C255" t="s">
        <v>1273</v>
      </c>
      <c r="D255" s="2">
        <v>43987</v>
      </c>
      <c r="E255">
        <v>4.6767599999999998</v>
      </c>
      <c r="F255" s="2">
        <v>44092</v>
      </c>
      <c r="G255">
        <v>4.9508559999999999</v>
      </c>
      <c r="H255" s="3">
        <v>5.8599999999999999E-2</v>
      </c>
      <c r="I255">
        <v>11226.15</v>
      </c>
      <c r="J255" s="3">
        <v>5.6500000000000002E-2</v>
      </c>
      <c r="K255">
        <v>42448</v>
      </c>
      <c r="T255" s="2"/>
      <c r="U255" s="2"/>
      <c r="V255" s="2"/>
      <c r="W255" s="2"/>
      <c r="X255" s="3"/>
      <c r="Y255" s="3"/>
      <c r="Z255" s="3"/>
      <c r="AA255" s="3"/>
      <c r="AF255" s="3"/>
      <c r="AG255" s="3"/>
      <c r="AH255" s="3"/>
    </row>
    <row r="256" spans="1:34" x14ac:dyDescent="0.25">
      <c r="A256" t="s">
        <v>250</v>
      </c>
      <c r="B256" t="s">
        <v>889</v>
      </c>
      <c r="C256" t="s">
        <v>1273</v>
      </c>
      <c r="D256" s="2">
        <v>43987</v>
      </c>
      <c r="E256">
        <v>3.3037100000000001</v>
      </c>
      <c r="F256" s="2">
        <v>44092</v>
      </c>
      <c r="G256">
        <v>3.4779659999999999</v>
      </c>
      <c r="H256" s="3">
        <v>5.2699999999999997E-2</v>
      </c>
      <c r="I256">
        <v>10066.379999999999</v>
      </c>
      <c r="J256" s="3">
        <v>5.0700000000000002E-2</v>
      </c>
      <c r="K256">
        <v>60107</v>
      </c>
      <c r="T256" s="2"/>
      <c r="U256" s="2"/>
      <c r="V256" s="2"/>
      <c r="W256" s="2"/>
      <c r="X256" s="3"/>
      <c r="Y256" s="3"/>
      <c r="Z256" s="3"/>
      <c r="AA256" s="3"/>
      <c r="AF256" s="3"/>
      <c r="AG256" s="3"/>
      <c r="AH256" s="3"/>
    </row>
    <row r="257" spans="1:34" x14ac:dyDescent="0.25">
      <c r="A257" t="s">
        <v>251</v>
      </c>
      <c r="B257" t="s">
        <v>890</v>
      </c>
      <c r="C257" t="s">
        <v>1273</v>
      </c>
      <c r="D257" s="2">
        <v>43987</v>
      </c>
      <c r="E257">
        <v>10.559530000000001</v>
      </c>
      <c r="F257" s="2">
        <v>44092</v>
      </c>
      <c r="G257">
        <v>17.929279999999999</v>
      </c>
      <c r="H257" s="3">
        <v>0.69789999999999996</v>
      </c>
      <c r="I257">
        <v>138103.81</v>
      </c>
      <c r="J257" s="3">
        <v>0.69520000000000004</v>
      </c>
      <c r="K257">
        <v>18812</v>
      </c>
      <c r="T257" s="2"/>
      <c r="U257" s="2"/>
      <c r="V257" s="2"/>
      <c r="W257" s="2"/>
      <c r="X257" s="3"/>
      <c r="Y257" s="3"/>
      <c r="Z257" s="3"/>
      <c r="AA257" s="3"/>
      <c r="AF257" s="3"/>
      <c r="AG257" s="3"/>
      <c r="AH257" s="3"/>
    </row>
    <row r="258" spans="1:34" x14ac:dyDescent="0.25">
      <c r="A258" t="s">
        <v>115</v>
      </c>
      <c r="B258" t="s">
        <v>342</v>
      </c>
      <c r="C258" t="s">
        <v>1273</v>
      </c>
      <c r="D258" s="2">
        <v>43987</v>
      </c>
      <c r="E258">
        <v>3.6549999999999998</v>
      </c>
      <c r="F258" s="2">
        <v>44092</v>
      </c>
      <c r="G258">
        <v>3.8250000000000002</v>
      </c>
      <c r="H258" s="3">
        <v>4.65E-2</v>
      </c>
      <c r="I258">
        <v>8833.94</v>
      </c>
      <c r="J258" s="3">
        <v>4.4499999999999998E-2</v>
      </c>
      <c r="K258">
        <v>54356</v>
      </c>
      <c r="T258" s="2"/>
      <c r="U258" s="2"/>
      <c r="V258" s="2"/>
      <c r="W258" s="2"/>
      <c r="X258" s="3"/>
      <c r="Y258" s="3"/>
      <c r="Z258" s="3"/>
      <c r="AA258" s="3"/>
      <c r="AF258" s="3"/>
      <c r="AG258" s="3"/>
      <c r="AH258" s="3"/>
    </row>
    <row r="259" spans="1:34" x14ac:dyDescent="0.25">
      <c r="A259" t="s">
        <v>224</v>
      </c>
      <c r="B259" t="s">
        <v>846</v>
      </c>
      <c r="C259" t="s">
        <v>1273</v>
      </c>
      <c r="D259" s="2">
        <v>43987</v>
      </c>
      <c r="E259">
        <v>6.8023319999999998</v>
      </c>
      <c r="F259" s="2">
        <v>44057</v>
      </c>
      <c r="G259">
        <v>4.7336780000000003</v>
      </c>
      <c r="H259" s="3">
        <v>-0.30409999999999998</v>
      </c>
      <c r="I259">
        <v>-60714.51</v>
      </c>
      <c r="J259" s="3">
        <v>-0.30580000000000002</v>
      </c>
      <c r="K259">
        <v>29187</v>
      </c>
      <c r="T259" s="2"/>
      <c r="U259" s="2"/>
      <c r="V259" s="2"/>
      <c r="W259" s="2"/>
      <c r="X259" s="3"/>
      <c r="Y259" s="3"/>
      <c r="Z259" s="3"/>
      <c r="AA259" s="3"/>
      <c r="AF259" s="3"/>
      <c r="AG259" s="3"/>
      <c r="AH259" s="3"/>
    </row>
    <row r="260" spans="1:34" x14ac:dyDescent="0.25">
      <c r="A260" t="s">
        <v>134</v>
      </c>
      <c r="B260" t="s">
        <v>726</v>
      </c>
      <c r="C260" t="s">
        <v>1273</v>
      </c>
      <c r="D260" s="2">
        <v>44008</v>
      </c>
      <c r="E260">
        <v>4.974977</v>
      </c>
      <c r="F260" s="2">
        <v>44015</v>
      </c>
      <c r="G260">
        <v>4.6578470000000003</v>
      </c>
      <c r="H260" s="3">
        <v>-6.3700000000000007E-2</v>
      </c>
      <c r="I260">
        <v>-13470.14</v>
      </c>
      <c r="J260" s="3">
        <v>-6.5699999999999995E-2</v>
      </c>
      <c r="K260">
        <v>41223</v>
      </c>
      <c r="T260" s="2"/>
      <c r="U260" s="2"/>
      <c r="V260" s="2"/>
      <c r="W260" s="2"/>
      <c r="X260" s="3"/>
      <c r="Y260" s="3"/>
      <c r="Z260" s="3"/>
      <c r="AA260" s="3"/>
      <c r="AF260" s="3"/>
      <c r="AG260" s="3"/>
      <c r="AH260" s="3"/>
    </row>
    <row r="261" spans="1:34" x14ac:dyDescent="0.25">
      <c r="A261" t="s">
        <v>230</v>
      </c>
      <c r="B261" t="s">
        <v>856</v>
      </c>
      <c r="C261" t="s">
        <v>1273</v>
      </c>
      <c r="D261" s="2">
        <v>43868</v>
      </c>
      <c r="E261">
        <v>0.72434600000000005</v>
      </c>
      <c r="F261" s="2">
        <v>43910</v>
      </c>
      <c r="G261">
        <v>0.61775329999999995</v>
      </c>
      <c r="H261" s="3">
        <v>-0.1472</v>
      </c>
      <c r="I261">
        <v>-34139.56</v>
      </c>
      <c r="J261" s="3">
        <v>-0.14899999999999999</v>
      </c>
      <c r="K261">
        <v>316298</v>
      </c>
      <c r="T261" s="2"/>
      <c r="U261" s="2"/>
      <c r="V261" s="2"/>
      <c r="W261" s="2"/>
      <c r="X261" s="3"/>
      <c r="Y261" s="3"/>
      <c r="Z261" s="3"/>
      <c r="AA261" s="3"/>
      <c r="AF261" s="3"/>
      <c r="AG261" s="3"/>
      <c r="AH261" s="3"/>
    </row>
    <row r="262" spans="1:34" x14ac:dyDescent="0.25">
      <c r="A262" t="s">
        <v>235</v>
      </c>
      <c r="B262" t="s">
        <v>862</v>
      </c>
      <c r="C262" t="s">
        <v>1273</v>
      </c>
      <c r="D262" s="2">
        <v>43826</v>
      </c>
      <c r="E262">
        <v>3.7420689999999999</v>
      </c>
      <c r="F262" s="2">
        <v>43910</v>
      </c>
      <c r="G262">
        <v>2.994856</v>
      </c>
      <c r="H262" s="3">
        <v>-0.19969999999999999</v>
      </c>
      <c r="I262">
        <v>-45513.7</v>
      </c>
      <c r="J262" s="3">
        <v>-0.20150000000000001</v>
      </c>
      <c r="K262">
        <v>60367</v>
      </c>
      <c r="T262" s="2"/>
      <c r="U262" s="2"/>
      <c r="V262" s="2"/>
      <c r="W262" s="2"/>
      <c r="X262" s="3"/>
      <c r="Y262" s="3"/>
      <c r="Z262" s="3"/>
      <c r="AA262" s="3"/>
      <c r="AF262" s="3"/>
      <c r="AG262" s="3"/>
      <c r="AH262" s="3"/>
    </row>
    <row r="263" spans="1:34" x14ac:dyDescent="0.25">
      <c r="A263" t="s">
        <v>468</v>
      </c>
      <c r="B263" t="s">
        <v>891</v>
      </c>
      <c r="C263" t="s">
        <v>1273</v>
      </c>
      <c r="D263" s="2">
        <v>43252</v>
      </c>
      <c r="E263">
        <v>1.7712079999999999</v>
      </c>
      <c r="F263" s="2">
        <v>43910</v>
      </c>
      <c r="G263">
        <v>2.1368770000000001</v>
      </c>
      <c r="H263" s="3">
        <v>0.20649999999999999</v>
      </c>
      <c r="I263">
        <v>28940.87</v>
      </c>
      <c r="J263" s="3">
        <v>0.20419999999999999</v>
      </c>
      <c r="K263">
        <v>80000</v>
      </c>
      <c r="T263" s="2"/>
      <c r="U263" s="2"/>
      <c r="V263" s="2"/>
      <c r="W263" s="2"/>
      <c r="X263" s="3"/>
      <c r="Y263" s="3"/>
      <c r="Z263" s="3"/>
      <c r="AA263" s="3"/>
      <c r="AF263" s="3"/>
      <c r="AG263" s="3"/>
      <c r="AH263" s="3"/>
    </row>
    <row r="264" spans="1:34" x14ac:dyDescent="0.25">
      <c r="A264" t="s">
        <v>445</v>
      </c>
      <c r="B264" t="s">
        <v>793</v>
      </c>
      <c r="C264" t="s">
        <v>1273</v>
      </c>
      <c r="D264" s="2">
        <v>43735</v>
      </c>
      <c r="E264">
        <v>2.475225</v>
      </c>
      <c r="F264" s="2">
        <v>43903</v>
      </c>
      <c r="G264">
        <v>2.5194260000000002</v>
      </c>
      <c r="H264" s="3">
        <v>1.7899999999999999E-2</v>
      </c>
      <c r="I264">
        <v>3428.99</v>
      </c>
      <c r="J264" s="3">
        <v>1.5800000000000002E-2</v>
      </c>
      <c r="K264">
        <v>87460</v>
      </c>
      <c r="T264" s="2"/>
      <c r="U264" s="2"/>
      <c r="V264" s="2"/>
      <c r="W264" s="2"/>
      <c r="X264" s="3"/>
      <c r="Y264" s="3"/>
      <c r="Z264" s="3"/>
      <c r="AA264" s="3"/>
      <c r="AF264" s="3"/>
      <c r="AG264" s="3"/>
      <c r="AH264" s="3"/>
    </row>
    <row r="265" spans="1:34" x14ac:dyDescent="0.25">
      <c r="A265" t="s">
        <v>220</v>
      </c>
      <c r="B265" t="s">
        <v>840</v>
      </c>
      <c r="C265" t="s">
        <v>1273</v>
      </c>
      <c r="D265" s="2">
        <v>43511</v>
      </c>
      <c r="E265">
        <v>1.0631630000000001</v>
      </c>
      <c r="F265" s="2">
        <v>43903</v>
      </c>
      <c r="G265">
        <v>2.1964109999999999</v>
      </c>
      <c r="H265" s="3">
        <v>1.0659000000000001</v>
      </c>
      <c r="I265">
        <v>152046.72</v>
      </c>
      <c r="J265" s="3">
        <v>1.0629</v>
      </c>
      <c r="K265">
        <v>134556</v>
      </c>
      <c r="T265" s="2"/>
      <c r="U265" s="2"/>
      <c r="V265" s="2"/>
      <c r="W265" s="2"/>
      <c r="X265" s="3"/>
      <c r="Y265" s="3"/>
      <c r="Z265" s="3"/>
      <c r="AA265" s="3"/>
      <c r="AF265" s="3"/>
      <c r="AG265" s="3"/>
      <c r="AH265" s="3"/>
    </row>
    <row r="266" spans="1:34" x14ac:dyDescent="0.25">
      <c r="A266" t="s">
        <v>244</v>
      </c>
      <c r="B266" t="s">
        <v>874</v>
      </c>
      <c r="C266" t="s">
        <v>1273</v>
      </c>
      <c r="D266" s="2">
        <v>43875</v>
      </c>
      <c r="E266">
        <v>1.31</v>
      </c>
      <c r="F266" s="2">
        <v>43896</v>
      </c>
      <c r="G266">
        <v>1.08</v>
      </c>
      <c r="H266" s="3">
        <v>-0.17560000000000001</v>
      </c>
      <c r="I266">
        <v>-42018.2</v>
      </c>
      <c r="J266" s="3">
        <v>-0.1774</v>
      </c>
      <c r="K266">
        <v>180809</v>
      </c>
      <c r="T266" s="2"/>
      <c r="U266" s="2"/>
      <c r="V266" s="2"/>
      <c r="W266" s="2"/>
      <c r="X266" s="3"/>
      <c r="Y266" s="3"/>
      <c r="Z266" s="3"/>
      <c r="AA266" s="3"/>
      <c r="AF266" s="3"/>
      <c r="AG266" s="3"/>
      <c r="AH266" s="3"/>
    </row>
    <row r="267" spans="1:34" x14ac:dyDescent="0.25">
      <c r="A267" t="s">
        <v>252</v>
      </c>
      <c r="B267" t="s">
        <v>892</v>
      </c>
      <c r="C267" t="s">
        <v>1273</v>
      </c>
      <c r="D267" s="2">
        <v>43833</v>
      </c>
      <c r="E267">
        <v>1.010416</v>
      </c>
      <c r="F267" s="2">
        <v>43896</v>
      </c>
      <c r="G267">
        <v>0.86136970000000002</v>
      </c>
      <c r="H267" s="3">
        <v>-0.14749999999999999</v>
      </c>
      <c r="I267">
        <v>-34131.33</v>
      </c>
      <c r="J267" s="3">
        <v>-0.14940000000000001</v>
      </c>
      <c r="K267">
        <v>226158</v>
      </c>
      <c r="T267" s="2"/>
      <c r="U267" s="2"/>
      <c r="V267" s="2"/>
      <c r="W267" s="2"/>
      <c r="X267" s="3"/>
      <c r="Y267" s="3"/>
      <c r="Z267" s="3"/>
      <c r="AA267" s="3"/>
      <c r="AF267" s="3"/>
      <c r="AG267" s="3"/>
      <c r="AH267" s="3"/>
    </row>
    <row r="268" spans="1:34" x14ac:dyDescent="0.25">
      <c r="A268" t="s">
        <v>246</v>
      </c>
      <c r="B268" t="s">
        <v>880</v>
      </c>
      <c r="C268" t="s">
        <v>1273</v>
      </c>
      <c r="D268" s="2">
        <v>43812</v>
      </c>
      <c r="E268">
        <v>1.738038</v>
      </c>
      <c r="F268" s="2">
        <v>43896</v>
      </c>
      <c r="G268">
        <v>1.738038</v>
      </c>
      <c r="H268" s="3">
        <v>0</v>
      </c>
      <c r="I268">
        <v>-436.84</v>
      </c>
      <c r="J268" s="3">
        <v>-2E-3</v>
      </c>
      <c r="K268">
        <v>125671</v>
      </c>
      <c r="T268" s="2"/>
      <c r="U268" s="2"/>
      <c r="V268" s="2"/>
      <c r="W268" s="2"/>
      <c r="X268" s="3"/>
      <c r="Y268" s="3"/>
      <c r="Z268" s="3"/>
      <c r="AA268" s="3"/>
      <c r="AF268" s="3"/>
      <c r="AG268" s="3"/>
      <c r="AH268" s="3"/>
    </row>
    <row r="269" spans="1:34" x14ac:dyDescent="0.25">
      <c r="A269" t="s">
        <v>56</v>
      </c>
      <c r="B269" t="s">
        <v>888</v>
      </c>
      <c r="C269" t="s">
        <v>1273</v>
      </c>
      <c r="D269" s="2">
        <v>43742</v>
      </c>
      <c r="E269">
        <v>4.29</v>
      </c>
      <c r="F269" s="2">
        <v>43896</v>
      </c>
      <c r="G269">
        <v>2.65</v>
      </c>
      <c r="H269" s="3">
        <v>-0.38229999999999997</v>
      </c>
      <c r="I269">
        <v>-83233.05</v>
      </c>
      <c r="J269" s="3">
        <v>-0.38390000000000002</v>
      </c>
      <c r="K269">
        <v>50538</v>
      </c>
      <c r="T269" s="2"/>
      <c r="U269" s="2"/>
      <c r="V269" s="2"/>
      <c r="W269" s="2"/>
      <c r="X269" s="3"/>
      <c r="Y269" s="3"/>
      <c r="Z269" s="3"/>
      <c r="AA269" s="3"/>
      <c r="AF269" s="3"/>
      <c r="AG269" s="3"/>
      <c r="AH269" s="3"/>
    </row>
    <row r="270" spans="1:34" x14ac:dyDescent="0.25">
      <c r="A270" t="s">
        <v>253</v>
      </c>
      <c r="B270" t="s">
        <v>893</v>
      </c>
      <c r="C270" t="s">
        <v>1273</v>
      </c>
      <c r="D270" s="2">
        <v>43714</v>
      </c>
      <c r="E270">
        <v>1.4233830000000001</v>
      </c>
      <c r="F270" s="2">
        <v>43896</v>
      </c>
      <c r="G270">
        <v>1.6389670000000001</v>
      </c>
      <c r="H270" s="3">
        <v>0.1515</v>
      </c>
      <c r="I270">
        <v>31474.880000000001</v>
      </c>
      <c r="J270" s="3">
        <v>0.14929999999999999</v>
      </c>
      <c r="K270">
        <v>148102</v>
      </c>
      <c r="T270" s="2"/>
      <c r="U270" s="2"/>
      <c r="V270" s="2"/>
      <c r="W270" s="2"/>
      <c r="X270" s="3"/>
      <c r="Y270" s="3"/>
      <c r="Z270" s="3"/>
      <c r="AA270" s="3"/>
      <c r="AF270" s="3"/>
      <c r="AG270" s="3"/>
      <c r="AH270" s="3"/>
    </row>
    <row r="271" spans="1:34" x14ac:dyDescent="0.25">
      <c r="A271" t="s">
        <v>464</v>
      </c>
      <c r="B271" t="s">
        <v>882</v>
      </c>
      <c r="C271" t="s">
        <v>1273</v>
      </c>
      <c r="D271" s="2">
        <v>43714</v>
      </c>
      <c r="E271">
        <v>0.59104480000000004</v>
      </c>
      <c r="F271" s="2">
        <v>43896</v>
      </c>
      <c r="G271">
        <v>0.62</v>
      </c>
      <c r="H271" s="3">
        <v>4.9000000000000002E-2</v>
      </c>
      <c r="I271">
        <v>9898.25</v>
      </c>
      <c r="J271" s="3">
        <v>4.6899999999999997E-2</v>
      </c>
      <c r="K271">
        <v>356769</v>
      </c>
      <c r="T271" s="2"/>
      <c r="U271" s="2"/>
      <c r="V271" s="2"/>
      <c r="W271" s="2"/>
      <c r="X271" s="3"/>
      <c r="Y271" s="3"/>
      <c r="Z271" s="3"/>
      <c r="AA271" s="3"/>
      <c r="AF271" s="3"/>
      <c r="AG271" s="3"/>
      <c r="AH271" s="3"/>
    </row>
    <row r="272" spans="1:34" x14ac:dyDescent="0.25">
      <c r="A272" t="s">
        <v>456</v>
      </c>
      <c r="B272" t="s">
        <v>851</v>
      </c>
      <c r="C272" t="s">
        <v>1273</v>
      </c>
      <c r="D272" s="2">
        <v>43714</v>
      </c>
      <c r="E272">
        <v>3.2267450000000002</v>
      </c>
      <c r="F272" s="2">
        <v>43896</v>
      </c>
      <c r="G272">
        <v>3.8061229999999999</v>
      </c>
      <c r="H272" s="3">
        <v>0.17960000000000001</v>
      </c>
      <c r="I272">
        <v>37409.620000000003</v>
      </c>
      <c r="J272" s="3">
        <v>0.1774</v>
      </c>
      <c r="K272">
        <v>65362</v>
      </c>
      <c r="T272" s="2"/>
      <c r="U272" s="2"/>
      <c r="V272" s="2"/>
      <c r="W272" s="2"/>
      <c r="X272" s="3"/>
      <c r="Y272" s="3"/>
      <c r="Z272" s="3"/>
      <c r="AA272" s="3"/>
      <c r="AF272" s="3"/>
      <c r="AG272" s="3"/>
      <c r="AH272" s="3"/>
    </row>
    <row r="273" spans="1:34" x14ac:dyDescent="0.25">
      <c r="A273" t="s">
        <v>59</v>
      </c>
      <c r="B273" t="s">
        <v>797</v>
      </c>
      <c r="C273" t="s">
        <v>1273</v>
      </c>
      <c r="D273" s="2">
        <v>43714</v>
      </c>
      <c r="E273">
        <v>1.9</v>
      </c>
      <c r="F273" s="2">
        <v>43896</v>
      </c>
      <c r="G273">
        <v>1.69</v>
      </c>
      <c r="H273" s="3">
        <v>-0.1105</v>
      </c>
      <c r="I273">
        <v>-23711.48</v>
      </c>
      <c r="J273" s="3">
        <v>-0.1124</v>
      </c>
      <c r="K273">
        <v>111014</v>
      </c>
      <c r="T273" s="2"/>
      <c r="U273" s="2"/>
      <c r="V273" s="2"/>
      <c r="W273" s="2"/>
      <c r="X273" s="3"/>
      <c r="Y273" s="3"/>
      <c r="Z273" s="3"/>
      <c r="AA273" s="3"/>
      <c r="AF273" s="3"/>
      <c r="AG273" s="3"/>
      <c r="AH273" s="3"/>
    </row>
    <row r="274" spans="1:34" x14ac:dyDescent="0.25">
      <c r="A274" t="s">
        <v>160</v>
      </c>
      <c r="B274" t="s">
        <v>754</v>
      </c>
      <c r="C274" t="s">
        <v>1273</v>
      </c>
      <c r="D274" s="2">
        <v>43714</v>
      </c>
      <c r="E274">
        <v>2.214979</v>
      </c>
      <c r="F274" s="2">
        <v>43896</v>
      </c>
      <c r="G274">
        <v>1.8851059999999999</v>
      </c>
      <c r="H274" s="3">
        <v>-0.1489</v>
      </c>
      <c r="I274">
        <v>-31806.26</v>
      </c>
      <c r="J274" s="3">
        <v>-0.15079999999999999</v>
      </c>
      <c r="K274">
        <v>95236</v>
      </c>
      <c r="T274" s="2"/>
      <c r="U274" s="2"/>
      <c r="V274" s="2"/>
      <c r="W274" s="2"/>
      <c r="X274" s="3"/>
      <c r="Y274" s="3"/>
      <c r="Z274" s="3"/>
      <c r="AA274" s="3"/>
      <c r="AF274" s="3"/>
      <c r="AG274" s="3"/>
      <c r="AH274" s="3"/>
    </row>
    <row r="275" spans="1:34" x14ac:dyDescent="0.25">
      <c r="A275" t="s">
        <v>254</v>
      </c>
      <c r="B275" t="s">
        <v>894</v>
      </c>
      <c r="C275" t="s">
        <v>1273</v>
      </c>
      <c r="D275" s="2">
        <v>43693</v>
      </c>
      <c r="E275">
        <v>1.4288529999999999</v>
      </c>
      <c r="F275" s="2">
        <v>43896</v>
      </c>
      <c r="G275">
        <v>1.7695069999999999</v>
      </c>
      <c r="H275" s="3">
        <v>0.2384</v>
      </c>
      <c r="I275">
        <v>49475.05</v>
      </c>
      <c r="J275" s="3">
        <v>0.23619999999999999</v>
      </c>
      <c r="K275">
        <v>146612</v>
      </c>
      <c r="T275" s="2"/>
      <c r="U275" s="2"/>
      <c r="V275" s="2"/>
      <c r="W275" s="2"/>
      <c r="X275" s="3"/>
      <c r="Y275" s="3"/>
      <c r="Z275" s="3"/>
      <c r="AA275" s="3"/>
      <c r="AF275" s="3"/>
      <c r="AG275" s="3"/>
      <c r="AH275" s="3"/>
    </row>
    <row r="276" spans="1:34" x14ac:dyDescent="0.25">
      <c r="A276" t="s">
        <v>222</v>
      </c>
      <c r="B276" t="s">
        <v>844</v>
      </c>
      <c r="C276" t="s">
        <v>1273</v>
      </c>
      <c r="D276" s="2">
        <v>43658</v>
      </c>
      <c r="E276">
        <v>0.61332339999999996</v>
      </c>
      <c r="F276" s="2">
        <v>43896</v>
      </c>
      <c r="G276">
        <v>0.73403059999999998</v>
      </c>
      <c r="H276" s="3">
        <v>0.1968</v>
      </c>
      <c r="I276">
        <v>39714</v>
      </c>
      <c r="J276" s="3">
        <v>0.1946</v>
      </c>
      <c r="K276">
        <v>332725</v>
      </c>
      <c r="T276" s="2"/>
      <c r="U276" s="2"/>
      <c r="V276" s="2"/>
      <c r="W276" s="2"/>
      <c r="X276" s="3"/>
      <c r="Y276" s="3"/>
      <c r="Z276" s="3"/>
      <c r="AA276" s="3"/>
      <c r="AF276" s="3"/>
      <c r="AG276" s="3"/>
      <c r="AH276" s="3"/>
    </row>
    <row r="277" spans="1:34" x14ac:dyDescent="0.25">
      <c r="A277" t="s">
        <v>206</v>
      </c>
      <c r="B277" t="s">
        <v>817</v>
      </c>
      <c r="C277" t="s">
        <v>1273</v>
      </c>
      <c r="D277" s="2">
        <v>43581</v>
      </c>
      <c r="E277">
        <v>8.5835489999999997</v>
      </c>
      <c r="F277" s="2">
        <v>43896</v>
      </c>
      <c r="G277">
        <v>8.1386749999999992</v>
      </c>
      <c r="H277" s="3">
        <v>-5.1799999999999999E-2</v>
      </c>
      <c r="I277">
        <v>-9490.5400000000009</v>
      </c>
      <c r="J277" s="3">
        <v>-5.3800000000000001E-2</v>
      </c>
      <c r="K277">
        <v>20560</v>
      </c>
      <c r="T277" s="2"/>
      <c r="U277" s="2"/>
      <c r="V277" s="2"/>
      <c r="W277" s="2"/>
      <c r="X277" s="3"/>
      <c r="Y277" s="3"/>
      <c r="Z277" s="3"/>
      <c r="AA277" s="3"/>
      <c r="AF277" s="3"/>
      <c r="AG277" s="3"/>
      <c r="AH277" s="3"/>
    </row>
    <row r="278" spans="1:34" x14ac:dyDescent="0.25">
      <c r="A278" t="s">
        <v>60</v>
      </c>
      <c r="B278" t="s">
        <v>895</v>
      </c>
      <c r="C278" t="s">
        <v>1273</v>
      </c>
      <c r="D278" s="2">
        <v>43518</v>
      </c>
      <c r="E278">
        <v>4.17</v>
      </c>
      <c r="F278" s="2">
        <v>43896</v>
      </c>
      <c r="G278">
        <v>9.51</v>
      </c>
      <c r="H278" s="3">
        <v>1.2806</v>
      </c>
      <c r="I278">
        <v>187273.41</v>
      </c>
      <c r="J278" s="3">
        <v>1.2773000000000001</v>
      </c>
      <c r="K278">
        <v>35160</v>
      </c>
      <c r="T278" s="2"/>
      <c r="U278" s="2"/>
      <c r="V278" s="2"/>
      <c r="W278" s="2"/>
      <c r="X278" s="3"/>
      <c r="Y278" s="3"/>
      <c r="Z278" s="3"/>
      <c r="AA278" s="3"/>
      <c r="AF278" s="3"/>
      <c r="AG278" s="3"/>
      <c r="AH278" s="3"/>
    </row>
    <row r="279" spans="1:34" x14ac:dyDescent="0.25">
      <c r="A279" t="s">
        <v>469</v>
      </c>
      <c r="B279" t="s">
        <v>896</v>
      </c>
      <c r="C279" t="s">
        <v>1273</v>
      </c>
      <c r="D279" s="2">
        <v>43511</v>
      </c>
      <c r="E279">
        <v>0.95751280000000005</v>
      </c>
      <c r="F279" s="2">
        <v>43896</v>
      </c>
      <c r="G279">
        <v>0.97647349999999999</v>
      </c>
      <c r="H279" s="3">
        <v>1.9800000000000002E-2</v>
      </c>
      <c r="I279">
        <v>2544.08</v>
      </c>
      <c r="J279" s="3">
        <v>1.78E-2</v>
      </c>
      <c r="K279">
        <v>149417</v>
      </c>
      <c r="T279" s="2"/>
      <c r="U279" s="2"/>
      <c r="V279" s="2"/>
      <c r="W279" s="2"/>
      <c r="X279" s="3"/>
      <c r="Y279" s="3"/>
      <c r="Z279" s="3"/>
      <c r="AA279" s="3"/>
      <c r="AF279" s="3"/>
      <c r="AG279" s="3"/>
      <c r="AH279" s="3"/>
    </row>
    <row r="280" spans="1:34" x14ac:dyDescent="0.25">
      <c r="A280" t="s">
        <v>449</v>
      </c>
      <c r="B280" t="s">
        <v>814</v>
      </c>
      <c r="C280" t="s">
        <v>1273</v>
      </c>
      <c r="D280" s="2">
        <v>43791</v>
      </c>
      <c r="E280">
        <v>0.87233130000000003</v>
      </c>
      <c r="F280" s="2">
        <v>43875</v>
      </c>
      <c r="G280">
        <v>0.77779290000000001</v>
      </c>
      <c r="H280" s="3">
        <v>-0.1084</v>
      </c>
      <c r="I280">
        <v>-24247.4</v>
      </c>
      <c r="J280" s="3">
        <v>-0.1103</v>
      </c>
      <c r="K280">
        <v>252082</v>
      </c>
      <c r="T280" s="2"/>
      <c r="U280" s="2"/>
      <c r="V280" s="2"/>
      <c r="W280" s="2"/>
      <c r="X280" s="3"/>
      <c r="Y280" s="3"/>
      <c r="Z280" s="3"/>
      <c r="AA280" s="3"/>
      <c r="AF280" s="3"/>
      <c r="AG280" s="3"/>
      <c r="AH280" s="3"/>
    </row>
    <row r="281" spans="1:34" x14ac:dyDescent="0.25">
      <c r="A281" t="s">
        <v>470</v>
      </c>
      <c r="B281" t="s">
        <v>897</v>
      </c>
      <c r="C281" t="s">
        <v>1273</v>
      </c>
      <c r="D281" s="2">
        <v>43812</v>
      </c>
      <c r="E281">
        <v>1.98</v>
      </c>
      <c r="F281" s="2">
        <v>43868</v>
      </c>
      <c r="G281">
        <v>1.992</v>
      </c>
      <c r="H281" s="3">
        <v>6.1000000000000004E-3</v>
      </c>
      <c r="I281">
        <v>885.68</v>
      </c>
      <c r="J281" s="3">
        <v>4.1000000000000003E-3</v>
      </c>
      <c r="K281">
        <v>110324</v>
      </c>
      <c r="T281" s="2"/>
      <c r="U281" s="2"/>
      <c r="V281" s="2"/>
      <c r="W281" s="2"/>
      <c r="X281" s="3"/>
      <c r="Y281" s="3"/>
      <c r="Z281" s="3"/>
      <c r="AA281" s="3"/>
      <c r="AF281" s="3"/>
      <c r="AG281" s="3"/>
      <c r="AH281" s="3"/>
    </row>
    <row r="282" spans="1:34" x14ac:dyDescent="0.25">
      <c r="A282" t="s">
        <v>255</v>
      </c>
      <c r="B282" t="s">
        <v>898</v>
      </c>
      <c r="C282" t="s">
        <v>1273</v>
      </c>
      <c r="D282" s="2">
        <v>43714</v>
      </c>
      <c r="E282">
        <v>1.505857</v>
      </c>
      <c r="F282" s="2">
        <v>43847</v>
      </c>
      <c r="G282">
        <v>1.3450040000000001</v>
      </c>
      <c r="H282" s="3">
        <v>-0.10680000000000001</v>
      </c>
      <c r="I282">
        <v>-22921.32</v>
      </c>
      <c r="J282" s="3">
        <v>-0.1087</v>
      </c>
      <c r="K282">
        <v>140017</v>
      </c>
      <c r="T282" s="2"/>
      <c r="U282" s="2"/>
      <c r="V282" s="2"/>
      <c r="W282" s="2"/>
      <c r="X282" s="3"/>
      <c r="Y282" s="3"/>
      <c r="Z282" s="3"/>
      <c r="AA282" s="3"/>
      <c r="AF282" s="3"/>
      <c r="AG282" s="3"/>
      <c r="AH282" s="3"/>
    </row>
    <row r="283" spans="1:34" x14ac:dyDescent="0.25">
      <c r="A283" t="s">
        <v>256</v>
      </c>
      <c r="B283" t="s">
        <v>899</v>
      </c>
      <c r="C283" t="s">
        <v>1273</v>
      </c>
      <c r="D283" s="2">
        <v>42223</v>
      </c>
      <c r="E283">
        <v>2.0946310000000001</v>
      </c>
      <c r="F283" s="2">
        <v>43833</v>
      </c>
      <c r="G283">
        <v>4.3520349999999999</v>
      </c>
      <c r="H283" s="3">
        <v>1.0777000000000001</v>
      </c>
      <c r="I283">
        <v>103431.49</v>
      </c>
      <c r="J283" s="3">
        <v>1.0746</v>
      </c>
      <c r="K283">
        <v>45950</v>
      </c>
      <c r="T283" s="2"/>
      <c r="U283" s="2"/>
      <c r="V283" s="2"/>
      <c r="W283" s="2"/>
      <c r="X283" s="3"/>
      <c r="Y283" s="3"/>
      <c r="Z283" s="3"/>
      <c r="AA283" s="3"/>
      <c r="AF283" s="3"/>
      <c r="AG283" s="3"/>
      <c r="AH283" s="3"/>
    </row>
    <row r="284" spans="1:34" x14ac:dyDescent="0.25">
      <c r="A284" t="s">
        <v>122</v>
      </c>
      <c r="B284" t="s">
        <v>379</v>
      </c>
      <c r="C284" t="s">
        <v>1273</v>
      </c>
      <c r="D284" s="2">
        <v>43763</v>
      </c>
      <c r="E284">
        <v>2.8089490000000001</v>
      </c>
      <c r="F284" s="2">
        <v>43826</v>
      </c>
      <c r="G284">
        <v>2.1884640000000002</v>
      </c>
      <c r="H284" s="3">
        <v>-0.22090000000000001</v>
      </c>
      <c r="I284">
        <v>-50103.02</v>
      </c>
      <c r="J284" s="3">
        <v>-0.22270000000000001</v>
      </c>
      <c r="K284">
        <v>80103</v>
      </c>
      <c r="T284" s="2"/>
      <c r="U284" s="2"/>
      <c r="V284" s="2"/>
      <c r="W284" s="2"/>
      <c r="X284" s="3"/>
      <c r="Y284" s="3"/>
      <c r="Z284" s="3"/>
      <c r="AA284" s="3"/>
      <c r="AF284" s="3"/>
      <c r="AG284" s="3"/>
      <c r="AH284" s="3"/>
    </row>
    <row r="285" spans="1:34" x14ac:dyDescent="0.25">
      <c r="A285" t="s">
        <v>257</v>
      </c>
      <c r="B285" t="s">
        <v>900</v>
      </c>
      <c r="C285" t="s">
        <v>1273</v>
      </c>
      <c r="D285" s="2">
        <v>43497</v>
      </c>
      <c r="E285">
        <v>2.1854149999999999</v>
      </c>
      <c r="F285" s="2">
        <v>43812</v>
      </c>
      <c r="G285">
        <v>2.4567999999999999</v>
      </c>
      <c r="H285" s="3">
        <v>0.1242</v>
      </c>
      <c r="I285">
        <v>17005.12</v>
      </c>
      <c r="J285" s="3">
        <v>0.1221</v>
      </c>
      <c r="K285">
        <v>63751</v>
      </c>
      <c r="T285" s="2"/>
      <c r="U285" s="2"/>
      <c r="V285" s="2"/>
      <c r="W285" s="2"/>
      <c r="X285" s="3"/>
      <c r="Y285" s="3"/>
      <c r="Z285" s="3"/>
      <c r="AA285" s="3"/>
      <c r="AF285" s="3"/>
      <c r="AG285" s="3"/>
      <c r="AH285" s="3"/>
    </row>
    <row r="286" spans="1:34" x14ac:dyDescent="0.25">
      <c r="A286" t="s">
        <v>471</v>
      </c>
      <c r="B286" t="s">
        <v>901</v>
      </c>
      <c r="C286" t="s">
        <v>1273</v>
      </c>
      <c r="D286" s="2">
        <v>43714</v>
      </c>
      <c r="E286">
        <v>4.0591540000000004</v>
      </c>
      <c r="F286" s="2">
        <v>43812</v>
      </c>
      <c r="G286">
        <v>3.8441809999999998</v>
      </c>
      <c r="H286" s="3">
        <v>-5.2999999999999999E-2</v>
      </c>
      <c r="I286">
        <v>-11575.75</v>
      </c>
      <c r="J286" s="3">
        <v>-5.4899999999999997E-2</v>
      </c>
      <c r="K286">
        <v>51938</v>
      </c>
      <c r="T286" s="2"/>
      <c r="U286" s="2"/>
      <c r="V286" s="2"/>
      <c r="W286" s="2"/>
      <c r="X286" s="3"/>
      <c r="Y286" s="3"/>
      <c r="Z286" s="3"/>
      <c r="AA286" s="3"/>
      <c r="AF286" s="3"/>
      <c r="AG286" s="3"/>
      <c r="AH286" s="3"/>
    </row>
    <row r="287" spans="1:34" x14ac:dyDescent="0.25">
      <c r="A287" t="s">
        <v>148</v>
      </c>
      <c r="B287" t="s">
        <v>741</v>
      </c>
      <c r="C287" t="s">
        <v>1273</v>
      </c>
      <c r="D287" s="2">
        <v>43763</v>
      </c>
      <c r="E287">
        <v>12.7</v>
      </c>
      <c r="F287" s="2">
        <v>43791</v>
      </c>
      <c r="G287">
        <v>11.8</v>
      </c>
      <c r="H287" s="3">
        <v>-7.0900000000000005E-2</v>
      </c>
      <c r="I287">
        <v>-16380.29</v>
      </c>
      <c r="J287" s="3">
        <v>-7.2800000000000004E-2</v>
      </c>
      <c r="K287">
        <v>17718</v>
      </c>
      <c r="T287" s="2"/>
      <c r="U287" s="2"/>
      <c r="V287" s="2"/>
      <c r="W287" s="2"/>
      <c r="X287" s="3"/>
      <c r="Y287" s="3"/>
      <c r="Z287" s="3"/>
      <c r="AA287" s="3"/>
      <c r="AF287" s="3"/>
      <c r="AG287" s="3"/>
      <c r="AH287" s="3"/>
    </row>
    <row r="288" spans="1:34" x14ac:dyDescent="0.25">
      <c r="A288" t="s">
        <v>85</v>
      </c>
      <c r="B288" t="s">
        <v>779</v>
      </c>
      <c r="C288" t="s">
        <v>1273</v>
      </c>
      <c r="D288" s="2">
        <v>43742</v>
      </c>
      <c r="E288">
        <v>1.835</v>
      </c>
      <c r="F288" s="2">
        <v>43756</v>
      </c>
      <c r="G288">
        <v>1.575</v>
      </c>
      <c r="H288" s="3">
        <v>-0.14169999999999999</v>
      </c>
      <c r="I288">
        <v>-31125.32</v>
      </c>
      <c r="J288" s="3">
        <v>-0.14349999999999999</v>
      </c>
      <c r="K288">
        <v>118163</v>
      </c>
      <c r="T288" s="2"/>
      <c r="U288" s="2"/>
      <c r="V288" s="2"/>
      <c r="W288" s="2"/>
      <c r="X288" s="3"/>
      <c r="Y288" s="3"/>
      <c r="Z288" s="3"/>
      <c r="AA288" s="3"/>
      <c r="AF288" s="3"/>
      <c r="AG288" s="3"/>
      <c r="AH288" s="3"/>
    </row>
    <row r="289" spans="1:34" x14ac:dyDescent="0.25">
      <c r="A289" t="s">
        <v>258</v>
      </c>
      <c r="B289" t="s">
        <v>902</v>
      </c>
      <c r="C289" t="s">
        <v>1273</v>
      </c>
      <c r="D289" s="2">
        <v>43714</v>
      </c>
      <c r="E289">
        <v>3.021757</v>
      </c>
      <c r="F289" s="2">
        <v>43749</v>
      </c>
      <c r="G289">
        <v>2.9609740000000002</v>
      </c>
      <c r="H289" s="3">
        <v>-2.01E-2</v>
      </c>
      <c r="I289">
        <v>-4662.18</v>
      </c>
      <c r="J289" s="3">
        <v>-2.2100000000000002E-2</v>
      </c>
      <c r="K289">
        <v>69829</v>
      </c>
      <c r="T289" s="2"/>
      <c r="U289" s="2"/>
      <c r="V289" s="2"/>
      <c r="W289" s="2"/>
      <c r="X289" s="3"/>
      <c r="Y289" s="3"/>
      <c r="Z289" s="3"/>
      <c r="AA289" s="3"/>
      <c r="AF289" s="3"/>
      <c r="AG289" s="3"/>
      <c r="AH289" s="3"/>
    </row>
    <row r="290" spans="1:34" x14ac:dyDescent="0.25">
      <c r="A290" t="s">
        <v>259</v>
      </c>
      <c r="B290" t="s">
        <v>903</v>
      </c>
      <c r="C290" t="s">
        <v>1273</v>
      </c>
      <c r="D290" s="2">
        <v>43714</v>
      </c>
      <c r="E290">
        <v>19.030190000000001</v>
      </c>
      <c r="F290" s="2">
        <v>43742</v>
      </c>
      <c r="G290">
        <v>20.662559999999999</v>
      </c>
      <c r="H290" s="3">
        <v>8.5800000000000001E-2</v>
      </c>
      <c r="I290">
        <v>17648.46</v>
      </c>
      <c r="J290" s="3">
        <v>8.3699999999999997E-2</v>
      </c>
      <c r="K290">
        <v>11081</v>
      </c>
      <c r="T290" s="2"/>
      <c r="U290" s="2"/>
      <c r="V290" s="2"/>
      <c r="W290" s="2"/>
      <c r="X290" s="3"/>
      <c r="Y290" s="3"/>
      <c r="Z290" s="3"/>
      <c r="AA290" s="3"/>
      <c r="AF290" s="3"/>
      <c r="AG290" s="3"/>
      <c r="AH290" s="3"/>
    </row>
    <row r="291" spans="1:34" x14ac:dyDescent="0.25">
      <c r="A291" t="s">
        <v>207</v>
      </c>
      <c r="B291" t="s">
        <v>820</v>
      </c>
      <c r="C291" t="s">
        <v>1273</v>
      </c>
      <c r="D291" s="2">
        <v>43714</v>
      </c>
      <c r="E291">
        <v>2.06</v>
      </c>
      <c r="F291" s="2">
        <v>43742</v>
      </c>
      <c r="G291">
        <v>2.15</v>
      </c>
      <c r="H291" s="3">
        <v>4.3700000000000003E-2</v>
      </c>
      <c r="I291">
        <v>8785.84</v>
      </c>
      <c r="J291" s="3">
        <v>4.1599999999999998E-2</v>
      </c>
      <c r="K291">
        <v>102411</v>
      </c>
      <c r="T291" s="2"/>
      <c r="U291" s="2"/>
      <c r="V291" s="2"/>
      <c r="W291" s="2"/>
      <c r="X291" s="3"/>
      <c r="Y291" s="3"/>
      <c r="Z291" s="3"/>
      <c r="AA291" s="3"/>
      <c r="AF291" s="3"/>
      <c r="AG291" s="3"/>
      <c r="AH291" s="3"/>
    </row>
    <row r="292" spans="1:34" x14ac:dyDescent="0.25">
      <c r="A292" t="s">
        <v>472</v>
      </c>
      <c r="B292" t="s">
        <v>904</v>
      </c>
      <c r="C292" t="s">
        <v>1273</v>
      </c>
      <c r="D292" s="2">
        <v>43714</v>
      </c>
      <c r="E292">
        <v>1.19</v>
      </c>
      <c r="F292" s="2">
        <v>43739</v>
      </c>
      <c r="G292">
        <v>0.95</v>
      </c>
      <c r="H292" s="3">
        <v>-0.20169999999999999</v>
      </c>
      <c r="I292">
        <v>-42931.42</v>
      </c>
      <c r="J292" s="3">
        <v>-0.20349999999999999</v>
      </c>
      <c r="K292">
        <v>177300</v>
      </c>
      <c r="T292" s="2"/>
      <c r="U292" s="2"/>
      <c r="V292" s="2"/>
      <c r="W292" s="2"/>
      <c r="X292" s="3"/>
      <c r="Y292" s="3"/>
      <c r="Z292" s="3"/>
      <c r="AA292" s="3"/>
      <c r="AF292" s="3"/>
      <c r="AG292" s="3"/>
      <c r="AH292" s="3"/>
    </row>
    <row r="293" spans="1:34" x14ac:dyDescent="0.25">
      <c r="A293" t="s">
        <v>221</v>
      </c>
      <c r="B293" t="s">
        <v>843</v>
      </c>
      <c r="C293" t="s">
        <v>1273</v>
      </c>
      <c r="D293" s="2">
        <v>43630</v>
      </c>
      <c r="E293">
        <v>0.97499999999999998</v>
      </c>
      <c r="F293" s="2">
        <v>43735</v>
      </c>
      <c r="G293">
        <v>0.77</v>
      </c>
      <c r="H293" s="3">
        <v>-0.21029999999999999</v>
      </c>
      <c r="I293">
        <v>-41283.67</v>
      </c>
      <c r="J293" s="3">
        <v>-0.21199999999999999</v>
      </c>
      <c r="K293">
        <v>199684</v>
      </c>
      <c r="T293" s="2"/>
      <c r="U293" s="2"/>
      <c r="V293" s="2"/>
      <c r="W293" s="2"/>
      <c r="X293" s="3"/>
      <c r="Y293" s="3"/>
      <c r="Z293" s="3"/>
      <c r="AA293" s="3"/>
      <c r="AF293" s="3"/>
      <c r="AG293" s="3"/>
      <c r="AH293" s="3"/>
    </row>
    <row r="294" spans="1:34" x14ac:dyDescent="0.25">
      <c r="A294" t="s">
        <v>260</v>
      </c>
      <c r="B294" t="s">
        <v>905</v>
      </c>
      <c r="C294" t="s">
        <v>1273</v>
      </c>
      <c r="D294" s="2">
        <v>43504</v>
      </c>
      <c r="E294">
        <v>0.7298945</v>
      </c>
      <c r="F294" s="2">
        <v>43707</v>
      </c>
      <c r="G294">
        <v>1.322341</v>
      </c>
      <c r="H294" s="3">
        <v>0.81169999999999998</v>
      </c>
      <c r="I294">
        <v>113516.88</v>
      </c>
      <c r="J294" s="3">
        <v>0.80889999999999995</v>
      </c>
      <c r="K294">
        <v>192273</v>
      </c>
      <c r="T294" s="2"/>
      <c r="U294" s="2"/>
      <c r="V294" s="2"/>
      <c r="W294" s="2"/>
      <c r="X294" s="3"/>
      <c r="Y294" s="3"/>
      <c r="Z294" s="3"/>
      <c r="AA294" s="3"/>
      <c r="AF294" s="3"/>
      <c r="AG294" s="3"/>
      <c r="AH294" s="3"/>
    </row>
    <row r="295" spans="1:34" x14ac:dyDescent="0.25">
      <c r="A295" t="s">
        <v>64</v>
      </c>
      <c r="B295" t="s">
        <v>827</v>
      </c>
      <c r="C295" t="s">
        <v>1273</v>
      </c>
      <c r="D295" s="2">
        <v>43651</v>
      </c>
      <c r="E295">
        <v>2.1377009999999999</v>
      </c>
      <c r="F295" s="2">
        <v>43700</v>
      </c>
      <c r="G295">
        <v>1.7882130000000001</v>
      </c>
      <c r="H295" s="3">
        <v>-0.16350000000000001</v>
      </c>
      <c r="I295">
        <v>-33666.92</v>
      </c>
      <c r="J295" s="3">
        <v>-0.1653</v>
      </c>
      <c r="K295">
        <v>95262</v>
      </c>
      <c r="T295" s="2"/>
      <c r="U295" s="2"/>
      <c r="V295" s="2"/>
      <c r="W295" s="2"/>
      <c r="X295" s="3"/>
      <c r="Y295" s="3"/>
      <c r="Z295" s="3"/>
      <c r="AA295" s="3"/>
      <c r="AF295" s="3"/>
      <c r="AG295" s="3"/>
      <c r="AH295" s="3"/>
    </row>
    <row r="296" spans="1:34" x14ac:dyDescent="0.25">
      <c r="A296" t="s">
        <v>56</v>
      </c>
      <c r="B296" t="s">
        <v>888</v>
      </c>
      <c r="C296" t="s">
        <v>1273</v>
      </c>
      <c r="D296" s="2">
        <v>43518</v>
      </c>
      <c r="E296">
        <v>1.375</v>
      </c>
      <c r="F296" s="2">
        <v>43700</v>
      </c>
      <c r="G296">
        <v>2.85</v>
      </c>
      <c r="H296" s="3">
        <v>1.0727</v>
      </c>
      <c r="I296">
        <v>156846.39000000001</v>
      </c>
      <c r="J296" s="3">
        <v>1.0697000000000001</v>
      </c>
      <c r="K296">
        <v>106642</v>
      </c>
      <c r="T296" s="2"/>
      <c r="U296" s="2"/>
      <c r="V296" s="2"/>
      <c r="W296" s="2"/>
      <c r="X296" s="3"/>
      <c r="Y296" s="3"/>
      <c r="Z296" s="3"/>
      <c r="AA296" s="3"/>
      <c r="AF296" s="3"/>
      <c r="AG296" s="3"/>
      <c r="AH296" s="3"/>
    </row>
    <row r="297" spans="1:34" x14ac:dyDescent="0.25">
      <c r="A297" t="s">
        <v>259</v>
      </c>
      <c r="B297" t="s">
        <v>903</v>
      </c>
      <c r="C297" t="s">
        <v>1273</v>
      </c>
      <c r="D297" s="2">
        <v>43511</v>
      </c>
      <c r="E297">
        <v>7.3063560000000001</v>
      </c>
      <c r="F297" s="2">
        <v>43700</v>
      </c>
      <c r="G297">
        <v>15.07868</v>
      </c>
      <c r="H297" s="3">
        <v>1.0638000000000001</v>
      </c>
      <c r="I297">
        <v>151720.56</v>
      </c>
      <c r="J297" s="3">
        <v>1.0607</v>
      </c>
      <c r="K297">
        <v>19577</v>
      </c>
      <c r="T297" s="2"/>
      <c r="U297" s="2"/>
      <c r="V297" s="2"/>
      <c r="W297" s="2"/>
      <c r="X297" s="3"/>
      <c r="Y297" s="3"/>
      <c r="Z297" s="3"/>
      <c r="AA297" s="3"/>
      <c r="AF297" s="3"/>
      <c r="AG297" s="3"/>
      <c r="AH297" s="3"/>
    </row>
    <row r="298" spans="1:34" x14ac:dyDescent="0.25">
      <c r="A298" t="s">
        <v>70</v>
      </c>
      <c r="B298" t="s">
        <v>863</v>
      </c>
      <c r="C298" t="s">
        <v>1273</v>
      </c>
      <c r="D298" s="2">
        <v>43504</v>
      </c>
      <c r="E298">
        <v>1.303229</v>
      </c>
      <c r="F298" s="2">
        <v>43700</v>
      </c>
      <c r="G298">
        <v>2.003603</v>
      </c>
      <c r="H298" s="3">
        <v>0.53739999999999999</v>
      </c>
      <c r="I298">
        <v>75078.320000000007</v>
      </c>
      <c r="J298" s="3">
        <v>0.53490000000000004</v>
      </c>
      <c r="K298">
        <v>107706</v>
      </c>
      <c r="T298" s="2"/>
      <c r="U298" s="2"/>
      <c r="V298" s="2"/>
      <c r="W298" s="2"/>
      <c r="X298" s="3"/>
      <c r="Y298" s="3"/>
      <c r="Z298" s="3"/>
      <c r="AA298" s="3"/>
      <c r="AF298" s="3"/>
      <c r="AG298" s="3"/>
      <c r="AH298" s="3"/>
    </row>
    <row r="299" spans="1:34" x14ac:dyDescent="0.25">
      <c r="A299" t="s">
        <v>191</v>
      </c>
      <c r="B299" t="s">
        <v>794</v>
      </c>
      <c r="C299" t="s">
        <v>1273</v>
      </c>
      <c r="D299" s="2">
        <v>43504</v>
      </c>
      <c r="E299">
        <v>0.51951619999999998</v>
      </c>
      <c r="F299" s="2">
        <v>43700</v>
      </c>
      <c r="G299">
        <v>1.093243</v>
      </c>
      <c r="H299" s="3">
        <v>1.1043000000000001</v>
      </c>
      <c r="I299">
        <v>154591.51</v>
      </c>
      <c r="J299" s="3">
        <v>1.1012</v>
      </c>
      <c r="K299">
        <v>270211</v>
      </c>
      <c r="T299" s="2"/>
      <c r="U299" s="2"/>
      <c r="V299" s="2"/>
      <c r="W299" s="2"/>
      <c r="X299" s="3"/>
      <c r="Y299" s="3"/>
      <c r="Z299" s="3"/>
      <c r="AA299" s="3"/>
      <c r="AF299" s="3"/>
      <c r="AG299" s="3"/>
      <c r="AH299" s="3"/>
    </row>
    <row r="300" spans="1:34" x14ac:dyDescent="0.25">
      <c r="A300" t="s">
        <v>207</v>
      </c>
      <c r="B300" t="s">
        <v>820</v>
      </c>
      <c r="C300" t="s">
        <v>1273</v>
      </c>
      <c r="D300" s="2">
        <v>43497</v>
      </c>
      <c r="E300">
        <v>0.64</v>
      </c>
      <c r="F300" s="2">
        <v>43700</v>
      </c>
      <c r="G300">
        <v>1.53</v>
      </c>
      <c r="H300" s="3">
        <v>1.3906000000000001</v>
      </c>
      <c r="I300">
        <v>193255.73</v>
      </c>
      <c r="J300" s="3">
        <v>1.3872</v>
      </c>
      <c r="K300">
        <v>217672</v>
      </c>
      <c r="T300" s="2"/>
      <c r="U300" s="2"/>
      <c r="V300" s="2"/>
      <c r="W300" s="2"/>
      <c r="X300" s="3"/>
      <c r="Y300" s="3"/>
      <c r="Z300" s="3"/>
      <c r="AA300" s="3"/>
      <c r="AF300" s="3"/>
      <c r="AG300" s="3"/>
      <c r="AH300" s="3"/>
    </row>
    <row r="301" spans="1:34" x14ac:dyDescent="0.25">
      <c r="A301" t="s">
        <v>192</v>
      </c>
      <c r="B301" t="s">
        <v>795</v>
      </c>
      <c r="C301" t="s">
        <v>1273</v>
      </c>
      <c r="D301" s="2">
        <v>43490</v>
      </c>
      <c r="E301">
        <v>1.312581</v>
      </c>
      <c r="F301" s="2">
        <v>43700</v>
      </c>
      <c r="G301">
        <v>1.834943</v>
      </c>
      <c r="H301" s="3">
        <v>0.39800000000000002</v>
      </c>
      <c r="I301">
        <v>55097.48</v>
      </c>
      <c r="J301" s="3">
        <v>0.39560000000000001</v>
      </c>
      <c r="K301">
        <v>106117</v>
      </c>
      <c r="T301" s="2"/>
      <c r="U301" s="2"/>
      <c r="V301" s="2"/>
      <c r="W301" s="2"/>
      <c r="X301" s="3"/>
      <c r="Y301" s="3"/>
      <c r="Z301" s="3"/>
      <c r="AA301" s="3"/>
      <c r="AF301" s="3"/>
      <c r="AG301" s="3"/>
      <c r="AH301" s="3"/>
    </row>
    <row r="302" spans="1:34" x14ac:dyDescent="0.25">
      <c r="A302" t="s">
        <v>261</v>
      </c>
      <c r="B302" t="s">
        <v>906</v>
      </c>
      <c r="C302" t="s">
        <v>1273</v>
      </c>
      <c r="D302" s="2">
        <v>43623</v>
      </c>
      <c r="E302">
        <v>0.52500000000000002</v>
      </c>
      <c r="F302" s="2">
        <v>43693</v>
      </c>
      <c r="G302">
        <v>0.39</v>
      </c>
      <c r="H302" s="3">
        <v>-0.2571</v>
      </c>
      <c r="I302">
        <v>-51649.599999999999</v>
      </c>
      <c r="J302" s="3">
        <v>-0.25890000000000002</v>
      </c>
      <c r="K302">
        <v>380014</v>
      </c>
      <c r="T302" s="2"/>
      <c r="U302" s="2"/>
      <c r="V302" s="2"/>
      <c r="W302" s="2"/>
      <c r="X302" s="3"/>
      <c r="Y302" s="3"/>
      <c r="Z302" s="3"/>
      <c r="AA302" s="3"/>
      <c r="AF302" s="3"/>
      <c r="AG302" s="3"/>
      <c r="AH302" s="3"/>
    </row>
    <row r="303" spans="1:34" x14ac:dyDescent="0.25">
      <c r="A303" t="s">
        <v>53</v>
      </c>
      <c r="B303" t="s">
        <v>907</v>
      </c>
      <c r="C303" t="s">
        <v>1273</v>
      </c>
      <c r="D303" s="2">
        <v>43490</v>
      </c>
      <c r="E303">
        <v>13.447979999999999</v>
      </c>
      <c r="F303" s="2">
        <v>43693</v>
      </c>
      <c r="G303">
        <v>27.518519999999999</v>
      </c>
      <c r="H303" s="3">
        <v>1.0463</v>
      </c>
      <c r="I303">
        <v>145290.26</v>
      </c>
      <c r="J303" s="3">
        <v>1.0431999999999999</v>
      </c>
      <c r="K303">
        <v>10356</v>
      </c>
      <c r="T303" s="2"/>
      <c r="U303" s="2"/>
      <c r="V303" s="2"/>
      <c r="W303" s="2"/>
      <c r="X303" s="3"/>
      <c r="Y303" s="3"/>
      <c r="Z303" s="3"/>
      <c r="AA303" s="3"/>
      <c r="AF303" s="3"/>
      <c r="AG303" s="3"/>
      <c r="AH303" s="3"/>
    </row>
    <row r="304" spans="1:34" x14ac:dyDescent="0.25">
      <c r="A304" t="s">
        <v>102</v>
      </c>
      <c r="B304" t="s">
        <v>826</v>
      </c>
      <c r="C304" t="s">
        <v>1273</v>
      </c>
      <c r="D304" s="2">
        <v>43504</v>
      </c>
      <c r="E304">
        <v>0.57106979999999996</v>
      </c>
      <c r="F304" s="2">
        <v>43658</v>
      </c>
      <c r="G304">
        <v>0.79071210000000003</v>
      </c>
      <c r="H304" s="3">
        <v>0.3846</v>
      </c>
      <c r="I304">
        <v>53667.32</v>
      </c>
      <c r="J304" s="3">
        <v>0.38219999999999998</v>
      </c>
      <c r="K304">
        <v>245864</v>
      </c>
      <c r="T304" s="2"/>
      <c r="U304" s="2"/>
      <c r="V304" s="2"/>
      <c r="W304" s="2"/>
      <c r="X304" s="3"/>
      <c r="Y304" s="3"/>
      <c r="Z304" s="3"/>
      <c r="AA304" s="3"/>
      <c r="AF304" s="3"/>
      <c r="AG304" s="3"/>
      <c r="AH304" s="3"/>
    </row>
    <row r="305" spans="1:34" x14ac:dyDescent="0.25">
      <c r="A305" t="s">
        <v>212</v>
      </c>
      <c r="B305" t="s">
        <v>829</v>
      </c>
      <c r="C305" t="s">
        <v>1273</v>
      </c>
      <c r="D305" s="2">
        <v>43504</v>
      </c>
      <c r="E305">
        <v>1.6133090000000001</v>
      </c>
      <c r="F305" s="2">
        <v>43651</v>
      </c>
      <c r="G305">
        <v>2.3727819999999999</v>
      </c>
      <c r="H305" s="3">
        <v>0.4708</v>
      </c>
      <c r="I305">
        <v>65743.23</v>
      </c>
      <c r="J305" s="3">
        <v>0.46829999999999999</v>
      </c>
      <c r="K305">
        <v>87021</v>
      </c>
      <c r="T305" s="2"/>
      <c r="U305" s="2"/>
      <c r="V305" s="2"/>
      <c r="W305" s="2"/>
      <c r="X305" s="3"/>
      <c r="Y305" s="3"/>
      <c r="Z305" s="3"/>
      <c r="AA305" s="3"/>
      <c r="AF305" s="3"/>
      <c r="AG305" s="3"/>
      <c r="AH305" s="3"/>
    </row>
    <row r="306" spans="1:34" x14ac:dyDescent="0.25">
      <c r="A306" t="s">
        <v>461</v>
      </c>
      <c r="B306" t="s">
        <v>875</v>
      </c>
      <c r="C306" t="s">
        <v>1273</v>
      </c>
      <c r="D306" s="2">
        <v>43490</v>
      </c>
      <c r="E306">
        <v>2.9479169999999999</v>
      </c>
      <c r="F306" s="2">
        <v>43630</v>
      </c>
      <c r="G306">
        <v>2.8398270000000001</v>
      </c>
      <c r="H306" s="3">
        <v>-3.6700000000000003E-2</v>
      </c>
      <c r="I306">
        <v>-5381.07</v>
      </c>
      <c r="J306" s="3">
        <v>-3.8600000000000002E-2</v>
      </c>
      <c r="K306">
        <v>47253</v>
      </c>
      <c r="T306" s="2"/>
      <c r="U306" s="2"/>
      <c r="V306" s="2"/>
      <c r="W306" s="2"/>
      <c r="X306" s="3"/>
      <c r="Y306" s="3"/>
      <c r="Z306" s="3"/>
      <c r="AA306" s="3"/>
      <c r="AF306" s="3"/>
      <c r="AG306" s="3"/>
      <c r="AH306" s="3"/>
    </row>
    <row r="307" spans="1:34" x14ac:dyDescent="0.25">
      <c r="A307" t="s">
        <v>262</v>
      </c>
      <c r="B307" t="s">
        <v>908</v>
      </c>
      <c r="C307" t="s">
        <v>1273</v>
      </c>
      <c r="D307" s="2">
        <v>43546</v>
      </c>
      <c r="E307">
        <v>1.0979890000000001</v>
      </c>
      <c r="F307" s="2">
        <v>43630</v>
      </c>
      <c r="G307">
        <v>0.98464790000000002</v>
      </c>
      <c r="H307" s="3">
        <v>-0.1032</v>
      </c>
      <c r="I307">
        <v>-16784.8</v>
      </c>
      <c r="J307" s="3">
        <v>-0.1051</v>
      </c>
      <c r="K307">
        <v>145419</v>
      </c>
      <c r="T307" s="2"/>
      <c r="U307" s="2"/>
      <c r="V307" s="2"/>
      <c r="W307" s="2"/>
      <c r="X307" s="3"/>
      <c r="Y307" s="3"/>
      <c r="Z307" s="3"/>
      <c r="AA307" s="3"/>
      <c r="AF307" s="3"/>
      <c r="AG307" s="3"/>
      <c r="AH307" s="3"/>
    </row>
    <row r="308" spans="1:34" x14ac:dyDescent="0.25">
      <c r="A308" t="s">
        <v>263</v>
      </c>
      <c r="B308" t="s">
        <v>909</v>
      </c>
      <c r="C308" t="s">
        <v>1273</v>
      </c>
      <c r="D308" s="2">
        <v>43588</v>
      </c>
      <c r="E308">
        <v>0.50102749999999996</v>
      </c>
      <c r="F308" s="2">
        <v>43623</v>
      </c>
      <c r="G308">
        <v>0.4916624</v>
      </c>
      <c r="H308" s="3">
        <v>-1.8700000000000001E-2</v>
      </c>
      <c r="I308">
        <v>-3781.14</v>
      </c>
      <c r="J308" s="3">
        <v>-2.07E-2</v>
      </c>
      <c r="K308">
        <v>365056</v>
      </c>
      <c r="T308" s="2"/>
      <c r="U308" s="2"/>
      <c r="V308" s="2"/>
      <c r="W308" s="2"/>
      <c r="X308" s="3"/>
      <c r="Y308" s="3"/>
      <c r="Z308" s="3"/>
      <c r="AA308" s="3"/>
      <c r="AF308" s="3"/>
      <c r="AG308" s="3"/>
      <c r="AH308" s="3"/>
    </row>
    <row r="309" spans="1:34" x14ac:dyDescent="0.25">
      <c r="A309" t="s">
        <v>448</v>
      </c>
      <c r="B309" t="s">
        <v>812</v>
      </c>
      <c r="C309" t="s">
        <v>1273</v>
      </c>
      <c r="D309" s="2">
        <v>43490</v>
      </c>
      <c r="E309">
        <v>1.98</v>
      </c>
      <c r="F309" s="2">
        <v>43588</v>
      </c>
      <c r="G309">
        <v>3.41</v>
      </c>
      <c r="H309" s="3">
        <v>0.72219999999999995</v>
      </c>
      <c r="I309">
        <v>100197.1</v>
      </c>
      <c r="J309" s="3">
        <v>0.71950000000000003</v>
      </c>
      <c r="K309">
        <v>70333</v>
      </c>
      <c r="T309" s="2"/>
      <c r="U309" s="2"/>
      <c r="V309" s="2"/>
      <c r="W309" s="2"/>
      <c r="X309" s="3"/>
      <c r="Y309" s="3"/>
      <c r="Z309" s="3"/>
      <c r="AA309" s="3"/>
      <c r="AF309" s="3"/>
      <c r="AG309" s="3"/>
      <c r="AH309" s="3"/>
    </row>
    <row r="310" spans="1:34" x14ac:dyDescent="0.25">
      <c r="A310" t="s">
        <v>264</v>
      </c>
      <c r="B310" t="s">
        <v>910</v>
      </c>
      <c r="C310" t="s">
        <v>1273</v>
      </c>
      <c r="D310" s="2">
        <v>43504</v>
      </c>
      <c r="E310">
        <v>0.74372709999999997</v>
      </c>
      <c r="F310" s="2">
        <v>43581</v>
      </c>
      <c r="G310">
        <v>0.58623190000000003</v>
      </c>
      <c r="H310" s="3">
        <v>-0.21179999999999999</v>
      </c>
      <c r="I310">
        <v>-29972.69</v>
      </c>
      <c r="J310" s="3">
        <v>-0.21360000000000001</v>
      </c>
      <c r="K310">
        <v>188715</v>
      </c>
      <c r="T310" s="2"/>
      <c r="U310" s="2"/>
      <c r="V310" s="2"/>
      <c r="W310" s="2"/>
      <c r="X310" s="3"/>
      <c r="Y310" s="3"/>
      <c r="Z310" s="3"/>
      <c r="AA310" s="3"/>
      <c r="AF310" s="3"/>
      <c r="AG310" s="3"/>
      <c r="AH310" s="3"/>
    </row>
    <row r="311" spans="1:34" x14ac:dyDescent="0.25">
      <c r="A311" t="s">
        <v>473</v>
      </c>
      <c r="B311" t="s">
        <v>911</v>
      </c>
      <c r="C311" t="s">
        <v>1273</v>
      </c>
      <c r="D311" s="2">
        <v>43280</v>
      </c>
      <c r="E311">
        <v>1.012149</v>
      </c>
      <c r="F311" s="2">
        <v>43545</v>
      </c>
      <c r="G311">
        <v>1.1599999999999999</v>
      </c>
      <c r="H311" s="3">
        <v>0.14610000000000001</v>
      </c>
      <c r="I311">
        <v>20366.919999999998</v>
      </c>
      <c r="J311" s="3">
        <v>0.1439</v>
      </c>
      <c r="K311">
        <v>139807</v>
      </c>
      <c r="T311" s="2"/>
      <c r="U311" s="2"/>
      <c r="V311" s="2"/>
      <c r="W311" s="2"/>
      <c r="X311" s="3"/>
      <c r="Y311" s="3"/>
      <c r="Z311" s="3"/>
      <c r="AA311" s="3"/>
      <c r="AF311" s="3"/>
      <c r="AG311" s="3"/>
      <c r="AH311" s="3"/>
    </row>
    <row r="312" spans="1:34" x14ac:dyDescent="0.25">
      <c r="A312" t="s">
        <v>244</v>
      </c>
      <c r="B312" t="s">
        <v>874</v>
      </c>
      <c r="C312" t="s">
        <v>1273</v>
      </c>
      <c r="D312" s="2">
        <v>43301</v>
      </c>
      <c r="E312">
        <v>1.39</v>
      </c>
      <c r="F312" s="2">
        <v>43511</v>
      </c>
      <c r="G312">
        <v>1.0449999999999999</v>
      </c>
      <c r="H312" s="3">
        <v>-0.2482</v>
      </c>
      <c r="I312">
        <v>-35009.29</v>
      </c>
      <c r="J312" s="3">
        <v>-0.25</v>
      </c>
      <c r="K312">
        <v>100765</v>
      </c>
      <c r="T312" s="2"/>
      <c r="U312" s="2"/>
      <c r="V312" s="2"/>
      <c r="W312" s="2"/>
      <c r="X312" s="3"/>
      <c r="Y312" s="3"/>
      <c r="Z312" s="3"/>
      <c r="AA312" s="3"/>
      <c r="AF312" s="3"/>
      <c r="AG312" s="3"/>
      <c r="AH312" s="3"/>
    </row>
    <row r="313" spans="1:34" x14ac:dyDescent="0.25">
      <c r="A313" t="s">
        <v>474</v>
      </c>
      <c r="B313" t="s">
        <v>912</v>
      </c>
      <c r="C313" t="s">
        <v>1273</v>
      </c>
      <c r="D313" s="2">
        <v>43490</v>
      </c>
      <c r="E313">
        <v>5.3113720000000004</v>
      </c>
      <c r="F313" s="2">
        <v>43507</v>
      </c>
      <c r="G313">
        <v>5.3596570000000003</v>
      </c>
      <c r="H313" s="3">
        <v>9.1000000000000004E-3</v>
      </c>
      <c r="I313">
        <v>986.58</v>
      </c>
      <c r="J313" s="3">
        <v>7.1000000000000004E-3</v>
      </c>
      <c r="K313">
        <v>26229</v>
      </c>
      <c r="T313" s="2"/>
      <c r="U313" s="2"/>
      <c r="V313" s="2"/>
      <c r="W313" s="2"/>
      <c r="X313" s="3"/>
      <c r="Y313" s="3"/>
      <c r="Z313" s="3"/>
      <c r="AA313" s="3"/>
      <c r="AF313" s="3"/>
      <c r="AG313" s="3"/>
      <c r="AH313" s="3"/>
    </row>
    <row r="314" spans="1:34" x14ac:dyDescent="0.25">
      <c r="A314" t="s">
        <v>265</v>
      </c>
      <c r="B314" t="s">
        <v>913</v>
      </c>
      <c r="C314" t="s">
        <v>1273</v>
      </c>
      <c r="D314" s="2">
        <v>43315</v>
      </c>
      <c r="E314">
        <v>5.1805880000000002</v>
      </c>
      <c r="F314" s="2">
        <v>43462</v>
      </c>
      <c r="G314">
        <v>3.668663</v>
      </c>
      <c r="H314" s="3">
        <v>-0.2918</v>
      </c>
      <c r="I314">
        <v>-40356.79</v>
      </c>
      <c r="J314" s="3">
        <v>-0.29360000000000003</v>
      </c>
      <c r="K314">
        <v>26537</v>
      </c>
      <c r="T314" s="2"/>
      <c r="U314" s="2"/>
      <c r="V314" s="2"/>
      <c r="W314" s="2"/>
      <c r="X314" s="3"/>
      <c r="Y314" s="3"/>
      <c r="Z314" s="3"/>
      <c r="AA314" s="3"/>
      <c r="AF314" s="3"/>
      <c r="AG314" s="3"/>
      <c r="AH314" s="3"/>
    </row>
    <row r="315" spans="1:34" x14ac:dyDescent="0.25">
      <c r="A315" t="s">
        <v>475</v>
      </c>
      <c r="B315" t="s">
        <v>914</v>
      </c>
      <c r="C315" t="s">
        <v>1273</v>
      </c>
      <c r="D315" s="2">
        <v>43343</v>
      </c>
      <c r="E315">
        <v>6.7713070000000002</v>
      </c>
      <c r="F315" s="2">
        <v>43434</v>
      </c>
      <c r="G315">
        <v>7.3332800000000002</v>
      </c>
      <c r="H315" s="3">
        <v>8.3000000000000004E-2</v>
      </c>
      <c r="I315">
        <v>11602.21</v>
      </c>
      <c r="J315" s="3">
        <v>8.09E-2</v>
      </c>
      <c r="K315">
        <v>21177</v>
      </c>
      <c r="T315" s="2"/>
      <c r="U315" s="2"/>
      <c r="V315" s="2"/>
      <c r="W315" s="2"/>
      <c r="X315" s="3"/>
      <c r="Y315" s="3"/>
      <c r="Z315" s="3"/>
      <c r="AA315" s="3"/>
      <c r="AF315" s="3"/>
      <c r="AG315" s="3"/>
      <c r="AH315" s="3"/>
    </row>
    <row r="316" spans="1:34" x14ac:dyDescent="0.25">
      <c r="A316" t="s">
        <v>266</v>
      </c>
      <c r="B316" t="s">
        <v>915</v>
      </c>
      <c r="C316" t="s">
        <v>1273</v>
      </c>
      <c r="D316" s="2">
        <v>43224</v>
      </c>
      <c r="E316">
        <v>1.2716430000000001</v>
      </c>
      <c r="F316" s="2">
        <v>43427</v>
      </c>
      <c r="G316">
        <v>1.339377</v>
      </c>
      <c r="H316" s="3">
        <v>5.33E-2</v>
      </c>
      <c r="I316">
        <v>6959.37</v>
      </c>
      <c r="J316" s="3">
        <v>5.1200000000000002E-2</v>
      </c>
      <c r="K316">
        <v>106865</v>
      </c>
      <c r="T316" s="2"/>
      <c r="U316" s="2"/>
      <c r="V316" s="2"/>
      <c r="W316" s="2"/>
      <c r="X316" s="3"/>
      <c r="Y316" s="3"/>
      <c r="Z316" s="3"/>
      <c r="AA316" s="3"/>
      <c r="AF316" s="3"/>
      <c r="AG316" s="3"/>
      <c r="AH316" s="3"/>
    </row>
    <row r="317" spans="1:34" x14ac:dyDescent="0.25">
      <c r="A317" t="s">
        <v>139</v>
      </c>
      <c r="B317" t="s">
        <v>731</v>
      </c>
      <c r="C317" t="s">
        <v>1273</v>
      </c>
      <c r="D317" s="2">
        <v>43322</v>
      </c>
      <c r="E317">
        <v>1.473341</v>
      </c>
      <c r="F317" s="2">
        <v>43406</v>
      </c>
      <c r="G317">
        <v>1.823788</v>
      </c>
      <c r="H317" s="3">
        <v>0.2379</v>
      </c>
      <c r="I317">
        <v>32268.97</v>
      </c>
      <c r="J317" s="3">
        <v>0.2356</v>
      </c>
      <c r="K317">
        <v>92954</v>
      </c>
      <c r="T317" s="2"/>
      <c r="U317" s="2"/>
      <c r="V317" s="2"/>
      <c r="W317" s="2"/>
      <c r="X317" s="3"/>
      <c r="Y317" s="3"/>
      <c r="Z317" s="3"/>
      <c r="AA317" s="3"/>
      <c r="AF317" s="3"/>
      <c r="AG317" s="3"/>
      <c r="AH317" s="3"/>
    </row>
    <row r="318" spans="1:34" x14ac:dyDescent="0.25">
      <c r="A318" t="s">
        <v>259</v>
      </c>
      <c r="B318" t="s">
        <v>903</v>
      </c>
      <c r="C318" t="s">
        <v>1273</v>
      </c>
      <c r="D318" s="2">
        <v>43231</v>
      </c>
      <c r="E318">
        <v>3.5878380000000001</v>
      </c>
      <c r="F318" s="2">
        <v>43406</v>
      </c>
      <c r="G318">
        <v>5.4386279999999996</v>
      </c>
      <c r="H318" s="3">
        <v>0.51590000000000003</v>
      </c>
      <c r="I318">
        <v>71244.94</v>
      </c>
      <c r="J318" s="3">
        <v>0.51329999999999998</v>
      </c>
      <c r="K318">
        <v>38683</v>
      </c>
      <c r="T318" s="2"/>
      <c r="U318" s="2"/>
      <c r="V318" s="2"/>
      <c r="W318" s="2"/>
      <c r="X318" s="3"/>
      <c r="Y318" s="3"/>
      <c r="Z318" s="3"/>
      <c r="AA318" s="3"/>
      <c r="AF318" s="3"/>
      <c r="AG318" s="3"/>
      <c r="AH318" s="3"/>
    </row>
    <row r="319" spans="1:34" x14ac:dyDescent="0.25">
      <c r="A319" t="s">
        <v>180</v>
      </c>
      <c r="B319" t="s">
        <v>777</v>
      </c>
      <c r="C319" t="s">
        <v>1273</v>
      </c>
      <c r="D319" s="2">
        <v>43231</v>
      </c>
      <c r="E319">
        <v>1.9765999999999999</v>
      </c>
      <c r="F319" s="2">
        <v>43399</v>
      </c>
      <c r="G319">
        <v>2.7208869999999998</v>
      </c>
      <c r="H319" s="3">
        <v>0.3765</v>
      </c>
      <c r="I319">
        <v>51950.99</v>
      </c>
      <c r="J319" s="3">
        <v>0.37419999999999998</v>
      </c>
      <c r="K319">
        <v>70243</v>
      </c>
      <c r="T319" s="2"/>
      <c r="U319" s="2"/>
      <c r="V319" s="2"/>
      <c r="W319" s="2"/>
      <c r="X319" s="3"/>
      <c r="Y319" s="3"/>
      <c r="Z319" s="3"/>
      <c r="AA319" s="3"/>
      <c r="AF319" s="3"/>
      <c r="AG319" s="3"/>
      <c r="AH319" s="3"/>
    </row>
    <row r="320" spans="1:34" x14ac:dyDescent="0.25">
      <c r="A320" t="s">
        <v>103</v>
      </c>
      <c r="B320" t="s">
        <v>818</v>
      </c>
      <c r="C320" t="s">
        <v>1273</v>
      </c>
      <c r="D320" s="2">
        <v>43343</v>
      </c>
      <c r="E320">
        <v>1.3959809999999999</v>
      </c>
      <c r="F320" s="2">
        <v>43392</v>
      </c>
      <c r="G320">
        <v>1.4437390000000001</v>
      </c>
      <c r="H320" s="3">
        <v>3.4200000000000001E-2</v>
      </c>
      <c r="I320">
        <v>4614.63</v>
      </c>
      <c r="J320" s="3">
        <v>3.2199999999999999E-2</v>
      </c>
      <c r="K320">
        <v>102734</v>
      </c>
      <c r="T320" s="2"/>
      <c r="U320" s="2"/>
      <c r="V320" s="2"/>
      <c r="W320" s="2"/>
      <c r="X320" s="3"/>
      <c r="Y320" s="3"/>
      <c r="Z320" s="3"/>
      <c r="AA320" s="3"/>
      <c r="AF320" s="3"/>
      <c r="AG320" s="3"/>
      <c r="AH320" s="3"/>
    </row>
    <row r="321" spans="1:34" x14ac:dyDescent="0.25">
      <c r="A321" t="s">
        <v>267</v>
      </c>
      <c r="B321" t="s">
        <v>916</v>
      </c>
      <c r="C321" t="s">
        <v>1273</v>
      </c>
      <c r="D321" s="2">
        <v>43308</v>
      </c>
      <c r="E321">
        <v>0.53500000000000003</v>
      </c>
      <c r="F321" s="2">
        <v>43392</v>
      </c>
      <c r="G321">
        <v>0.42499999999999999</v>
      </c>
      <c r="H321" s="3">
        <v>-0.2056</v>
      </c>
      <c r="I321">
        <v>-29177.71</v>
      </c>
      <c r="J321" s="3">
        <v>-0.2074</v>
      </c>
      <c r="K321">
        <v>262957</v>
      </c>
      <c r="T321" s="2"/>
      <c r="U321" s="2"/>
      <c r="V321" s="2"/>
      <c r="W321" s="2"/>
      <c r="X321" s="3"/>
      <c r="Y321" s="3"/>
      <c r="Z321" s="3"/>
      <c r="AA321" s="3"/>
      <c r="AF321" s="3"/>
      <c r="AG321" s="3"/>
      <c r="AH321" s="3"/>
    </row>
    <row r="322" spans="1:34" x14ac:dyDescent="0.25">
      <c r="A322" t="s">
        <v>200</v>
      </c>
      <c r="B322" t="s">
        <v>806</v>
      </c>
      <c r="C322" t="s">
        <v>1273</v>
      </c>
      <c r="D322" s="2">
        <v>43280</v>
      </c>
      <c r="E322">
        <v>0.81594230000000001</v>
      </c>
      <c r="F322" s="2">
        <v>43392</v>
      </c>
      <c r="G322">
        <v>0.87870709999999996</v>
      </c>
      <c r="H322" s="3">
        <v>7.6899999999999996E-2</v>
      </c>
      <c r="I322">
        <v>10590.11</v>
      </c>
      <c r="J322" s="3">
        <v>7.4800000000000005E-2</v>
      </c>
      <c r="K322">
        <v>173409</v>
      </c>
      <c r="T322" s="2"/>
      <c r="U322" s="2"/>
      <c r="V322" s="2"/>
      <c r="W322" s="2"/>
      <c r="X322" s="3"/>
      <c r="Y322" s="3"/>
      <c r="Z322" s="3"/>
      <c r="AA322" s="3"/>
      <c r="AF322" s="3"/>
      <c r="AG322" s="3"/>
      <c r="AH322" s="3"/>
    </row>
    <row r="323" spans="1:34" x14ac:dyDescent="0.25">
      <c r="A323" t="s">
        <v>264</v>
      </c>
      <c r="B323" t="s">
        <v>910</v>
      </c>
      <c r="C323" t="s">
        <v>1273</v>
      </c>
      <c r="D323" s="2">
        <v>43259</v>
      </c>
      <c r="E323">
        <v>0.54685819999999996</v>
      </c>
      <c r="F323" s="2">
        <v>43392</v>
      </c>
      <c r="G323">
        <v>0.57748219999999995</v>
      </c>
      <c r="H323" s="3">
        <v>5.6000000000000001E-2</v>
      </c>
      <c r="I323">
        <v>7700.47</v>
      </c>
      <c r="J323" s="3">
        <v>5.3900000000000003E-2</v>
      </c>
      <c r="K323">
        <v>261036</v>
      </c>
      <c r="T323" s="2"/>
      <c r="U323" s="2"/>
      <c r="V323" s="2"/>
      <c r="W323" s="2"/>
      <c r="X323" s="3"/>
      <c r="Y323" s="3"/>
      <c r="Z323" s="3"/>
      <c r="AA323" s="3"/>
      <c r="AF323" s="3"/>
      <c r="AG323" s="3"/>
      <c r="AH323" s="3"/>
    </row>
    <row r="324" spans="1:34" x14ac:dyDescent="0.25">
      <c r="A324" t="s">
        <v>167</v>
      </c>
      <c r="B324" t="s">
        <v>761</v>
      </c>
      <c r="C324" t="s">
        <v>1273</v>
      </c>
      <c r="D324" s="2">
        <v>43238</v>
      </c>
      <c r="E324">
        <v>1.7076169999999999</v>
      </c>
      <c r="F324" s="2">
        <v>43392</v>
      </c>
      <c r="G324">
        <v>2.019231</v>
      </c>
      <c r="H324" s="3">
        <v>0.1825</v>
      </c>
      <c r="I324">
        <v>25471.200000000001</v>
      </c>
      <c r="J324" s="3">
        <v>0.18029999999999999</v>
      </c>
      <c r="K324">
        <v>82729</v>
      </c>
      <c r="T324" s="2"/>
      <c r="U324" s="2"/>
      <c r="V324" s="2"/>
      <c r="W324" s="2"/>
      <c r="X324" s="3"/>
      <c r="Y324" s="3"/>
      <c r="Z324" s="3"/>
      <c r="AA324" s="3"/>
      <c r="AF324" s="3"/>
      <c r="AG324" s="3"/>
      <c r="AH324" s="3"/>
    </row>
    <row r="325" spans="1:34" x14ac:dyDescent="0.25">
      <c r="A325" t="s">
        <v>110</v>
      </c>
      <c r="B325" t="s">
        <v>775</v>
      </c>
      <c r="C325" t="s">
        <v>1273</v>
      </c>
      <c r="D325" s="2">
        <v>43322</v>
      </c>
      <c r="E325">
        <v>1.644687</v>
      </c>
      <c r="F325" s="2">
        <v>43371</v>
      </c>
      <c r="G325">
        <v>1.5360290000000001</v>
      </c>
      <c r="H325" s="3">
        <v>-6.6100000000000006E-2</v>
      </c>
      <c r="I325">
        <v>-9313.7000000000007</v>
      </c>
      <c r="J325" s="3">
        <v>-6.8000000000000005E-2</v>
      </c>
      <c r="K325">
        <v>83278</v>
      </c>
      <c r="T325" s="2"/>
      <c r="U325" s="2"/>
      <c r="V325" s="2"/>
      <c r="W325" s="2"/>
      <c r="X325" s="3"/>
      <c r="Y325" s="3"/>
      <c r="Z325" s="3"/>
      <c r="AA325" s="3"/>
      <c r="AF325" s="3"/>
      <c r="AG325" s="3"/>
      <c r="AH325" s="3"/>
    </row>
    <row r="326" spans="1:34" x14ac:dyDescent="0.25">
      <c r="A326" t="s">
        <v>206</v>
      </c>
      <c r="B326" t="s">
        <v>817</v>
      </c>
      <c r="C326" t="s">
        <v>1273</v>
      </c>
      <c r="D326" s="2">
        <v>43238</v>
      </c>
      <c r="E326">
        <v>9.1760920000000006</v>
      </c>
      <c r="F326" s="2">
        <v>43364</v>
      </c>
      <c r="G326">
        <v>7.9685519999999999</v>
      </c>
      <c r="H326" s="3">
        <v>-0.13159999999999999</v>
      </c>
      <c r="I326">
        <v>-18856.439999999999</v>
      </c>
      <c r="J326" s="3">
        <v>-0.13350000000000001</v>
      </c>
      <c r="K326">
        <v>15397</v>
      </c>
      <c r="T326" s="2"/>
      <c r="U326" s="2"/>
      <c r="V326" s="2"/>
      <c r="W326" s="2"/>
      <c r="X326" s="3"/>
      <c r="Y326" s="3"/>
      <c r="Z326" s="3"/>
      <c r="AA326" s="3"/>
      <c r="AF326" s="3"/>
      <c r="AG326" s="3"/>
      <c r="AH326" s="3"/>
    </row>
    <row r="327" spans="1:34" x14ac:dyDescent="0.25">
      <c r="A327" t="s">
        <v>268</v>
      </c>
      <c r="B327" t="s">
        <v>917</v>
      </c>
      <c r="C327" t="s">
        <v>1273</v>
      </c>
      <c r="D327" s="2">
        <v>43224</v>
      </c>
      <c r="E327">
        <v>2.1584379999999999</v>
      </c>
      <c r="F327" s="2">
        <v>43357</v>
      </c>
      <c r="G327">
        <v>2.6091009999999999</v>
      </c>
      <c r="H327" s="3">
        <v>0.20880000000000001</v>
      </c>
      <c r="I327">
        <v>28067.78</v>
      </c>
      <c r="J327" s="3">
        <v>0.20660000000000001</v>
      </c>
      <c r="K327">
        <v>62947</v>
      </c>
      <c r="T327" s="2"/>
      <c r="U327" s="2"/>
      <c r="V327" s="2"/>
      <c r="W327" s="2"/>
      <c r="X327" s="3"/>
      <c r="Y327" s="3"/>
      <c r="Z327" s="3"/>
      <c r="AA327" s="3"/>
      <c r="AF327" s="3"/>
      <c r="AG327" s="3"/>
      <c r="AH327" s="3"/>
    </row>
    <row r="328" spans="1:34" x14ac:dyDescent="0.25">
      <c r="A328" t="s">
        <v>145</v>
      </c>
      <c r="B328" t="s">
        <v>737</v>
      </c>
      <c r="C328" t="s">
        <v>1273</v>
      </c>
      <c r="D328" s="2">
        <v>42874</v>
      </c>
      <c r="E328">
        <v>1.1037699999999999</v>
      </c>
      <c r="F328" s="2">
        <v>43357</v>
      </c>
      <c r="G328">
        <v>2.1504650000000001</v>
      </c>
      <c r="H328" s="3">
        <v>0.94830000000000003</v>
      </c>
      <c r="I328">
        <v>110744.54</v>
      </c>
      <c r="J328" s="3">
        <v>0.94530000000000003</v>
      </c>
      <c r="K328">
        <v>106134</v>
      </c>
      <c r="T328" s="2"/>
      <c r="U328" s="2"/>
      <c r="V328" s="2"/>
      <c r="W328" s="2"/>
      <c r="X328" s="3"/>
      <c r="Y328" s="3"/>
      <c r="Z328" s="3"/>
      <c r="AA328" s="3"/>
      <c r="AF328" s="3"/>
      <c r="AG328" s="3"/>
      <c r="AH328" s="3"/>
    </row>
    <row r="329" spans="1:34" x14ac:dyDescent="0.25">
      <c r="A329" t="s">
        <v>156</v>
      </c>
      <c r="B329" t="s">
        <v>750</v>
      </c>
      <c r="C329" t="s">
        <v>1273</v>
      </c>
      <c r="D329" s="2">
        <v>43224</v>
      </c>
      <c r="E329">
        <v>1.5280050000000001</v>
      </c>
      <c r="F329" s="2">
        <v>43329</v>
      </c>
      <c r="G329">
        <v>1.470272</v>
      </c>
      <c r="H329" s="3">
        <v>-3.78E-2</v>
      </c>
      <c r="I329">
        <v>-5400.65</v>
      </c>
      <c r="J329" s="3">
        <v>-3.9699999999999999E-2</v>
      </c>
      <c r="K329">
        <v>88927</v>
      </c>
      <c r="T329" s="2"/>
      <c r="U329" s="2"/>
      <c r="V329" s="2"/>
      <c r="W329" s="2"/>
      <c r="X329" s="3"/>
      <c r="Y329" s="3"/>
      <c r="Z329" s="3"/>
      <c r="AA329" s="3"/>
      <c r="AF329" s="3"/>
      <c r="AG329" s="3"/>
      <c r="AH329" s="3"/>
    </row>
    <row r="330" spans="1:34" x14ac:dyDescent="0.25">
      <c r="A330" t="s">
        <v>191</v>
      </c>
      <c r="B330" t="s">
        <v>794</v>
      </c>
      <c r="C330" t="s">
        <v>1273</v>
      </c>
      <c r="D330" s="2">
        <v>43231</v>
      </c>
      <c r="E330">
        <v>0.52403370000000005</v>
      </c>
      <c r="F330" s="2">
        <v>43329</v>
      </c>
      <c r="G330">
        <v>0.44271820000000001</v>
      </c>
      <c r="H330" s="3">
        <v>-0.1552</v>
      </c>
      <c r="I330">
        <v>-21796.57</v>
      </c>
      <c r="J330" s="3">
        <v>-0.157</v>
      </c>
      <c r="K330">
        <v>264900</v>
      </c>
      <c r="T330" s="2"/>
      <c r="U330" s="2"/>
      <c r="V330" s="2"/>
      <c r="W330" s="2"/>
      <c r="X330" s="3"/>
      <c r="Y330" s="3"/>
      <c r="Z330" s="3"/>
      <c r="AA330" s="3"/>
      <c r="AF330" s="3"/>
      <c r="AG330" s="3"/>
      <c r="AH330" s="3"/>
    </row>
    <row r="331" spans="1:34" x14ac:dyDescent="0.25">
      <c r="A331" t="s">
        <v>73</v>
      </c>
      <c r="B331" t="s">
        <v>918</v>
      </c>
      <c r="C331" t="s">
        <v>1273</v>
      </c>
      <c r="D331" s="2">
        <v>43231</v>
      </c>
      <c r="E331">
        <v>6.9348999999999998</v>
      </c>
      <c r="F331" s="2">
        <v>43322</v>
      </c>
      <c r="G331">
        <v>6.6557040000000001</v>
      </c>
      <c r="H331" s="3">
        <v>-4.0300000000000002E-2</v>
      </c>
      <c r="I331">
        <v>-5858.39</v>
      </c>
      <c r="J331" s="3">
        <v>-4.2200000000000001E-2</v>
      </c>
      <c r="K331">
        <v>20009</v>
      </c>
      <c r="T331" s="2"/>
      <c r="U331" s="2"/>
      <c r="V331" s="2"/>
      <c r="W331" s="2"/>
      <c r="X331" s="3"/>
      <c r="Y331" s="3"/>
      <c r="Z331" s="3"/>
      <c r="AA331" s="3"/>
      <c r="AF331" s="3"/>
      <c r="AG331" s="3"/>
      <c r="AH331" s="3"/>
    </row>
    <row r="332" spans="1:34" x14ac:dyDescent="0.25">
      <c r="A332" t="s">
        <v>476</v>
      </c>
      <c r="B332" t="s">
        <v>919</v>
      </c>
      <c r="C332" t="s">
        <v>1273</v>
      </c>
      <c r="D332" s="2">
        <v>43224</v>
      </c>
      <c r="E332">
        <v>0.55000000000000004</v>
      </c>
      <c r="F332" s="2">
        <v>43315</v>
      </c>
      <c r="G332">
        <v>0.54500000000000004</v>
      </c>
      <c r="H332" s="3">
        <v>-9.1000000000000004E-3</v>
      </c>
      <c r="I332">
        <v>-1506.25</v>
      </c>
      <c r="J332" s="3">
        <v>-1.11E-2</v>
      </c>
      <c r="K332">
        <v>247128</v>
      </c>
      <c r="T332" s="2"/>
      <c r="U332" s="2"/>
      <c r="V332" s="2"/>
      <c r="W332" s="2"/>
      <c r="X332" s="3"/>
      <c r="Y332" s="3"/>
      <c r="Z332" s="3"/>
      <c r="AA332" s="3"/>
      <c r="AF332" s="3"/>
      <c r="AG332" s="3"/>
      <c r="AH332" s="3"/>
    </row>
    <row r="333" spans="1:34" x14ac:dyDescent="0.25">
      <c r="A333" t="s">
        <v>477</v>
      </c>
      <c r="B333" t="s">
        <v>920</v>
      </c>
      <c r="C333" t="s">
        <v>1273</v>
      </c>
      <c r="D333" s="2">
        <v>43224</v>
      </c>
      <c r="E333">
        <v>1.4850000000000001</v>
      </c>
      <c r="F333" s="2">
        <v>43312</v>
      </c>
      <c r="G333">
        <v>1.7450000000000001</v>
      </c>
      <c r="H333" s="3">
        <v>0.17510000000000001</v>
      </c>
      <c r="I333">
        <v>23499.59</v>
      </c>
      <c r="J333" s="3">
        <v>0.1729</v>
      </c>
      <c r="K333">
        <v>91520</v>
      </c>
      <c r="T333" s="2"/>
      <c r="U333" s="2"/>
      <c r="V333" s="2"/>
      <c r="W333" s="2"/>
      <c r="X333" s="3"/>
      <c r="Y333" s="3"/>
      <c r="Z333" s="3"/>
      <c r="AA333" s="3"/>
      <c r="AF333" s="3"/>
      <c r="AG333" s="3"/>
      <c r="AH333" s="3"/>
    </row>
    <row r="334" spans="1:34" x14ac:dyDescent="0.25">
      <c r="A334" t="s">
        <v>478</v>
      </c>
      <c r="B334" t="s">
        <v>921</v>
      </c>
      <c r="C334" t="s">
        <v>1273</v>
      </c>
      <c r="D334" s="2">
        <v>42706</v>
      </c>
      <c r="E334">
        <v>1.240013</v>
      </c>
      <c r="F334" s="2">
        <v>43308</v>
      </c>
      <c r="G334">
        <v>1.2533840000000001</v>
      </c>
      <c r="H334" s="3">
        <v>1.0800000000000001E-2</v>
      </c>
      <c r="I334">
        <v>1031.1199999999999</v>
      </c>
      <c r="J334" s="3">
        <v>8.8000000000000005E-3</v>
      </c>
      <c r="K334">
        <v>94793</v>
      </c>
      <c r="T334" s="2"/>
      <c r="U334" s="2"/>
      <c r="V334" s="2"/>
      <c r="W334" s="2"/>
      <c r="X334" s="3"/>
      <c r="Y334" s="3"/>
      <c r="Z334" s="3"/>
      <c r="AA334" s="3"/>
      <c r="AF334" s="3"/>
      <c r="AG334" s="3"/>
      <c r="AH334" s="3"/>
    </row>
    <row r="335" spans="1:34" x14ac:dyDescent="0.25">
      <c r="A335" t="s">
        <v>212</v>
      </c>
      <c r="B335" t="s">
        <v>829</v>
      </c>
      <c r="C335" t="s">
        <v>1273</v>
      </c>
      <c r="D335" s="2">
        <v>42972</v>
      </c>
      <c r="E335">
        <v>1.132849</v>
      </c>
      <c r="F335" s="2">
        <v>43294</v>
      </c>
      <c r="G335">
        <v>1.177311</v>
      </c>
      <c r="H335" s="3">
        <v>3.9199999999999999E-2</v>
      </c>
      <c r="I335">
        <v>4347.5</v>
      </c>
      <c r="J335" s="3">
        <v>3.7199999999999997E-2</v>
      </c>
      <c r="K335">
        <v>103139</v>
      </c>
      <c r="T335" s="2"/>
      <c r="U335" s="2"/>
      <c r="V335" s="2"/>
      <c r="W335" s="2"/>
      <c r="X335" s="3"/>
      <c r="Y335" s="3"/>
      <c r="Z335" s="3"/>
      <c r="AA335" s="3"/>
      <c r="AF335" s="3"/>
      <c r="AG335" s="3"/>
      <c r="AH335" s="3"/>
    </row>
    <row r="336" spans="1:34" x14ac:dyDescent="0.25">
      <c r="A336" t="s">
        <v>479</v>
      </c>
      <c r="B336" t="s">
        <v>922</v>
      </c>
      <c r="C336" t="s">
        <v>1273</v>
      </c>
      <c r="D336" s="2">
        <v>43231</v>
      </c>
      <c r="E336">
        <v>1.4950000000000001</v>
      </c>
      <c r="F336" s="2">
        <v>43287</v>
      </c>
      <c r="G336">
        <v>0.99</v>
      </c>
      <c r="H336" s="3">
        <v>-0.33779999999999999</v>
      </c>
      <c r="I336">
        <v>-47126.07</v>
      </c>
      <c r="J336" s="3">
        <v>-0.33950000000000002</v>
      </c>
      <c r="K336">
        <v>92862</v>
      </c>
      <c r="T336" s="2"/>
      <c r="U336" s="2"/>
      <c r="V336" s="2"/>
      <c r="W336" s="2"/>
      <c r="X336" s="3"/>
      <c r="Y336" s="3"/>
      <c r="Z336" s="3"/>
      <c r="AA336" s="3"/>
      <c r="AF336" s="3"/>
      <c r="AG336" s="3"/>
      <c r="AH336" s="3"/>
    </row>
    <row r="337" spans="1:34" x14ac:dyDescent="0.25">
      <c r="A337" t="s">
        <v>227</v>
      </c>
      <c r="B337" t="s">
        <v>850</v>
      </c>
      <c r="C337" t="s">
        <v>1273</v>
      </c>
      <c r="D337" s="2">
        <v>43098</v>
      </c>
      <c r="E337">
        <v>3.2484649999999999</v>
      </c>
      <c r="F337" s="2">
        <v>43280</v>
      </c>
      <c r="G337">
        <v>2.7463869999999999</v>
      </c>
      <c r="H337" s="3">
        <v>-0.15459999999999999</v>
      </c>
      <c r="I337">
        <v>-21394.44</v>
      </c>
      <c r="J337" s="3">
        <v>-0.15640000000000001</v>
      </c>
      <c r="K337">
        <v>42109</v>
      </c>
      <c r="T337" s="2"/>
      <c r="U337" s="2"/>
      <c r="V337" s="2"/>
      <c r="W337" s="2"/>
      <c r="X337" s="3"/>
      <c r="Y337" s="3"/>
      <c r="Z337" s="3"/>
      <c r="AA337" s="3"/>
      <c r="AF337" s="3"/>
      <c r="AG337" s="3"/>
      <c r="AH337" s="3"/>
    </row>
    <row r="338" spans="1:34" x14ac:dyDescent="0.25">
      <c r="A338" t="s">
        <v>27</v>
      </c>
      <c r="B338" t="s">
        <v>923</v>
      </c>
      <c r="C338" t="s">
        <v>1273</v>
      </c>
      <c r="D338" s="2">
        <v>43231</v>
      </c>
      <c r="E338">
        <v>2.5542699999999998</v>
      </c>
      <c r="F338" s="2">
        <v>43280</v>
      </c>
      <c r="G338">
        <v>2.494405</v>
      </c>
      <c r="H338" s="3">
        <v>-2.3400000000000001E-2</v>
      </c>
      <c r="I338">
        <v>-3526.82</v>
      </c>
      <c r="J338" s="3">
        <v>-2.5399999999999999E-2</v>
      </c>
      <c r="K338">
        <v>54331</v>
      </c>
      <c r="T338" s="2"/>
      <c r="U338" s="2"/>
      <c r="V338" s="2"/>
      <c r="W338" s="2"/>
      <c r="X338" s="3"/>
      <c r="Y338" s="3"/>
      <c r="Z338" s="3"/>
      <c r="AA338" s="3"/>
      <c r="AF338" s="3"/>
      <c r="AG338" s="3"/>
      <c r="AH338" s="3"/>
    </row>
    <row r="339" spans="1:34" x14ac:dyDescent="0.25">
      <c r="A339" t="s">
        <v>480</v>
      </c>
      <c r="B339" t="s">
        <v>924</v>
      </c>
      <c r="C339" t="s">
        <v>1273</v>
      </c>
      <c r="D339" s="2">
        <v>43231</v>
      </c>
      <c r="E339">
        <v>1.7250000000000001</v>
      </c>
      <c r="F339" s="2">
        <v>43256</v>
      </c>
      <c r="G339">
        <v>1.74</v>
      </c>
      <c r="H339" s="3">
        <v>8.6999999999999994E-3</v>
      </c>
      <c r="I339">
        <v>928.52</v>
      </c>
      <c r="J339" s="3">
        <v>6.7000000000000002E-3</v>
      </c>
      <c r="K339">
        <v>80496</v>
      </c>
      <c r="T339" s="2"/>
      <c r="U339" s="2"/>
      <c r="V339" s="2"/>
      <c r="W339" s="2"/>
      <c r="X339" s="3"/>
      <c r="Y339" s="3"/>
      <c r="Z339" s="3"/>
      <c r="AA339" s="3"/>
      <c r="AF339" s="3"/>
      <c r="AG339" s="3"/>
      <c r="AH339" s="3"/>
    </row>
    <row r="340" spans="1:34" x14ac:dyDescent="0.25">
      <c r="A340" t="s">
        <v>82</v>
      </c>
      <c r="B340" t="s">
        <v>925</v>
      </c>
      <c r="C340" t="s">
        <v>1273</v>
      </c>
      <c r="D340" s="2">
        <v>43231</v>
      </c>
      <c r="E340">
        <v>7.7288579999999998</v>
      </c>
      <c r="F340" s="2">
        <v>43252</v>
      </c>
      <c r="G340">
        <v>8.1705070000000006</v>
      </c>
      <c r="H340" s="3">
        <v>5.7099999999999998E-2</v>
      </c>
      <c r="I340">
        <v>7646.09</v>
      </c>
      <c r="J340" s="3">
        <v>5.5100000000000003E-2</v>
      </c>
      <c r="K340">
        <v>17959</v>
      </c>
      <c r="T340" s="2"/>
      <c r="U340" s="2"/>
      <c r="V340" s="2"/>
      <c r="W340" s="2"/>
      <c r="X340" s="3"/>
      <c r="Y340" s="3"/>
      <c r="Z340" s="3"/>
      <c r="AA340" s="3"/>
      <c r="AF340" s="3"/>
      <c r="AG340" s="3"/>
      <c r="AH340" s="3"/>
    </row>
    <row r="341" spans="1:34" x14ac:dyDescent="0.25">
      <c r="A341" t="s">
        <v>252</v>
      </c>
      <c r="B341" t="s">
        <v>892</v>
      </c>
      <c r="C341" t="s">
        <v>1273</v>
      </c>
      <c r="D341" s="2">
        <v>42720</v>
      </c>
      <c r="E341">
        <v>0.79191940000000005</v>
      </c>
      <c r="F341" s="2">
        <v>43231</v>
      </c>
      <c r="G341">
        <v>0.91220619999999997</v>
      </c>
      <c r="H341" s="3">
        <v>0.15190000000000001</v>
      </c>
      <c r="I341">
        <v>17464.03</v>
      </c>
      <c r="J341" s="3">
        <v>0.1497</v>
      </c>
      <c r="K341">
        <v>147273</v>
      </c>
      <c r="T341" s="2"/>
      <c r="U341" s="2"/>
      <c r="V341" s="2"/>
      <c r="W341" s="2"/>
      <c r="X341" s="3"/>
      <c r="Y341" s="3"/>
      <c r="Z341" s="3"/>
      <c r="AA341" s="3"/>
      <c r="AF341" s="3"/>
      <c r="AG341" s="3"/>
      <c r="AH341" s="3"/>
    </row>
    <row r="342" spans="1:34" x14ac:dyDescent="0.25">
      <c r="A342" t="s">
        <v>481</v>
      </c>
      <c r="B342" t="s">
        <v>926</v>
      </c>
      <c r="C342" t="s">
        <v>1273</v>
      </c>
      <c r="D342" s="2">
        <v>43084</v>
      </c>
      <c r="E342">
        <v>2.7988409999999999</v>
      </c>
      <c r="F342" s="2">
        <v>43231</v>
      </c>
      <c r="G342">
        <v>2.8483040000000002</v>
      </c>
      <c r="H342" s="3">
        <v>1.77E-2</v>
      </c>
      <c r="I342">
        <v>2039.28</v>
      </c>
      <c r="J342" s="3">
        <v>1.5699999999999999E-2</v>
      </c>
      <c r="K342">
        <v>46542</v>
      </c>
      <c r="T342" s="2"/>
      <c r="U342" s="2"/>
      <c r="V342" s="2"/>
      <c r="W342" s="2"/>
      <c r="X342" s="3"/>
      <c r="Y342" s="3"/>
      <c r="Z342" s="3"/>
      <c r="AA342" s="3"/>
      <c r="AF342" s="3"/>
      <c r="AG342" s="3"/>
      <c r="AH342" s="3"/>
    </row>
    <row r="343" spans="1:34" x14ac:dyDescent="0.25">
      <c r="A343" t="s">
        <v>207</v>
      </c>
      <c r="B343" t="s">
        <v>820</v>
      </c>
      <c r="C343" t="s">
        <v>1273</v>
      </c>
      <c r="D343" s="2">
        <v>43105</v>
      </c>
      <c r="E343">
        <v>0.51</v>
      </c>
      <c r="F343" s="2">
        <v>43217</v>
      </c>
      <c r="G343">
        <v>0.505</v>
      </c>
      <c r="H343" s="3">
        <v>-9.7999999999999997E-3</v>
      </c>
      <c r="I343">
        <v>-1643.5</v>
      </c>
      <c r="J343" s="3">
        <v>-1.18E-2</v>
      </c>
      <c r="K343">
        <v>273234</v>
      </c>
      <c r="T343" s="2"/>
      <c r="U343" s="2"/>
      <c r="V343" s="2"/>
      <c r="W343" s="2"/>
      <c r="X343" s="3"/>
      <c r="Y343" s="3"/>
      <c r="Z343" s="3"/>
      <c r="AA343" s="3"/>
      <c r="AF343" s="3"/>
      <c r="AG343" s="3"/>
      <c r="AH343" s="3"/>
    </row>
    <row r="344" spans="1:34" x14ac:dyDescent="0.25">
      <c r="A344" t="s">
        <v>134</v>
      </c>
      <c r="B344" t="s">
        <v>726</v>
      </c>
      <c r="C344" t="s">
        <v>1273</v>
      </c>
      <c r="D344" s="2">
        <v>42559</v>
      </c>
      <c r="E344">
        <v>1.359958</v>
      </c>
      <c r="F344" s="2">
        <v>43168</v>
      </c>
      <c r="G344">
        <v>2.4999880000000001</v>
      </c>
      <c r="H344" s="3">
        <v>0.83830000000000005</v>
      </c>
      <c r="I344">
        <v>88422.43</v>
      </c>
      <c r="J344" s="3">
        <v>0.83540000000000003</v>
      </c>
      <c r="K344">
        <v>77825</v>
      </c>
      <c r="T344" s="2"/>
      <c r="U344" s="2"/>
      <c r="V344" s="2"/>
      <c r="W344" s="2"/>
      <c r="X344" s="3"/>
      <c r="Y344" s="3"/>
      <c r="Z344" s="3"/>
      <c r="AA344" s="3"/>
      <c r="AF344" s="3"/>
      <c r="AG344" s="3"/>
      <c r="AH344" s="3"/>
    </row>
    <row r="345" spans="1:34" x14ac:dyDescent="0.25">
      <c r="A345" t="s">
        <v>246</v>
      </c>
      <c r="B345" t="s">
        <v>880</v>
      </c>
      <c r="C345" t="s">
        <v>1273</v>
      </c>
      <c r="D345" s="2">
        <v>42972</v>
      </c>
      <c r="E345">
        <v>0.85808379999999995</v>
      </c>
      <c r="F345" s="2">
        <v>43168</v>
      </c>
      <c r="G345">
        <v>1.2804070000000001</v>
      </c>
      <c r="H345" s="3">
        <v>0.49220000000000003</v>
      </c>
      <c r="I345">
        <v>57219.91</v>
      </c>
      <c r="J345" s="3">
        <v>0.48970000000000002</v>
      </c>
      <c r="K345">
        <v>136178</v>
      </c>
      <c r="T345" s="2"/>
      <c r="U345" s="2"/>
      <c r="V345" s="2"/>
      <c r="W345" s="2"/>
      <c r="X345" s="3"/>
      <c r="Y345" s="3"/>
      <c r="Z345" s="3"/>
      <c r="AA345" s="3"/>
      <c r="AF345" s="3"/>
      <c r="AG345" s="3"/>
      <c r="AH345" s="3"/>
    </row>
    <row r="346" spans="1:34" x14ac:dyDescent="0.25">
      <c r="A346" t="s">
        <v>110</v>
      </c>
      <c r="B346" t="s">
        <v>775</v>
      </c>
      <c r="C346" t="s">
        <v>1273</v>
      </c>
      <c r="D346" s="2">
        <v>42972</v>
      </c>
      <c r="E346">
        <v>1.773101</v>
      </c>
      <c r="F346" s="2">
        <v>43161</v>
      </c>
      <c r="G346">
        <v>1.5409679999999999</v>
      </c>
      <c r="H346" s="3">
        <v>-0.13089999999999999</v>
      </c>
      <c r="I346">
        <v>-15512.19</v>
      </c>
      <c r="J346" s="3">
        <v>-0.1328</v>
      </c>
      <c r="K346">
        <v>65884</v>
      </c>
      <c r="T346" s="2"/>
      <c r="U346" s="2"/>
      <c r="V346" s="2"/>
      <c r="W346" s="2"/>
      <c r="X346" s="3"/>
      <c r="Y346" s="3"/>
      <c r="Z346" s="3"/>
      <c r="AA346" s="3"/>
      <c r="AF346" s="3"/>
      <c r="AG346" s="3"/>
      <c r="AH346" s="3"/>
    </row>
    <row r="347" spans="1:34" x14ac:dyDescent="0.25">
      <c r="A347" t="s">
        <v>82</v>
      </c>
      <c r="B347" t="s">
        <v>925</v>
      </c>
      <c r="C347" t="s">
        <v>1273</v>
      </c>
      <c r="D347" s="2">
        <v>42643</v>
      </c>
      <c r="E347">
        <v>4.3786259999999997</v>
      </c>
      <c r="F347" s="2">
        <v>43154</v>
      </c>
      <c r="G347">
        <v>6.3136200000000002</v>
      </c>
      <c r="H347" s="3">
        <v>0.44190000000000002</v>
      </c>
      <c r="I347">
        <v>53645.68</v>
      </c>
      <c r="J347" s="3">
        <v>0.4395</v>
      </c>
      <c r="K347">
        <v>27878</v>
      </c>
      <c r="T347" s="2"/>
      <c r="U347" s="2"/>
      <c r="V347" s="2"/>
      <c r="W347" s="2"/>
      <c r="X347" s="3"/>
      <c r="Y347" s="3"/>
      <c r="Z347" s="3"/>
      <c r="AA347" s="3"/>
      <c r="AF347" s="3"/>
      <c r="AG347" s="3"/>
      <c r="AH347" s="3"/>
    </row>
    <row r="348" spans="1:34" x14ac:dyDescent="0.25">
      <c r="A348" t="s">
        <v>482</v>
      </c>
      <c r="B348" t="s">
        <v>927</v>
      </c>
      <c r="C348" t="s">
        <v>1273</v>
      </c>
      <c r="D348" s="2">
        <v>43098</v>
      </c>
      <c r="E348">
        <v>1.288713</v>
      </c>
      <c r="F348" s="2">
        <v>43154</v>
      </c>
      <c r="G348">
        <v>1.1911449999999999</v>
      </c>
      <c r="H348" s="3">
        <v>-7.5700000000000003E-2</v>
      </c>
      <c r="I348">
        <v>-10618.48</v>
      </c>
      <c r="J348" s="3">
        <v>-7.7600000000000002E-2</v>
      </c>
      <c r="K348">
        <v>106134</v>
      </c>
      <c r="T348" s="2"/>
      <c r="U348" s="2"/>
      <c r="V348" s="2"/>
      <c r="W348" s="2"/>
      <c r="X348" s="3"/>
      <c r="Y348" s="3"/>
      <c r="Z348" s="3"/>
      <c r="AA348" s="3"/>
      <c r="AF348" s="3"/>
      <c r="AG348" s="3"/>
      <c r="AH348" s="3"/>
    </row>
    <row r="349" spans="1:34" x14ac:dyDescent="0.25">
      <c r="A349" t="s">
        <v>74</v>
      </c>
      <c r="B349" t="s">
        <v>928</v>
      </c>
      <c r="C349" t="s">
        <v>1273</v>
      </c>
      <c r="D349" s="2">
        <v>43140</v>
      </c>
      <c r="E349">
        <v>32.549999999999997</v>
      </c>
      <c r="F349" s="2">
        <v>43147</v>
      </c>
      <c r="G349">
        <v>31.76</v>
      </c>
      <c r="H349" s="3">
        <v>-2.4299999999999999E-2</v>
      </c>
      <c r="I349">
        <v>-3579.56</v>
      </c>
      <c r="J349" s="3">
        <v>-2.6200000000000001E-2</v>
      </c>
      <c r="K349">
        <v>4190</v>
      </c>
      <c r="T349" s="2"/>
      <c r="U349" s="2"/>
      <c r="V349" s="2"/>
      <c r="W349" s="2"/>
      <c r="X349" s="3"/>
      <c r="Y349" s="3"/>
      <c r="Z349" s="3"/>
      <c r="AA349" s="3"/>
      <c r="AF349" s="3"/>
      <c r="AG349" s="3"/>
      <c r="AH349" s="3"/>
    </row>
    <row r="350" spans="1:34" x14ac:dyDescent="0.25">
      <c r="A350" t="s">
        <v>483</v>
      </c>
      <c r="B350" t="s">
        <v>929</v>
      </c>
      <c r="C350" t="s">
        <v>1273</v>
      </c>
      <c r="D350" s="2">
        <v>43021</v>
      </c>
      <c r="E350">
        <v>2.2622580000000001</v>
      </c>
      <c r="F350" s="2">
        <v>43147</v>
      </c>
      <c r="G350">
        <v>1.645278</v>
      </c>
      <c r="H350" s="3">
        <v>-0.2727</v>
      </c>
      <c r="I350">
        <v>-33767.589999999997</v>
      </c>
      <c r="J350" s="3">
        <v>-0.27450000000000002</v>
      </c>
      <c r="K350">
        <v>54386</v>
      </c>
      <c r="T350" s="2"/>
      <c r="U350" s="2"/>
      <c r="V350" s="2"/>
      <c r="W350" s="2"/>
      <c r="X350" s="3"/>
      <c r="Y350" s="3"/>
      <c r="Z350" s="3"/>
      <c r="AA350" s="3"/>
      <c r="AF350" s="3"/>
      <c r="AG350" s="3"/>
      <c r="AH350" s="3"/>
    </row>
    <row r="351" spans="1:34" x14ac:dyDescent="0.25">
      <c r="A351" t="s">
        <v>484</v>
      </c>
      <c r="B351" t="s">
        <v>930</v>
      </c>
      <c r="C351" t="s">
        <v>1273</v>
      </c>
      <c r="D351" s="2">
        <v>43021</v>
      </c>
      <c r="E351">
        <v>4.7264569999999999</v>
      </c>
      <c r="F351" s="2">
        <v>43147</v>
      </c>
      <c r="G351">
        <v>4.0022419999999999</v>
      </c>
      <c r="H351" s="3">
        <v>-0.1532</v>
      </c>
      <c r="I351">
        <v>-19080.72</v>
      </c>
      <c r="J351" s="3">
        <v>-0.15509999999999999</v>
      </c>
      <c r="K351">
        <v>26033</v>
      </c>
      <c r="T351" s="2"/>
      <c r="U351" s="2"/>
      <c r="V351" s="2"/>
      <c r="W351" s="2"/>
      <c r="X351" s="3"/>
      <c r="Y351" s="3"/>
      <c r="Z351" s="3"/>
      <c r="AA351" s="3"/>
      <c r="AF351" s="3"/>
      <c r="AG351" s="3"/>
      <c r="AH351" s="3"/>
    </row>
    <row r="352" spans="1:34" x14ac:dyDescent="0.25">
      <c r="A352" t="s">
        <v>485</v>
      </c>
      <c r="B352" t="s">
        <v>931</v>
      </c>
      <c r="C352" t="s">
        <v>1273</v>
      </c>
      <c r="D352" s="2">
        <v>43021</v>
      </c>
      <c r="E352">
        <v>1.01</v>
      </c>
      <c r="F352" s="2">
        <v>43147</v>
      </c>
      <c r="G352">
        <v>1.89</v>
      </c>
      <c r="H352" s="3">
        <v>0.87129999999999996</v>
      </c>
      <c r="I352">
        <v>106875.51</v>
      </c>
      <c r="J352" s="3">
        <v>0.86839999999999995</v>
      </c>
      <c r="K352">
        <v>121851</v>
      </c>
      <c r="T352" s="2"/>
      <c r="U352" s="2"/>
      <c r="V352" s="2"/>
      <c r="W352" s="2"/>
      <c r="X352" s="3"/>
      <c r="Y352" s="3"/>
      <c r="Z352" s="3"/>
      <c r="AA352" s="3"/>
      <c r="AF352" s="3"/>
      <c r="AG352" s="3"/>
      <c r="AH352" s="3"/>
    </row>
    <row r="353" spans="1:34" x14ac:dyDescent="0.25">
      <c r="A353" t="s">
        <v>223</v>
      </c>
      <c r="B353" t="s">
        <v>845</v>
      </c>
      <c r="C353" t="s">
        <v>1273</v>
      </c>
      <c r="D353" s="2">
        <v>43021</v>
      </c>
      <c r="E353">
        <v>6.7672509999999999</v>
      </c>
      <c r="F353" s="2">
        <v>43147</v>
      </c>
      <c r="G353">
        <v>7.6695500000000001</v>
      </c>
      <c r="H353" s="3">
        <v>0.1333</v>
      </c>
      <c r="I353">
        <v>16147.55</v>
      </c>
      <c r="J353" s="3">
        <v>0.13120000000000001</v>
      </c>
      <c r="K353">
        <v>18187</v>
      </c>
      <c r="T353" s="2"/>
      <c r="U353" s="2"/>
      <c r="V353" s="2"/>
      <c r="W353" s="2"/>
      <c r="X353" s="3"/>
      <c r="Y353" s="3"/>
      <c r="Z353" s="3"/>
      <c r="AA353" s="3"/>
      <c r="AF353" s="3"/>
      <c r="AG353" s="3"/>
      <c r="AH353" s="3"/>
    </row>
    <row r="354" spans="1:34" x14ac:dyDescent="0.25">
      <c r="A354" t="s">
        <v>78</v>
      </c>
      <c r="B354" t="s">
        <v>748</v>
      </c>
      <c r="C354" t="s">
        <v>1273</v>
      </c>
      <c r="D354" s="2">
        <v>42986</v>
      </c>
      <c r="E354">
        <v>4.0140940000000001</v>
      </c>
      <c r="F354" s="2">
        <v>43147</v>
      </c>
      <c r="G354">
        <v>7.2202109999999999</v>
      </c>
      <c r="H354" s="3">
        <v>0.79869999999999997</v>
      </c>
      <c r="I354">
        <v>93229.9</v>
      </c>
      <c r="J354" s="3">
        <v>0.79590000000000005</v>
      </c>
      <c r="K354">
        <v>29181</v>
      </c>
      <c r="T354" s="2"/>
      <c r="U354" s="2"/>
      <c r="V354" s="2"/>
      <c r="W354" s="2"/>
      <c r="X354" s="3"/>
      <c r="Y354" s="3"/>
      <c r="Z354" s="3"/>
      <c r="AA354" s="3"/>
      <c r="AF354" s="3"/>
      <c r="AG354" s="3"/>
      <c r="AH354" s="3"/>
    </row>
    <row r="355" spans="1:34" x14ac:dyDescent="0.25">
      <c r="A355" t="s">
        <v>473</v>
      </c>
      <c r="B355" t="s">
        <v>911</v>
      </c>
      <c r="C355" t="s">
        <v>1273</v>
      </c>
      <c r="D355" s="2">
        <v>42972</v>
      </c>
      <c r="E355">
        <v>0.78670600000000002</v>
      </c>
      <c r="F355" s="2">
        <v>43140</v>
      </c>
      <c r="G355">
        <v>0.89031640000000001</v>
      </c>
      <c r="H355" s="3">
        <v>0.13170000000000001</v>
      </c>
      <c r="I355">
        <v>15137.62</v>
      </c>
      <c r="J355" s="3">
        <v>0.12959999999999999</v>
      </c>
      <c r="K355">
        <v>148505</v>
      </c>
      <c r="T355" s="2"/>
      <c r="U355" s="2"/>
      <c r="V355" s="2"/>
      <c r="W355" s="2"/>
      <c r="X355" s="3"/>
      <c r="Y355" s="3"/>
      <c r="Z355" s="3"/>
      <c r="AA355" s="3"/>
      <c r="AF355" s="3"/>
      <c r="AG355" s="3"/>
      <c r="AH355" s="3"/>
    </row>
    <row r="356" spans="1:34" x14ac:dyDescent="0.25">
      <c r="A356" t="s">
        <v>71</v>
      </c>
      <c r="B356" t="s">
        <v>932</v>
      </c>
      <c r="C356" t="s">
        <v>1273</v>
      </c>
      <c r="D356" s="2">
        <v>43021</v>
      </c>
      <c r="E356">
        <v>0.66927939999999997</v>
      </c>
      <c r="F356" s="2">
        <v>43098</v>
      </c>
      <c r="G356">
        <v>0.98190330000000003</v>
      </c>
      <c r="H356" s="3">
        <v>0.46710000000000002</v>
      </c>
      <c r="I356">
        <v>57177.62</v>
      </c>
      <c r="J356" s="3">
        <v>0.46460000000000001</v>
      </c>
      <c r="K356">
        <v>183867</v>
      </c>
      <c r="T356" s="2"/>
      <c r="U356" s="2"/>
      <c r="V356" s="2"/>
      <c r="W356" s="2"/>
      <c r="X356" s="3"/>
      <c r="Y356" s="3"/>
      <c r="Z356" s="3"/>
      <c r="AA356" s="3"/>
      <c r="AF356" s="3"/>
      <c r="AG356" s="3"/>
      <c r="AH356" s="3"/>
    </row>
    <row r="357" spans="1:34" x14ac:dyDescent="0.25">
      <c r="A357" t="s">
        <v>449</v>
      </c>
      <c r="B357" t="s">
        <v>814</v>
      </c>
      <c r="C357" t="s">
        <v>1273</v>
      </c>
      <c r="D357" s="2">
        <v>42985</v>
      </c>
      <c r="E357">
        <v>1.5570900000000001</v>
      </c>
      <c r="F357" s="2">
        <v>43091</v>
      </c>
      <c r="G357">
        <v>1.260783</v>
      </c>
      <c r="H357" s="3">
        <v>-0.1903</v>
      </c>
      <c r="I357">
        <v>-22518.12</v>
      </c>
      <c r="J357" s="3">
        <v>-0.19209999999999999</v>
      </c>
      <c r="K357">
        <v>75280</v>
      </c>
      <c r="T357" s="2"/>
      <c r="U357" s="2"/>
      <c r="V357" s="2"/>
      <c r="W357" s="2"/>
      <c r="X357" s="3"/>
      <c r="Y357" s="3"/>
      <c r="Z357" s="3"/>
      <c r="AA357" s="3"/>
      <c r="AF357" s="3"/>
      <c r="AG357" s="3"/>
      <c r="AH357" s="3"/>
    </row>
    <row r="358" spans="1:34" x14ac:dyDescent="0.25">
      <c r="A358" t="s">
        <v>269</v>
      </c>
      <c r="B358" t="s">
        <v>933</v>
      </c>
      <c r="C358" t="s">
        <v>1273</v>
      </c>
      <c r="D358" s="2">
        <v>42972</v>
      </c>
      <c r="E358">
        <v>5.1027149999999999</v>
      </c>
      <c r="F358" s="2">
        <v>43091</v>
      </c>
      <c r="G358">
        <v>4.2915320000000001</v>
      </c>
      <c r="H358" s="3">
        <v>-0.159</v>
      </c>
      <c r="I358">
        <v>-18792.86</v>
      </c>
      <c r="J358" s="3">
        <v>-0.1608</v>
      </c>
      <c r="K358">
        <v>22902</v>
      </c>
      <c r="T358" s="2"/>
      <c r="U358" s="2"/>
      <c r="V358" s="2"/>
      <c r="W358" s="2"/>
      <c r="X358" s="3"/>
      <c r="Y358" s="3"/>
      <c r="Z358" s="3"/>
      <c r="AA358" s="3"/>
      <c r="AF358" s="3"/>
      <c r="AG358" s="3"/>
      <c r="AH358" s="3"/>
    </row>
    <row r="359" spans="1:34" x14ac:dyDescent="0.25">
      <c r="A359" t="s">
        <v>161</v>
      </c>
      <c r="B359" t="s">
        <v>755</v>
      </c>
      <c r="C359" t="s">
        <v>1273</v>
      </c>
      <c r="D359" s="2">
        <v>42706</v>
      </c>
      <c r="E359">
        <v>1.413602</v>
      </c>
      <c r="F359" s="2">
        <v>43084</v>
      </c>
      <c r="G359">
        <v>1.6608080000000001</v>
      </c>
      <c r="H359" s="3">
        <v>0.1749</v>
      </c>
      <c r="I359">
        <v>20305.89</v>
      </c>
      <c r="J359" s="3">
        <v>0.17269999999999999</v>
      </c>
      <c r="K359">
        <v>83176</v>
      </c>
      <c r="T359" s="2"/>
      <c r="U359" s="2"/>
      <c r="V359" s="2"/>
      <c r="W359" s="2"/>
      <c r="X359" s="3"/>
      <c r="Y359" s="3"/>
      <c r="Z359" s="3"/>
      <c r="AA359" s="3"/>
      <c r="AF359" s="3"/>
      <c r="AG359" s="3"/>
      <c r="AH359" s="3"/>
    </row>
    <row r="360" spans="1:34" x14ac:dyDescent="0.25">
      <c r="A360" t="s">
        <v>270</v>
      </c>
      <c r="B360" t="s">
        <v>934</v>
      </c>
      <c r="C360" t="s">
        <v>1273</v>
      </c>
      <c r="D360" s="2">
        <v>42972</v>
      </c>
      <c r="E360">
        <v>0.54582269999999999</v>
      </c>
      <c r="F360" s="2">
        <v>43014</v>
      </c>
      <c r="G360">
        <v>0.40702769999999999</v>
      </c>
      <c r="H360" s="3">
        <v>-0.25430000000000003</v>
      </c>
      <c r="I360">
        <v>-29926.44</v>
      </c>
      <c r="J360" s="3">
        <v>-0.25600000000000001</v>
      </c>
      <c r="K360">
        <v>214146</v>
      </c>
      <c r="T360" s="2"/>
      <c r="U360" s="2"/>
      <c r="V360" s="2"/>
      <c r="W360" s="2"/>
      <c r="X360" s="3"/>
      <c r="Y360" s="3"/>
      <c r="Z360" s="3"/>
      <c r="AA360" s="3"/>
      <c r="AF360" s="3"/>
      <c r="AG360" s="3"/>
      <c r="AH360" s="3"/>
    </row>
    <row r="361" spans="1:34" x14ac:dyDescent="0.25">
      <c r="A361" t="s">
        <v>103</v>
      </c>
      <c r="B361" t="s">
        <v>818</v>
      </c>
      <c r="C361" t="s">
        <v>1273</v>
      </c>
      <c r="D361" s="2">
        <v>42972</v>
      </c>
      <c r="E361">
        <v>0.72003249999999996</v>
      </c>
      <c r="F361" s="2">
        <v>43007</v>
      </c>
      <c r="G361">
        <v>0.85595690000000002</v>
      </c>
      <c r="H361" s="3">
        <v>0.1888</v>
      </c>
      <c r="I361">
        <v>21807.18</v>
      </c>
      <c r="J361" s="3">
        <v>0.18659999999999999</v>
      </c>
      <c r="K361">
        <v>162318</v>
      </c>
      <c r="T361" s="2"/>
      <c r="U361" s="2"/>
      <c r="V361" s="2"/>
      <c r="W361" s="2"/>
      <c r="X361" s="3"/>
      <c r="Y361" s="3"/>
      <c r="Z361" s="3"/>
      <c r="AA361" s="3"/>
      <c r="AF361" s="3"/>
      <c r="AG361" s="3"/>
      <c r="AH361" s="3"/>
    </row>
    <row r="362" spans="1:34" x14ac:dyDescent="0.25">
      <c r="A362" t="s">
        <v>271</v>
      </c>
      <c r="B362" t="s">
        <v>935</v>
      </c>
      <c r="C362" t="s">
        <v>1273</v>
      </c>
      <c r="D362" s="2">
        <v>42832</v>
      </c>
      <c r="E362">
        <v>2.355172</v>
      </c>
      <c r="F362" s="2">
        <v>43007</v>
      </c>
      <c r="G362">
        <v>2.5722710000000002</v>
      </c>
      <c r="H362" s="3">
        <v>9.2200000000000004E-2</v>
      </c>
      <c r="I362">
        <v>10473.42</v>
      </c>
      <c r="J362" s="3">
        <v>9.01E-2</v>
      </c>
      <c r="K362">
        <v>49363</v>
      </c>
      <c r="T362" s="2"/>
      <c r="U362" s="2"/>
      <c r="V362" s="2"/>
      <c r="W362" s="2"/>
      <c r="X362" s="3"/>
      <c r="Y362" s="3"/>
      <c r="Z362" s="3"/>
      <c r="AA362" s="3"/>
      <c r="AF362" s="3"/>
      <c r="AG362" s="3"/>
      <c r="AH362" s="3"/>
    </row>
    <row r="363" spans="1:34" x14ac:dyDescent="0.25">
      <c r="A363" t="s">
        <v>54</v>
      </c>
      <c r="B363" t="s">
        <v>936</v>
      </c>
      <c r="C363" t="s">
        <v>1273</v>
      </c>
      <c r="D363" s="2">
        <v>42790</v>
      </c>
      <c r="E363">
        <v>13.213190000000001</v>
      </c>
      <c r="F363" s="2">
        <v>43007</v>
      </c>
      <c r="G363">
        <v>13.257820000000001</v>
      </c>
      <c r="H363" s="3">
        <v>3.3999999999999998E-3</v>
      </c>
      <c r="I363">
        <v>166.9</v>
      </c>
      <c r="J363" s="3">
        <v>1.4E-3</v>
      </c>
      <c r="K363">
        <v>9191</v>
      </c>
      <c r="T363" s="2"/>
      <c r="U363" s="2"/>
      <c r="V363" s="2"/>
      <c r="W363" s="2"/>
      <c r="X363" s="3"/>
      <c r="Y363" s="3"/>
      <c r="Z363" s="3"/>
      <c r="AA363" s="3"/>
      <c r="AF363" s="3"/>
      <c r="AG363" s="3"/>
      <c r="AH363" s="3"/>
    </row>
    <row r="364" spans="1:34" x14ac:dyDescent="0.25">
      <c r="A364" t="s">
        <v>98</v>
      </c>
      <c r="B364" t="s">
        <v>937</v>
      </c>
      <c r="C364" t="s">
        <v>1273</v>
      </c>
      <c r="D364" s="2">
        <v>42986</v>
      </c>
      <c r="E364">
        <v>1.7753399999999999</v>
      </c>
      <c r="F364" s="2">
        <v>43007</v>
      </c>
      <c r="G364">
        <v>1.8246549999999999</v>
      </c>
      <c r="H364" s="3">
        <v>2.7799999999999998E-2</v>
      </c>
      <c r="I364">
        <v>3016.55</v>
      </c>
      <c r="J364" s="3">
        <v>2.5700000000000001E-2</v>
      </c>
      <c r="K364">
        <v>65986</v>
      </c>
      <c r="T364" s="2"/>
      <c r="U364" s="2"/>
      <c r="V364" s="2"/>
      <c r="W364" s="2"/>
      <c r="X364" s="3"/>
      <c r="Y364" s="3"/>
      <c r="Z364" s="3"/>
      <c r="AA364" s="3"/>
      <c r="AF364" s="3"/>
      <c r="AG364" s="3"/>
      <c r="AH364" s="3"/>
    </row>
    <row r="365" spans="1:34" x14ac:dyDescent="0.25">
      <c r="A365" t="s">
        <v>486</v>
      </c>
      <c r="B365" t="s">
        <v>938</v>
      </c>
      <c r="C365" t="s">
        <v>1273</v>
      </c>
      <c r="D365" s="2">
        <v>42972</v>
      </c>
      <c r="E365">
        <v>1.26</v>
      </c>
      <c r="F365" s="2">
        <v>43000</v>
      </c>
      <c r="G365">
        <v>1.25</v>
      </c>
      <c r="H365" s="3">
        <v>-7.9000000000000008E-3</v>
      </c>
      <c r="I365">
        <v>-1160.6199999999999</v>
      </c>
      <c r="J365" s="3">
        <v>-9.9000000000000008E-3</v>
      </c>
      <c r="K365">
        <v>92775</v>
      </c>
      <c r="T365" s="2"/>
      <c r="U365" s="2"/>
      <c r="V365" s="2"/>
      <c r="W365" s="2"/>
      <c r="X365" s="3"/>
      <c r="Y365" s="3"/>
      <c r="Z365" s="3"/>
      <c r="AA365" s="3"/>
      <c r="AF365" s="3"/>
      <c r="AG365" s="3"/>
      <c r="AH365" s="3"/>
    </row>
    <row r="366" spans="1:34" x14ac:dyDescent="0.25">
      <c r="A366" t="s">
        <v>109</v>
      </c>
      <c r="B366" t="s">
        <v>772</v>
      </c>
      <c r="C366" t="s">
        <v>1273</v>
      </c>
      <c r="D366" s="2">
        <v>42832</v>
      </c>
      <c r="E366">
        <v>1.026375</v>
      </c>
      <c r="F366" s="2">
        <v>42986</v>
      </c>
      <c r="G366">
        <v>1.0298860000000001</v>
      </c>
      <c r="H366" s="3">
        <v>3.3999999999999998E-3</v>
      </c>
      <c r="I366">
        <v>164.8</v>
      </c>
      <c r="J366" s="3">
        <v>1.4E-3</v>
      </c>
      <c r="K366">
        <v>113282</v>
      </c>
      <c r="T366" s="2"/>
      <c r="U366" s="2"/>
      <c r="V366" s="2"/>
      <c r="W366" s="2"/>
      <c r="X366" s="3"/>
      <c r="Y366" s="3"/>
      <c r="Z366" s="3"/>
      <c r="AA366" s="3"/>
      <c r="AF366" s="3"/>
      <c r="AG366" s="3"/>
      <c r="AH366" s="3"/>
    </row>
    <row r="367" spans="1:34" x14ac:dyDescent="0.25">
      <c r="A367" t="s">
        <v>487</v>
      </c>
      <c r="B367" t="s">
        <v>939</v>
      </c>
      <c r="C367" t="s">
        <v>1273</v>
      </c>
      <c r="D367" s="2">
        <v>42818</v>
      </c>
      <c r="E367">
        <v>1.547067</v>
      </c>
      <c r="F367" s="2">
        <v>42985</v>
      </c>
      <c r="G367">
        <v>1.6932830000000001</v>
      </c>
      <c r="H367" s="3">
        <v>9.4500000000000001E-2</v>
      </c>
      <c r="I367">
        <v>10824.83</v>
      </c>
      <c r="J367" s="3">
        <v>9.2399999999999996E-2</v>
      </c>
      <c r="K367">
        <v>75711</v>
      </c>
      <c r="T367" s="2"/>
      <c r="U367" s="2"/>
      <c r="V367" s="2"/>
      <c r="W367" s="2"/>
      <c r="X367" s="3"/>
      <c r="Y367" s="3"/>
      <c r="Z367" s="3"/>
      <c r="AA367" s="3"/>
      <c r="AF367" s="3"/>
      <c r="AG367" s="3"/>
      <c r="AH367" s="3"/>
    </row>
    <row r="368" spans="1:34" x14ac:dyDescent="0.25">
      <c r="A368" t="s">
        <v>456</v>
      </c>
      <c r="B368" t="s">
        <v>851</v>
      </c>
      <c r="C368" t="s">
        <v>1273</v>
      </c>
      <c r="D368" s="2">
        <v>42860</v>
      </c>
      <c r="E368">
        <v>4.9583339999999998</v>
      </c>
      <c r="F368" s="2">
        <v>42951</v>
      </c>
      <c r="G368">
        <v>4.8013669999999999</v>
      </c>
      <c r="H368" s="3">
        <v>-3.1699999999999999E-2</v>
      </c>
      <c r="I368">
        <v>-3951.26</v>
      </c>
      <c r="J368" s="3">
        <v>-3.3599999999999998E-2</v>
      </c>
      <c r="K368">
        <v>23699</v>
      </c>
      <c r="T368" s="2"/>
      <c r="U368" s="2"/>
      <c r="V368" s="2"/>
      <c r="W368" s="2"/>
      <c r="X368" s="3"/>
      <c r="Y368" s="3"/>
      <c r="Z368" s="3"/>
      <c r="AA368" s="3"/>
      <c r="AF368" s="3"/>
      <c r="AG368" s="3"/>
      <c r="AH368" s="3"/>
    </row>
    <row r="369" spans="1:34" x14ac:dyDescent="0.25">
      <c r="A369" t="s">
        <v>272</v>
      </c>
      <c r="B369" t="s">
        <v>940</v>
      </c>
      <c r="C369" t="s">
        <v>1273</v>
      </c>
      <c r="D369" s="2">
        <v>42867</v>
      </c>
      <c r="E369">
        <v>0.54388890000000001</v>
      </c>
      <c r="F369" s="2">
        <v>42937</v>
      </c>
      <c r="G369">
        <v>0.53400000000000003</v>
      </c>
      <c r="H369" s="3">
        <v>-1.8200000000000001E-2</v>
      </c>
      <c r="I369">
        <v>-2344.25</v>
      </c>
      <c r="J369" s="3">
        <v>-2.0199999999999999E-2</v>
      </c>
      <c r="K369">
        <v>213759</v>
      </c>
      <c r="T369" s="2"/>
      <c r="U369" s="2"/>
      <c r="V369" s="2"/>
      <c r="W369" s="2"/>
      <c r="X369" s="3"/>
      <c r="Y369" s="3"/>
      <c r="Z369" s="3"/>
      <c r="AA369" s="3"/>
      <c r="AF369" s="3"/>
      <c r="AG369" s="3"/>
      <c r="AH369" s="3"/>
    </row>
    <row r="370" spans="1:34" x14ac:dyDescent="0.25">
      <c r="A370" t="s">
        <v>488</v>
      </c>
      <c r="B370" t="s">
        <v>941</v>
      </c>
      <c r="C370" t="s">
        <v>1273</v>
      </c>
      <c r="D370" s="2">
        <v>42797</v>
      </c>
      <c r="E370">
        <v>3.7477999999999998</v>
      </c>
      <c r="F370" s="2">
        <v>42916</v>
      </c>
      <c r="G370">
        <v>3.646655</v>
      </c>
      <c r="H370" s="3">
        <v>-2.7E-2</v>
      </c>
      <c r="I370">
        <v>-3464.8</v>
      </c>
      <c r="J370" s="3">
        <v>-2.9000000000000001E-2</v>
      </c>
      <c r="K370">
        <v>31922</v>
      </c>
      <c r="T370" s="2"/>
      <c r="U370" s="2"/>
      <c r="V370" s="2"/>
      <c r="W370" s="2"/>
      <c r="X370" s="3"/>
      <c r="Y370" s="3"/>
      <c r="Z370" s="3"/>
      <c r="AA370" s="3"/>
      <c r="AF370" s="3"/>
      <c r="AG370" s="3"/>
      <c r="AH370" s="3"/>
    </row>
    <row r="371" spans="1:34" x14ac:dyDescent="0.25">
      <c r="A371" t="s">
        <v>489</v>
      </c>
      <c r="B371" t="s">
        <v>942</v>
      </c>
      <c r="C371" t="s">
        <v>1273</v>
      </c>
      <c r="D371" s="2">
        <v>42825</v>
      </c>
      <c r="E371">
        <v>2.0699999999999998</v>
      </c>
      <c r="F371" s="2">
        <v>42902</v>
      </c>
      <c r="G371">
        <v>2.2599999999999998</v>
      </c>
      <c r="H371" s="3">
        <v>9.1800000000000007E-2</v>
      </c>
      <c r="I371">
        <v>10336.99</v>
      </c>
      <c r="J371" s="3">
        <v>8.9700000000000002E-2</v>
      </c>
      <c r="K371">
        <v>55674</v>
      </c>
      <c r="T371" s="2"/>
      <c r="U371" s="2"/>
      <c r="V371" s="2"/>
      <c r="W371" s="2"/>
      <c r="X371" s="3"/>
      <c r="Y371" s="3"/>
      <c r="Z371" s="3"/>
      <c r="AA371" s="3"/>
      <c r="AF371" s="3"/>
      <c r="AG371" s="3"/>
      <c r="AH371" s="3"/>
    </row>
    <row r="372" spans="1:34" x14ac:dyDescent="0.25">
      <c r="A372" t="s">
        <v>206</v>
      </c>
      <c r="B372" t="s">
        <v>817</v>
      </c>
      <c r="C372" t="s">
        <v>1273</v>
      </c>
      <c r="D372" s="2">
        <v>42727</v>
      </c>
      <c r="E372">
        <v>2.965789</v>
      </c>
      <c r="F372" s="2">
        <v>42895</v>
      </c>
      <c r="G372">
        <v>2.9325450000000002</v>
      </c>
      <c r="H372" s="3">
        <v>-1.12E-2</v>
      </c>
      <c r="I372">
        <v>-1546.04</v>
      </c>
      <c r="J372" s="3">
        <v>-1.32E-2</v>
      </c>
      <c r="K372">
        <v>39498</v>
      </c>
      <c r="T372" s="2"/>
      <c r="U372" s="2"/>
      <c r="V372" s="2"/>
      <c r="W372" s="2"/>
      <c r="X372" s="3"/>
      <c r="Y372" s="3"/>
      <c r="Z372" s="3"/>
      <c r="AA372" s="3"/>
      <c r="AF372" s="3"/>
      <c r="AG372" s="3"/>
      <c r="AH372" s="3"/>
    </row>
    <row r="373" spans="1:34" x14ac:dyDescent="0.25">
      <c r="A373" t="s">
        <v>136</v>
      </c>
      <c r="B373" t="s">
        <v>728</v>
      </c>
      <c r="C373" t="s">
        <v>1273</v>
      </c>
      <c r="D373" s="2">
        <v>41872</v>
      </c>
      <c r="E373">
        <v>1.6392040000000001</v>
      </c>
      <c r="F373" s="2">
        <v>42888</v>
      </c>
      <c r="G373">
        <v>3.910965</v>
      </c>
      <c r="H373" s="3">
        <v>1.3858999999999999</v>
      </c>
      <c r="I373">
        <v>121539.15</v>
      </c>
      <c r="J373" s="3">
        <v>1.3825000000000001</v>
      </c>
      <c r="K373">
        <v>53631</v>
      </c>
      <c r="T373" s="2"/>
      <c r="U373" s="2"/>
      <c r="V373" s="2"/>
      <c r="W373" s="2"/>
      <c r="X373" s="3"/>
      <c r="Y373" s="3"/>
      <c r="Z373" s="3"/>
      <c r="AA373" s="3"/>
      <c r="AF373" s="3"/>
      <c r="AG373" s="3"/>
      <c r="AH373" s="3"/>
    </row>
    <row r="374" spans="1:34" x14ac:dyDescent="0.25">
      <c r="A374" t="s">
        <v>273</v>
      </c>
      <c r="B374" t="s">
        <v>943</v>
      </c>
      <c r="C374" t="s">
        <v>1273</v>
      </c>
      <c r="D374" s="2">
        <v>42440</v>
      </c>
      <c r="E374">
        <v>2.9296859999999998</v>
      </c>
      <c r="F374" s="2">
        <v>42881</v>
      </c>
      <c r="G374">
        <v>4.2688160000000002</v>
      </c>
      <c r="H374" s="3">
        <v>0.45710000000000001</v>
      </c>
      <c r="I374">
        <v>43206.53</v>
      </c>
      <c r="J374" s="3">
        <v>0.4546</v>
      </c>
      <c r="K374">
        <v>32439</v>
      </c>
      <c r="T374" s="2"/>
      <c r="U374" s="2"/>
      <c r="V374" s="2"/>
      <c r="W374" s="2"/>
      <c r="X374" s="3"/>
      <c r="Y374" s="3"/>
      <c r="Z374" s="3"/>
      <c r="AA374" s="3"/>
      <c r="AF374" s="3"/>
      <c r="AG374" s="3"/>
      <c r="AH374" s="3"/>
    </row>
    <row r="375" spans="1:34" x14ac:dyDescent="0.25">
      <c r="A375" t="s">
        <v>98</v>
      </c>
      <c r="B375" t="s">
        <v>937</v>
      </c>
      <c r="C375" t="s">
        <v>1273</v>
      </c>
      <c r="D375" s="2">
        <v>42748</v>
      </c>
      <c r="E375">
        <v>0.81862900000000005</v>
      </c>
      <c r="F375" s="2">
        <v>42874</v>
      </c>
      <c r="G375">
        <v>0.78903999999999996</v>
      </c>
      <c r="H375" s="3">
        <v>-3.61E-2</v>
      </c>
      <c r="I375">
        <v>-4568.66</v>
      </c>
      <c r="J375" s="3">
        <v>-3.8100000000000002E-2</v>
      </c>
      <c r="K375">
        <v>146447</v>
      </c>
      <c r="T375" s="2"/>
      <c r="U375" s="2"/>
      <c r="V375" s="2"/>
      <c r="W375" s="2"/>
      <c r="X375" s="3"/>
      <c r="Y375" s="3"/>
      <c r="Z375" s="3"/>
      <c r="AA375" s="3"/>
      <c r="AF375" s="3"/>
      <c r="AG375" s="3"/>
      <c r="AH375" s="3"/>
    </row>
    <row r="376" spans="1:34" x14ac:dyDescent="0.25">
      <c r="A376" t="s">
        <v>453</v>
      </c>
      <c r="B376" t="s">
        <v>836</v>
      </c>
      <c r="C376" t="s">
        <v>1273</v>
      </c>
      <c r="D376" s="2">
        <v>42748</v>
      </c>
      <c r="E376">
        <v>2.2752659999999998</v>
      </c>
      <c r="F376" s="2">
        <v>42867</v>
      </c>
      <c r="G376">
        <v>2.1615030000000002</v>
      </c>
      <c r="H376" s="3">
        <v>-0.05</v>
      </c>
      <c r="I376">
        <v>-6227.35</v>
      </c>
      <c r="J376" s="3">
        <v>-5.1900000000000002E-2</v>
      </c>
      <c r="K376">
        <v>52685</v>
      </c>
      <c r="T376" s="2"/>
      <c r="U376" s="2"/>
      <c r="V376" s="2"/>
      <c r="W376" s="2"/>
      <c r="X376" s="3"/>
      <c r="Y376" s="3"/>
      <c r="Z376" s="3"/>
      <c r="AA376" s="3"/>
      <c r="AF376" s="3"/>
      <c r="AG376" s="3"/>
      <c r="AH376" s="3"/>
    </row>
    <row r="377" spans="1:34" x14ac:dyDescent="0.25">
      <c r="A377" t="s">
        <v>274</v>
      </c>
      <c r="B377" t="s">
        <v>944</v>
      </c>
      <c r="C377" t="s">
        <v>1273</v>
      </c>
      <c r="D377" s="2">
        <v>42748</v>
      </c>
      <c r="E377">
        <v>0.65487899999999999</v>
      </c>
      <c r="F377" s="2">
        <v>42860</v>
      </c>
      <c r="G377">
        <v>0.484041</v>
      </c>
      <c r="H377" s="3">
        <v>-0.26090000000000002</v>
      </c>
      <c r="I377">
        <v>-31476.94</v>
      </c>
      <c r="J377" s="3">
        <v>-0.2626</v>
      </c>
      <c r="K377">
        <v>183030</v>
      </c>
      <c r="T377" s="2"/>
      <c r="U377" s="2"/>
      <c r="V377" s="2"/>
      <c r="W377" s="2"/>
      <c r="X377" s="3"/>
      <c r="Y377" s="3"/>
      <c r="Z377" s="3"/>
      <c r="AA377" s="3"/>
      <c r="AF377" s="3"/>
      <c r="AG377" s="3"/>
      <c r="AH377" s="3"/>
    </row>
    <row r="378" spans="1:34" x14ac:dyDescent="0.25">
      <c r="A378" t="s">
        <v>476</v>
      </c>
      <c r="B378" t="s">
        <v>919</v>
      </c>
      <c r="C378" t="s">
        <v>1273</v>
      </c>
      <c r="D378" s="2">
        <v>42748</v>
      </c>
      <c r="E378">
        <v>0.73</v>
      </c>
      <c r="F378" s="2">
        <v>42853</v>
      </c>
      <c r="G378">
        <v>0.49</v>
      </c>
      <c r="H378" s="3">
        <v>-0.32879999999999998</v>
      </c>
      <c r="I378">
        <v>-39618.46</v>
      </c>
      <c r="J378" s="3">
        <v>-0.33040000000000003</v>
      </c>
      <c r="K378">
        <v>164242</v>
      </c>
      <c r="T378" s="2"/>
      <c r="U378" s="2"/>
      <c r="V378" s="2"/>
      <c r="W378" s="2"/>
      <c r="X378" s="3"/>
      <c r="Y378" s="3"/>
      <c r="Z378" s="3"/>
      <c r="AA378" s="3"/>
      <c r="AF378" s="3"/>
      <c r="AG378" s="3"/>
      <c r="AH378" s="3"/>
    </row>
    <row r="379" spans="1:34" x14ac:dyDescent="0.25">
      <c r="A379" t="s">
        <v>490</v>
      </c>
      <c r="B379" t="s">
        <v>945</v>
      </c>
      <c r="C379" t="s">
        <v>1273</v>
      </c>
      <c r="D379" s="2">
        <v>42657</v>
      </c>
      <c r="E379">
        <v>3.22</v>
      </c>
      <c r="F379" s="2">
        <v>42832</v>
      </c>
      <c r="G379">
        <v>3.25</v>
      </c>
      <c r="H379" s="3">
        <v>9.2999999999999992E-3</v>
      </c>
      <c r="I379">
        <v>899.93</v>
      </c>
      <c r="J379" s="3">
        <v>7.3000000000000001E-3</v>
      </c>
      <c r="K379">
        <v>38246</v>
      </c>
      <c r="T379" s="2"/>
      <c r="U379" s="2"/>
      <c r="V379" s="2"/>
      <c r="W379" s="2"/>
      <c r="X379" s="3"/>
      <c r="Y379" s="3"/>
      <c r="Z379" s="3"/>
      <c r="AA379" s="3"/>
      <c r="AF379" s="3"/>
      <c r="AG379" s="3"/>
      <c r="AH379" s="3"/>
    </row>
    <row r="380" spans="1:34" x14ac:dyDescent="0.25">
      <c r="A380" t="s">
        <v>491</v>
      </c>
      <c r="B380" t="s">
        <v>946</v>
      </c>
      <c r="C380" t="s">
        <v>1273</v>
      </c>
      <c r="D380" s="2">
        <v>42727</v>
      </c>
      <c r="E380">
        <v>1.8609</v>
      </c>
      <c r="F380" s="2">
        <v>42828</v>
      </c>
      <c r="G380">
        <v>1.8998710000000001</v>
      </c>
      <c r="H380" s="3">
        <v>2.0899999999999998E-2</v>
      </c>
      <c r="I380">
        <v>2216.0300000000002</v>
      </c>
      <c r="J380" s="3">
        <v>1.89E-2</v>
      </c>
      <c r="K380">
        <v>62937</v>
      </c>
      <c r="T380" s="2"/>
      <c r="U380" s="2"/>
      <c r="V380" s="2"/>
      <c r="W380" s="2"/>
      <c r="X380" s="3"/>
      <c r="Y380" s="3"/>
      <c r="Z380" s="3"/>
      <c r="AA380" s="3"/>
      <c r="AF380" s="3"/>
      <c r="AG380" s="3"/>
      <c r="AH380" s="3"/>
    </row>
    <row r="381" spans="1:34" x14ac:dyDescent="0.25">
      <c r="A381" t="s">
        <v>269</v>
      </c>
      <c r="B381" t="s">
        <v>933</v>
      </c>
      <c r="C381" t="s">
        <v>1273</v>
      </c>
      <c r="D381" s="2">
        <v>42706</v>
      </c>
      <c r="E381">
        <v>4.5533970000000004</v>
      </c>
      <c r="F381" s="2">
        <v>42825</v>
      </c>
      <c r="G381">
        <v>4.267684</v>
      </c>
      <c r="H381" s="3">
        <v>-6.2700000000000006E-2</v>
      </c>
      <c r="I381">
        <v>-7603.99</v>
      </c>
      <c r="J381" s="3">
        <v>-6.4699999999999994E-2</v>
      </c>
      <c r="K381">
        <v>25817</v>
      </c>
      <c r="T381" s="2"/>
      <c r="U381" s="2"/>
      <c r="V381" s="2"/>
      <c r="W381" s="2"/>
      <c r="X381" s="3"/>
      <c r="Y381" s="3"/>
      <c r="Z381" s="3"/>
      <c r="AA381" s="3"/>
      <c r="AF381" s="3"/>
      <c r="AG381" s="3"/>
      <c r="AH381" s="3"/>
    </row>
    <row r="382" spans="1:34" x14ac:dyDescent="0.25">
      <c r="A382" t="s">
        <v>77</v>
      </c>
      <c r="B382" t="s">
        <v>947</v>
      </c>
      <c r="C382" t="s">
        <v>1273</v>
      </c>
      <c r="D382" s="2">
        <v>42769</v>
      </c>
      <c r="E382">
        <v>2.7733989999999999</v>
      </c>
      <c r="F382" s="2">
        <v>42811</v>
      </c>
      <c r="G382">
        <v>2.5118870000000002</v>
      </c>
      <c r="H382" s="3">
        <v>-9.4299999999999995E-2</v>
      </c>
      <c r="I382">
        <v>-11240.97</v>
      </c>
      <c r="J382" s="3">
        <v>-9.6199999999999994E-2</v>
      </c>
      <c r="K382">
        <v>42133</v>
      </c>
      <c r="T382" s="2"/>
      <c r="U382" s="2"/>
      <c r="V382" s="2"/>
      <c r="W382" s="2"/>
      <c r="X382" s="3"/>
      <c r="Y382" s="3"/>
      <c r="Z382" s="3"/>
      <c r="AA382" s="3"/>
      <c r="AF382" s="3"/>
      <c r="AG382" s="3"/>
      <c r="AH382" s="3"/>
    </row>
    <row r="383" spans="1:34" x14ac:dyDescent="0.25">
      <c r="A383" t="s">
        <v>492</v>
      </c>
      <c r="B383" t="s">
        <v>948</v>
      </c>
      <c r="C383" t="s">
        <v>1273</v>
      </c>
      <c r="D383" s="2">
        <v>42727</v>
      </c>
      <c r="E383">
        <v>1.0197719999999999</v>
      </c>
      <c r="F383" s="2">
        <v>42797</v>
      </c>
      <c r="G383">
        <v>0.91697269999999997</v>
      </c>
      <c r="H383" s="3">
        <v>-0.1008</v>
      </c>
      <c r="I383">
        <v>-12029.98</v>
      </c>
      <c r="J383" s="3">
        <v>-0.1027</v>
      </c>
      <c r="K383">
        <v>114860</v>
      </c>
      <c r="T383" s="2"/>
      <c r="U383" s="2"/>
      <c r="V383" s="2"/>
      <c r="W383" s="2"/>
      <c r="X383" s="3"/>
      <c r="Y383" s="3"/>
      <c r="Z383" s="3"/>
      <c r="AA383" s="3"/>
      <c r="AF383" s="3"/>
      <c r="AG383" s="3"/>
      <c r="AH383" s="3"/>
    </row>
    <row r="384" spans="1:34" x14ac:dyDescent="0.25">
      <c r="A384" t="s">
        <v>493</v>
      </c>
      <c r="B384" t="s">
        <v>949</v>
      </c>
      <c r="C384" t="s">
        <v>1273</v>
      </c>
      <c r="D384" s="2">
        <v>42713</v>
      </c>
      <c r="E384">
        <v>1.8138000000000001</v>
      </c>
      <c r="F384" s="2">
        <v>42790</v>
      </c>
      <c r="G384">
        <v>1.26966</v>
      </c>
      <c r="H384" s="3">
        <v>-0.3</v>
      </c>
      <c r="I384">
        <v>-35039.269999999997</v>
      </c>
      <c r="J384" s="3">
        <v>-0.30170000000000002</v>
      </c>
      <c r="K384">
        <v>64031</v>
      </c>
      <c r="T384" s="2"/>
      <c r="U384" s="2"/>
      <c r="V384" s="2"/>
      <c r="W384" s="2"/>
      <c r="X384" s="3"/>
      <c r="Y384" s="3"/>
      <c r="Z384" s="3"/>
      <c r="AA384" s="3"/>
      <c r="AF384" s="3"/>
      <c r="AG384" s="3"/>
      <c r="AH384" s="3"/>
    </row>
    <row r="385" spans="1:34" x14ac:dyDescent="0.25">
      <c r="A385" t="s">
        <v>275</v>
      </c>
      <c r="B385" t="s">
        <v>950</v>
      </c>
      <c r="C385" t="s">
        <v>1273</v>
      </c>
      <c r="D385" s="2">
        <v>42706</v>
      </c>
      <c r="E385">
        <v>5.4376379999999997</v>
      </c>
      <c r="F385" s="2">
        <v>42790</v>
      </c>
      <c r="G385">
        <v>4.4836660000000004</v>
      </c>
      <c r="H385" s="3">
        <v>-0.1754</v>
      </c>
      <c r="I385">
        <v>-20839.37</v>
      </c>
      <c r="J385" s="3">
        <v>-0.17730000000000001</v>
      </c>
      <c r="K385">
        <v>21620</v>
      </c>
      <c r="T385" s="2"/>
      <c r="U385" s="2"/>
      <c r="V385" s="2"/>
      <c r="W385" s="2"/>
      <c r="X385" s="3"/>
      <c r="Y385" s="3"/>
      <c r="Z385" s="3"/>
      <c r="AA385" s="3"/>
      <c r="AF385" s="3"/>
      <c r="AG385" s="3"/>
      <c r="AH385" s="3"/>
    </row>
    <row r="386" spans="1:34" x14ac:dyDescent="0.25">
      <c r="A386" t="s">
        <v>62</v>
      </c>
      <c r="B386" t="s">
        <v>951</v>
      </c>
      <c r="C386" t="s">
        <v>1273</v>
      </c>
      <c r="D386" s="2">
        <v>42650</v>
      </c>
      <c r="E386">
        <v>5.683141</v>
      </c>
      <c r="F386" s="2">
        <v>42769</v>
      </c>
      <c r="G386">
        <v>5.0342010000000004</v>
      </c>
      <c r="H386" s="3">
        <v>-0.1142</v>
      </c>
      <c r="I386">
        <v>-14369.32</v>
      </c>
      <c r="J386" s="3">
        <v>-0.11609999999999999</v>
      </c>
      <c r="K386">
        <v>21783</v>
      </c>
      <c r="T386" s="2"/>
      <c r="U386" s="2"/>
      <c r="V386" s="2"/>
      <c r="W386" s="2"/>
      <c r="X386" s="3"/>
      <c r="Y386" s="3"/>
      <c r="Z386" s="3"/>
      <c r="AA386" s="3"/>
      <c r="AF386" s="3"/>
      <c r="AG386" s="3"/>
      <c r="AH386" s="3"/>
    </row>
    <row r="387" spans="1:34" x14ac:dyDescent="0.25">
      <c r="A387" t="s">
        <v>257</v>
      </c>
      <c r="B387" t="s">
        <v>900</v>
      </c>
      <c r="C387" t="s">
        <v>1273</v>
      </c>
      <c r="D387" s="2">
        <v>41199</v>
      </c>
      <c r="E387">
        <v>0.57388989999999995</v>
      </c>
      <c r="F387" s="2">
        <v>42713</v>
      </c>
      <c r="G387">
        <v>1.4865159999999999</v>
      </c>
      <c r="H387" s="3">
        <v>1.5902000000000001</v>
      </c>
      <c r="I387">
        <v>88816.58</v>
      </c>
      <c r="J387" s="3">
        <v>1.5867</v>
      </c>
      <c r="K387">
        <v>97540</v>
      </c>
      <c r="T387" s="2"/>
      <c r="U387" s="2"/>
      <c r="V387" s="2"/>
      <c r="W387" s="2"/>
      <c r="X387" s="3"/>
      <c r="Y387" s="3"/>
      <c r="Z387" s="3"/>
      <c r="AA387" s="3"/>
      <c r="AF387" s="3"/>
      <c r="AG387" s="3"/>
      <c r="AH387" s="3"/>
    </row>
    <row r="388" spans="1:34" x14ac:dyDescent="0.25">
      <c r="A388" t="s">
        <v>276</v>
      </c>
      <c r="B388" t="s">
        <v>952</v>
      </c>
      <c r="C388" t="s">
        <v>1273</v>
      </c>
      <c r="D388" s="2">
        <v>42440</v>
      </c>
      <c r="E388">
        <v>1.142042</v>
      </c>
      <c r="F388" s="2">
        <v>42706</v>
      </c>
      <c r="G388">
        <v>1.243188</v>
      </c>
      <c r="H388" s="3">
        <v>8.8599999999999998E-2</v>
      </c>
      <c r="I388">
        <v>8220.9500000000007</v>
      </c>
      <c r="J388" s="3">
        <v>8.6499999999999994E-2</v>
      </c>
      <c r="K388">
        <v>83241</v>
      </c>
      <c r="T388" s="2"/>
      <c r="U388" s="2"/>
      <c r="V388" s="2"/>
      <c r="W388" s="2"/>
      <c r="X388" s="3"/>
      <c r="Y388" s="3"/>
      <c r="Z388" s="3"/>
      <c r="AA388" s="3"/>
      <c r="AF388" s="3"/>
      <c r="AG388" s="3"/>
      <c r="AH388" s="3"/>
    </row>
    <row r="389" spans="1:34" x14ac:dyDescent="0.25">
      <c r="A389" t="s">
        <v>60</v>
      </c>
      <c r="B389" t="s">
        <v>895</v>
      </c>
      <c r="C389" t="s">
        <v>1273</v>
      </c>
      <c r="D389" s="2">
        <v>42643</v>
      </c>
      <c r="E389">
        <v>3</v>
      </c>
      <c r="F389" s="2">
        <v>42699</v>
      </c>
      <c r="G389">
        <v>2.25</v>
      </c>
      <c r="H389" s="3">
        <v>-0.25</v>
      </c>
      <c r="I389">
        <v>-30733.39</v>
      </c>
      <c r="J389" s="3">
        <v>-0.25180000000000002</v>
      </c>
      <c r="K389">
        <v>40693</v>
      </c>
      <c r="T389" s="2"/>
      <c r="U389" s="2"/>
      <c r="V389" s="2"/>
      <c r="W389" s="2"/>
      <c r="X389" s="3"/>
      <c r="Y389" s="3"/>
      <c r="Z389" s="3"/>
      <c r="AA389" s="3"/>
      <c r="AF389" s="3"/>
      <c r="AG389" s="3"/>
      <c r="AH389" s="3"/>
    </row>
    <row r="390" spans="1:34" x14ac:dyDescent="0.25">
      <c r="A390" t="s">
        <v>494</v>
      </c>
      <c r="B390" t="s">
        <v>953</v>
      </c>
      <c r="C390" t="s">
        <v>1273</v>
      </c>
      <c r="D390" s="2">
        <v>42482</v>
      </c>
      <c r="E390">
        <v>1.149513</v>
      </c>
      <c r="F390" s="2">
        <v>42699</v>
      </c>
      <c r="G390">
        <v>1.845116</v>
      </c>
      <c r="H390" s="3">
        <v>0.60509999999999997</v>
      </c>
      <c r="I390">
        <v>57106.34</v>
      </c>
      <c r="J390" s="3">
        <v>0.60250000000000004</v>
      </c>
      <c r="K390">
        <v>82451</v>
      </c>
      <c r="T390" s="2"/>
      <c r="U390" s="2"/>
      <c r="V390" s="2"/>
      <c r="W390" s="2"/>
      <c r="X390" s="3"/>
      <c r="Y390" s="3"/>
      <c r="Z390" s="3"/>
      <c r="AA390" s="3"/>
      <c r="AF390" s="3"/>
      <c r="AG390" s="3"/>
      <c r="AH390" s="3"/>
    </row>
    <row r="391" spans="1:34" x14ac:dyDescent="0.25">
      <c r="A391" t="s">
        <v>493</v>
      </c>
      <c r="B391" t="s">
        <v>949</v>
      </c>
      <c r="C391" t="s">
        <v>1273</v>
      </c>
      <c r="D391" s="2">
        <v>42657</v>
      </c>
      <c r="E391">
        <v>1.63242</v>
      </c>
      <c r="F391" s="2">
        <v>42685</v>
      </c>
      <c r="G391">
        <v>1.4510400000000001</v>
      </c>
      <c r="H391" s="3">
        <v>-0.1111</v>
      </c>
      <c r="I391">
        <v>-13914.82</v>
      </c>
      <c r="J391" s="3">
        <v>-0.113</v>
      </c>
      <c r="K391">
        <v>75434</v>
      </c>
      <c r="T391" s="2"/>
      <c r="U391" s="2"/>
      <c r="V391" s="2"/>
      <c r="W391" s="2"/>
      <c r="X391" s="3"/>
      <c r="Y391" s="3"/>
      <c r="Z391" s="3"/>
      <c r="AA391" s="3"/>
      <c r="AF391" s="3"/>
      <c r="AG391" s="3"/>
      <c r="AH391" s="3"/>
    </row>
    <row r="392" spans="1:34" x14ac:dyDescent="0.25">
      <c r="A392" t="s">
        <v>119</v>
      </c>
      <c r="B392" t="s">
        <v>363</v>
      </c>
      <c r="C392" t="s">
        <v>1273</v>
      </c>
      <c r="D392" s="2">
        <v>42559</v>
      </c>
      <c r="E392">
        <v>0.69382949999999999</v>
      </c>
      <c r="F392" s="2">
        <v>42685</v>
      </c>
      <c r="G392">
        <v>0.98232759999999997</v>
      </c>
      <c r="H392" s="3">
        <v>0.4158</v>
      </c>
      <c r="I392">
        <v>43748.95</v>
      </c>
      <c r="J392" s="3">
        <v>0.41339999999999999</v>
      </c>
      <c r="K392">
        <v>152530</v>
      </c>
      <c r="T392" s="2"/>
      <c r="U392" s="2"/>
      <c r="V392" s="2"/>
      <c r="W392" s="2"/>
      <c r="X392" s="3"/>
      <c r="Y392" s="3"/>
      <c r="Z392" s="3"/>
      <c r="AA392" s="3"/>
      <c r="AF392" s="3"/>
      <c r="AG392" s="3"/>
      <c r="AH392" s="3"/>
    </row>
    <row r="393" spans="1:34" x14ac:dyDescent="0.25">
      <c r="A393" t="s">
        <v>449</v>
      </c>
      <c r="B393" t="s">
        <v>814</v>
      </c>
      <c r="C393" t="s">
        <v>1273</v>
      </c>
      <c r="D393" s="2">
        <v>42559</v>
      </c>
      <c r="E393">
        <v>0.99305089999999996</v>
      </c>
      <c r="F393" s="2">
        <v>42685</v>
      </c>
      <c r="G393">
        <v>1.1530050000000001</v>
      </c>
      <c r="H393" s="3">
        <v>0.16109999999999999</v>
      </c>
      <c r="I393">
        <v>16820.759999999998</v>
      </c>
      <c r="J393" s="3">
        <v>0.15890000000000001</v>
      </c>
      <c r="K393">
        <v>106590</v>
      </c>
      <c r="T393" s="2"/>
      <c r="U393" s="2"/>
      <c r="V393" s="2"/>
      <c r="W393" s="2"/>
      <c r="X393" s="3"/>
      <c r="Y393" s="3"/>
      <c r="Z393" s="3"/>
      <c r="AA393" s="3"/>
      <c r="AF393" s="3"/>
      <c r="AG393" s="3"/>
      <c r="AH393" s="3"/>
    </row>
    <row r="394" spans="1:34" x14ac:dyDescent="0.25">
      <c r="A394" t="s">
        <v>152</v>
      </c>
      <c r="B394" t="s">
        <v>745</v>
      </c>
      <c r="C394" t="s">
        <v>1273</v>
      </c>
      <c r="D394" s="2">
        <v>42440</v>
      </c>
      <c r="E394">
        <v>0.48747859999999998</v>
      </c>
      <c r="F394" s="2">
        <v>42685</v>
      </c>
      <c r="G394">
        <v>0.89357220000000004</v>
      </c>
      <c r="H394" s="3">
        <v>0.83299999999999996</v>
      </c>
      <c r="I394">
        <v>78879.289999999994</v>
      </c>
      <c r="J394" s="3">
        <v>0.83020000000000005</v>
      </c>
      <c r="K394">
        <v>194902</v>
      </c>
      <c r="T394" s="2"/>
      <c r="U394" s="2"/>
      <c r="V394" s="2"/>
      <c r="W394" s="2"/>
      <c r="X394" s="3"/>
      <c r="Y394" s="3"/>
      <c r="Z394" s="3"/>
      <c r="AA394" s="3"/>
      <c r="AF394" s="3"/>
      <c r="AG394" s="3"/>
      <c r="AH394" s="3"/>
    </row>
    <row r="395" spans="1:34" x14ac:dyDescent="0.25">
      <c r="A395" t="s">
        <v>448</v>
      </c>
      <c r="B395" t="s">
        <v>812</v>
      </c>
      <c r="C395" t="s">
        <v>1273</v>
      </c>
      <c r="D395" s="2">
        <v>42650</v>
      </c>
      <c r="E395">
        <v>0.65</v>
      </c>
      <c r="F395" s="2">
        <v>42678</v>
      </c>
      <c r="G395">
        <v>0.8</v>
      </c>
      <c r="H395" s="3">
        <v>0.23080000000000001</v>
      </c>
      <c r="I395">
        <v>28295.66</v>
      </c>
      <c r="J395" s="3">
        <v>0.22850000000000001</v>
      </c>
      <c r="K395">
        <v>190479</v>
      </c>
      <c r="T395" s="2"/>
      <c r="U395" s="2"/>
      <c r="V395" s="2"/>
      <c r="W395" s="2"/>
      <c r="X395" s="3"/>
      <c r="Y395" s="3"/>
      <c r="Z395" s="3"/>
      <c r="AA395" s="3"/>
      <c r="AF395" s="3"/>
      <c r="AG395" s="3"/>
      <c r="AH395" s="3"/>
    </row>
    <row r="396" spans="1:34" x14ac:dyDescent="0.25">
      <c r="A396" t="s">
        <v>277</v>
      </c>
      <c r="B396" t="s">
        <v>954</v>
      </c>
      <c r="C396" t="s">
        <v>1273</v>
      </c>
      <c r="D396" s="2">
        <v>42440</v>
      </c>
      <c r="E396">
        <v>1.1334979999999999</v>
      </c>
      <c r="F396" s="2">
        <v>42678</v>
      </c>
      <c r="G396">
        <v>1.285048</v>
      </c>
      <c r="H396" s="3">
        <v>0.13370000000000001</v>
      </c>
      <c r="I396">
        <v>12506.16</v>
      </c>
      <c r="J396" s="3">
        <v>0.13159999999999999</v>
      </c>
      <c r="K396">
        <v>83860</v>
      </c>
      <c r="T396" s="2"/>
      <c r="U396" s="2"/>
      <c r="V396" s="2"/>
      <c r="W396" s="2"/>
      <c r="X396" s="3"/>
      <c r="Y396" s="3"/>
      <c r="Z396" s="3"/>
      <c r="AA396" s="3"/>
      <c r="AF396" s="3"/>
      <c r="AG396" s="3"/>
      <c r="AH396" s="3"/>
    </row>
    <row r="397" spans="1:34" x14ac:dyDescent="0.25">
      <c r="A397" t="s">
        <v>495</v>
      </c>
      <c r="B397" t="s">
        <v>955</v>
      </c>
      <c r="C397" t="s">
        <v>1273</v>
      </c>
      <c r="D397" s="2">
        <v>42510</v>
      </c>
      <c r="E397">
        <v>2.664288</v>
      </c>
      <c r="F397" s="2">
        <v>42664</v>
      </c>
      <c r="G397">
        <v>2.988534</v>
      </c>
      <c r="H397" s="3">
        <v>0.1217</v>
      </c>
      <c r="I397">
        <v>12012.56</v>
      </c>
      <c r="J397" s="3">
        <v>0.1196</v>
      </c>
      <c r="K397">
        <v>37705</v>
      </c>
      <c r="T397" s="2"/>
      <c r="U397" s="2"/>
      <c r="V397" s="2"/>
      <c r="W397" s="2"/>
      <c r="X397" s="3"/>
      <c r="Y397" s="3"/>
      <c r="Z397" s="3"/>
      <c r="AA397" s="3"/>
      <c r="AF397" s="3"/>
      <c r="AG397" s="3"/>
      <c r="AH397" s="3"/>
    </row>
    <row r="398" spans="1:34" x14ac:dyDescent="0.25">
      <c r="A398" t="s">
        <v>496</v>
      </c>
      <c r="B398" t="s">
        <v>956</v>
      </c>
      <c r="C398" t="s">
        <v>1273</v>
      </c>
      <c r="D398" s="2">
        <v>42440</v>
      </c>
      <c r="E398">
        <v>0.64676880000000003</v>
      </c>
      <c r="F398" s="2">
        <v>42664</v>
      </c>
      <c r="G398">
        <v>0.53613730000000004</v>
      </c>
      <c r="H398" s="3">
        <v>-0.1711</v>
      </c>
      <c r="I398">
        <v>-16431.8</v>
      </c>
      <c r="J398" s="3">
        <v>-0.1729</v>
      </c>
      <c r="K398">
        <v>146956</v>
      </c>
      <c r="T398" s="2"/>
      <c r="U398" s="2"/>
      <c r="V398" s="2"/>
      <c r="W398" s="2"/>
      <c r="X398" s="3"/>
      <c r="Y398" s="3"/>
      <c r="Z398" s="3"/>
      <c r="AA398" s="3"/>
      <c r="AF398" s="3"/>
      <c r="AG398" s="3"/>
      <c r="AH398" s="3"/>
    </row>
    <row r="399" spans="1:34" x14ac:dyDescent="0.25">
      <c r="A399" t="s">
        <v>96</v>
      </c>
      <c r="B399" t="s">
        <v>957</v>
      </c>
      <c r="C399" t="s">
        <v>1273</v>
      </c>
      <c r="D399" s="2">
        <v>42440</v>
      </c>
      <c r="E399">
        <v>0.54105320000000001</v>
      </c>
      <c r="F399" s="2">
        <v>42643</v>
      </c>
      <c r="G399">
        <v>1.8526499999999999</v>
      </c>
      <c r="H399" s="3">
        <v>2.4241999999999999</v>
      </c>
      <c r="I399">
        <v>230053.17</v>
      </c>
      <c r="J399" s="3">
        <v>2.4197000000000002</v>
      </c>
      <c r="K399">
        <v>175720</v>
      </c>
      <c r="T399" s="2"/>
      <c r="U399" s="2"/>
      <c r="V399" s="2"/>
      <c r="W399" s="2"/>
      <c r="X399" s="3"/>
      <c r="Y399" s="3"/>
      <c r="Z399" s="3"/>
      <c r="AA399" s="3"/>
      <c r="AF399" s="3"/>
      <c r="AG399" s="3"/>
      <c r="AH399" s="3"/>
    </row>
    <row r="400" spans="1:34" x14ac:dyDescent="0.25">
      <c r="A400" t="s">
        <v>54</v>
      </c>
      <c r="B400" t="s">
        <v>936</v>
      </c>
      <c r="C400" t="s">
        <v>1273</v>
      </c>
      <c r="D400" s="2">
        <v>42369</v>
      </c>
      <c r="E400">
        <v>13.48301</v>
      </c>
      <c r="F400" s="2">
        <v>42643</v>
      </c>
      <c r="G400">
        <v>12.36285</v>
      </c>
      <c r="H400" s="3">
        <v>-8.3099999999999993E-2</v>
      </c>
      <c r="I400">
        <v>-8615.67</v>
      </c>
      <c r="J400" s="3">
        <v>-8.5000000000000006E-2</v>
      </c>
      <c r="K400">
        <v>7518</v>
      </c>
      <c r="T400" s="2"/>
      <c r="U400" s="2"/>
      <c r="V400" s="2"/>
      <c r="W400" s="2"/>
      <c r="X400" s="3"/>
      <c r="Y400" s="3"/>
      <c r="Z400" s="3"/>
      <c r="AA400" s="3"/>
      <c r="AF400" s="3"/>
      <c r="AG400" s="3"/>
      <c r="AH400" s="3"/>
    </row>
    <row r="401" spans="1:34" x14ac:dyDescent="0.25">
      <c r="A401" t="s">
        <v>77</v>
      </c>
      <c r="B401" t="s">
        <v>947</v>
      </c>
      <c r="C401" t="s">
        <v>1273</v>
      </c>
      <c r="D401" s="2">
        <v>41950</v>
      </c>
      <c r="E401">
        <v>1.2274160000000001</v>
      </c>
      <c r="F401" s="2">
        <v>42643</v>
      </c>
      <c r="G401">
        <v>2.4499499999999999</v>
      </c>
      <c r="H401" s="3">
        <v>0.996</v>
      </c>
      <c r="I401">
        <v>85807.51</v>
      </c>
      <c r="J401" s="3">
        <v>0.99299999999999999</v>
      </c>
      <c r="K401">
        <v>70400</v>
      </c>
      <c r="T401" s="2"/>
      <c r="U401" s="2"/>
      <c r="V401" s="2"/>
      <c r="W401" s="2"/>
      <c r="X401" s="3"/>
      <c r="Y401" s="3"/>
      <c r="Z401" s="3"/>
      <c r="AA401" s="3"/>
      <c r="AF401" s="3"/>
      <c r="AG401" s="3"/>
      <c r="AH401" s="3"/>
    </row>
    <row r="402" spans="1:34" x14ac:dyDescent="0.25">
      <c r="A402" t="s">
        <v>60</v>
      </c>
      <c r="B402" t="s">
        <v>895</v>
      </c>
      <c r="C402" t="s">
        <v>1273</v>
      </c>
      <c r="D402" s="2">
        <v>42615</v>
      </c>
      <c r="E402">
        <v>2.46</v>
      </c>
      <c r="F402" s="2">
        <v>42636</v>
      </c>
      <c r="G402">
        <v>2.4700000000000002</v>
      </c>
      <c r="H402" s="3">
        <v>4.1000000000000003E-3</v>
      </c>
      <c r="I402">
        <v>247.06</v>
      </c>
      <c r="J402" s="3">
        <v>2.0999999999999999E-3</v>
      </c>
      <c r="K402">
        <v>48729</v>
      </c>
      <c r="T402" s="2"/>
      <c r="U402" s="2"/>
      <c r="V402" s="2"/>
      <c r="W402" s="2"/>
      <c r="X402" s="3"/>
      <c r="Y402" s="3"/>
      <c r="Z402" s="3"/>
      <c r="AA402" s="3"/>
      <c r="AF402" s="3"/>
      <c r="AG402" s="3"/>
      <c r="AH402" s="3"/>
    </row>
    <row r="403" spans="1:34" x14ac:dyDescent="0.25">
      <c r="A403" t="s">
        <v>268</v>
      </c>
      <c r="B403" t="s">
        <v>917</v>
      </c>
      <c r="C403" t="s">
        <v>1273</v>
      </c>
      <c r="D403" s="2">
        <v>42440</v>
      </c>
      <c r="E403">
        <v>2.4905059999999999</v>
      </c>
      <c r="F403" s="2">
        <v>42629</v>
      </c>
      <c r="G403">
        <v>1.58918</v>
      </c>
      <c r="H403" s="3">
        <v>-0.3619</v>
      </c>
      <c r="I403">
        <v>-34543.040000000001</v>
      </c>
      <c r="J403" s="3">
        <v>-0.36349999999999999</v>
      </c>
      <c r="K403">
        <v>38152</v>
      </c>
      <c r="T403" s="2"/>
      <c r="U403" s="2"/>
      <c r="V403" s="2"/>
      <c r="W403" s="2"/>
      <c r="X403" s="3"/>
      <c r="Y403" s="3"/>
      <c r="Z403" s="3"/>
      <c r="AA403" s="3"/>
      <c r="AF403" s="3"/>
      <c r="AG403" s="3"/>
      <c r="AH403" s="3"/>
    </row>
    <row r="404" spans="1:34" x14ac:dyDescent="0.25">
      <c r="A404" t="s">
        <v>278</v>
      </c>
      <c r="B404" t="s">
        <v>958</v>
      </c>
      <c r="C404" t="s">
        <v>1273</v>
      </c>
      <c r="D404" s="2">
        <v>41859</v>
      </c>
      <c r="E404">
        <v>1.285436</v>
      </c>
      <c r="F404" s="2">
        <v>42614</v>
      </c>
      <c r="G404">
        <v>1.5430820000000001</v>
      </c>
      <c r="H404" s="3">
        <v>0.20039999999999999</v>
      </c>
      <c r="I404">
        <v>17165.78</v>
      </c>
      <c r="J404" s="3">
        <v>0.19819999999999999</v>
      </c>
      <c r="K404">
        <v>67365</v>
      </c>
      <c r="T404" s="2"/>
      <c r="U404" s="2"/>
      <c r="V404" s="2"/>
      <c r="W404" s="2"/>
      <c r="X404" s="3"/>
      <c r="Y404" s="3"/>
      <c r="Z404" s="3"/>
      <c r="AA404" s="3"/>
      <c r="AF404" s="3"/>
      <c r="AG404" s="3"/>
      <c r="AH404" s="3"/>
    </row>
    <row r="405" spans="1:34" x14ac:dyDescent="0.25">
      <c r="A405" t="s">
        <v>497</v>
      </c>
      <c r="B405" t="s">
        <v>959</v>
      </c>
      <c r="C405" t="s">
        <v>1273</v>
      </c>
      <c r="D405" s="2">
        <v>42440</v>
      </c>
      <c r="E405">
        <v>0.69669250000000005</v>
      </c>
      <c r="F405" s="2">
        <v>42552</v>
      </c>
      <c r="G405">
        <v>0.74133249999999995</v>
      </c>
      <c r="H405" s="3">
        <v>6.4100000000000004E-2</v>
      </c>
      <c r="I405">
        <v>5896.12</v>
      </c>
      <c r="J405" s="3">
        <v>6.2E-2</v>
      </c>
      <c r="K405">
        <v>136478</v>
      </c>
      <c r="T405" s="2"/>
      <c r="U405" s="2"/>
      <c r="V405" s="2"/>
      <c r="W405" s="2"/>
      <c r="X405" s="3"/>
      <c r="Y405" s="3"/>
      <c r="Z405" s="3"/>
      <c r="AA405" s="3"/>
      <c r="AF405" s="3"/>
      <c r="AG405" s="3"/>
      <c r="AH405" s="3"/>
    </row>
    <row r="406" spans="1:34" x14ac:dyDescent="0.25">
      <c r="A406" t="s">
        <v>498</v>
      </c>
      <c r="B406" t="s">
        <v>960</v>
      </c>
      <c r="C406" t="s">
        <v>1273</v>
      </c>
      <c r="D406" s="2">
        <v>42482</v>
      </c>
      <c r="E406">
        <v>2.1037499999999998</v>
      </c>
      <c r="F406" s="2">
        <v>42545</v>
      </c>
      <c r="G406">
        <v>2.3264999999999998</v>
      </c>
      <c r="H406" s="3">
        <v>0.10589999999999999</v>
      </c>
      <c r="I406">
        <v>9836.61</v>
      </c>
      <c r="J406" s="3">
        <v>0.1038</v>
      </c>
      <c r="K406">
        <v>45056</v>
      </c>
      <c r="T406" s="2"/>
      <c r="U406" s="2"/>
      <c r="V406" s="2"/>
      <c r="W406" s="2"/>
      <c r="X406" s="3"/>
      <c r="Y406" s="3"/>
      <c r="Z406" s="3"/>
      <c r="AA406" s="3"/>
      <c r="AF406" s="3"/>
      <c r="AG406" s="3"/>
      <c r="AH406" s="3"/>
    </row>
    <row r="407" spans="1:34" x14ac:dyDescent="0.25">
      <c r="A407" t="s">
        <v>212</v>
      </c>
      <c r="B407" t="s">
        <v>829</v>
      </c>
      <c r="C407" t="s">
        <v>1273</v>
      </c>
      <c r="D407" s="2">
        <v>42482</v>
      </c>
      <c r="E407">
        <v>0.56766079999999997</v>
      </c>
      <c r="F407" s="2">
        <v>42545</v>
      </c>
      <c r="G407">
        <v>0.53729579999999999</v>
      </c>
      <c r="H407" s="3">
        <v>-5.3499999999999999E-2</v>
      </c>
      <c r="I407">
        <v>-5253.85</v>
      </c>
      <c r="J407" s="3">
        <v>-5.5399999999999998E-2</v>
      </c>
      <c r="K407">
        <v>166948</v>
      </c>
      <c r="T407" s="2"/>
      <c r="U407" s="2"/>
      <c r="V407" s="2"/>
      <c r="W407" s="2"/>
      <c r="X407" s="3"/>
      <c r="Y407" s="3"/>
      <c r="Z407" s="3"/>
      <c r="AA407" s="3"/>
      <c r="AF407" s="3"/>
      <c r="AG407" s="3"/>
      <c r="AH407" s="3"/>
    </row>
    <row r="408" spans="1:34" x14ac:dyDescent="0.25">
      <c r="A408" t="s">
        <v>499</v>
      </c>
      <c r="B408" t="s">
        <v>961</v>
      </c>
      <c r="C408" t="s">
        <v>1273</v>
      </c>
      <c r="D408" s="2">
        <v>42440</v>
      </c>
      <c r="E408">
        <v>3.4</v>
      </c>
      <c r="F408" s="2">
        <v>42538</v>
      </c>
      <c r="G408">
        <v>2.14</v>
      </c>
      <c r="H408" s="3">
        <v>-0.37059999999999998</v>
      </c>
      <c r="I408">
        <v>-35370.58</v>
      </c>
      <c r="J408" s="3">
        <v>-0.37219999999999998</v>
      </c>
      <c r="K408">
        <v>27949</v>
      </c>
      <c r="T408" s="2"/>
      <c r="U408" s="2"/>
      <c r="V408" s="2"/>
      <c r="W408" s="2"/>
      <c r="X408" s="3"/>
      <c r="Y408" s="3"/>
      <c r="Z408" s="3"/>
      <c r="AA408" s="3"/>
      <c r="AF408" s="3"/>
      <c r="AG408" s="3"/>
      <c r="AH408" s="3"/>
    </row>
    <row r="409" spans="1:34" x14ac:dyDescent="0.25">
      <c r="A409" t="s">
        <v>500</v>
      </c>
      <c r="B409" t="s">
        <v>962</v>
      </c>
      <c r="C409" t="s">
        <v>1273</v>
      </c>
      <c r="D409" s="2">
        <v>42440</v>
      </c>
      <c r="E409">
        <v>1.0461830000000001</v>
      </c>
      <c r="F409" s="2">
        <v>42510</v>
      </c>
      <c r="G409">
        <v>1.1921630000000001</v>
      </c>
      <c r="H409" s="3">
        <v>0.13950000000000001</v>
      </c>
      <c r="I409">
        <v>13067.7</v>
      </c>
      <c r="J409" s="3">
        <v>0.13739999999999999</v>
      </c>
      <c r="K409">
        <v>90911</v>
      </c>
      <c r="T409" s="2"/>
      <c r="U409" s="2"/>
      <c r="V409" s="2"/>
      <c r="W409" s="2"/>
      <c r="X409" s="3"/>
      <c r="Y409" s="3"/>
      <c r="Z409" s="3"/>
      <c r="AA409" s="3"/>
      <c r="AF409" s="3"/>
      <c r="AG409" s="3"/>
      <c r="AH409" s="3"/>
    </row>
    <row r="410" spans="1:34" x14ac:dyDescent="0.25">
      <c r="A410" t="s">
        <v>501</v>
      </c>
      <c r="B410" t="s">
        <v>963</v>
      </c>
      <c r="C410" t="s">
        <v>1273</v>
      </c>
      <c r="D410" s="2">
        <v>42440</v>
      </c>
      <c r="E410">
        <v>0.94</v>
      </c>
      <c r="F410" s="2">
        <v>42468</v>
      </c>
      <c r="G410">
        <v>0.77</v>
      </c>
      <c r="H410" s="3">
        <v>-0.18090000000000001</v>
      </c>
      <c r="I410">
        <v>-17372.07</v>
      </c>
      <c r="J410" s="3">
        <v>-0.1827</v>
      </c>
      <c r="K410">
        <v>101171</v>
      </c>
      <c r="T410" s="2"/>
      <c r="U410" s="2"/>
      <c r="V410" s="2"/>
      <c r="W410" s="2"/>
      <c r="X410" s="3"/>
      <c r="Y410" s="3"/>
      <c r="Z410" s="3"/>
      <c r="AA410" s="3"/>
      <c r="AF410" s="3"/>
      <c r="AG410" s="3"/>
      <c r="AH410" s="3"/>
    </row>
    <row r="411" spans="1:34" x14ac:dyDescent="0.25">
      <c r="A411" t="s">
        <v>86</v>
      </c>
      <c r="B411" t="s">
        <v>964</v>
      </c>
      <c r="C411" t="s">
        <v>1273</v>
      </c>
      <c r="D411" s="2">
        <v>42440</v>
      </c>
      <c r="E411">
        <v>0.75549129999999998</v>
      </c>
      <c r="F411" s="2">
        <v>42461</v>
      </c>
      <c r="G411">
        <v>0.73706470000000002</v>
      </c>
      <c r="H411" s="3">
        <v>-2.4400000000000002E-2</v>
      </c>
      <c r="I411">
        <v>-2507.1799999999998</v>
      </c>
      <c r="J411" s="3">
        <v>-2.64E-2</v>
      </c>
      <c r="K411">
        <v>125868</v>
      </c>
      <c r="T411" s="2"/>
      <c r="U411" s="2"/>
      <c r="V411" s="2"/>
      <c r="W411" s="2"/>
      <c r="X411" s="3"/>
      <c r="Y411" s="3"/>
      <c r="Z411" s="3"/>
      <c r="AA411" s="3"/>
      <c r="AF411" s="3"/>
      <c r="AG411" s="3"/>
      <c r="AH411" s="3"/>
    </row>
    <row r="412" spans="1:34" x14ac:dyDescent="0.25">
      <c r="A412" t="s">
        <v>502</v>
      </c>
      <c r="B412" t="s">
        <v>965</v>
      </c>
      <c r="C412" t="s">
        <v>1273</v>
      </c>
      <c r="D412" s="2">
        <v>42335</v>
      </c>
      <c r="E412">
        <v>1.06</v>
      </c>
      <c r="F412" s="2">
        <v>42461</v>
      </c>
      <c r="G412">
        <v>0.91</v>
      </c>
      <c r="H412" s="3">
        <v>-0.14149999999999999</v>
      </c>
      <c r="I412">
        <v>-13982.3</v>
      </c>
      <c r="J412" s="3">
        <v>-0.1434</v>
      </c>
      <c r="K412">
        <v>92007</v>
      </c>
      <c r="T412" s="2"/>
      <c r="U412" s="2"/>
      <c r="V412" s="2"/>
      <c r="W412" s="2"/>
      <c r="X412" s="3"/>
      <c r="Y412" s="3"/>
      <c r="Z412" s="3"/>
      <c r="AA412" s="3"/>
      <c r="AF412" s="3"/>
      <c r="AG412" s="3"/>
      <c r="AH412" s="3"/>
    </row>
    <row r="413" spans="1:34" x14ac:dyDescent="0.25">
      <c r="A413" t="s">
        <v>227</v>
      </c>
      <c r="B413" t="s">
        <v>850</v>
      </c>
      <c r="C413" t="s">
        <v>1273</v>
      </c>
      <c r="D413" s="2">
        <v>42369</v>
      </c>
      <c r="E413">
        <v>2.7697280000000002</v>
      </c>
      <c r="F413" s="2">
        <v>42419</v>
      </c>
      <c r="G413">
        <v>2.9263499999999998</v>
      </c>
      <c r="H413" s="3">
        <v>5.6500000000000002E-2</v>
      </c>
      <c r="I413">
        <v>5522.53</v>
      </c>
      <c r="J413" s="3">
        <v>5.45E-2</v>
      </c>
      <c r="K413">
        <v>36591</v>
      </c>
      <c r="T413" s="2"/>
      <c r="U413" s="2"/>
      <c r="V413" s="2"/>
      <c r="W413" s="2"/>
      <c r="X413" s="3"/>
      <c r="Y413" s="3"/>
      <c r="Z413" s="3"/>
      <c r="AA413" s="3"/>
      <c r="AF413" s="3"/>
      <c r="AG413" s="3"/>
      <c r="AH413" s="3"/>
    </row>
    <row r="414" spans="1:34" x14ac:dyDescent="0.25">
      <c r="A414" t="s">
        <v>128</v>
      </c>
      <c r="B414" t="s">
        <v>412</v>
      </c>
      <c r="C414" t="s">
        <v>1273</v>
      </c>
      <c r="D414" s="2">
        <v>42335</v>
      </c>
      <c r="E414">
        <v>2.5855320000000002</v>
      </c>
      <c r="F414" s="2">
        <v>42419</v>
      </c>
      <c r="G414">
        <v>2.311769</v>
      </c>
      <c r="H414" s="3">
        <v>-0.10589999999999999</v>
      </c>
      <c r="I414">
        <v>-10513.02</v>
      </c>
      <c r="J414" s="3">
        <v>-0.10780000000000001</v>
      </c>
      <c r="K414">
        <v>37727</v>
      </c>
      <c r="T414" s="2"/>
      <c r="U414" s="2"/>
      <c r="V414" s="2"/>
      <c r="W414" s="2"/>
      <c r="X414" s="3"/>
      <c r="Y414" s="3"/>
      <c r="Z414" s="3"/>
      <c r="AA414" s="3"/>
      <c r="AF414" s="3"/>
      <c r="AG414" s="3"/>
      <c r="AH414" s="3"/>
    </row>
    <row r="415" spans="1:34" x14ac:dyDescent="0.25">
      <c r="A415" t="s">
        <v>279</v>
      </c>
      <c r="B415" t="s">
        <v>966</v>
      </c>
      <c r="C415" t="s">
        <v>1273</v>
      </c>
      <c r="D415" s="2">
        <v>42223</v>
      </c>
      <c r="E415">
        <v>2.9194740000000001</v>
      </c>
      <c r="F415" s="2">
        <v>42419</v>
      </c>
      <c r="G415">
        <v>2.8422770000000002</v>
      </c>
      <c r="H415" s="3">
        <v>-2.64E-2</v>
      </c>
      <c r="I415">
        <v>-2735.48</v>
      </c>
      <c r="J415" s="3">
        <v>-2.8400000000000002E-2</v>
      </c>
      <c r="K415">
        <v>32974</v>
      </c>
      <c r="T415" s="2"/>
      <c r="U415" s="2"/>
      <c r="V415" s="2"/>
      <c r="W415" s="2"/>
      <c r="X415" s="3"/>
      <c r="Y415" s="3"/>
      <c r="Z415" s="3"/>
      <c r="AA415" s="3"/>
      <c r="AF415" s="3"/>
      <c r="AG415" s="3"/>
      <c r="AH415" s="3"/>
    </row>
    <row r="416" spans="1:34" x14ac:dyDescent="0.25">
      <c r="A416" t="s">
        <v>269</v>
      </c>
      <c r="B416" t="s">
        <v>933</v>
      </c>
      <c r="C416" t="s">
        <v>1273</v>
      </c>
      <c r="D416" s="2">
        <v>41656</v>
      </c>
      <c r="E416">
        <v>1.3978429999999999</v>
      </c>
      <c r="F416" s="2">
        <v>42419</v>
      </c>
      <c r="G416">
        <v>3.5433870000000001</v>
      </c>
      <c r="H416" s="3">
        <v>1.5348999999999999</v>
      </c>
      <c r="I416">
        <v>121447.1</v>
      </c>
      <c r="J416" s="3">
        <v>1.5314000000000001</v>
      </c>
      <c r="K416">
        <v>56735</v>
      </c>
      <c r="T416" s="2"/>
      <c r="U416" s="2"/>
      <c r="V416" s="2"/>
      <c r="W416" s="2"/>
      <c r="X416" s="3"/>
      <c r="Y416" s="3"/>
      <c r="Z416" s="3"/>
      <c r="AA416" s="3"/>
      <c r="AF416" s="3"/>
      <c r="AG416" s="3"/>
      <c r="AH416" s="3"/>
    </row>
    <row r="417" spans="1:34" x14ac:dyDescent="0.25">
      <c r="A417" t="s">
        <v>280</v>
      </c>
      <c r="B417" t="s">
        <v>967</v>
      </c>
      <c r="C417" t="s">
        <v>1273</v>
      </c>
      <c r="D417" s="2">
        <v>42335</v>
      </c>
      <c r="E417">
        <v>5.2424619999999997</v>
      </c>
      <c r="F417" s="2">
        <v>42412</v>
      </c>
      <c r="G417">
        <v>5.4025369999999997</v>
      </c>
      <c r="H417" s="3">
        <v>3.0499999999999999E-2</v>
      </c>
      <c r="I417">
        <v>2780.59</v>
      </c>
      <c r="J417" s="3">
        <v>2.8500000000000001E-2</v>
      </c>
      <c r="K417">
        <v>18608</v>
      </c>
      <c r="T417" s="2"/>
      <c r="U417" s="2"/>
      <c r="V417" s="2"/>
      <c r="W417" s="2"/>
      <c r="X417" s="3"/>
      <c r="Y417" s="3"/>
      <c r="Z417" s="3"/>
      <c r="AA417" s="3"/>
      <c r="AF417" s="3"/>
      <c r="AG417" s="3"/>
      <c r="AH417" s="3"/>
    </row>
    <row r="418" spans="1:34" x14ac:dyDescent="0.25">
      <c r="A418" t="s">
        <v>503</v>
      </c>
      <c r="B418" t="s">
        <v>968</v>
      </c>
      <c r="C418" t="s">
        <v>1273</v>
      </c>
      <c r="D418" s="2">
        <v>42307</v>
      </c>
      <c r="E418">
        <v>4.71</v>
      </c>
      <c r="F418" s="2">
        <v>42412</v>
      </c>
      <c r="G418">
        <v>4.04</v>
      </c>
      <c r="H418" s="3">
        <v>-0.14230000000000001</v>
      </c>
      <c r="I418">
        <v>-14375.93</v>
      </c>
      <c r="J418" s="3">
        <v>-0.14410000000000001</v>
      </c>
      <c r="K418">
        <v>21180</v>
      </c>
      <c r="T418" s="2"/>
      <c r="U418" s="2"/>
      <c r="V418" s="2"/>
      <c r="W418" s="2"/>
      <c r="X418" s="3"/>
      <c r="Y418" s="3"/>
      <c r="Z418" s="3"/>
      <c r="AA418" s="3"/>
      <c r="AF418" s="3"/>
      <c r="AG418" s="3"/>
      <c r="AH418" s="3"/>
    </row>
    <row r="419" spans="1:34" x14ac:dyDescent="0.25">
      <c r="A419" t="s">
        <v>504</v>
      </c>
      <c r="B419" t="s">
        <v>969</v>
      </c>
      <c r="C419" t="s">
        <v>1273</v>
      </c>
      <c r="D419" s="2">
        <v>42223</v>
      </c>
      <c r="E419">
        <v>0.88696589999999997</v>
      </c>
      <c r="F419" s="2">
        <v>42412</v>
      </c>
      <c r="G419">
        <v>1.210161</v>
      </c>
      <c r="H419" s="3">
        <v>0.3644</v>
      </c>
      <c r="I419">
        <v>34830.46</v>
      </c>
      <c r="J419" s="3">
        <v>0.36199999999999999</v>
      </c>
      <c r="K419">
        <v>108473</v>
      </c>
      <c r="T419" s="2"/>
      <c r="U419" s="2"/>
      <c r="V419" s="2"/>
      <c r="W419" s="2"/>
      <c r="X419" s="3"/>
      <c r="Y419" s="3"/>
      <c r="Z419" s="3"/>
      <c r="AA419" s="3"/>
      <c r="AF419" s="3"/>
      <c r="AG419" s="3"/>
      <c r="AH419" s="3"/>
    </row>
    <row r="420" spans="1:34" x14ac:dyDescent="0.25">
      <c r="A420" t="s">
        <v>206</v>
      </c>
      <c r="B420" t="s">
        <v>817</v>
      </c>
      <c r="C420" t="s">
        <v>1273</v>
      </c>
      <c r="D420" s="2">
        <v>42369</v>
      </c>
      <c r="E420">
        <v>2.7226889999999999</v>
      </c>
      <c r="F420" s="2">
        <v>42405</v>
      </c>
      <c r="G420">
        <v>1.7455039999999999</v>
      </c>
      <c r="H420" s="3">
        <v>-0.3589</v>
      </c>
      <c r="I420">
        <v>-36546.949999999997</v>
      </c>
      <c r="J420" s="3">
        <v>-0.36049999999999999</v>
      </c>
      <c r="K420">
        <v>37230</v>
      </c>
      <c r="T420" s="2"/>
      <c r="U420" s="2"/>
      <c r="V420" s="2"/>
      <c r="W420" s="2"/>
      <c r="X420" s="3"/>
      <c r="Y420" s="3"/>
      <c r="Z420" s="3"/>
      <c r="AA420" s="3"/>
      <c r="AF420" s="3"/>
      <c r="AG420" s="3"/>
      <c r="AH420" s="3"/>
    </row>
    <row r="421" spans="1:34" x14ac:dyDescent="0.25">
      <c r="A421" t="s">
        <v>505</v>
      </c>
      <c r="B421" t="s">
        <v>970</v>
      </c>
      <c r="C421" t="s">
        <v>1273</v>
      </c>
      <c r="D421" s="2">
        <v>42369</v>
      </c>
      <c r="E421">
        <v>3.150795</v>
      </c>
      <c r="F421" s="2">
        <v>42391</v>
      </c>
      <c r="G421">
        <v>2.974834</v>
      </c>
      <c r="H421" s="3">
        <v>-5.5800000000000002E-2</v>
      </c>
      <c r="I421">
        <v>-5859</v>
      </c>
      <c r="J421" s="3">
        <v>-5.7799999999999997E-2</v>
      </c>
      <c r="K421">
        <v>32177</v>
      </c>
      <c r="T421" s="2"/>
      <c r="U421" s="2"/>
      <c r="V421" s="2"/>
      <c r="W421" s="2"/>
      <c r="X421" s="3"/>
      <c r="Y421" s="3"/>
      <c r="Z421" s="3"/>
      <c r="AA421" s="3"/>
      <c r="AF421" s="3"/>
      <c r="AG421" s="3"/>
      <c r="AH421" s="3"/>
    </row>
    <row r="422" spans="1:34" x14ac:dyDescent="0.25">
      <c r="A422" t="s">
        <v>110</v>
      </c>
      <c r="B422" t="s">
        <v>775</v>
      </c>
      <c r="C422" t="s">
        <v>1273</v>
      </c>
      <c r="D422" s="2">
        <v>42377</v>
      </c>
      <c r="E422">
        <v>1.0371900000000001</v>
      </c>
      <c r="F422" s="2">
        <v>42391</v>
      </c>
      <c r="G422">
        <v>0.89889799999999997</v>
      </c>
      <c r="H422" s="3">
        <v>-0.1333</v>
      </c>
      <c r="I422">
        <v>-13810.22</v>
      </c>
      <c r="J422" s="3">
        <v>-0.13519999999999999</v>
      </c>
      <c r="K422">
        <v>98484</v>
      </c>
      <c r="T422" s="2"/>
      <c r="U422" s="2"/>
      <c r="V422" s="2"/>
      <c r="W422" s="2"/>
      <c r="X422" s="3"/>
      <c r="Y422" s="3"/>
      <c r="Z422" s="3"/>
      <c r="AA422" s="3"/>
      <c r="AF422" s="3"/>
      <c r="AG422" s="3"/>
      <c r="AH422" s="3"/>
    </row>
    <row r="423" spans="1:34" x14ac:dyDescent="0.25">
      <c r="A423" t="s">
        <v>281</v>
      </c>
      <c r="B423" t="s">
        <v>971</v>
      </c>
      <c r="C423" t="s">
        <v>1273</v>
      </c>
      <c r="D423" s="2">
        <v>42369</v>
      </c>
      <c r="E423">
        <v>3.802136</v>
      </c>
      <c r="F423" s="2">
        <v>42384</v>
      </c>
      <c r="G423">
        <v>3.64967</v>
      </c>
      <c r="H423" s="3">
        <v>-4.0099999999999997E-2</v>
      </c>
      <c r="I423">
        <v>-4262.93</v>
      </c>
      <c r="J423" s="3">
        <v>-4.2099999999999999E-2</v>
      </c>
      <c r="K423">
        <v>26657</v>
      </c>
      <c r="T423" s="2"/>
      <c r="U423" s="2"/>
      <c r="V423" s="2"/>
      <c r="W423" s="2"/>
      <c r="X423" s="3"/>
      <c r="Y423" s="3"/>
      <c r="Z423" s="3"/>
      <c r="AA423" s="3"/>
      <c r="AF423" s="3"/>
      <c r="AG423" s="3"/>
      <c r="AH423" s="3"/>
    </row>
    <row r="424" spans="1:34" x14ac:dyDescent="0.25">
      <c r="A424" t="s">
        <v>452</v>
      </c>
      <c r="B424" t="s">
        <v>835</v>
      </c>
      <c r="C424" t="s">
        <v>1273</v>
      </c>
      <c r="D424" s="2">
        <v>42335</v>
      </c>
      <c r="E424">
        <v>1.637246</v>
      </c>
      <c r="F424" s="2">
        <v>42362</v>
      </c>
      <c r="G424">
        <v>1.5506610000000001</v>
      </c>
      <c r="H424" s="3">
        <v>-5.2900000000000003E-2</v>
      </c>
      <c r="I424">
        <v>-5347.05</v>
      </c>
      <c r="J424" s="3">
        <v>-5.4800000000000001E-2</v>
      </c>
      <c r="K424">
        <v>59562</v>
      </c>
      <c r="T424" s="2"/>
      <c r="U424" s="2"/>
      <c r="V424" s="2"/>
      <c r="W424" s="2"/>
      <c r="X424" s="3"/>
      <c r="Y424" s="3"/>
      <c r="Z424" s="3"/>
      <c r="AA424" s="3"/>
      <c r="AF424" s="3"/>
      <c r="AG424" s="3"/>
      <c r="AH424" s="3"/>
    </row>
    <row r="425" spans="1:34" x14ac:dyDescent="0.25">
      <c r="A425" t="s">
        <v>506</v>
      </c>
      <c r="B425" t="s">
        <v>972</v>
      </c>
      <c r="C425" t="s">
        <v>1273</v>
      </c>
      <c r="D425" s="2">
        <v>42307</v>
      </c>
      <c r="E425">
        <v>0.92094799999999999</v>
      </c>
      <c r="F425" s="2">
        <v>42356</v>
      </c>
      <c r="G425">
        <v>0.74857799999999997</v>
      </c>
      <c r="H425" s="3">
        <v>-0.18720000000000001</v>
      </c>
      <c r="I425">
        <v>-18850.57</v>
      </c>
      <c r="J425" s="3">
        <v>-0.189</v>
      </c>
      <c r="K425">
        <v>108312</v>
      </c>
      <c r="T425" s="2"/>
      <c r="U425" s="2"/>
      <c r="V425" s="2"/>
      <c r="W425" s="2"/>
      <c r="X425" s="3"/>
      <c r="Y425" s="3"/>
      <c r="Z425" s="3"/>
      <c r="AA425" s="3"/>
      <c r="AF425" s="3"/>
      <c r="AG425" s="3"/>
      <c r="AH425" s="3"/>
    </row>
    <row r="426" spans="1:34" x14ac:dyDescent="0.25">
      <c r="A426" t="s">
        <v>98</v>
      </c>
      <c r="B426" t="s">
        <v>937</v>
      </c>
      <c r="C426" t="s">
        <v>1273</v>
      </c>
      <c r="D426" s="2">
        <v>42342</v>
      </c>
      <c r="E426">
        <v>1.1835599999999999</v>
      </c>
      <c r="F426" s="2">
        <v>42349</v>
      </c>
      <c r="G426">
        <v>1.2328749999999999</v>
      </c>
      <c r="H426" s="3">
        <v>4.1700000000000001E-2</v>
      </c>
      <c r="I426">
        <v>3866.22</v>
      </c>
      <c r="J426" s="3">
        <v>3.9600000000000003E-2</v>
      </c>
      <c r="K426">
        <v>82438</v>
      </c>
      <c r="T426" s="2"/>
      <c r="U426" s="2"/>
      <c r="V426" s="2"/>
      <c r="W426" s="2"/>
      <c r="X426" s="3"/>
      <c r="Y426" s="3"/>
      <c r="Z426" s="3"/>
      <c r="AA426" s="3"/>
      <c r="AF426" s="3"/>
      <c r="AG426" s="3"/>
      <c r="AH426" s="3"/>
    </row>
    <row r="427" spans="1:34" x14ac:dyDescent="0.25">
      <c r="A427" t="s">
        <v>282</v>
      </c>
      <c r="B427" t="s">
        <v>973</v>
      </c>
      <c r="C427" t="s">
        <v>1273</v>
      </c>
      <c r="D427" s="2">
        <v>42307</v>
      </c>
      <c r="E427">
        <v>8.5059769999999997</v>
      </c>
      <c r="F427" s="2">
        <v>42349</v>
      </c>
      <c r="G427">
        <v>7.8094000000000001</v>
      </c>
      <c r="H427" s="3">
        <v>-8.1900000000000001E-2</v>
      </c>
      <c r="I427">
        <v>-8362.26</v>
      </c>
      <c r="J427" s="3">
        <v>-8.3799999999999999E-2</v>
      </c>
      <c r="K427">
        <v>11730</v>
      </c>
      <c r="T427" s="2"/>
      <c r="U427" s="2"/>
      <c r="V427" s="2"/>
      <c r="W427" s="2"/>
      <c r="X427" s="3"/>
      <c r="Y427" s="3"/>
      <c r="Z427" s="3"/>
      <c r="AA427" s="3"/>
      <c r="AF427" s="3"/>
      <c r="AG427" s="3"/>
      <c r="AH427" s="3"/>
    </row>
    <row r="428" spans="1:34" x14ac:dyDescent="0.25">
      <c r="A428" t="s">
        <v>488</v>
      </c>
      <c r="B428" t="s">
        <v>941</v>
      </c>
      <c r="C428" t="s">
        <v>1273</v>
      </c>
      <c r="D428" s="2">
        <v>42307</v>
      </c>
      <c r="E428">
        <v>4.15184</v>
      </c>
      <c r="F428" s="2">
        <v>42349</v>
      </c>
      <c r="G428">
        <v>3.4685160000000002</v>
      </c>
      <c r="H428" s="3">
        <v>-0.1646</v>
      </c>
      <c r="I428">
        <v>-16606.16</v>
      </c>
      <c r="J428" s="3">
        <v>-0.16639999999999999</v>
      </c>
      <c r="K428">
        <v>24034</v>
      </c>
      <c r="T428" s="2"/>
      <c r="U428" s="2"/>
      <c r="V428" s="2"/>
      <c r="W428" s="2"/>
      <c r="X428" s="3"/>
      <c r="Y428" s="3"/>
      <c r="Z428" s="3"/>
      <c r="AA428" s="3"/>
      <c r="AF428" s="3"/>
      <c r="AG428" s="3"/>
      <c r="AH428" s="3"/>
    </row>
    <row r="429" spans="1:34" x14ac:dyDescent="0.25">
      <c r="A429" t="s">
        <v>482</v>
      </c>
      <c r="B429" t="s">
        <v>927</v>
      </c>
      <c r="C429" t="s">
        <v>1273</v>
      </c>
      <c r="D429" s="2">
        <v>42307</v>
      </c>
      <c r="E429">
        <v>0.84841829999999996</v>
      </c>
      <c r="F429" s="2">
        <v>42349</v>
      </c>
      <c r="G429">
        <v>0.85902350000000005</v>
      </c>
      <c r="H429" s="3">
        <v>1.2500000000000001E-2</v>
      </c>
      <c r="I429">
        <v>1046.6199999999999</v>
      </c>
      <c r="J429" s="3">
        <v>1.0500000000000001E-2</v>
      </c>
      <c r="K429">
        <v>117627</v>
      </c>
      <c r="T429" s="2"/>
      <c r="U429" s="2"/>
      <c r="V429" s="2"/>
      <c r="W429" s="2"/>
      <c r="X429" s="3"/>
      <c r="Y429" s="3"/>
      <c r="Z429" s="3"/>
      <c r="AA429" s="3"/>
      <c r="AF429" s="3"/>
      <c r="AG429" s="3"/>
      <c r="AH429" s="3"/>
    </row>
    <row r="430" spans="1:34" x14ac:dyDescent="0.25">
      <c r="A430" t="s">
        <v>507</v>
      </c>
      <c r="B430" t="s">
        <v>974</v>
      </c>
      <c r="C430" t="s">
        <v>1273</v>
      </c>
      <c r="D430" s="2">
        <v>42335</v>
      </c>
      <c r="E430">
        <v>0.92</v>
      </c>
      <c r="F430" s="2">
        <v>42339</v>
      </c>
      <c r="G430">
        <v>0.91500000000000004</v>
      </c>
      <c r="H430" s="3">
        <v>-5.4000000000000003E-3</v>
      </c>
      <c r="I430">
        <v>-724.63</v>
      </c>
      <c r="J430" s="3">
        <v>-7.4000000000000003E-3</v>
      </c>
      <c r="K430">
        <v>106018</v>
      </c>
      <c r="T430" s="2"/>
      <c r="U430" s="2"/>
      <c r="V430" s="2"/>
      <c r="W430" s="2"/>
      <c r="X430" s="3"/>
      <c r="Y430" s="3"/>
      <c r="Z430" s="3"/>
      <c r="AA430" s="3"/>
      <c r="AF430" s="3"/>
      <c r="AG430" s="3"/>
      <c r="AH430" s="3"/>
    </row>
    <row r="431" spans="1:34" x14ac:dyDescent="0.25">
      <c r="A431" t="s">
        <v>283</v>
      </c>
      <c r="B431" t="s">
        <v>975</v>
      </c>
      <c r="C431" t="s">
        <v>1273</v>
      </c>
      <c r="D431" s="2">
        <v>42223</v>
      </c>
      <c r="E431">
        <v>4.1735040000000003</v>
      </c>
      <c r="F431" s="2">
        <v>42328</v>
      </c>
      <c r="G431">
        <v>3.985277</v>
      </c>
      <c r="H431" s="3">
        <v>-4.5100000000000001E-2</v>
      </c>
      <c r="I431">
        <v>-4527.67</v>
      </c>
      <c r="J431" s="3">
        <v>-4.7100000000000003E-2</v>
      </c>
      <c r="K431">
        <v>23055</v>
      </c>
      <c r="T431" s="2"/>
      <c r="U431" s="2"/>
      <c r="V431" s="2"/>
      <c r="W431" s="2"/>
      <c r="X431" s="3"/>
      <c r="Y431" s="3"/>
      <c r="Z431" s="3"/>
      <c r="AA431" s="3"/>
      <c r="AF431" s="3"/>
      <c r="AG431" s="3"/>
      <c r="AH431" s="3"/>
    </row>
    <row r="432" spans="1:34" x14ac:dyDescent="0.25">
      <c r="A432" t="s">
        <v>86</v>
      </c>
      <c r="B432" t="s">
        <v>964</v>
      </c>
      <c r="C432" t="s">
        <v>1273</v>
      </c>
      <c r="D432" s="2">
        <v>42307</v>
      </c>
      <c r="E432">
        <v>0.53437190000000001</v>
      </c>
      <c r="F432" s="2">
        <v>42321</v>
      </c>
      <c r="G432">
        <v>0.44223879999999999</v>
      </c>
      <c r="H432" s="3">
        <v>-0.1724</v>
      </c>
      <c r="I432">
        <v>-17390.47</v>
      </c>
      <c r="J432" s="3">
        <v>-0.17419999999999999</v>
      </c>
      <c r="K432">
        <v>186774</v>
      </c>
      <c r="T432" s="2"/>
      <c r="U432" s="2"/>
      <c r="V432" s="2"/>
      <c r="W432" s="2"/>
      <c r="X432" s="3"/>
      <c r="Y432" s="3"/>
      <c r="Z432" s="3"/>
      <c r="AA432" s="3"/>
      <c r="AF432" s="3"/>
      <c r="AG432" s="3"/>
      <c r="AH432" s="3"/>
    </row>
    <row r="433" spans="1:34" x14ac:dyDescent="0.25">
      <c r="A433" t="s">
        <v>284</v>
      </c>
      <c r="B433" t="s">
        <v>976</v>
      </c>
      <c r="C433" t="s">
        <v>1273</v>
      </c>
      <c r="D433" s="2">
        <v>42307</v>
      </c>
      <c r="E433">
        <v>0.72542359999999995</v>
      </c>
      <c r="F433" s="2">
        <v>42321</v>
      </c>
      <c r="G433">
        <v>0.65633569999999997</v>
      </c>
      <c r="H433" s="3">
        <v>-9.5200000000000007E-2</v>
      </c>
      <c r="I433">
        <v>-9691.76</v>
      </c>
      <c r="J433" s="3">
        <v>-9.7100000000000006E-2</v>
      </c>
      <c r="K433">
        <v>137531</v>
      </c>
      <c r="T433" s="2"/>
      <c r="U433" s="2"/>
      <c r="V433" s="2"/>
      <c r="W433" s="2"/>
      <c r="X433" s="3"/>
      <c r="Y433" s="3"/>
      <c r="Z433" s="3"/>
      <c r="AA433" s="3"/>
      <c r="AF433" s="3"/>
      <c r="AG433" s="3"/>
      <c r="AH433" s="3"/>
    </row>
    <row r="434" spans="1:34" x14ac:dyDescent="0.25">
      <c r="A434" t="s">
        <v>508</v>
      </c>
      <c r="B434" t="s">
        <v>977</v>
      </c>
      <c r="C434" t="s">
        <v>1273</v>
      </c>
      <c r="D434" s="2">
        <v>42223</v>
      </c>
      <c r="E434">
        <v>0.84478969999999998</v>
      </c>
      <c r="F434" s="2">
        <v>42317</v>
      </c>
      <c r="G434">
        <v>1.07</v>
      </c>
      <c r="H434" s="3">
        <v>0.2666</v>
      </c>
      <c r="I434">
        <v>25428.45</v>
      </c>
      <c r="J434" s="3">
        <v>0.26429999999999998</v>
      </c>
      <c r="K434">
        <v>113878</v>
      </c>
      <c r="T434" s="2"/>
      <c r="U434" s="2"/>
      <c r="V434" s="2"/>
      <c r="W434" s="2"/>
      <c r="X434" s="3"/>
      <c r="Y434" s="3"/>
      <c r="Z434" s="3"/>
      <c r="AA434" s="3"/>
      <c r="AF434" s="3"/>
      <c r="AG434" s="3"/>
      <c r="AH434" s="3"/>
    </row>
    <row r="435" spans="1:34" x14ac:dyDescent="0.25">
      <c r="A435" t="s">
        <v>492</v>
      </c>
      <c r="B435" t="s">
        <v>948</v>
      </c>
      <c r="C435" t="s">
        <v>1273</v>
      </c>
      <c r="D435" s="2">
        <v>42006</v>
      </c>
      <c r="E435">
        <v>1.4784740000000001</v>
      </c>
      <c r="F435" s="2">
        <v>42314</v>
      </c>
      <c r="G435">
        <v>1.2384109999999999</v>
      </c>
      <c r="H435" s="3">
        <v>-0.16239999999999999</v>
      </c>
      <c r="I435">
        <v>-15029.53</v>
      </c>
      <c r="J435" s="3">
        <v>-0.16420000000000001</v>
      </c>
      <c r="K435">
        <v>61906</v>
      </c>
      <c r="T435" s="2"/>
      <c r="U435" s="2"/>
      <c r="V435" s="2"/>
      <c r="W435" s="2"/>
      <c r="X435" s="3"/>
      <c r="Y435" s="3"/>
      <c r="Z435" s="3"/>
      <c r="AA435" s="3"/>
      <c r="AF435" s="3"/>
      <c r="AG435" s="3"/>
      <c r="AH435" s="3"/>
    </row>
    <row r="436" spans="1:34" x14ac:dyDescent="0.25">
      <c r="A436" t="s">
        <v>509</v>
      </c>
      <c r="B436" t="s">
        <v>978</v>
      </c>
      <c r="C436" t="s">
        <v>1273</v>
      </c>
      <c r="D436" s="2">
        <v>41845</v>
      </c>
      <c r="E436">
        <v>1.8554889999999999</v>
      </c>
      <c r="F436" s="2">
        <v>42311</v>
      </c>
      <c r="G436">
        <v>2.38</v>
      </c>
      <c r="H436" s="3">
        <v>0.28270000000000001</v>
      </c>
      <c r="I436">
        <v>24792.17</v>
      </c>
      <c r="J436" s="3">
        <v>0.28039999999999998</v>
      </c>
      <c r="K436">
        <v>47652</v>
      </c>
      <c r="T436" s="2"/>
      <c r="U436" s="2"/>
      <c r="V436" s="2"/>
      <c r="W436" s="2"/>
      <c r="X436" s="3"/>
      <c r="Y436" s="3"/>
      <c r="Z436" s="3"/>
      <c r="AA436" s="3"/>
      <c r="AF436" s="3"/>
      <c r="AG436" s="3"/>
      <c r="AH436" s="3"/>
    </row>
    <row r="437" spans="1:34" x14ac:dyDescent="0.25">
      <c r="A437" t="s">
        <v>510</v>
      </c>
      <c r="B437" t="s">
        <v>979</v>
      </c>
      <c r="C437" t="s">
        <v>1273</v>
      </c>
      <c r="D437" s="2">
        <v>42223</v>
      </c>
      <c r="E437">
        <v>2.1604070000000002</v>
      </c>
      <c r="F437" s="2">
        <v>42272</v>
      </c>
      <c r="G437">
        <v>2.63</v>
      </c>
      <c r="H437" s="3">
        <v>0.21740000000000001</v>
      </c>
      <c r="I437">
        <v>20703.240000000002</v>
      </c>
      <c r="J437" s="3">
        <v>0.21510000000000001</v>
      </c>
      <c r="K437">
        <v>44542</v>
      </c>
      <c r="T437" s="2"/>
      <c r="U437" s="2"/>
      <c r="V437" s="2"/>
      <c r="W437" s="2"/>
      <c r="X437" s="3"/>
      <c r="Y437" s="3"/>
      <c r="Z437" s="3"/>
      <c r="AA437" s="3"/>
      <c r="AF437" s="3"/>
      <c r="AG437" s="3"/>
      <c r="AH437" s="3"/>
    </row>
    <row r="438" spans="1:34" x14ac:dyDescent="0.25">
      <c r="A438" t="s">
        <v>511</v>
      </c>
      <c r="B438" t="s">
        <v>980</v>
      </c>
      <c r="C438" t="s">
        <v>1273</v>
      </c>
      <c r="D438" s="2">
        <v>41138</v>
      </c>
      <c r="E438">
        <v>2.1685989999999999</v>
      </c>
      <c r="F438" s="2">
        <v>42272</v>
      </c>
      <c r="G438">
        <v>3.2601490000000002</v>
      </c>
      <c r="H438" s="3">
        <v>0.50329999999999997</v>
      </c>
      <c r="I438">
        <v>25014.46</v>
      </c>
      <c r="J438" s="3">
        <v>0.50080000000000002</v>
      </c>
      <c r="K438">
        <v>23031</v>
      </c>
      <c r="T438" s="2"/>
      <c r="U438" s="2"/>
      <c r="V438" s="2"/>
      <c r="W438" s="2"/>
      <c r="X438" s="3"/>
      <c r="Y438" s="3"/>
      <c r="Z438" s="3"/>
      <c r="AA438" s="3"/>
      <c r="AF438" s="3"/>
      <c r="AG438" s="3"/>
      <c r="AH438" s="3"/>
    </row>
    <row r="439" spans="1:34" x14ac:dyDescent="0.25">
      <c r="A439" t="s">
        <v>512</v>
      </c>
      <c r="B439" t="s">
        <v>981</v>
      </c>
      <c r="C439" t="s">
        <v>1273</v>
      </c>
      <c r="D439" s="2">
        <v>42223</v>
      </c>
      <c r="E439">
        <v>1.1000000000000001</v>
      </c>
      <c r="F439" s="2">
        <v>42244</v>
      </c>
      <c r="G439">
        <v>0.91000009999999998</v>
      </c>
      <c r="H439" s="3">
        <v>-0.17269999999999999</v>
      </c>
      <c r="I439">
        <v>-16802.22</v>
      </c>
      <c r="J439" s="3">
        <v>-0.17460000000000001</v>
      </c>
      <c r="K439">
        <v>87507</v>
      </c>
      <c r="T439" s="2"/>
      <c r="U439" s="2"/>
      <c r="V439" s="2"/>
      <c r="W439" s="2"/>
      <c r="X439" s="3"/>
      <c r="Y439" s="3"/>
      <c r="Z439" s="3"/>
      <c r="AA439" s="3"/>
      <c r="AF439" s="3"/>
      <c r="AG439" s="3"/>
      <c r="AH439" s="3"/>
    </row>
    <row r="440" spans="1:34" x14ac:dyDescent="0.25">
      <c r="A440" t="s">
        <v>285</v>
      </c>
      <c r="B440" t="s">
        <v>982</v>
      </c>
      <c r="C440" t="s">
        <v>1273</v>
      </c>
      <c r="D440" s="2">
        <v>42223</v>
      </c>
      <c r="E440">
        <v>1.1163959999999999</v>
      </c>
      <c r="F440" s="2">
        <v>42244</v>
      </c>
      <c r="G440">
        <v>0.91601739999999998</v>
      </c>
      <c r="H440" s="3">
        <v>-0.17949999999999999</v>
      </c>
      <c r="I440">
        <v>-17448.84</v>
      </c>
      <c r="J440" s="3">
        <v>-0.18129999999999999</v>
      </c>
      <c r="K440">
        <v>86205</v>
      </c>
      <c r="T440" s="2"/>
      <c r="U440" s="2"/>
      <c r="V440" s="2"/>
      <c r="W440" s="2"/>
      <c r="X440" s="3"/>
      <c r="Y440" s="3"/>
      <c r="Z440" s="3"/>
      <c r="AA440" s="3"/>
      <c r="AF440" s="3"/>
      <c r="AG440" s="3"/>
      <c r="AH440" s="3"/>
    </row>
    <row r="441" spans="1:34" x14ac:dyDescent="0.25">
      <c r="A441" t="s">
        <v>497</v>
      </c>
      <c r="B441" t="s">
        <v>959</v>
      </c>
      <c r="C441" t="s">
        <v>1273</v>
      </c>
      <c r="D441" s="2">
        <v>42223</v>
      </c>
      <c r="E441">
        <v>0.51532259999999996</v>
      </c>
      <c r="F441" s="2">
        <v>42237</v>
      </c>
      <c r="G441">
        <v>0.433417</v>
      </c>
      <c r="H441" s="3">
        <v>-0.15890000000000001</v>
      </c>
      <c r="I441">
        <v>-15466.17</v>
      </c>
      <c r="J441" s="3">
        <v>-0.1608</v>
      </c>
      <c r="K441">
        <v>186667</v>
      </c>
      <c r="T441" s="2"/>
      <c r="U441" s="2"/>
      <c r="V441" s="2"/>
      <c r="W441" s="2"/>
      <c r="X441" s="3"/>
      <c r="Y441" s="3"/>
      <c r="Z441" s="3"/>
      <c r="AA441" s="3"/>
      <c r="AF441" s="3"/>
      <c r="AG441" s="3"/>
      <c r="AH441" s="3"/>
    </row>
    <row r="442" spans="1:34" x14ac:dyDescent="0.25">
      <c r="A442" t="s">
        <v>513</v>
      </c>
      <c r="B442" t="s">
        <v>983</v>
      </c>
      <c r="C442" t="s">
        <v>1273</v>
      </c>
      <c r="D442" s="2">
        <v>42006</v>
      </c>
      <c r="E442">
        <v>0.66650160000000003</v>
      </c>
      <c r="F442" s="2">
        <v>42188</v>
      </c>
      <c r="G442">
        <v>0.56170640000000005</v>
      </c>
      <c r="H442" s="3">
        <v>-0.15720000000000001</v>
      </c>
      <c r="I442">
        <v>-14560.83</v>
      </c>
      <c r="J442" s="3">
        <v>-0.15909999999999999</v>
      </c>
      <c r="K442">
        <v>137336</v>
      </c>
      <c r="T442" s="2"/>
      <c r="U442" s="2"/>
      <c r="V442" s="2"/>
      <c r="W442" s="2"/>
      <c r="X442" s="3"/>
      <c r="Y442" s="3"/>
      <c r="Z442" s="3"/>
      <c r="AA442" s="3"/>
      <c r="AF442" s="3"/>
      <c r="AG442" s="3"/>
      <c r="AH442" s="3"/>
    </row>
    <row r="443" spans="1:34" x14ac:dyDescent="0.25">
      <c r="A443" t="s">
        <v>286</v>
      </c>
      <c r="B443" t="s">
        <v>984</v>
      </c>
      <c r="C443" t="s">
        <v>1273</v>
      </c>
      <c r="D443" s="2">
        <v>41753</v>
      </c>
      <c r="E443">
        <v>0.64454630000000002</v>
      </c>
      <c r="F443" s="2">
        <v>42188</v>
      </c>
      <c r="G443">
        <v>0.96088890000000005</v>
      </c>
      <c r="H443" s="3">
        <v>0.49080000000000001</v>
      </c>
      <c r="I443">
        <v>40095.94</v>
      </c>
      <c r="J443" s="3">
        <v>0.48830000000000001</v>
      </c>
      <c r="K443">
        <v>127395</v>
      </c>
      <c r="T443" s="2"/>
      <c r="U443" s="2"/>
      <c r="V443" s="2"/>
      <c r="W443" s="2"/>
      <c r="X443" s="3"/>
      <c r="Y443" s="3"/>
      <c r="Z443" s="3"/>
      <c r="AA443" s="3"/>
      <c r="AF443" s="3"/>
      <c r="AG443" s="3"/>
      <c r="AH443" s="3"/>
    </row>
    <row r="444" spans="1:34" x14ac:dyDescent="0.25">
      <c r="A444" t="s">
        <v>514</v>
      </c>
      <c r="B444" t="s">
        <v>985</v>
      </c>
      <c r="C444" t="s">
        <v>1273</v>
      </c>
      <c r="D444" s="2">
        <v>42004</v>
      </c>
      <c r="E444">
        <v>3.3299880000000002</v>
      </c>
      <c r="F444" s="2">
        <v>42181</v>
      </c>
      <c r="G444">
        <v>3.8908290000000001</v>
      </c>
      <c r="H444" s="3">
        <v>0.16839999999999999</v>
      </c>
      <c r="I444">
        <v>15145.94</v>
      </c>
      <c r="J444" s="3">
        <v>0.1663</v>
      </c>
      <c r="K444">
        <v>27358</v>
      </c>
      <c r="T444" s="2"/>
      <c r="U444" s="2"/>
      <c r="V444" s="2"/>
      <c r="W444" s="2"/>
      <c r="X444" s="3"/>
      <c r="Y444" s="3"/>
      <c r="Z444" s="3"/>
      <c r="AA444" s="3"/>
      <c r="AF444" s="3"/>
      <c r="AG444" s="3"/>
      <c r="AH444" s="3"/>
    </row>
    <row r="445" spans="1:34" x14ac:dyDescent="0.25">
      <c r="A445" t="s">
        <v>515</v>
      </c>
      <c r="B445" t="s">
        <v>986</v>
      </c>
      <c r="C445" t="s">
        <v>1273</v>
      </c>
      <c r="D445" s="2">
        <v>41957</v>
      </c>
      <c r="E445">
        <v>2.329526</v>
      </c>
      <c r="F445" s="2">
        <v>42174</v>
      </c>
      <c r="G445">
        <v>3.2586810000000002</v>
      </c>
      <c r="H445" s="3">
        <v>0.39889999999999998</v>
      </c>
      <c r="I445">
        <v>34608.82</v>
      </c>
      <c r="J445" s="3">
        <v>0.39650000000000002</v>
      </c>
      <c r="K445">
        <v>37473</v>
      </c>
      <c r="T445" s="2"/>
      <c r="U445" s="2"/>
      <c r="V445" s="2"/>
      <c r="W445" s="2"/>
      <c r="X445" s="3"/>
      <c r="Y445" s="3"/>
      <c r="Z445" s="3"/>
      <c r="AA445" s="3"/>
      <c r="AF445" s="3"/>
      <c r="AG445" s="3"/>
      <c r="AH445" s="3"/>
    </row>
    <row r="446" spans="1:34" x14ac:dyDescent="0.25">
      <c r="A446" t="s">
        <v>287</v>
      </c>
      <c r="B446" t="s">
        <v>987</v>
      </c>
      <c r="C446" t="s">
        <v>1273</v>
      </c>
      <c r="D446" s="2">
        <v>41257</v>
      </c>
      <c r="E446">
        <v>1.673133</v>
      </c>
      <c r="F446" s="2">
        <v>42167</v>
      </c>
      <c r="G446">
        <v>5.5296909999999997</v>
      </c>
      <c r="H446" s="3">
        <v>2.3050000000000002</v>
      </c>
      <c r="I446">
        <v>133649.60999999999</v>
      </c>
      <c r="J446" s="3">
        <v>2.3007</v>
      </c>
      <c r="K446">
        <v>34720</v>
      </c>
      <c r="T446" s="2"/>
      <c r="U446" s="2"/>
      <c r="V446" s="2"/>
      <c r="W446" s="2"/>
      <c r="X446" s="3"/>
      <c r="Y446" s="3"/>
      <c r="Z446" s="3"/>
      <c r="AA446" s="3"/>
      <c r="AF446" s="3"/>
      <c r="AG446" s="3"/>
      <c r="AH446" s="3"/>
    </row>
    <row r="447" spans="1:34" x14ac:dyDescent="0.25">
      <c r="A447" t="s">
        <v>221</v>
      </c>
      <c r="B447" t="s">
        <v>843</v>
      </c>
      <c r="C447" t="s">
        <v>1273</v>
      </c>
      <c r="D447" s="2">
        <v>42096</v>
      </c>
      <c r="E447">
        <v>1.37</v>
      </c>
      <c r="F447" s="2">
        <v>42146</v>
      </c>
      <c r="G447">
        <v>1.7</v>
      </c>
      <c r="H447" s="3">
        <v>0.2409</v>
      </c>
      <c r="I447">
        <v>23123.11</v>
      </c>
      <c r="J447" s="3">
        <v>0.23860000000000001</v>
      </c>
      <c r="K447">
        <v>70728</v>
      </c>
      <c r="T447" s="2"/>
      <c r="U447" s="2"/>
      <c r="V447" s="2"/>
      <c r="W447" s="2"/>
      <c r="X447" s="3"/>
      <c r="Y447" s="3"/>
      <c r="Z447" s="3"/>
      <c r="AA447" s="3"/>
      <c r="AF447" s="3"/>
      <c r="AG447" s="3"/>
      <c r="AH447" s="3"/>
    </row>
    <row r="448" spans="1:34" x14ac:dyDescent="0.25">
      <c r="A448" t="s">
        <v>288</v>
      </c>
      <c r="B448" t="s">
        <v>988</v>
      </c>
      <c r="C448" t="s">
        <v>1273</v>
      </c>
      <c r="D448" s="2">
        <v>42034</v>
      </c>
      <c r="E448">
        <v>0.54555089999999995</v>
      </c>
      <c r="F448" s="2">
        <v>42139</v>
      </c>
      <c r="G448">
        <v>0.5698164</v>
      </c>
      <c r="H448" s="3">
        <v>4.4499999999999998E-2</v>
      </c>
      <c r="I448">
        <v>3781.78</v>
      </c>
      <c r="J448" s="3">
        <v>4.24E-2</v>
      </c>
      <c r="K448">
        <v>163359</v>
      </c>
      <c r="T448" s="2"/>
      <c r="U448" s="2"/>
      <c r="V448" s="2"/>
      <c r="W448" s="2"/>
      <c r="X448" s="3"/>
      <c r="Y448" s="3"/>
      <c r="Z448" s="3"/>
      <c r="AA448" s="3"/>
      <c r="AF448" s="3"/>
      <c r="AG448" s="3"/>
      <c r="AH448" s="3"/>
    </row>
    <row r="449" spans="1:34" x14ac:dyDescent="0.25">
      <c r="A449" t="s">
        <v>516</v>
      </c>
      <c r="B449" t="s">
        <v>989</v>
      </c>
      <c r="C449" t="s">
        <v>1273</v>
      </c>
      <c r="D449" s="2">
        <v>41950</v>
      </c>
      <c r="E449">
        <v>2.2086399999999999</v>
      </c>
      <c r="F449" s="2">
        <v>42132</v>
      </c>
      <c r="G449">
        <v>2.33</v>
      </c>
      <c r="H449" s="3">
        <v>5.4899999999999997E-2</v>
      </c>
      <c r="I449">
        <v>4569.58</v>
      </c>
      <c r="J449" s="3">
        <v>5.2900000000000003E-2</v>
      </c>
      <c r="K449">
        <v>39116</v>
      </c>
      <c r="T449" s="2"/>
      <c r="U449" s="2"/>
      <c r="V449" s="2"/>
      <c r="W449" s="2"/>
      <c r="X449" s="3"/>
      <c r="Y449" s="3"/>
      <c r="Z449" s="3"/>
      <c r="AA449" s="3"/>
      <c r="AF449" s="3"/>
      <c r="AG449" s="3"/>
      <c r="AH449" s="3"/>
    </row>
    <row r="450" spans="1:34" x14ac:dyDescent="0.25">
      <c r="A450" t="s">
        <v>265</v>
      </c>
      <c r="B450" t="s">
        <v>913</v>
      </c>
      <c r="C450" t="s">
        <v>1273</v>
      </c>
      <c r="D450" s="2">
        <v>41474</v>
      </c>
      <c r="E450">
        <v>4.7072260000000004</v>
      </c>
      <c r="F450" s="2">
        <v>42132</v>
      </c>
      <c r="G450">
        <v>7.7863049999999996</v>
      </c>
      <c r="H450" s="3">
        <v>0.65410000000000001</v>
      </c>
      <c r="I450">
        <v>46992.36</v>
      </c>
      <c r="J450" s="3">
        <v>0.65149999999999997</v>
      </c>
      <c r="K450">
        <v>15324</v>
      </c>
      <c r="T450" s="2"/>
      <c r="U450" s="2"/>
      <c r="V450" s="2"/>
      <c r="W450" s="2"/>
      <c r="X450" s="3"/>
      <c r="Y450" s="3"/>
      <c r="Z450" s="3"/>
      <c r="AA450" s="3"/>
      <c r="AF450" s="3"/>
      <c r="AG450" s="3"/>
      <c r="AH450" s="3"/>
    </row>
    <row r="451" spans="1:34" x14ac:dyDescent="0.25">
      <c r="A451" t="s">
        <v>289</v>
      </c>
      <c r="B451" t="s">
        <v>990</v>
      </c>
      <c r="C451" t="s">
        <v>1273</v>
      </c>
      <c r="D451" s="2">
        <v>41691</v>
      </c>
      <c r="E451">
        <v>0.52606620000000004</v>
      </c>
      <c r="F451" s="2">
        <v>42118</v>
      </c>
      <c r="G451">
        <v>0.4386737</v>
      </c>
      <c r="H451" s="3">
        <v>-0.1661</v>
      </c>
      <c r="I451">
        <v>-13437.99</v>
      </c>
      <c r="J451" s="3">
        <v>-0.16800000000000001</v>
      </c>
      <c r="K451">
        <v>152087</v>
      </c>
      <c r="T451" s="2"/>
      <c r="U451" s="2"/>
      <c r="V451" s="2"/>
      <c r="W451" s="2"/>
      <c r="X451" s="3"/>
      <c r="Y451" s="3"/>
      <c r="Z451" s="3"/>
      <c r="AA451" s="3"/>
      <c r="AF451" s="3"/>
      <c r="AG451" s="3"/>
      <c r="AH451" s="3"/>
    </row>
    <row r="452" spans="1:34" x14ac:dyDescent="0.25">
      <c r="A452" t="s">
        <v>119</v>
      </c>
      <c r="B452" t="s">
        <v>363</v>
      </c>
      <c r="C452" t="s">
        <v>1273</v>
      </c>
      <c r="D452" s="2">
        <v>42034</v>
      </c>
      <c r="E452">
        <v>0.96489329999999995</v>
      </c>
      <c r="F452" s="2">
        <v>42096</v>
      </c>
      <c r="G452">
        <v>0.77963459999999996</v>
      </c>
      <c r="H452" s="3">
        <v>-0.192</v>
      </c>
      <c r="I452">
        <v>-17273.86</v>
      </c>
      <c r="J452" s="3">
        <v>-0.1938</v>
      </c>
      <c r="K452">
        <v>92372</v>
      </c>
      <c r="T452" s="2"/>
      <c r="U452" s="2"/>
      <c r="V452" s="2"/>
      <c r="W452" s="2"/>
      <c r="X452" s="3"/>
      <c r="Y452" s="3"/>
      <c r="Z452" s="3"/>
      <c r="AA452" s="3"/>
      <c r="AF452" s="3"/>
      <c r="AG452" s="3"/>
      <c r="AH452" s="3"/>
    </row>
    <row r="453" spans="1:34" x14ac:dyDescent="0.25">
      <c r="A453" t="s">
        <v>517</v>
      </c>
      <c r="B453" t="s">
        <v>991</v>
      </c>
      <c r="C453" t="s">
        <v>1273</v>
      </c>
      <c r="D453" s="2">
        <v>42013</v>
      </c>
      <c r="E453">
        <v>1.7478800000000001</v>
      </c>
      <c r="F453" s="2">
        <v>42027</v>
      </c>
      <c r="G453">
        <v>1.3038240000000001</v>
      </c>
      <c r="H453" s="3">
        <v>-0.25409999999999999</v>
      </c>
      <c r="I453">
        <v>-23683.74</v>
      </c>
      <c r="J453" s="3">
        <v>-0.25580000000000003</v>
      </c>
      <c r="K453">
        <v>52971</v>
      </c>
      <c r="T453" s="2"/>
      <c r="U453" s="2"/>
      <c r="V453" s="2"/>
      <c r="W453" s="2"/>
      <c r="X453" s="3"/>
      <c r="Y453" s="3"/>
      <c r="Z453" s="3"/>
      <c r="AA453" s="3"/>
      <c r="AF453" s="3"/>
      <c r="AG453" s="3"/>
      <c r="AH453" s="3"/>
    </row>
    <row r="454" spans="1:34" x14ac:dyDescent="0.25">
      <c r="A454" t="s">
        <v>79</v>
      </c>
      <c r="B454" t="s">
        <v>992</v>
      </c>
      <c r="C454" t="s">
        <v>1273</v>
      </c>
      <c r="D454" s="2">
        <v>42006</v>
      </c>
      <c r="E454">
        <v>1.2749999999999999</v>
      </c>
      <c r="F454" s="2">
        <v>42027</v>
      </c>
      <c r="G454">
        <v>1.26</v>
      </c>
      <c r="H454" s="3">
        <v>-1.18E-2</v>
      </c>
      <c r="I454">
        <v>-1259</v>
      </c>
      <c r="J454" s="3">
        <v>-1.38E-2</v>
      </c>
      <c r="K454">
        <v>71799</v>
      </c>
      <c r="T454" s="2"/>
      <c r="U454" s="2"/>
      <c r="V454" s="2"/>
      <c r="W454" s="2"/>
      <c r="X454" s="3"/>
      <c r="Y454" s="3"/>
      <c r="Z454" s="3"/>
      <c r="AA454" s="3"/>
      <c r="AF454" s="3"/>
      <c r="AG454" s="3"/>
      <c r="AH454" s="3"/>
    </row>
    <row r="455" spans="1:34" x14ac:dyDescent="0.25">
      <c r="A455" t="s">
        <v>290</v>
      </c>
      <c r="B455" t="s">
        <v>993</v>
      </c>
      <c r="C455" t="s">
        <v>1273</v>
      </c>
      <c r="D455" s="2">
        <v>41950</v>
      </c>
      <c r="E455">
        <v>1.838295</v>
      </c>
      <c r="F455" s="2">
        <v>41997</v>
      </c>
      <c r="G455">
        <v>1.6268910000000001</v>
      </c>
      <c r="H455" s="3">
        <v>-0.115</v>
      </c>
      <c r="I455">
        <v>-10101</v>
      </c>
      <c r="J455" s="3">
        <v>-0.1169</v>
      </c>
      <c r="K455">
        <v>47010</v>
      </c>
      <c r="T455" s="2"/>
      <c r="U455" s="2"/>
      <c r="V455" s="2"/>
      <c r="W455" s="2"/>
      <c r="X455" s="3"/>
      <c r="Y455" s="3"/>
      <c r="Z455" s="3"/>
      <c r="AA455" s="3"/>
      <c r="AF455" s="3"/>
      <c r="AG455" s="3"/>
      <c r="AH455" s="3"/>
    </row>
    <row r="456" spans="1:34" x14ac:dyDescent="0.25">
      <c r="A456" t="s">
        <v>478</v>
      </c>
      <c r="B456" t="s">
        <v>921</v>
      </c>
      <c r="C456" t="s">
        <v>1273</v>
      </c>
      <c r="D456" s="2">
        <v>41474</v>
      </c>
      <c r="E456">
        <v>1.3081480000000001</v>
      </c>
      <c r="F456" s="2">
        <v>41992</v>
      </c>
      <c r="G456">
        <v>1.360744</v>
      </c>
      <c r="H456" s="3">
        <v>4.02E-2</v>
      </c>
      <c r="I456">
        <v>2752.93</v>
      </c>
      <c r="J456" s="3">
        <v>3.8199999999999998E-2</v>
      </c>
      <c r="K456">
        <v>55139</v>
      </c>
      <c r="T456" s="2"/>
      <c r="U456" s="2"/>
      <c r="V456" s="2"/>
      <c r="W456" s="2"/>
      <c r="X456" s="3"/>
      <c r="Y456" s="3"/>
      <c r="Z456" s="3"/>
      <c r="AA456" s="3"/>
      <c r="AF456" s="3"/>
      <c r="AG456" s="3"/>
      <c r="AH456" s="3"/>
    </row>
    <row r="457" spans="1:34" x14ac:dyDescent="0.25">
      <c r="A457" t="s">
        <v>291</v>
      </c>
      <c r="B457" t="s">
        <v>994</v>
      </c>
      <c r="C457" t="s">
        <v>1273</v>
      </c>
      <c r="D457" s="2">
        <v>41796</v>
      </c>
      <c r="E457">
        <v>0.61042909999999995</v>
      </c>
      <c r="F457" s="2">
        <v>41991</v>
      </c>
      <c r="G457">
        <v>0.65819870000000003</v>
      </c>
      <c r="H457" s="3">
        <v>7.8299999999999995E-2</v>
      </c>
      <c r="I457">
        <v>6536.46</v>
      </c>
      <c r="J457" s="3">
        <v>7.6200000000000004E-2</v>
      </c>
      <c r="K457">
        <v>140566</v>
      </c>
      <c r="T457" s="2"/>
      <c r="U457" s="2"/>
      <c r="V457" s="2"/>
      <c r="W457" s="2"/>
      <c r="X457" s="3"/>
      <c r="Y457" s="3"/>
      <c r="Z457" s="3"/>
      <c r="AA457" s="3"/>
      <c r="AF457" s="3"/>
      <c r="AG457" s="3"/>
      <c r="AH457" s="3"/>
    </row>
    <row r="458" spans="1:34" x14ac:dyDescent="0.25">
      <c r="A458" t="s">
        <v>75</v>
      </c>
      <c r="B458" t="s">
        <v>995</v>
      </c>
      <c r="C458" t="s">
        <v>1273</v>
      </c>
      <c r="D458" s="2">
        <v>41950</v>
      </c>
      <c r="E458">
        <v>1.9059219999999999</v>
      </c>
      <c r="F458" s="2">
        <v>41978</v>
      </c>
      <c r="G458">
        <v>1.853378</v>
      </c>
      <c r="H458" s="3">
        <v>-2.76E-2</v>
      </c>
      <c r="I458">
        <v>-2552.4</v>
      </c>
      <c r="J458" s="3">
        <v>-2.9499999999999998E-2</v>
      </c>
      <c r="K458">
        <v>45333</v>
      </c>
      <c r="T458" s="2"/>
      <c r="U458" s="2"/>
      <c r="V458" s="2"/>
      <c r="W458" s="2"/>
      <c r="X458" s="3"/>
      <c r="Y458" s="3"/>
      <c r="Z458" s="3"/>
      <c r="AA458" s="3"/>
      <c r="AF458" s="3"/>
      <c r="AG458" s="3"/>
      <c r="AH458" s="3"/>
    </row>
    <row r="459" spans="1:34" x14ac:dyDescent="0.25">
      <c r="A459" t="s">
        <v>288</v>
      </c>
      <c r="B459" t="s">
        <v>988</v>
      </c>
      <c r="C459" t="s">
        <v>1273</v>
      </c>
      <c r="D459" s="2">
        <v>41957</v>
      </c>
      <c r="E459">
        <v>0.53534110000000001</v>
      </c>
      <c r="F459" s="2">
        <v>41971</v>
      </c>
      <c r="G459">
        <v>0.47978690000000002</v>
      </c>
      <c r="H459" s="3">
        <v>-0.1038</v>
      </c>
      <c r="I459">
        <v>-9223.57</v>
      </c>
      <c r="J459" s="3">
        <v>-0.1057</v>
      </c>
      <c r="K459">
        <v>163049</v>
      </c>
      <c r="T459" s="2"/>
      <c r="U459" s="2"/>
      <c r="V459" s="2"/>
      <c r="W459" s="2"/>
      <c r="X459" s="3"/>
      <c r="Y459" s="3"/>
      <c r="Z459" s="3"/>
      <c r="AA459" s="3"/>
      <c r="AF459" s="3"/>
      <c r="AG459" s="3"/>
      <c r="AH459" s="3"/>
    </row>
    <row r="460" spans="1:34" x14ac:dyDescent="0.25">
      <c r="A460" t="s">
        <v>448</v>
      </c>
      <c r="B460" t="s">
        <v>812</v>
      </c>
      <c r="C460" t="s">
        <v>1273</v>
      </c>
      <c r="D460" s="2">
        <v>41950</v>
      </c>
      <c r="E460">
        <v>0.71</v>
      </c>
      <c r="F460" s="2">
        <v>41964</v>
      </c>
      <c r="G460">
        <v>0.74</v>
      </c>
      <c r="H460" s="3">
        <v>4.2299999999999997E-2</v>
      </c>
      <c r="I460">
        <v>3475.33</v>
      </c>
      <c r="J460" s="3">
        <v>4.02E-2</v>
      </c>
      <c r="K460">
        <v>121728</v>
      </c>
      <c r="T460" s="2"/>
      <c r="U460" s="2"/>
      <c r="V460" s="2"/>
      <c r="W460" s="2"/>
      <c r="X460" s="3"/>
      <c r="Y460" s="3"/>
      <c r="Z460" s="3"/>
      <c r="AA460" s="3"/>
      <c r="AF460" s="3"/>
      <c r="AG460" s="3"/>
      <c r="AH460" s="3"/>
    </row>
    <row r="461" spans="1:34" x14ac:dyDescent="0.25">
      <c r="A461" t="s">
        <v>518</v>
      </c>
      <c r="B461" t="s">
        <v>996</v>
      </c>
      <c r="C461" t="s">
        <v>1273</v>
      </c>
      <c r="D461" s="2">
        <v>41873</v>
      </c>
      <c r="E461">
        <v>1.85521</v>
      </c>
      <c r="F461" s="2">
        <v>41953</v>
      </c>
      <c r="G461">
        <v>1.895</v>
      </c>
      <c r="H461" s="3">
        <v>2.1399999999999999E-2</v>
      </c>
      <c r="I461">
        <v>1703.42</v>
      </c>
      <c r="J461" s="3">
        <v>1.9400000000000001E-2</v>
      </c>
      <c r="K461">
        <v>47265</v>
      </c>
      <c r="T461" s="2"/>
      <c r="U461" s="2"/>
      <c r="V461" s="2"/>
      <c r="W461" s="2"/>
      <c r="X461" s="3"/>
      <c r="Y461" s="3"/>
      <c r="Z461" s="3"/>
      <c r="AA461" s="3"/>
      <c r="AF461" s="3"/>
      <c r="AG461" s="3"/>
      <c r="AH461" s="3"/>
    </row>
    <row r="462" spans="1:34" x14ac:dyDescent="0.25">
      <c r="A462" t="s">
        <v>519</v>
      </c>
      <c r="B462" t="s">
        <v>997</v>
      </c>
      <c r="C462" t="s">
        <v>1273</v>
      </c>
      <c r="D462" s="2">
        <v>41894</v>
      </c>
      <c r="E462">
        <v>3.2250000000000001</v>
      </c>
      <c r="F462" s="2">
        <v>41936</v>
      </c>
      <c r="G462">
        <v>3.125</v>
      </c>
      <c r="H462" s="3">
        <v>-3.1E-2</v>
      </c>
      <c r="I462">
        <v>-2953.98</v>
      </c>
      <c r="J462" s="3">
        <v>-3.3000000000000002E-2</v>
      </c>
      <c r="K462">
        <v>27776</v>
      </c>
      <c r="T462" s="2"/>
      <c r="U462" s="2"/>
      <c r="V462" s="2"/>
      <c r="W462" s="2"/>
      <c r="X462" s="3"/>
      <c r="Y462" s="3"/>
      <c r="Z462" s="3"/>
      <c r="AA462" s="3"/>
      <c r="AF462" s="3"/>
      <c r="AG462" s="3"/>
      <c r="AH462" s="3"/>
    </row>
    <row r="463" spans="1:34" x14ac:dyDescent="0.25">
      <c r="A463" t="s">
        <v>520</v>
      </c>
      <c r="B463" t="s">
        <v>998</v>
      </c>
      <c r="C463" t="s">
        <v>1273</v>
      </c>
      <c r="D463" s="2">
        <v>41873</v>
      </c>
      <c r="E463">
        <v>1.33</v>
      </c>
      <c r="F463" s="2">
        <v>41915</v>
      </c>
      <c r="G463">
        <v>0.83</v>
      </c>
      <c r="H463" s="3">
        <v>-0.37590000000000001</v>
      </c>
      <c r="I463">
        <v>-33104.400000000001</v>
      </c>
      <c r="J463" s="3">
        <v>-0.37759999999999999</v>
      </c>
      <c r="K463">
        <v>65924</v>
      </c>
      <c r="T463" s="2"/>
      <c r="U463" s="2"/>
      <c r="V463" s="2"/>
      <c r="W463" s="2"/>
      <c r="X463" s="3"/>
      <c r="Y463" s="3"/>
      <c r="Z463" s="3"/>
      <c r="AA463" s="3"/>
      <c r="AF463" s="3"/>
      <c r="AG463" s="3"/>
      <c r="AH463" s="3"/>
    </row>
    <row r="464" spans="1:34" x14ac:dyDescent="0.25">
      <c r="A464" t="s">
        <v>521</v>
      </c>
      <c r="B464" t="s">
        <v>999</v>
      </c>
      <c r="C464" t="s">
        <v>1273</v>
      </c>
      <c r="D464" s="2">
        <v>41831</v>
      </c>
      <c r="E464">
        <v>1.736178</v>
      </c>
      <c r="F464" s="2">
        <v>41908</v>
      </c>
      <c r="G464">
        <v>1.2599689999999999</v>
      </c>
      <c r="H464" s="3">
        <v>-0.27429999999999999</v>
      </c>
      <c r="I464">
        <v>-24192.67</v>
      </c>
      <c r="J464" s="3">
        <v>-0.27600000000000002</v>
      </c>
      <c r="K464">
        <v>50485</v>
      </c>
      <c r="T464" s="2"/>
      <c r="U464" s="2"/>
      <c r="V464" s="2"/>
      <c r="W464" s="2"/>
      <c r="X464" s="3"/>
      <c r="Y464" s="3"/>
      <c r="Z464" s="3"/>
      <c r="AA464" s="3"/>
      <c r="AF464" s="3"/>
      <c r="AG464" s="3"/>
      <c r="AH464" s="3"/>
    </row>
    <row r="465" spans="1:34" x14ac:dyDescent="0.25">
      <c r="A465" t="s">
        <v>522</v>
      </c>
      <c r="B465" t="s">
        <v>1000</v>
      </c>
      <c r="C465" t="s">
        <v>1273</v>
      </c>
      <c r="D465" s="2">
        <v>41789</v>
      </c>
      <c r="E465">
        <v>2.9085869999999998</v>
      </c>
      <c r="F465" s="2">
        <v>41908</v>
      </c>
      <c r="G465">
        <v>2.6</v>
      </c>
      <c r="H465" s="3">
        <v>-0.1061</v>
      </c>
      <c r="I465">
        <v>-9091.5</v>
      </c>
      <c r="J465" s="3">
        <v>-0.108</v>
      </c>
      <c r="K465">
        <v>28945</v>
      </c>
      <c r="T465" s="2"/>
      <c r="U465" s="2"/>
      <c r="V465" s="2"/>
      <c r="W465" s="2"/>
      <c r="X465" s="3"/>
      <c r="Y465" s="3"/>
      <c r="Z465" s="3"/>
      <c r="AA465" s="3"/>
      <c r="AF465" s="3"/>
      <c r="AG465" s="3"/>
      <c r="AH465" s="3"/>
    </row>
    <row r="466" spans="1:34" x14ac:dyDescent="0.25">
      <c r="A466" t="s">
        <v>523</v>
      </c>
      <c r="B466" t="s">
        <v>1001</v>
      </c>
      <c r="C466" t="s">
        <v>1273</v>
      </c>
      <c r="D466" s="2">
        <v>41649</v>
      </c>
      <c r="E466">
        <v>1.0580510000000001</v>
      </c>
      <c r="F466" s="2">
        <v>41908</v>
      </c>
      <c r="G466">
        <v>1.8138019999999999</v>
      </c>
      <c r="H466" s="3">
        <v>0.71430000000000005</v>
      </c>
      <c r="I466">
        <v>58461.9</v>
      </c>
      <c r="J466" s="3">
        <v>0.71160000000000001</v>
      </c>
      <c r="K466">
        <v>77651</v>
      </c>
      <c r="T466" s="2"/>
      <c r="U466" s="2"/>
      <c r="V466" s="2"/>
      <c r="W466" s="2"/>
      <c r="X466" s="3"/>
      <c r="Y466" s="3"/>
      <c r="Z466" s="3"/>
      <c r="AA466" s="3"/>
      <c r="AF466" s="3"/>
      <c r="AG466" s="3"/>
      <c r="AH466" s="3"/>
    </row>
    <row r="467" spans="1:34" x14ac:dyDescent="0.25">
      <c r="A467" t="s">
        <v>192</v>
      </c>
      <c r="B467" t="s">
        <v>795</v>
      </c>
      <c r="C467" t="s">
        <v>1273</v>
      </c>
      <c r="D467" s="2">
        <v>41873</v>
      </c>
      <c r="E467">
        <v>0.55878249999999996</v>
      </c>
      <c r="F467" s="2">
        <v>41908</v>
      </c>
      <c r="G467">
        <v>0.483016</v>
      </c>
      <c r="H467" s="3">
        <v>-0.1356</v>
      </c>
      <c r="I467">
        <v>-12054.37</v>
      </c>
      <c r="J467" s="3">
        <v>-0.13750000000000001</v>
      </c>
      <c r="K467">
        <v>156941</v>
      </c>
      <c r="T467" s="2"/>
      <c r="U467" s="2"/>
      <c r="V467" s="2"/>
      <c r="W467" s="2"/>
      <c r="X467" s="3"/>
      <c r="Y467" s="3"/>
      <c r="Z467" s="3"/>
      <c r="AA467" s="3"/>
      <c r="AF467" s="3"/>
      <c r="AG467" s="3"/>
      <c r="AH467" s="3"/>
    </row>
    <row r="468" spans="1:34" x14ac:dyDescent="0.25">
      <c r="A468" t="s">
        <v>514</v>
      </c>
      <c r="B468" t="s">
        <v>985</v>
      </c>
      <c r="C468" t="s">
        <v>1273</v>
      </c>
      <c r="D468" s="2">
        <v>41821</v>
      </c>
      <c r="E468">
        <v>2.6095329999999999</v>
      </c>
      <c r="F468" s="2">
        <v>41894</v>
      </c>
      <c r="G468">
        <v>2.5242079999999998</v>
      </c>
      <c r="H468" s="3">
        <v>-3.27E-2</v>
      </c>
      <c r="I468">
        <v>-2989.93</v>
      </c>
      <c r="J468" s="3">
        <v>-3.4700000000000002E-2</v>
      </c>
      <c r="K468">
        <v>33053</v>
      </c>
      <c r="T468" s="2"/>
      <c r="U468" s="2"/>
      <c r="V468" s="2"/>
      <c r="W468" s="2"/>
      <c r="X468" s="3"/>
      <c r="Y468" s="3"/>
      <c r="Z468" s="3"/>
      <c r="AA468" s="3"/>
      <c r="AF468" s="3"/>
      <c r="AG468" s="3"/>
      <c r="AH468" s="3"/>
    </row>
    <row r="469" spans="1:34" x14ac:dyDescent="0.25">
      <c r="A469" t="s">
        <v>524</v>
      </c>
      <c r="B469" t="s">
        <v>1002</v>
      </c>
      <c r="C469" t="s">
        <v>1273</v>
      </c>
      <c r="D469" s="2">
        <v>41852</v>
      </c>
      <c r="E469">
        <v>3.8</v>
      </c>
      <c r="F469" s="2">
        <v>41866</v>
      </c>
      <c r="G469">
        <v>3.35</v>
      </c>
      <c r="H469" s="3">
        <v>-0.11840000000000001</v>
      </c>
      <c r="I469">
        <v>-10658.45</v>
      </c>
      <c r="J469" s="3">
        <v>-0.1203</v>
      </c>
      <c r="K469">
        <v>23315</v>
      </c>
      <c r="T469" s="2"/>
      <c r="U469" s="2"/>
      <c r="V469" s="2"/>
      <c r="W469" s="2"/>
      <c r="X469" s="3"/>
      <c r="Y469" s="3"/>
      <c r="Z469" s="3"/>
      <c r="AA469" s="3"/>
      <c r="AF469" s="3"/>
      <c r="AG469" s="3"/>
      <c r="AH469" s="3"/>
    </row>
    <row r="470" spans="1:34" x14ac:dyDescent="0.25">
      <c r="A470" t="s">
        <v>508</v>
      </c>
      <c r="B470" t="s">
        <v>977</v>
      </c>
      <c r="C470" t="s">
        <v>1273</v>
      </c>
      <c r="D470" s="2">
        <v>41831</v>
      </c>
      <c r="E470">
        <v>0.72935680000000003</v>
      </c>
      <c r="F470" s="2">
        <v>41866</v>
      </c>
      <c r="G470">
        <v>0.6813728</v>
      </c>
      <c r="H470" s="3">
        <v>-6.5799999999999997E-2</v>
      </c>
      <c r="I470">
        <v>-5935.52</v>
      </c>
      <c r="J470" s="3">
        <v>-6.7699999999999996E-2</v>
      </c>
      <c r="K470">
        <v>120165</v>
      </c>
      <c r="T470" s="2"/>
      <c r="U470" s="2"/>
      <c r="V470" s="2"/>
      <c r="W470" s="2"/>
      <c r="X470" s="3"/>
      <c r="Y470" s="3"/>
      <c r="Z470" s="3"/>
      <c r="AA470" s="3"/>
      <c r="AF470" s="3"/>
      <c r="AG470" s="3"/>
      <c r="AH470" s="3"/>
    </row>
    <row r="471" spans="1:34" x14ac:dyDescent="0.25">
      <c r="A471" t="s">
        <v>525</v>
      </c>
      <c r="B471" t="s">
        <v>1003</v>
      </c>
      <c r="C471" t="s">
        <v>1273</v>
      </c>
      <c r="D471" s="2">
        <v>41691</v>
      </c>
      <c r="E471">
        <v>2.4553250000000002</v>
      </c>
      <c r="F471" s="2">
        <v>41866</v>
      </c>
      <c r="G471">
        <v>2.8677429999999999</v>
      </c>
      <c r="H471" s="3">
        <v>0.16800000000000001</v>
      </c>
      <c r="I471">
        <v>13266.41</v>
      </c>
      <c r="J471" s="3">
        <v>0.1658</v>
      </c>
      <c r="K471">
        <v>32588</v>
      </c>
      <c r="T471" s="2"/>
      <c r="U471" s="2"/>
      <c r="V471" s="2"/>
      <c r="W471" s="2"/>
      <c r="X471" s="3"/>
      <c r="Y471" s="3"/>
      <c r="Z471" s="3"/>
      <c r="AA471" s="3"/>
      <c r="AF471" s="3"/>
      <c r="AG471" s="3"/>
      <c r="AH471" s="3"/>
    </row>
    <row r="472" spans="1:34" x14ac:dyDescent="0.25">
      <c r="A472" t="s">
        <v>189</v>
      </c>
      <c r="B472" t="s">
        <v>790</v>
      </c>
      <c r="C472" t="s">
        <v>1273</v>
      </c>
      <c r="D472" s="2">
        <v>41474</v>
      </c>
      <c r="E472">
        <v>0.6381019</v>
      </c>
      <c r="F472" s="2">
        <v>41866</v>
      </c>
      <c r="G472">
        <v>0.84306800000000004</v>
      </c>
      <c r="H472" s="3">
        <v>0.32119999999999999</v>
      </c>
      <c r="I472">
        <v>23006.21</v>
      </c>
      <c r="J472" s="3">
        <v>0.31890000000000002</v>
      </c>
      <c r="K472">
        <v>113061</v>
      </c>
      <c r="T472" s="2"/>
      <c r="U472" s="2"/>
      <c r="V472" s="2"/>
      <c r="W472" s="2"/>
      <c r="X472" s="3"/>
      <c r="Y472" s="3"/>
      <c r="Z472" s="3"/>
      <c r="AA472" s="3"/>
      <c r="AF472" s="3"/>
      <c r="AG472" s="3"/>
      <c r="AH472" s="3"/>
    </row>
    <row r="473" spans="1:34" x14ac:dyDescent="0.25">
      <c r="A473" t="s">
        <v>283</v>
      </c>
      <c r="B473" t="s">
        <v>975</v>
      </c>
      <c r="C473" t="s">
        <v>1273</v>
      </c>
      <c r="D473" s="2">
        <v>41397</v>
      </c>
      <c r="E473">
        <v>1.9900009999999999</v>
      </c>
      <c r="F473" s="2">
        <v>41859</v>
      </c>
      <c r="G473">
        <v>2.837904</v>
      </c>
      <c r="H473" s="3">
        <v>0.42609999999999998</v>
      </c>
      <c r="I473">
        <v>30059</v>
      </c>
      <c r="J473" s="3">
        <v>0.42370000000000002</v>
      </c>
      <c r="K473">
        <v>35654</v>
      </c>
      <c r="T473" s="2"/>
      <c r="U473" s="2"/>
      <c r="V473" s="2"/>
      <c r="W473" s="2"/>
      <c r="X473" s="3"/>
      <c r="Y473" s="3"/>
      <c r="Z473" s="3"/>
      <c r="AA473" s="3"/>
      <c r="AF473" s="3"/>
      <c r="AG473" s="3"/>
      <c r="AH473" s="3"/>
    </row>
    <row r="474" spans="1:34" x14ac:dyDescent="0.25">
      <c r="A474" t="s">
        <v>474</v>
      </c>
      <c r="B474" t="s">
        <v>912</v>
      </c>
      <c r="C474" t="s">
        <v>1273</v>
      </c>
      <c r="D474" s="2">
        <v>41481</v>
      </c>
      <c r="E474">
        <v>4.697845</v>
      </c>
      <c r="F474" s="2">
        <v>41852</v>
      </c>
      <c r="G474">
        <v>8.6918279999999992</v>
      </c>
      <c r="H474" s="3">
        <v>0.85019999999999996</v>
      </c>
      <c r="I474">
        <v>61623.6</v>
      </c>
      <c r="J474" s="3">
        <v>0.84730000000000005</v>
      </c>
      <c r="K474">
        <v>15481</v>
      </c>
      <c r="T474" s="2"/>
      <c r="U474" s="2"/>
      <c r="V474" s="2"/>
      <c r="W474" s="2"/>
      <c r="X474" s="3"/>
      <c r="Y474" s="3"/>
      <c r="Z474" s="3"/>
      <c r="AA474" s="3"/>
      <c r="AF474" s="3"/>
      <c r="AG474" s="3"/>
      <c r="AH474" s="3"/>
    </row>
    <row r="475" spans="1:34" x14ac:dyDescent="0.25">
      <c r="A475" t="s">
        <v>292</v>
      </c>
      <c r="B475" t="s">
        <v>1004</v>
      </c>
      <c r="C475" t="s">
        <v>1273</v>
      </c>
      <c r="D475" s="2">
        <v>41656</v>
      </c>
      <c r="E475">
        <v>0.56521650000000001</v>
      </c>
      <c r="F475" s="2">
        <v>41845</v>
      </c>
      <c r="G475">
        <v>0.49477450000000001</v>
      </c>
      <c r="H475" s="3">
        <v>-0.1246</v>
      </c>
      <c r="I475">
        <v>-10033.66</v>
      </c>
      <c r="J475" s="3">
        <v>-0.1265</v>
      </c>
      <c r="K475">
        <v>140327</v>
      </c>
      <c r="T475" s="2"/>
      <c r="U475" s="2"/>
      <c r="V475" s="2"/>
      <c r="W475" s="2"/>
      <c r="X475" s="3"/>
      <c r="Y475" s="3"/>
      <c r="Z475" s="3"/>
      <c r="AA475" s="3"/>
      <c r="AF475" s="3"/>
      <c r="AG475" s="3"/>
      <c r="AH475" s="3"/>
    </row>
    <row r="476" spans="1:34" x14ac:dyDescent="0.25">
      <c r="A476" t="s">
        <v>526</v>
      </c>
      <c r="B476" t="s">
        <v>1005</v>
      </c>
      <c r="C476" t="s">
        <v>1273</v>
      </c>
      <c r="D476" s="2">
        <v>41481</v>
      </c>
      <c r="E476">
        <v>1.8641129999999999</v>
      </c>
      <c r="F476" s="2">
        <v>41824</v>
      </c>
      <c r="G476">
        <v>2.8417469999999998</v>
      </c>
      <c r="H476" s="3">
        <v>0.52439999999999998</v>
      </c>
      <c r="I476">
        <v>37970.47</v>
      </c>
      <c r="J476" s="3">
        <v>0.52190000000000003</v>
      </c>
      <c r="K476">
        <v>39027</v>
      </c>
      <c r="T476" s="2"/>
      <c r="U476" s="2"/>
      <c r="V476" s="2"/>
      <c r="W476" s="2"/>
      <c r="X476" s="3"/>
      <c r="Y476" s="3"/>
      <c r="Z476" s="3"/>
      <c r="AA476" s="3"/>
      <c r="AF476" s="3"/>
      <c r="AG476" s="3"/>
      <c r="AH476" s="3"/>
    </row>
    <row r="477" spans="1:34" x14ac:dyDescent="0.25">
      <c r="A477" t="s">
        <v>293</v>
      </c>
      <c r="B477" t="s">
        <v>1006</v>
      </c>
      <c r="C477" t="s">
        <v>1273</v>
      </c>
      <c r="D477" s="2">
        <v>41656</v>
      </c>
      <c r="E477">
        <v>0.99190520000000004</v>
      </c>
      <c r="F477" s="2">
        <v>41817</v>
      </c>
      <c r="G477">
        <v>1.1549309999999999</v>
      </c>
      <c r="H477" s="3">
        <v>0.16439999999999999</v>
      </c>
      <c r="I477">
        <v>12861.79</v>
      </c>
      <c r="J477" s="3">
        <v>0.16220000000000001</v>
      </c>
      <c r="K477">
        <v>79947</v>
      </c>
      <c r="T477" s="2"/>
      <c r="U477" s="2"/>
      <c r="V477" s="2"/>
      <c r="W477" s="2"/>
      <c r="X477" s="3"/>
      <c r="Y477" s="3"/>
      <c r="Z477" s="3"/>
      <c r="AA477" s="3"/>
      <c r="AF477" s="3"/>
      <c r="AG477" s="3"/>
      <c r="AH477" s="3"/>
    </row>
    <row r="478" spans="1:34" x14ac:dyDescent="0.25">
      <c r="A478" t="s">
        <v>527</v>
      </c>
      <c r="B478" t="s">
        <v>1007</v>
      </c>
      <c r="C478" t="s">
        <v>1273</v>
      </c>
      <c r="D478" s="2">
        <v>41746</v>
      </c>
      <c r="E478">
        <v>0.77608759999999999</v>
      </c>
      <c r="F478" s="2">
        <v>41810</v>
      </c>
      <c r="G478">
        <v>0.78555200000000003</v>
      </c>
      <c r="H478" s="3">
        <v>1.2200000000000001E-2</v>
      </c>
      <c r="I478">
        <v>839.45</v>
      </c>
      <c r="J478" s="3">
        <v>1.0200000000000001E-2</v>
      </c>
      <c r="K478">
        <v>106222</v>
      </c>
      <c r="T478" s="2"/>
      <c r="U478" s="2"/>
      <c r="V478" s="2"/>
      <c r="W478" s="2"/>
      <c r="X478" s="3"/>
      <c r="Y478" s="3"/>
      <c r="Z478" s="3"/>
      <c r="AA478" s="3"/>
      <c r="AF478" s="3"/>
      <c r="AG478" s="3"/>
      <c r="AH478" s="3"/>
    </row>
    <row r="479" spans="1:34" x14ac:dyDescent="0.25">
      <c r="A479" t="s">
        <v>501</v>
      </c>
      <c r="B479" t="s">
        <v>963</v>
      </c>
      <c r="C479" t="s">
        <v>1273</v>
      </c>
      <c r="D479" s="2">
        <v>41691</v>
      </c>
      <c r="E479">
        <v>1.0885830000000001</v>
      </c>
      <c r="F479" s="2">
        <v>41796</v>
      </c>
      <c r="G479">
        <v>0.72905109999999995</v>
      </c>
      <c r="H479" s="3">
        <v>-0.33029999999999998</v>
      </c>
      <c r="I479">
        <v>-26555.58</v>
      </c>
      <c r="J479" s="3">
        <v>-0.33189999999999997</v>
      </c>
      <c r="K479">
        <v>73490</v>
      </c>
      <c r="T479" s="2"/>
      <c r="U479" s="2"/>
      <c r="V479" s="2"/>
      <c r="W479" s="2"/>
      <c r="X479" s="3"/>
      <c r="Y479" s="3"/>
      <c r="Z479" s="3"/>
      <c r="AA479" s="3"/>
      <c r="AF479" s="3"/>
      <c r="AG479" s="3"/>
      <c r="AH479" s="3"/>
    </row>
    <row r="480" spans="1:34" x14ac:dyDescent="0.25">
      <c r="A480" t="s">
        <v>91</v>
      </c>
      <c r="B480" t="s">
        <v>738</v>
      </c>
      <c r="C480" t="s">
        <v>1273</v>
      </c>
      <c r="D480" s="2">
        <v>41551</v>
      </c>
      <c r="E480">
        <v>3.3918940000000002</v>
      </c>
      <c r="F480" s="2">
        <v>41782</v>
      </c>
      <c r="G480">
        <v>3.8769469999999999</v>
      </c>
      <c r="H480" s="3">
        <v>0.14299999999999999</v>
      </c>
      <c r="I480">
        <v>11195.92</v>
      </c>
      <c r="J480" s="3">
        <v>0.1409</v>
      </c>
      <c r="K480">
        <v>23433</v>
      </c>
      <c r="T480" s="2"/>
      <c r="U480" s="2"/>
      <c r="V480" s="2"/>
      <c r="W480" s="2"/>
      <c r="X480" s="3"/>
      <c r="Y480" s="3"/>
      <c r="Z480" s="3"/>
      <c r="AA480" s="3"/>
      <c r="AF480" s="3"/>
      <c r="AG480" s="3"/>
      <c r="AH480" s="3"/>
    </row>
    <row r="481" spans="1:34" x14ac:dyDescent="0.25">
      <c r="A481" t="s">
        <v>519</v>
      </c>
      <c r="B481" t="s">
        <v>997</v>
      </c>
      <c r="C481" t="s">
        <v>1273</v>
      </c>
      <c r="D481" s="2">
        <v>41663</v>
      </c>
      <c r="E481">
        <v>2.8162250000000002</v>
      </c>
      <c r="F481" s="2">
        <v>41753</v>
      </c>
      <c r="G481">
        <v>2.35</v>
      </c>
      <c r="H481" s="3">
        <v>-0.16550000000000001</v>
      </c>
      <c r="I481">
        <v>-13394.11</v>
      </c>
      <c r="J481" s="3">
        <v>-0.16739999999999999</v>
      </c>
      <c r="K481">
        <v>28414</v>
      </c>
      <c r="T481" s="2"/>
      <c r="U481" s="2"/>
      <c r="V481" s="2"/>
      <c r="W481" s="2"/>
      <c r="X481" s="3"/>
      <c r="Y481" s="3"/>
      <c r="Z481" s="3"/>
      <c r="AA481" s="3"/>
      <c r="AF481" s="3"/>
      <c r="AG481" s="3"/>
      <c r="AH481" s="3"/>
    </row>
    <row r="482" spans="1:34" x14ac:dyDescent="0.25">
      <c r="A482" t="s">
        <v>528</v>
      </c>
      <c r="B482" t="s">
        <v>1008</v>
      </c>
      <c r="C482" t="s">
        <v>1273</v>
      </c>
      <c r="D482" s="2">
        <v>41334</v>
      </c>
      <c r="E482">
        <v>0.52855870000000005</v>
      </c>
      <c r="F482" s="2">
        <v>41746</v>
      </c>
      <c r="G482">
        <v>0.68570299999999995</v>
      </c>
      <c r="H482" s="3">
        <v>0.29730000000000001</v>
      </c>
      <c r="I482">
        <v>20562.03</v>
      </c>
      <c r="J482" s="3">
        <v>0.29499999999999998</v>
      </c>
      <c r="K482">
        <v>131867</v>
      </c>
      <c r="T482" s="2"/>
      <c r="U482" s="2"/>
      <c r="V482" s="2"/>
      <c r="W482" s="2"/>
      <c r="X482" s="3"/>
      <c r="Y482" s="3"/>
      <c r="Z482" s="3"/>
      <c r="AA482" s="3"/>
      <c r="AF482" s="3"/>
      <c r="AG482" s="3"/>
      <c r="AH482" s="3"/>
    </row>
    <row r="483" spans="1:34" x14ac:dyDescent="0.25">
      <c r="A483" t="s">
        <v>294</v>
      </c>
      <c r="B483" t="s">
        <v>1009</v>
      </c>
      <c r="C483" t="s">
        <v>1273</v>
      </c>
      <c r="D483" s="2">
        <v>41663</v>
      </c>
      <c r="E483">
        <v>1.040322</v>
      </c>
      <c r="F483" s="2">
        <v>41684</v>
      </c>
      <c r="G483">
        <v>0.90343790000000002</v>
      </c>
      <c r="H483" s="3">
        <v>-0.13159999999999999</v>
      </c>
      <c r="I483">
        <v>-10677.39</v>
      </c>
      <c r="J483" s="3">
        <v>-0.13339999999999999</v>
      </c>
      <c r="K483">
        <v>76911</v>
      </c>
      <c r="T483" s="2"/>
      <c r="U483" s="2"/>
      <c r="V483" s="2"/>
      <c r="W483" s="2"/>
      <c r="X483" s="3"/>
      <c r="Y483" s="3"/>
      <c r="Z483" s="3"/>
      <c r="AA483" s="3"/>
      <c r="AF483" s="3"/>
      <c r="AG483" s="3"/>
      <c r="AH483" s="3"/>
    </row>
    <row r="484" spans="1:34" x14ac:dyDescent="0.25">
      <c r="A484" t="s">
        <v>529</v>
      </c>
      <c r="B484" t="s">
        <v>1010</v>
      </c>
      <c r="C484" t="s">
        <v>1273</v>
      </c>
      <c r="D484" s="2">
        <v>41663</v>
      </c>
      <c r="E484">
        <v>0.94</v>
      </c>
      <c r="F484" s="2">
        <v>41677</v>
      </c>
      <c r="G484">
        <v>0.875</v>
      </c>
      <c r="H484" s="3">
        <v>-6.9099999999999995E-2</v>
      </c>
      <c r="I484">
        <v>-5688.36</v>
      </c>
      <c r="J484" s="3">
        <v>-7.1099999999999997E-2</v>
      </c>
      <c r="K484">
        <v>85136</v>
      </c>
      <c r="T484" s="2"/>
      <c r="U484" s="2"/>
      <c r="V484" s="2"/>
      <c r="W484" s="2"/>
      <c r="X484" s="3"/>
      <c r="Y484" s="3"/>
      <c r="Z484" s="3"/>
      <c r="AA484" s="3"/>
      <c r="AF484" s="3"/>
      <c r="AG484" s="3"/>
      <c r="AH484" s="3"/>
    </row>
    <row r="485" spans="1:34" x14ac:dyDescent="0.25">
      <c r="A485" t="s">
        <v>530</v>
      </c>
      <c r="B485" t="s">
        <v>1011</v>
      </c>
      <c r="C485" t="s">
        <v>1273</v>
      </c>
      <c r="D485" s="2">
        <v>41481</v>
      </c>
      <c r="E485">
        <v>1.7428250000000001</v>
      </c>
      <c r="F485" s="2">
        <v>41677</v>
      </c>
      <c r="G485">
        <v>2.1909800000000001</v>
      </c>
      <c r="H485" s="3">
        <v>0.2571</v>
      </c>
      <c r="I485">
        <v>18541.349999999999</v>
      </c>
      <c r="J485" s="3">
        <v>0.25490000000000002</v>
      </c>
      <c r="K485">
        <v>41739</v>
      </c>
      <c r="T485" s="2"/>
      <c r="U485" s="2"/>
      <c r="V485" s="2"/>
      <c r="W485" s="2"/>
      <c r="X485" s="3"/>
      <c r="Y485" s="3"/>
      <c r="Z485" s="3"/>
      <c r="AA485" s="3"/>
      <c r="AF485" s="3"/>
      <c r="AG485" s="3"/>
      <c r="AH485" s="3"/>
    </row>
    <row r="486" spans="1:34" x14ac:dyDescent="0.25">
      <c r="A486" t="s">
        <v>531</v>
      </c>
      <c r="B486" t="s">
        <v>1012</v>
      </c>
      <c r="C486" t="s">
        <v>1273</v>
      </c>
      <c r="D486" s="2">
        <v>41481</v>
      </c>
      <c r="E486">
        <v>3.4</v>
      </c>
      <c r="F486" s="2">
        <v>41656</v>
      </c>
      <c r="G486">
        <v>0.73</v>
      </c>
      <c r="H486" s="3">
        <v>-0.7853</v>
      </c>
      <c r="I486">
        <v>-57207.66</v>
      </c>
      <c r="J486" s="3">
        <v>-0.78649999999999998</v>
      </c>
      <c r="K486">
        <v>21393</v>
      </c>
      <c r="T486" s="2"/>
      <c r="U486" s="2"/>
      <c r="V486" s="2"/>
      <c r="W486" s="2"/>
      <c r="X486" s="3"/>
      <c r="Y486" s="3"/>
      <c r="Z486" s="3"/>
      <c r="AA486" s="3"/>
      <c r="AF486" s="3"/>
      <c r="AG486" s="3"/>
      <c r="AH486" s="3"/>
    </row>
    <row r="487" spans="1:34" x14ac:dyDescent="0.25">
      <c r="A487" t="s">
        <v>256</v>
      </c>
      <c r="B487" t="s">
        <v>899</v>
      </c>
      <c r="C487" t="s">
        <v>1273</v>
      </c>
      <c r="D487" s="2">
        <v>41397</v>
      </c>
      <c r="E487">
        <v>1.2832699999999999</v>
      </c>
      <c r="F487" s="2">
        <v>41628</v>
      </c>
      <c r="G487">
        <v>1.9409179999999999</v>
      </c>
      <c r="H487" s="3">
        <v>0.51249999999999996</v>
      </c>
      <c r="I487">
        <v>36179.82</v>
      </c>
      <c r="J487" s="3">
        <v>0.51</v>
      </c>
      <c r="K487">
        <v>55285</v>
      </c>
      <c r="T487" s="2"/>
      <c r="U487" s="2"/>
      <c r="V487" s="2"/>
      <c r="W487" s="2"/>
      <c r="X487" s="3"/>
      <c r="Y487" s="3"/>
      <c r="Z487" s="3"/>
      <c r="AA487" s="3"/>
      <c r="AF487" s="3"/>
      <c r="AG487" s="3"/>
      <c r="AH487" s="3"/>
    </row>
    <row r="488" spans="1:34" x14ac:dyDescent="0.25">
      <c r="A488" t="s">
        <v>259</v>
      </c>
      <c r="B488" t="s">
        <v>903</v>
      </c>
      <c r="C488" t="s">
        <v>1273</v>
      </c>
      <c r="D488" s="2">
        <v>41572</v>
      </c>
      <c r="E488">
        <v>1.5591539999999999</v>
      </c>
      <c r="F488" s="2">
        <v>41628</v>
      </c>
      <c r="G488">
        <v>1.3585989999999999</v>
      </c>
      <c r="H488" s="3">
        <v>-0.12859999999999999</v>
      </c>
      <c r="I488">
        <v>-10399.09</v>
      </c>
      <c r="J488" s="3">
        <v>-0.1305</v>
      </c>
      <c r="K488">
        <v>51108</v>
      </c>
      <c r="T488" s="2"/>
      <c r="U488" s="2"/>
      <c r="V488" s="2"/>
      <c r="W488" s="2"/>
      <c r="X488" s="3"/>
      <c r="Y488" s="3"/>
      <c r="Z488" s="3"/>
      <c r="AA488" s="3"/>
      <c r="AF488" s="3"/>
      <c r="AG488" s="3"/>
      <c r="AH488" s="3"/>
    </row>
    <row r="489" spans="1:34" x14ac:dyDescent="0.25">
      <c r="A489" t="s">
        <v>532</v>
      </c>
      <c r="B489" t="s">
        <v>1013</v>
      </c>
      <c r="C489" t="s">
        <v>1273</v>
      </c>
      <c r="D489" s="2">
        <v>41544</v>
      </c>
      <c r="E489">
        <v>0.63144769999999995</v>
      </c>
      <c r="F489" s="2">
        <v>41628</v>
      </c>
      <c r="G489">
        <v>0.62709300000000001</v>
      </c>
      <c r="H489" s="3">
        <v>-6.8999999999999999E-3</v>
      </c>
      <c r="I489">
        <v>-694.26</v>
      </c>
      <c r="J489" s="3">
        <v>-8.8999999999999999E-3</v>
      </c>
      <c r="K489">
        <v>123682</v>
      </c>
      <c r="T489" s="2"/>
      <c r="U489" s="2"/>
      <c r="V489" s="2"/>
      <c r="W489" s="2"/>
      <c r="X489" s="3"/>
      <c r="Y489" s="3"/>
      <c r="Z489" s="3"/>
      <c r="AA489" s="3"/>
      <c r="AF489" s="3"/>
      <c r="AG489" s="3"/>
      <c r="AH489" s="3"/>
    </row>
    <row r="490" spans="1:34" x14ac:dyDescent="0.25">
      <c r="A490" t="s">
        <v>533</v>
      </c>
      <c r="B490" t="s">
        <v>1014</v>
      </c>
      <c r="C490" t="s">
        <v>1273</v>
      </c>
      <c r="D490" s="2">
        <v>41481</v>
      </c>
      <c r="E490">
        <v>1.815523</v>
      </c>
      <c r="F490" s="2">
        <v>41621</v>
      </c>
      <c r="G490">
        <v>1.8092379999999999</v>
      </c>
      <c r="H490" s="3">
        <v>-3.5000000000000001E-3</v>
      </c>
      <c r="I490">
        <v>-397.13</v>
      </c>
      <c r="J490" s="3">
        <v>-5.4999999999999997E-3</v>
      </c>
      <c r="K490">
        <v>40075</v>
      </c>
      <c r="T490" s="2"/>
      <c r="U490" s="2"/>
      <c r="V490" s="2"/>
      <c r="W490" s="2"/>
      <c r="X490" s="3"/>
      <c r="Y490" s="3"/>
      <c r="Z490" s="3"/>
      <c r="AA490" s="3"/>
      <c r="AF490" s="3"/>
      <c r="AG490" s="3"/>
      <c r="AH490" s="3"/>
    </row>
    <row r="491" spans="1:34" x14ac:dyDescent="0.25">
      <c r="A491" t="s">
        <v>175</v>
      </c>
      <c r="B491" t="s">
        <v>770</v>
      </c>
      <c r="C491" t="s">
        <v>1273</v>
      </c>
      <c r="D491" s="2">
        <v>41361</v>
      </c>
      <c r="E491">
        <v>7.8114080000000001</v>
      </c>
      <c r="F491" s="2">
        <v>41621</v>
      </c>
      <c r="G491">
        <v>11.193669999999999</v>
      </c>
      <c r="H491" s="3">
        <v>0.433</v>
      </c>
      <c r="I491">
        <v>29667.29</v>
      </c>
      <c r="J491" s="3">
        <v>0.43059999999999998</v>
      </c>
      <c r="K491">
        <v>8821</v>
      </c>
      <c r="T491" s="2"/>
      <c r="U491" s="2"/>
      <c r="V491" s="2"/>
      <c r="W491" s="2"/>
      <c r="X491" s="3"/>
      <c r="Y491" s="3"/>
      <c r="Z491" s="3"/>
      <c r="AA491" s="3"/>
      <c r="AF491" s="3"/>
      <c r="AG491" s="3"/>
      <c r="AH491" s="3"/>
    </row>
    <row r="492" spans="1:34" x14ac:dyDescent="0.25">
      <c r="A492" t="s">
        <v>461</v>
      </c>
      <c r="B492" t="s">
        <v>875</v>
      </c>
      <c r="C492" t="s">
        <v>1273</v>
      </c>
      <c r="D492" s="2">
        <v>41138</v>
      </c>
      <c r="E492">
        <v>2.3825980000000002</v>
      </c>
      <c r="F492" s="2">
        <v>41621</v>
      </c>
      <c r="G492">
        <v>5.5391690000000002</v>
      </c>
      <c r="H492" s="3">
        <v>1.3248</v>
      </c>
      <c r="I492">
        <v>65986.240000000005</v>
      </c>
      <c r="J492" s="3">
        <v>1.3214999999999999</v>
      </c>
      <c r="K492">
        <v>20957</v>
      </c>
      <c r="T492" s="2"/>
      <c r="U492" s="2"/>
      <c r="V492" s="2"/>
      <c r="W492" s="2"/>
      <c r="X492" s="3"/>
      <c r="Y492" s="3"/>
      <c r="Z492" s="3"/>
      <c r="AA492" s="3"/>
      <c r="AF492" s="3"/>
      <c r="AG492" s="3"/>
      <c r="AH492" s="3"/>
    </row>
    <row r="493" spans="1:34" x14ac:dyDescent="0.25">
      <c r="A493" t="s">
        <v>534</v>
      </c>
      <c r="B493" t="s">
        <v>1015</v>
      </c>
      <c r="C493" t="s">
        <v>1273</v>
      </c>
      <c r="D493" s="2">
        <v>41033</v>
      </c>
      <c r="E493">
        <v>1.287976</v>
      </c>
      <c r="F493" s="2">
        <v>41572</v>
      </c>
      <c r="G493">
        <v>1.7823910000000001</v>
      </c>
      <c r="H493" s="3">
        <v>0.38390000000000002</v>
      </c>
      <c r="I493">
        <v>20098.939999999999</v>
      </c>
      <c r="J493" s="3">
        <v>0.38150000000000001</v>
      </c>
      <c r="K493">
        <v>40906</v>
      </c>
      <c r="T493" s="2"/>
      <c r="U493" s="2"/>
      <c r="V493" s="2"/>
      <c r="W493" s="2"/>
      <c r="X493" s="3"/>
      <c r="Y493" s="3"/>
      <c r="Z493" s="3"/>
      <c r="AA493" s="3"/>
      <c r="AF493" s="3"/>
      <c r="AG493" s="3"/>
      <c r="AH493" s="3"/>
    </row>
    <row r="494" spans="1:34" x14ac:dyDescent="0.25">
      <c r="A494" t="s">
        <v>497</v>
      </c>
      <c r="B494" t="s">
        <v>959</v>
      </c>
      <c r="C494" t="s">
        <v>1273</v>
      </c>
      <c r="D494" s="2">
        <v>41481</v>
      </c>
      <c r="E494">
        <v>1.0068760000000001</v>
      </c>
      <c r="F494" s="2">
        <v>41551</v>
      </c>
      <c r="G494">
        <v>0.99841179999999996</v>
      </c>
      <c r="H494" s="3">
        <v>-8.3999999999999995E-3</v>
      </c>
      <c r="I494">
        <v>-756.18</v>
      </c>
      <c r="J494" s="3">
        <v>-1.04E-2</v>
      </c>
      <c r="K494">
        <v>72227</v>
      </c>
      <c r="T494" s="2"/>
      <c r="U494" s="2"/>
      <c r="V494" s="2"/>
      <c r="W494" s="2"/>
      <c r="X494" s="3"/>
      <c r="Y494" s="3"/>
      <c r="Z494" s="3"/>
      <c r="AA494" s="3"/>
      <c r="AF494" s="3"/>
      <c r="AG494" s="3"/>
      <c r="AH494" s="3"/>
    </row>
    <row r="495" spans="1:34" x14ac:dyDescent="0.25">
      <c r="A495" t="s">
        <v>535</v>
      </c>
      <c r="B495" t="s">
        <v>1016</v>
      </c>
      <c r="C495" t="s">
        <v>1273</v>
      </c>
      <c r="D495" s="2">
        <v>41481</v>
      </c>
      <c r="E495">
        <v>0.505</v>
      </c>
      <c r="F495" s="2">
        <v>41544</v>
      </c>
      <c r="G495">
        <v>0.52</v>
      </c>
      <c r="H495" s="3">
        <v>2.9700000000000001E-2</v>
      </c>
      <c r="I495">
        <v>2012.32</v>
      </c>
      <c r="J495" s="3">
        <v>2.7699999999999999E-2</v>
      </c>
      <c r="K495">
        <v>143994</v>
      </c>
      <c r="T495" s="2"/>
      <c r="U495" s="2"/>
      <c r="V495" s="2"/>
      <c r="W495" s="2"/>
      <c r="X495" s="3"/>
      <c r="Y495" s="3"/>
      <c r="Z495" s="3"/>
      <c r="AA495" s="3"/>
      <c r="AF495" s="3"/>
      <c r="AG495" s="3"/>
      <c r="AH495" s="3"/>
    </row>
    <row r="496" spans="1:34" x14ac:dyDescent="0.25">
      <c r="A496" t="s">
        <v>80</v>
      </c>
      <c r="B496" t="s">
        <v>1017</v>
      </c>
      <c r="C496" t="s">
        <v>1273</v>
      </c>
      <c r="D496" s="2">
        <v>41145</v>
      </c>
      <c r="E496">
        <v>0.56495550000000005</v>
      </c>
      <c r="F496" s="2">
        <v>41460</v>
      </c>
      <c r="G496">
        <v>1.334711</v>
      </c>
      <c r="H496" s="3">
        <v>1.3625</v>
      </c>
      <c r="I496">
        <v>69418.77</v>
      </c>
      <c r="J496" s="3">
        <v>1.3591</v>
      </c>
      <c r="K496">
        <v>90406</v>
      </c>
      <c r="T496" s="2"/>
      <c r="U496" s="2"/>
      <c r="V496" s="2"/>
      <c r="W496" s="2"/>
      <c r="X496" s="3"/>
      <c r="Y496" s="3"/>
      <c r="Z496" s="3"/>
      <c r="AA496" s="3"/>
      <c r="AF496" s="3"/>
      <c r="AG496" s="3"/>
      <c r="AH496" s="3"/>
    </row>
    <row r="497" spans="1:34" x14ac:dyDescent="0.25">
      <c r="A497" t="s">
        <v>192</v>
      </c>
      <c r="B497" t="s">
        <v>795</v>
      </c>
      <c r="C497" t="s">
        <v>1273</v>
      </c>
      <c r="D497" s="2">
        <v>41124</v>
      </c>
      <c r="E497">
        <v>0.64065729999999999</v>
      </c>
      <c r="F497" s="2">
        <v>41453</v>
      </c>
      <c r="G497">
        <v>0.63421780000000005</v>
      </c>
      <c r="H497" s="3">
        <v>-1.01E-2</v>
      </c>
      <c r="I497">
        <v>-595.71</v>
      </c>
      <c r="J497" s="3">
        <v>-1.2E-2</v>
      </c>
      <c r="K497">
        <v>77221</v>
      </c>
      <c r="T497" s="2"/>
      <c r="U497" s="2"/>
      <c r="V497" s="2"/>
      <c r="W497" s="2"/>
      <c r="X497" s="3"/>
      <c r="Y497" s="3"/>
      <c r="Z497" s="3"/>
      <c r="AA497" s="3"/>
      <c r="AF497" s="3"/>
      <c r="AG497" s="3"/>
      <c r="AH497" s="3"/>
    </row>
    <row r="498" spans="1:34" x14ac:dyDescent="0.25">
      <c r="A498" t="s">
        <v>536</v>
      </c>
      <c r="B498" t="s">
        <v>1018</v>
      </c>
      <c r="C498" t="s">
        <v>1273</v>
      </c>
      <c r="D498" s="2">
        <v>41418</v>
      </c>
      <c r="E498">
        <v>6.6406729999999996</v>
      </c>
      <c r="F498" s="2">
        <v>41439</v>
      </c>
      <c r="G498">
        <v>5.4768429999999997</v>
      </c>
      <c r="H498" s="3">
        <v>-0.17530000000000001</v>
      </c>
      <c r="I498">
        <v>-12948.36</v>
      </c>
      <c r="J498" s="3">
        <v>-0.17710000000000001</v>
      </c>
      <c r="K498">
        <v>11011</v>
      </c>
      <c r="T498" s="2"/>
      <c r="U498" s="2"/>
      <c r="V498" s="2"/>
      <c r="W498" s="2"/>
      <c r="X498" s="3"/>
      <c r="Y498" s="3"/>
      <c r="Z498" s="3"/>
      <c r="AA498" s="3"/>
      <c r="AF498" s="3"/>
      <c r="AG498" s="3"/>
      <c r="AH498" s="3"/>
    </row>
    <row r="499" spans="1:34" x14ac:dyDescent="0.25">
      <c r="A499" t="s">
        <v>134</v>
      </c>
      <c r="B499" t="s">
        <v>726</v>
      </c>
      <c r="C499" t="s">
        <v>1273</v>
      </c>
      <c r="D499" s="2">
        <v>40578</v>
      </c>
      <c r="E499">
        <v>1.0022150000000001</v>
      </c>
      <c r="F499" s="2">
        <v>41439</v>
      </c>
      <c r="G499">
        <v>1.4878830000000001</v>
      </c>
      <c r="H499" s="3">
        <v>0.48459999999999998</v>
      </c>
      <c r="I499">
        <v>22338.28</v>
      </c>
      <c r="J499" s="3">
        <v>0.48209999999999997</v>
      </c>
      <c r="K499">
        <v>46232</v>
      </c>
      <c r="T499" s="2"/>
      <c r="U499" s="2"/>
      <c r="V499" s="2"/>
      <c r="W499" s="2"/>
      <c r="X499" s="3"/>
      <c r="Y499" s="3"/>
      <c r="Z499" s="3"/>
      <c r="AA499" s="3"/>
      <c r="AF499" s="3"/>
      <c r="AG499" s="3"/>
      <c r="AH499" s="3"/>
    </row>
    <row r="500" spans="1:34" x14ac:dyDescent="0.25">
      <c r="A500" t="s">
        <v>266</v>
      </c>
      <c r="B500" t="s">
        <v>915</v>
      </c>
      <c r="C500" t="s">
        <v>1273</v>
      </c>
      <c r="D500" s="2">
        <v>41397</v>
      </c>
      <c r="E500">
        <v>0.99018050000000002</v>
      </c>
      <c r="F500" s="2">
        <v>41425</v>
      </c>
      <c r="G500">
        <v>0.75501260000000003</v>
      </c>
      <c r="H500" s="3">
        <v>-0.23749999999999999</v>
      </c>
      <c r="I500">
        <v>-16977.669999999998</v>
      </c>
      <c r="J500" s="3">
        <v>-0.23930000000000001</v>
      </c>
      <c r="K500">
        <v>71662</v>
      </c>
      <c r="T500" s="2"/>
      <c r="U500" s="2"/>
      <c r="V500" s="2"/>
      <c r="W500" s="2"/>
      <c r="X500" s="3"/>
      <c r="Y500" s="3"/>
      <c r="Z500" s="3"/>
      <c r="AA500" s="3"/>
      <c r="AF500" s="3"/>
      <c r="AG500" s="3"/>
      <c r="AH500" s="3"/>
    </row>
    <row r="501" spans="1:34" x14ac:dyDescent="0.25">
      <c r="A501" t="s">
        <v>537</v>
      </c>
      <c r="B501" t="s">
        <v>1019</v>
      </c>
      <c r="C501" t="s">
        <v>1273</v>
      </c>
      <c r="D501" s="2">
        <v>41383</v>
      </c>
      <c r="E501">
        <v>1.89333</v>
      </c>
      <c r="F501" s="2">
        <v>41425</v>
      </c>
      <c r="G501">
        <v>1.995924</v>
      </c>
      <c r="H501" s="3">
        <v>5.4199999999999998E-2</v>
      </c>
      <c r="I501">
        <v>3710.61</v>
      </c>
      <c r="J501" s="3">
        <v>5.21E-2</v>
      </c>
      <c r="K501">
        <v>37593</v>
      </c>
      <c r="T501" s="2"/>
      <c r="U501" s="2"/>
      <c r="V501" s="2"/>
      <c r="W501" s="2"/>
      <c r="X501" s="3"/>
      <c r="Y501" s="3"/>
      <c r="Z501" s="3"/>
      <c r="AA501" s="3"/>
      <c r="AF501" s="3"/>
      <c r="AG501" s="3"/>
      <c r="AH501" s="3"/>
    </row>
    <row r="502" spans="1:34" x14ac:dyDescent="0.25">
      <c r="A502" t="s">
        <v>295</v>
      </c>
      <c r="B502" t="s">
        <v>1020</v>
      </c>
      <c r="C502" t="s">
        <v>1273</v>
      </c>
      <c r="D502" s="2">
        <v>41361</v>
      </c>
      <c r="E502">
        <v>2.1965889999999999</v>
      </c>
      <c r="F502" s="2">
        <v>41425</v>
      </c>
      <c r="G502">
        <v>2.2030880000000002</v>
      </c>
      <c r="H502" s="3">
        <v>3.0000000000000001E-3</v>
      </c>
      <c r="I502">
        <v>65.849999999999994</v>
      </c>
      <c r="J502" s="3">
        <v>1E-3</v>
      </c>
      <c r="K502">
        <v>31366</v>
      </c>
      <c r="T502" s="2"/>
      <c r="U502" s="2"/>
      <c r="V502" s="2"/>
      <c r="W502" s="2"/>
      <c r="X502" s="3"/>
      <c r="Y502" s="3"/>
      <c r="Z502" s="3"/>
      <c r="AA502" s="3"/>
      <c r="AF502" s="3"/>
      <c r="AG502" s="3"/>
      <c r="AH502" s="3"/>
    </row>
    <row r="503" spans="1:34" x14ac:dyDescent="0.25">
      <c r="A503" t="s">
        <v>296</v>
      </c>
      <c r="B503" t="s">
        <v>1021</v>
      </c>
      <c r="C503" t="s">
        <v>1273</v>
      </c>
      <c r="D503" s="2">
        <v>41271</v>
      </c>
      <c r="E503">
        <v>2.3177050000000001</v>
      </c>
      <c r="F503" s="2">
        <v>41425</v>
      </c>
      <c r="G503">
        <v>2.0983350000000001</v>
      </c>
      <c r="H503" s="3">
        <v>-9.4600000000000004E-2</v>
      </c>
      <c r="I503">
        <v>-5763.39</v>
      </c>
      <c r="J503" s="3">
        <v>-9.6600000000000005E-2</v>
      </c>
      <c r="K503">
        <v>25754</v>
      </c>
      <c r="T503" s="2"/>
      <c r="U503" s="2"/>
      <c r="V503" s="2"/>
      <c r="W503" s="2"/>
      <c r="X503" s="3"/>
      <c r="Y503" s="3"/>
      <c r="Z503" s="3"/>
      <c r="AA503" s="3"/>
      <c r="AF503" s="3"/>
      <c r="AG503" s="3"/>
      <c r="AH503" s="3"/>
    </row>
    <row r="504" spans="1:34" x14ac:dyDescent="0.25">
      <c r="A504" t="s">
        <v>504</v>
      </c>
      <c r="B504" t="s">
        <v>969</v>
      </c>
      <c r="C504" t="s">
        <v>1273</v>
      </c>
      <c r="D504" s="2">
        <v>41131</v>
      </c>
      <c r="E504">
        <v>0.52745649999999999</v>
      </c>
      <c r="F504" s="2">
        <v>41425</v>
      </c>
      <c r="G504">
        <v>0.7905818</v>
      </c>
      <c r="H504" s="3">
        <v>0.49890000000000001</v>
      </c>
      <c r="I504">
        <v>24631.35</v>
      </c>
      <c r="J504" s="3">
        <v>0.49640000000000001</v>
      </c>
      <c r="K504">
        <v>94082</v>
      </c>
      <c r="T504" s="2"/>
      <c r="U504" s="2"/>
      <c r="V504" s="2"/>
      <c r="W504" s="2"/>
      <c r="X504" s="3"/>
      <c r="Y504" s="3"/>
      <c r="Z504" s="3"/>
      <c r="AA504" s="3"/>
      <c r="AF504" s="3"/>
      <c r="AG504" s="3"/>
      <c r="AH504" s="3"/>
    </row>
    <row r="505" spans="1:34" x14ac:dyDescent="0.25">
      <c r="A505" t="s">
        <v>516</v>
      </c>
      <c r="B505" t="s">
        <v>989</v>
      </c>
      <c r="C505" t="s">
        <v>1273</v>
      </c>
      <c r="D505" s="2">
        <v>41124</v>
      </c>
      <c r="E505">
        <v>1.056651</v>
      </c>
      <c r="F505" s="2">
        <v>41425</v>
      </c>
      <c r="G505">
        <v>1.6926639999999999</v>
      </c>
      <c r="H505" s="3">
        <v>0.60189999999999999</v>
      </c>
      <c r="I505">
        <v>29646.240000000002</v>
      </c>
      <c r="J505" s="3">
        <v>0.59930000000000005</v>
      </c>
      <c r="K505">
        <v>46815</v>
      </c>
      <c r="T505" s="2"/>
      <c r="U505" s="2"/>
      <c r="V505" s="2"/>
      <c r="W505" s="2"/>
      <c r="X505" s="3"/>
      <c r="Y505" s="3"/>
      <c r="Z505" s="3"/>
      <c r="AA505" s="3"/>
      <c r="AF505" s="3"/>
      <c r="AG505" s="3"/>
      <c r="AH505" s="3"/>
    </row>
    <row r="506" spans="1:34" x14ac:dyDescent="0.25">
      <c r="A506" t="s">
        <v>297</v>
      </c>
      <c r="B506" t="s">
        <v>1022</v>
      </c>
      <c r="C506" t="s">
        <v>1273</v>
      </c>
      <c r="D506" s="2">
        <v>41117</v>
      </c>
      <c r="E506">
        <v>0.51900639999999998</v>
      </c>
      <c r="F506" s="2">
        <v>41425</v>
      </c>
      <c r="G506">
        <v>0.72275509999999998</v>
      </c>
      <c r="H506" s="3">
        <v>0.3926</v>
      </c>
      <c r="I506">
        <v>19275.43</v>
      </c>
      <c r="J506" s="3">
        <v>0.39019999999999999</v>
      </c>
      <c r="K506">
        <v>95184</v>
      </c>
      <c r="T506" s="2"/>
      <c r="U506" s="2"/>
      <c r="V506" s="2"/>
      <c r="W506" s="2"/>
      <c r="X506" s="3"/>
      <c r="Y506" s="3"/>
      <c r="Z506" s="3"/>
      <c r="AA506" s="3"/>
      <c r="AF506" s="3"/>
      <c r="AG506" s="3"/>
      <c r="AH506" s="3"/>
    </row>
    <row r="507" spans="1:34" x14ac:dyDescent="0.25">
      <c r="A507" t="s">
        <v>298</v>
      </c>
      <c r="B507" t="s">
        <v>1023</v>
      </c>
      <c r="C507" t="s">
        <v>1273</v>
      </c>
      <c r="D507" s="2">
        <v>41271</v>
      </c>
      <c r="E507">
        <v>0.93147990000000003</v>
      </c>
      <c r="F507" s="2">
        <v>41411</v>
      </c>
      <c r="G507">
        <v>1.040705</v>
      </c>
      <c r="H507" s="3">
        <v>0.1173</v>
      </c>
      <c r="I507">
        <v>6872.34</v>
      </c>
      <c r="J507" s="3">
        <v>0.11509999999999999</v>
      </c>
      <c r="K507">
        <v>64076</v>
      </c>
      <c r="T507" s="2"/>
      <c r="U507" s="2"/>
      <c r="V507" s="2"/>
      <c r="W507" s="2"/>
      <c r="X507" s="3"/>
      <c r="Y507" s="3"/>
      <c r="Z507" s="3"/>
      <c r="AA507" s="3"/>
      <c r="AF507" s="3"/>
      <c r="AG507" s="3"/>
      <c r="AH507" s="3"/>
    </row>
    <row r="508" spans="1:34" x14ac:dyDescent="0.25">
      <c r="A508" t="s">
        <v>266</v>
      </c>
      <c r="B508" t="s">
        <v>915</v>
      </c>
      <c r="C508" t="s">
        <v>1273</v>
      </c>
      <c r="D508" s="2">
        <v>41355</v>
      </c>
      <c r="E508">
        <v>0.91591699999999998</v>
      </c>
      <c r="F508" s="2">
        <v>41390</v>
      </c>
      <c r="G508">
        <v>0.81689889999999998</v>
      </c>
      <c r="H508" s="3">
        <v>-0.1081</v>
      </c>
      <c r="I508">
        <v>-7661</v>
      </c>
      <c r="J508" s="3">
        <v>-0.11</v>
      </c>
      <c r="K508">
        <v>76039</v>
      </c>
      <c r="T508" s="2"/>
      <c r="U508" s="2"/>
      <c r="V508" s="2"/>
      <c r="W508" s="2"/>
      <c r="X508" s="3"/>
      <c r="Y508" s="3"/>
      <c r="Z508" s="3"/>
      <c r="AA508" s="3"/>
      <c r="AF508" s="3"/>
      <c r="AG508" s="3"/>
      <c r="AH508" s="3"/>
    </row>
    <row r="509" spans="1:34" x14ac:dyDescent="0.25">
      <c r="A509" t="s">
        <v>299</v>
      </c>
      <c r="B509" t="s">
        <v>1024</v>
      </c>
      <c r="C509" t="s">
        <v>1273</v>
      </c>
      <c r="D509" s="2">
        <v>41271</v>
      </c>
      <c r="E509">
        <v>0.87289919999999999</v>
      </c>
      <c r="F509" s="2">
        <v>41390</v>
      </c>
      <c r="G509">
        <v>0.92788510000000002</v>
      </c>
      <c r="H509" s="3">
        <v>6.3E-2</v>
      </c>
      <c r="I509">
        <v>3636.21</v>
      </c>
      <c r="J509" s="3">
        <v>6.0900000000000003E-2</v>
      </c>
      <c r="K509">
        <v>68369</v>
      </c>
      <c r="T509" s="2"/>
      <c r="U509" s="2"/>
      <c r="V509" s="2"/>
      <c r="W509" s="2"/>
      <c r="X509" s="3"/>
      <c r="Y509" s="3"/>
      <c r="Z509" s="3"/>
      <c r="AA509" s="3"/>
      <c r="AF509" s="3"/>
      <c r="AG509" s="3"/>
      <c r="AH509" s="3"/>
    </row>
    <row r="510" spans="1:34" x14ac:dyDescent="0.25">
      <c r="A510" t="s">
        <v>538</v>
      </c>
      <c r="B510" t="s">
        <v>1025</v>
      </c>
      <c r="C510" t="s">
        <v>1273</v>
      </c>
      <c r="D510" s="2">
        <v>40865</v>
      </c>
      <c r="E510">
        <v>0.71701389999999998</v>
      </c>
      <c r="F510" s="2">
        <v>41390</v>
      </c>
      <c r="G510">
        <v>1.039347</v>
      </c>
      <c r="H510" s="3">
        <v>0.44950000000000001</v>
      </c>
      <c r="I510">
        <v>21548.53</v>
      </c>
      <c r="J510" s="3">
        <v>0.4471</v>
      </c>
      <c r="K510">
        <v>67218</v>
      </c>
      <c r="T510" s="2"/>
      <c r="U510" s="2"/>
      <c r="V510" s="2"/>
      <c r="W510" s="2"/>
      <c r="X510" s="3"/>
      <c r="Y510" s="3"/>
      <c r="Z510" s="3"/>
      <c r="AA510" s="3"/>
      <c r="AF510" s="3"/>
      <c r="AG510" s="3"/>
      <c r="AH510" s="3"/>
    </row>
    <row r="511" spans="1:34" x14ac:dyDescent="0.25">
      <c r="A511" t="s">
        <v>300</v>
      </c>
      <c r="B511" t="s">
        <v>1026</v>
      </c>
      <c r="C511" t="s">
        <v>1273</v>
      </c>
      <c r="D511" s="2">
        <v>41222</v>
      </c>
      <c r="E511">
        <v>0.4961026</v>
      </c>
      <c r="F511" s="2">
        <v>41376</v>
      </c>
      <c r="G511">
        <v>0.80901590000000001</v>
      </c>
      <c r="H511" s="3">
        <v>0.63070000000000004</v>
      </c>
      <c r="I511">
        <v>35685.68</v>
      </c>
      <c r="J511" s="3">
        <v>0.62809999999999999</v>
      </c>
      <c r="K511">
        <v>114521</v>
      </c>
      <c r="T511" s="2"/>
      <c r="U511" s="2"/>
      <c r="V511" s="2"/>
      <c r="W511" s="2"/>
      <c r="X511" s="3"/>
      <c r="Y511" s="3"/>
      <c r="Z511" s="3"/>
      <c r="AA511" s="3"/>
      <c r="AF511" s="3"/>
      <c r="AG511" s="3"/>
      <c r="AH511" s="3"/>
    </row>
    <row r="512" spans="1:34" x14ac:dyDescent="0.25">
      <c r="A512" t="s">
        <v>89</v>
      </c>
      <c r="B512" t="s">
        <v>1027</v>
      </c>
      <c r="C512" t="s">
        <v>1273</v>
      </c>
      <c r="D512" s="2">
        <v>41138</v>
      </c>
      <c r="E512">
        <v>1.2528269999999999</v>
      </c>
      <c r="F512" s="2">
        <v>41361</v>
      </c>
      <c r="G512">
        <v>3.6424509999999999</v>
      </c>
      <c r="H512" s="3">
        <v>1.9074</v>
      </c>
      <c r="I512">
        <v>95081.52</v>
      </c>
      <c r="J512" s="3">
        <v>1.9035</v>
      </c>
      <c r="K512">
        <v>39871</v>
      </c>
      <c r="T512" s="2"/>
      <c r="U512" s="2"/>
      <c r="V512" s="2"/>
      <c r="W512" s="2"/>
      <c r="X512" s="3"/>
      <c r="Y512" s="3"/>
      <c r="Z512" s="3"/>
      <c r="AA512" s="3"/>
      <c r="AF512" s="3"/>
      <c r="AG512" s="3"/>
      <c r="AH512" s="3"/>
    </row>
    <row r="513" spans="1:34" x14ac:dyDescent="0.25">
      <c r="A513" t="s">
        <v>301</v>
      </c>
      <c r="B513" t="s">
        <v>1028</v>
      </c>
      <c r="C513" t="s">
        <v>1273</v>
      </c>
      <c r="D513" s="2">
        <v>41250</v>
      </c>
      <c r="E513">
        <v>0.86585749999999995</v>
      </c>
      <c r="F513" s="2">
        <v>41355</v>
      </c>
      <c r="G513">
        <v>0.64137599999999995</v>
      </c>
      <c r="H513" s="3">
        <v>-0.25929999999999997</v>
      </c>
      <c r="I513">
        <v>-15012.43</v>
      </c>
      <c r="J513" s="3">
        <v>-0.26100000000000001</v>
      </c>
      <c r="K513">
        <v>66430</v>
      </c>
      <c r="T513" s="2"/>
      <c r="U513" s="2"/>
      <c r="V513" s="2"/>
      <c r="W513" s="2"/>
      <c r="X513" s="3"/>
      <c r="Y513" s="3"/>
      <c r="Z513" s="3"/>
      <c r="AA513" s="3"/>
      <c r="AF513" s="3"/>
      <c r="AG513" s="3"/>
      <c r="AH513" s="3"/>
    </row>
    <row r="514" spans="1:34" x14ac:dyDescent="0.25">
      <c r="A514" t="s">
        <v>132</v>
      </c>
      <c r="B514" t="s">
        <v>438</v>
      </c>
      <c r="C514" t="s">
        <v>1273</v>
      </c>
      <c r="D514" s="2">
        <v>41278</v>
      </c>
      <c r="E514">
        <v>1.8438479999999999</v>
      </c>
      <c r="F514" s="2">
        <v>41334</v>
      </c>
      <c r="G514">
        <v>1.8491310000000001</v>
      </c>
      <c r="H514" s="3">
        <v>2.8999999999999998E-3</v>
      </c>
      <c r="I514">
        <v>52.44</v>
      </c>
      <c r="J514" s="3">
        <v>8.9999999999999998E-4</v>
      </c>
      <c r="K514">
        <v>32979</v>
      </c>
      <c r="T514" s="2"/>
      <c r="U514" s="2"/>
      <c r="V514" s="2"/>
      <c r="W514" s="2"/>
      <c r="X514" s="3"/>
      <c r="Y514" s="3"/>
      <c r="Z514" s="3"/>
      <c r="AA514" s="3"/>
      <c r="AF514" s="3"/>
      <c r="AG514" s="3"/>
      <c r="AH514" s="3"/>
    </row>
    <row r="515" spans="1:34" x14ac:dyDescent="0.25">
      <c r="A515" t="s">
        <v>539</v>
      </c>
      <c r="B515" t="s">
        <v>1029</v>
      </c>
      <c r="C515" t="s">
        <v>1273</v>
      </c>
      <c r="D515" s="2">
        <v>40886</v>
      </c>
      <c r="E515">
        <v>2.2955390000000002</v>
      </c>
      <c r="F515" s="2">
        <v>41278</v>
      </c>
      <c r="G515">
        <v>3.9233609999999999</v>
      </c>
      <c r="H515" s="3">
        <v>0.70909999999999995</v>
      </c>
      <c r="I515">
        <v>33797.449999999997</v>
      </c>
      <c r="J515" s="3">
        <v>0.70640000000000003</v>
      </c>
      <c r="K515">
        <v>20842</v>
      </c>
      <c r="T515" s="2"/>
      <c r="U515" s="2"/>
      <c r="V515" s="2"/>
      <c r="W515" s="2"/>
      <c r="X515" s="3"/>
      <c r="Y515" s="3"/>
      <c r="Z515" s="3"/>
      <c r="AA515" s="3"/>
      <c r="AF515" s="3"/>
      <c r="AG515" s="3"/>
      <c r="AH515" s="3"/>
    </row>
    <row r="516" spans="1:34" x14ac:dyDescent="0.25">
      <c r="A516" t="s">
        <v>79</v>
      </c>
      <c r="B516" t="s">
        <v>992</v>
      </c>
      <c r="C516" t="s">
        <v>1273</v>
      </c>
      <c r="D516" s="2">
        <v>41229</v>
      </c>
      <c r="E516">
        <v>0.56000000000000005</v>
      </c>
      <c r="F516" s="2">
        <v>41257</v>
      </c>
      <c r="G516">
        <v>0.48499999999999999</v>
      </c>
      <c r="H516" s="3">
        <v>-0.13389999999999999</v>
      </c>
      <c r="I516">
        <v>-7829.9</v>
      </c>
      <c r="J516" s="3">
        <v>-0.1358</v>
      </c>
      <c r="K516">
        <v>102964</v>
      </c>
      <c r="T516" s="2"/>
      <c r="U516" s="2"/>
      <c r="V516" s="2"/>
      <c r="W516" s="2"/>
      <c r="X516" s="3"/>
      <c r="Y516" s="3"/>
      <c r="Z516" s="3"/>
      <c r="AA516" s="3"/>
      <c r="AF516" s="3"/>
      <c r="AG516" s="3"/>
      <c r="AH516" s="3"/>
    </row>
    <row r="517" spans="1:34" x14ac:dyDescent="0.25">
      <c r="A517" t="s">
        <v>540</v>
      </c>
      <c r="B517" t="s">
        <v>1030</v>
      </c>
      <c r="C517" t="s">
        <v>1273</v>
      </c>
      <c r="D517" s="2">
        <v>41180</v>
      </c>
      <c r="E517">
        <v>0.55157009999999995</v>
      </c>
      <c r="F517" s="2">
        <v>41243</v>
      </c>
      <c r="G517">
        <v>0.41367759999999998</v>
      </c>
      <c r="H517" s="3">
        <v>-0.25</v>
      </c>
      <c r="I517">
        <v>-13616.67</v>
      </c>
      <c r="J517" s="3">
        <v>-0.25169999999999998</v>
      </c>
      <c r="K517">
        <v>98062</v>
      </c>
      <c r="T517" s="2"/>
      <c r="U517" s="2"/>
      <c r="V517" s="2"/>
      <c r="W517" s="2"/>
      <c r="X517" s="3"/>
      <c r="Y517" s="3"/>
      <c r="Z517" s="3"/>
      <c r="AA517" s="3"/>
      <c r="AF517" s="3"/>
      <c r="AG517" s="3"/>
      <c r="AH517" s="3"/>
    </row>
    <row r="518" spans="1:34" x14ac:dyDescent="0.25">
      <c r="A518" t="s">
        <v>92</v>
      </c>
      <c r="B518" t="s">
        <v>1031</v>
      </c>
      <c r="C518" t="s">
        <v>1273</v>
      </c>
      <c r="D518" s="2">
        <v>41138</v>
      </c>
      <c r="E518">
        <v>0.71609959999999995</v>
      </c>
      <c r="F518" s="2">
        <v>41243</v>
      </c>
      <c r="G518">
        <v>1.1584650000000001</v>
      </c>
      <c r="H518" s="3">
        <v>0.61770000000000003</v>
      </c>
      <c r="I518">
        <v>30717.63</v>
      </c>
      <c r="J518" s="3">
        <v>0.61509999999999998</v>
      </c>
      <c r="K518">
        <v>69735</v>
      </c>
      <c r="T518" s="2"/>
      <c r="U518" s="2"/>
      <c r="V518" s="2"/>
      <c r="W518" s="2"/>
      <c r="X518" s="3"/>
      <c r="Y518" s="3"/>
      <c r="Z518" s="3"/>
      <c r="AA518" s="3"/>
      <c r="AF518" s="3"/>
      <c r="AG518" s="3"/>
      <c r="AH518" s="3"/>
    </row>
    <row r="519" spans="1:34" x14ac:dyDescent="0.25">
      <c r="A519" t="s">
        <v>84</v>
      </c>
      <c r="B519" t="s">
        <v>1032</v>
      </c>
      <c r="C519" t="s">
        <v>1273</v>
      </c>
      <c r="D519" s="2">
        <v>41138</v>
      </c>
      <c r="E519">
        <v>1.8984749999999999</v>
      </c>
      <c r="F519" s="2">
        <v>41243</v>
      </c>
      <c r="G519">
        <v>1.8913740000000001</v>
      </c>
      <c r="H519" s="3">
        <v>-3.7000000000000002E-3</v>
      </c>
      <c r="I519">
        <v>-286.49</v>
      </c>
      <c r="J519" s="3">
        <v>-5.7000000000000002E-3</v>
      </c>
      <c r="K519">
        <v>26306</v>
      </c>
      <c r="T519" s="2"/>
      <c r="U519" s="2"/>
      <c r="V519" s="2"/>
      <c r="W519" s="2"/>
      <c r="X519" s="3"/>
      <c r="Y519" s="3"/>
      <c r="Z519" s="3"/>
      <c r="AA519" s="3"/>
      <c r="AF519" s="3"/>
      <c r="AG519" s="3"/>
      <c r="AH519" s="3"/>
    </row>
    <row r="520" spans="1:34" x14ac:dyDescent="0.25">
      <c r="A520" t="s">
        <v>269</v>
      </c>
      <c r="B520" t="s">
        <v>933</v>
      </c>
      <c r="C520" t="s">
        <v>1273</v>
      </c>
      <c r="D520" s="2">
        <v>41117</v>
      </c>
      <c r="E520">
        <v>0.77645529999999996</v>
      </c>
      <c r="F520" s="2">
        <v>41236</v>
      </c>
      <c r="G520">
        <v>0.79602989999999996</v>
      </c>
      <c r="H520" s="3">
        <v>2.52E-2</v>
      </c>
      <c r="I520">
        <v>1145.1300000000001</v>
      </c>
      <c r="J520" s="3">
        <v>2.3199999999999998E-2</v>
      </c>
      <c r="K520">
        <v>63611</v>
      </c>
      <c r="T520" s="2"/>
      <c r="U520" s="2"/>
      <c r="V520" s="2"/>
      <c r="W520" s="2"/>
      <c r="X520" s="3"/>
      <c r="Y520" s="3"/>
      <c r="Z520" s="3"/>
      <c r="AA520" s="3"/>
      <c r="AF520" s="3"/>
      <c r="AG520" s="3"/>
      <c r="AH520" s="3"/>
    </row>
    <row r="521" spans="1:34" x14ac:dyDescent="0.25">
      <c r="A521" t="s">
        <v>541</v>
      </c>
      <c r="B521" t="s">
        <v>1033</v>
      </c>
      <c r="C521" t="s">
        <v>1273</v>
      </c>
      <c r="D521" s="2">
        <v>41194</v>
      </c>
      <c r="E521">
        <v>0.54138459999999999</v>
      </c>
      <c r="F521" s="2">
        <v>41229</v>
      </c>
      <c r="G521">
        <v>0.4534975</v>
      </c>
      <c r="H521" s="3">
        <v>-0.1623</v>
      </c>
      <c r="I521">
        <v>-9142.31</v>
      </c>
      <c r="J521" s="3">
        <v>-0.16420000000000001</v>
      </c>
      <c r="K521">
        <v>102859</v>
      </c>
      <c r="T521" s="2"/>
      <c r="U521" s="2"/>
      <c r="V521" s="2"/>
      <c r="W521" s="2"/>
      <c r="X521" s="3"/>
      <c r="Y521" s="3"/>
      <c r="Z521" s="3"/>
      <c r="AA521" s="3"/>
      <c r="AF521" s="3"/>
      <c r="AG521" s="3"/>
      <c r="AH521" s="3"/>
    </row>
    <row r="522" spans="1:34" x14ac:dyDescent="0.25">
      <c r="A522" t="s">
        <v>542</v>
      </c>
      <c r="B522" t="s">
        <v>1034</v>
      </c>
      <c r="C522" t="s">
        <v>1273</v>
      </c>
      <c r="D522" s="2">
        <v>41124</v>
      </c>
      <c r="E522">
        <v>1.965805</v>
      </c>
      <c r="F522" s="2">
        <v>41229</v>
      </c>
      <c r="G522">
        <v>1.7850410000000001</v>
      </c>
      <c r="H522" s="3">
        <v>-9.1999999999999998E-2</v>
      </c>
      <c r="I522">
        <v>-4642.58</v>
      </c>
      <c r="J522" s="3">
        <v>-9.3899999999999997E-2</v>
      </c>
      <c r="K522">
        <v>25161</v>
      </c>
      <c r="T522" s="2"/>
      <c r="U522" s="2"/>
      <c r="V522" s="2"/>
      <c r="W522" s="2"/>
      <c r="X522" s="3"/>
      <c r="Y522" s="3"/>
      <c r="Z522" s="3"/>
      <c r="AA522" s="3"/>
      <c r="AF522" s="3"/>
      <c r="AG522" s="3"/>
      <c r="AH522" s="3"/>
    </row>
    <row r="523" spans="1:34" x14ac:dyDescent="0.25">
      <c r="A523" t="s">
        <v>543</v>
      </c>
      <c r="B523" t="s">
        <v>1035</v>
      </c>
      <c r="C523" t="s">
        <v>1273</v>
      </c>
      <c r="D523" s="2">
        <v>40851</v>
      </c>
      <c r="E523">
        <v>1.01746</v>
      </c>
      <c r="F523" s="2">
        <v>41211</v>
      </c>
      <c r="G523">
        <v>1.26</v>
      </c>
      <c r="H523" s="3">
        <v>0.2384</v>
      </c>
      <c r="I523">
        <v>11241.88</v>
      </c>
      <c r="J523" s="3">
        <v>0.2361</v>
      </c>
      <c r="K523">
        <v>46790</v>
      </c>
      <c r="T523" s="2"/>
      <c r="U523" s="2"/>
      <c r="V523" s="2"/>
      <c r="W523" s="2"/>
      <c r="X523" s="3"/>
      <c r="Y523" s="3"/>
      <c r="Z523" s="3"/>
      <c r="AA523" s="3"/>
      <c r="AF523" s="3"/>
      <c r="AG523" s="3"/>
      <c r="AH523" s="3"/>
    </row>
    <row r="524" spans="1:34" x14ac:dyDescent="0.25">
      <c r="A524" t="s">
        <v>544</v>
      </c>
      <c r="B524" t="s">
        <v>1036</v>
      </c>
      <c r="C524" t="s">
        <v>1273</v>
      </c>
      <c r="D524" s="2">
        <v>40935</v>
      </c>
      <c r="E524">
        <v>0.57999999999999996</v>
      </c>
      <c r="F524" s="2">
        <v>41197</v>
      </c>
      <c r="G524">
        <v>0.79500000000000004</v>
      </c>
      <c r="H524" s="3">
        <v>0.37069999999999997</v>
      </c>
      <c r="I524">
        <v>17085.3</v>
      </c>
      <c r="J524" s="3">
        <v>0.36830000000000002</v>
      </c>
      <c r="K524">
        <v>79978</v>
      </c>
      <c r="T524" s="2"/>
      <c r="U524" s="2"/>
      <c r="V524" s="2"/>
      <c r="W524" s="2"/>
      <c r="X524" s="3"/>
      <c r="Y524" s="3"/>
      <c r="Z524" s="3"/>
      <c r="AA524" s="3"/>
      <c r="AF524" s="3"/>
      <c r="AG524" s="3"/>
      <c r="AH524" s="3"/>
    </row>
    <row r="525" spans="1:34" x14ac:dyDescent="0.25">
      <c r="A525" t="s">
        <v>545</v>
      </c>
      <c r="B525" t="s">
        <v>1037</v>
      </c>
      <c r="C525" t="s">
        <v>1273</v>
      </c>
      <c r="D525" s="2">
        <v>41117</v>
      </c>
      <c r="E525">
        <v>1.02</v>
      </c>
      <c r="F525" s="2">
        <v>41191</v>
      </c>
      <c r="G525">
        <v>1.0449999999999999</v>
      </c>
      <c r="H525" s="3">
        <v>2.4500000000000001E-2</v>
      </c>
      <c r="I525">
        <v>1110.67</v>
      </c>
      <c r="J525" s="3">
        <v>2.2499999999999999E-2</v>
      </c>
      <c r="K525">
        <v>48427</v>
      </c>
      <c r="T525" s="2"/>
      <c r="U525" s="2"/>
      <c r="V525" s="2"/>
      <c r="W525" s="2"/>
      <c r="X525" s="3"/>
      <c r="Y525" s="3"/>
      <c r="Z525" s="3"/>
      <c r="AA525" s="3"/>
      <c r="AF525" s="3"/>
      <c r="AG525" s="3"/>
      <c r="AH525" s="3"/>
    </row>
    <row r="526" spans="1:34" x14ac:dyDescent="0.25">
      <c r="A526" t="s">
        <v>546</v>
      </c>
      <c r="B526" t="s">
        <v>1038</v>
      </c>
      <c r="C526" t="s">
        <v>1273</v>
      </c>
      <c r="D526" s="2">
        <v>41145</v>
      </c>
      <c r="E526">
        <v>0.51</v>
      </c>
      <c r="F526" s="2">
        <v>41178</v>
      </c>
      <c r="G526">
        <v>0.51500000000000001</v>
      </c>
      <c r="H526" s="3">
        <v>9.7999999999999997E-3</v>
      </c>
      <c r="I526">
        <v>398.13</v>
      </c>
      <c r="J526" s="3">
        <v>7.7999999999999996E-3</v>
      </c>
      <c r="K526">
        <v>100158</v>
      </c>
      <c r="T526" s="2"/>
      <c r="U526" s="2"/>
      <c r="V526" s="2"/>
      <c r="W526" s="2"/>
      <c r="X526" s="3"/>
      <c r="Y526" s="3"/>
      <c r="Z526" s="3"/>
      <c r="AA526" s="3"/>
      <c r="AF526" s="3"/>
      <c r="AG526" s="3"/>
      <c r="AH526" s="3"/>
    </row>
    <row r="527" spans="1:34" x14ac:dyDescent="0.25">
      <c r="A527" t="s">
        <v>547</v>
      </c>
      <c r="B527" t="s">
        <v>1039</v>
      </c>
      <c r="C527" t="s">
        <v>1273</v>
      </c>
      <c r="D527" s="2">
        <v>41124</v>
      </c>
      <c r="E527">
        <v>0.77500000000000002</v>
      </c>
      <c r="F527" s="2">
        <v>41143</v>
      </c>
      <c r="G527">
        <v>0.78</v>
      </c>
      <c r="H527" s="3">
        <v>6.4999999999999997E-3</v>
      </c>
      <c r="I527">
        <v>219.93</v>
      </c>
      <c r="J527" s="3">
        <v>4.4000000000000003E-3</v>
      </c>
      <c r="K527">
        <v>63841</v>
      </c>
      <c r="T527" s="2"/>
      <c r="U527" s="2"/>
      <c r="V527" s="2"/>
      <c r="W527" s="2"/>
      <c r="X527" s="3"/>
      <c r="Y527" s="3"/>
      <c r="Z527" s="3"/>
      <c r="AA527" s="3"/>
      <c r="AF527" s="3"/>
      <c r="AG527" s="3"/>
      <c r="AH527" s="3"/>
    </row>
    <row r="528" spans="1:34" x14ac:dyDescent="0.25">
      <c r="A528" t="s">
        <v>512</v>
      </c>
      <c r="B528" t="s">
        <v>981</v>
      </c>
      <c r="C528" t="s">
        <v>1273</v>
      </c>
      <c r="D528" s="2">
        <v>41026</v>
      </c>
      <c r="E528">
        <v>0.81491740000000001</v>
      </c>
      <c r="F528" s="2">
        <v>41117</v>
      </c>
      <c r="G528">
        <v>0.73620379999999996</v>
      </c>
      <c r="H528" s="3">
        <v>-9.6600000000000005E-2</v>
      </c>
      <c r="I528">
        <v>-5188.2299999999996</v>
      </c>
      <c r="J528" s="3">
        <v>-9.8500000000000004E-2</v>
      </c>
      <c r="K528">
        <v>64639</v>
      </c>
      <c r="T528" s="2"/>
      <c r="U528" s="2"/>
      <c r="V528" s="2"/>
      <c r="W528" s="2"/>
      <c r="X528" s="3"/>
      <c r="Y528" s="3"/>
      <c r="Z528" s="3"/>
      <c r="AA528" s="3"/>
      <c r="AF528" s="3"/>
      <c r="AG528" s="3"/>
      <c r="AH528" s="3"/>
    </row>
    <row r="529" spans="1:34" x14ac:dyDescent="0.25">
      <c r="A529" t="s">
        <v>302</v>
      </c>
      <c r="B529" t="s">
        <v>1040</v>
      </c>
      <c r="C529" t="s">
        <v>1273</v>
      </c>
      <c r="D529" s="2">
        <v>41039</v>
      </c>
      <c r="E529">
        <v>0.54516830000000005</v>
      </c>
      <c r="F529" s="2">
        <v>41054</v>
      </c>
      <c r="G529">
        <v>0.51680700000000002</v>
      </c>
      <c r="H529" s="3">
        <v>-5.1999999999999998E-2</v>
      </c>
      <c r="I529">
        <v>-2854.62</v>
      </c>
      <c r="J529" s="3">
        <v>-5.3999999999999999E-2</v>
      </c>
      <c r="K529">
        <v>97019</v>
      </c>
      <c r="T529" s="2"/>
      <c r="U529" s="2"/>
      <c r="V529" s="2"/>
      <c r="W529" s="2"/>
      <c r="X529" s="3"/>
      <c r="Y529" s="3"/>
      <c r="Z529" s="3"/>
      <c r="AA529" s="3"/>
      <c r="AF529" s="3"/>
      <c r="AG529" s="3"/>
      <c r="AH529" s="3"/>
    </row>
    <row r="530" spans="1:34" x14ac:dyDescent="0.25">
      <c r="A530" t="s">
        <v>173</v>
      </c>
      <c r="B530" t="s">
        <v>767</v>
      </c>
      <c r="C530" t="s">
        <v>1273</v>
      </c>
      <c r="D530" s="2">
        <v>40970</v>
      </c>
      <c r="E530">
        <v>2.86755</v>
      </c>
      <c r="F530" s="2">
        <v>41054</v>
      </c>
      <c r="G530">
        <v>2.564727</v>
      </c>
      <c r="H530" s="3">
        <v>-0.1056</v>
      </c>
      <c r="I530">
        <v>-5445.33</v>
      </c>
      <c r="J530" s="3">
        <v>-0.1075</v>
      </c>
      <c r="K530">
        <v>17665</v>
      </c>
      <c r="T530" s="2"/>
      <c r="U530" s="2"/>
      <c r="V530" s="2"/>
      <c r="W530" s="2"/>
      <c r="X530" s="3"/>
      <c r="Y530" s="3"/>
      <c r="Z530" s="3"/>
      <c r="AA530" s="3"/>
      <c r="AF530" s="3"/>
      <c r="AG530" s="3"/>
      <c r="AH530" s="3"/>
    </row>
    <row r="531" spans="1:34" x14ac:dyDescent="0.25">
      <c r="A531" t="s">
        <v>89</v>
      </c>
      <c r="B531" t="s">
        <v>1027</v>
      </c>
      <c r="C531" t="s">
        <v>1273</v>
      </c>
      <c r="D531" s="2">
        <v>40935</v>
      </c>
      <c r="E531">
        <v>0.75686030000000004</v>
      </c>
      <c r="F531" s="2">
        <v>41054</v>
      </c>
      <c r="G531">
        <v>0.92004509999999995</v>
      </c>
      <c r="H531" s="3">
        <v>0.21560000000000001</v>
      </c>
      <c r="I531">
        <v>9900.43</v>
      </c>
      <c r="J531" s="3">
        <v>0.21340000000000001</v>
      </c>
      <c r="K531">
        <v>61300</v>
      </c>
      <c r="T531" s="2"/>
      <c r="U531" s="2"/>
      <c r="V531" s="2"/>
      <c r="W531" s="2"/>
      <c r="X531" s="3"/>
      <c r="Y531" s="3"/>
      <c r="Z531" s="3"/>
      <c r="AA531" s="3"/>
      <c r="AF531" s="3"/>
      <c r="AG531" s="3"/>
      <c r="AH531" s="3"/>
    </row>
    <row r="532" spans="1:34" x14ac:dyDescent="0.25">
      <c r="A532" t="s">
        <v>548</v>
      </c>
      <c r="B532" t="s">
        <v>1041</v>
      </c>
      <c r="C532" t="s">
        <v>1273</v>
      </c>
      <c r="D532" s="2">
        <v>40928</v>
      </c>
      <c r="E532">
        <v>1.5635060000000001</v>
      </c>
      <c r="F532" s="2">
        <v>41054</v>
      </c>
      <c r="G532">
        <v>1.7100919999999999</v>
      </c>
      <c r="H532" s="3">
        <v>9.3799999999999994E-2</v>
      </c>
      <c r="I532">
        <v>4220.6899999999996</v>
      </c>
      <c r="J532" s="3">
        <v>9.1700000000000004E-2</v>
      </c>
      <c r="K532">
        <v>29451</v>
      </c>
      <c r="T532" s="2"/>
      <c r="U532" s="2"/>
      <c r="V532" s="2"/>
      <c r="W532" s="2"/>
      <c r="X532" s="3"/>
      <c r="Y532" s="3"/>
      <c r="Z532" s="3"/>
      <c r="AA532" s="3"/>
      <c r="AF532" s="3"/>
      <c r="AG532" s="3"/>
      <c r="AH532" s="3"/>
    </row>
    <row r="533" spans="1:34" x14ac:dyDescent="0.25">
      <c r="A533" t="s">
        <v>549</v>
      </c>
      <c r="B533" t="s">
        <v>1042</v>
      </c>
      <c r="C533" t="s">
        <v>1273</v>
      </c>
      <c r="D533" s="2">
        <v>40886</v>
      </c>
      <c r="E533">
        <v>1.439516</v>
      </c>
      <c r="F533" s="2">
        <v>41054</v>
      </c>
      <c r="G533">
        <v>1.4795659999999999</v>
      </c>
      <c r="H533" s="3">
        <v>2.7799999999999998E-2</v>
      </c>
      <c r="I533">
        <v>1234.01</v>
      </c>
      <c r="J533" s="3">
        <v>2.58E-2</v>
      </c>
      <c r="K533">
        <v>33234</v>
      </c>
      <c r="T533" s="2"/>
      <c r="U533" s="2"/>
      <c r="V533" s="2"/>
      <c r="W533" s="2"/>
      <c r="X533" s="3"/>
      <c r="Y533" s="3"/>
      <c r="Z533" s="3"/>
      <c r="AA533" s="3"/>
      <c r="AF533" s="3"/>
      <c r="AG533" s="3"/>
      <c r="AH533" s="3"/>
    </row>
    <row r="534" spans="1:34" x14ac:dyDescent="0.25">
      <c r="A534" t="s">
        <v>516</v>
      </c>
      <c r="B534" t="s">
        <v>989</v>
      </c>
      <c r="C534" t="s">
        <v>1273</v>
      </c>
      <c r="D534" s="2">
        <v>40886</v>
      </c>
      <c r="E534">
        <v>0.77337889999999998</v>
      </c>
      <c r="F534" s="2">
        <v>41054</v>
      </c>
      <c r="G534">
        <v>0.90827060000000004</v>
      </c>
      <c r="H534" s="3">
        <v>0.1744</v>
      </c>
      <c r="I534">
        <v>8241.84</v>
      </c>
      <c r="J534" s="3">
        <v>0.17219999999999999</v>
      </c>
      <c r="K534">
        <v>61871</v>
      </c>
      <c r="T534" s="2"/>
      <c r="U534" s="2"/>
      <c r="V534" s="2"/>
      <c r="W534" s="2"/>
      <c r="X534" s="3"/>
      <c r="Y534" s="3"/>
      <c r="Z534" s="3"/>
      <c r="AA534" s="3"/>
      <c r="AF534" s="3"/>
      <c r="AG534" s="3"/>
      <c r="AH534" s="3"/>
    </row>
    <row r="535" spans="1:34" x14ac:dyDescent="0.25">
      <c r="A535" t="s">
        <v>550</v>
      </c>
      <c r="B535" t="s">
        <v>1043</v>
      </c>
      <c r="C535" t="s">
        <v>1273</v>
      </c>
      <c r="D535" s="2">
        <v>40935</v>
      </c>
      <c r="E535">
        <v>2.4171290000000001</v>
      </c>
      <c r="F535" s="2">
        <v>41047</v>
      </c>
      <c r="G535">
        <v>3.3349540000000002</v>
      </c>
      <c r="H535" s="3">
        <v>0.37969999999999998</v>
      </c>
      <c r="I535">
        <v>17504.5</v>
      </c>
      <c r="J535" s="3">
        <v>0.37730000000000002</v>
      </c>
      <c r="K535">
        <v>19192</v>
      </c>
      <c r="T535" s="2"/>
      <c r="U535" s="2"/>
      <c r="V535" s="2"/>
      <c r="W535" s="2"/>
      <c r="X535" s="3"/>
      <c r="Y535" s="3"/>
      <c r="Z535" s="3"/>
      <c r="AA535" s="3"/>
      <c r="AF535" s="3"/>
      <c r="AG535" s="3"/>
      <c r="AH535" s="3"/>
    </row>
    <row r="536" spans="1:34" x14ac:dyDescent="0.25">
      <c r="A536" t="s">
        <v>551</v>
      </c>
      <c r="B536" t="s">
        <v>1044</v>
      </c>
      <c r="C536" t="s">
        <v>1273</v>
      </c>
      <c r="D536" s="2">
        <v>40886</v>
      </c>
      <c r="E536">
        <v>0.79071999999999998</v>
      </c>
      <c r="F536" s="2">
        <v>41047</v>
      </c>
      <c r="G536">
        <v>1.176196</v>
      </c>
      <c r="H536" s="3">
        <v>0.48749999999999999</v>
      </c>
      <c r="I536">
        <v>23212.27</v>
      </c>
      <c r="J536" s="3">
        <v>0.48499999999999999</v>
      </c>
      <c r="K536">
        <v>60526</v>
      </c>
      <c r="T536" s="2"/>
      <c r="U536" s="2"/>
      <c r="V536" s="2"/>
      <c r="W536" s="2"/>
      <c r="X536" s="3"/>
      <c r="Y536" s="3"/>
      <c r="Z536" s="3"/>
      <c r="AA536" s="3"/>
      <c r="AF536" s="3"/>
      <c r="AG536" s="3"/>
      <c r="AH536" s="3"/>
    </row>
    <row r="537" spans="1:34" x14ac:dyDescent="0.25">
      <c r="A537" t="s">
        <v>84</v>
      </c>
      <c r="B537" t="s">
        <v>1032</v>
      </c>
      <c r="C537" t="s">
        <v>1273</v>
      </c>
      <c r="D537" s="2">
        <v>40851</v>
      </c>
      <c r="E537">
        <v>1.1687240000000001</v>
      </c>
      <c r="F537" s="2">
        <v>41047</v>
      </c>
      <c r="G537">
        <v>1.562287</v>
      </c>
      <c r="H537" s="3">
        <v>0.3367</v>
      </c>
      <c r="I537">
        <v>15918.59</v>
      </c>
      <c r="J537" s="3">
        <v>0.33439999999999998</v>
      </c>
      <c r="K537">
        <v>40730</v>
      </c>
      <c r="T537" s="2"/>
      <c r="U537" s="2"/>
      <c r="V537" s="2"/>
      <c r="W537" s="2"/>
      <c r="X537" s="3"/>
      <c r="Y537" s="3"/>
      <c r="Z537" s="3"/>
      <c r="AA537" s="3"/>
      <c r="AF537" s="3"/>
      <c r="AG537" s="3"/>
      <c r="AH537" s="3"/>
    </row>
    <row r="538" spans="1:34" x14ac:dyDescent="0.25">
      <c r="A538" t="s">
        <v>552</v>
      </c>
      <c r="B538" t="s">
        <v>1045</v>
      </c>
      <c r="C538" t="s">
        <v>1273</v>
      </c>
      <c r="D538" s="2">
        <v>40851</v>
      </c>
      <c r="E538">
        <v>1.685203</v>
      </c>
      <c r="F538" s="2">
        <v>41047</v>
      </c>
      <c r="G538">
        <v>1.8611690000000001</v>
      </c>
      <c r="H538" s="3">
        <v>0.10440000000000001</v>
      </c>
      <c r="I538">
        <v>4871.72</v>
      </c>
      <c r="J538" s="3">
        <v>0.1023</v>
      </c>
      <c r="K538">
        <v>28255</v>
      </c>
      <c r="T538" s="2"/>
      <c r="U538" s="2"/>
      <c r="V538" s="2"/>
      <c r="W538" s="2"/>
      <c r="X538" s="3"/>
      <c r="Y538" s="3"/>
      <c r="Z538" s="3"/>
      <c r="AA538" s="3"/>
      <c r="AF538" s="3"/>
      <c r="AG538" s="3"/>
      <c r="AH538" s="3"/>
    </row>
    <row r="539" spans="1:34" x14ac:dyDescent="0.25">
      <c r="A539" t="s">
        <v>294</v>
      </c>
      <c r="B539" t="s">
        <v>1009</v>
      </c>
      <c r="C539" t="s">
        <v>1273</v>
      </c>
      <c r="D539" s="2">
        <v>40984</v>
      </c>
      <c r="E539">
        <v>3.4429090000000002</v>
      </c>
      <c r="F539" s="2">
        <v>41044</v>
      </c>
      <c r="G539">
        <v>2.4476589999999998</v>
      </c>
      <c r="H539" s="3">
        <v>-0.28910000000000002</v>
      </c>
      <c r="I539">
        <v>-14653.69</v>
      </c>
      <c r="J539" s="3">
        <v>-0.2908</v>
      </c>
      <c r="K539">
        <v>14637</v>
      </c>
      <c r="T539" s="2"/>
      <c r="U539" s="2"/>
      <c r="V539" s="2"/>
      <c r="W539" s="2"/>
      <c r="X539" s="3"/>
      <c r="Y539" s="3"/>
      <c r="Z539" s="3"/>
      <c r="AA539" s="3"/>
      <c r="AF539" s="3"/>
      <c r="AG539" s="3"/>
      <c r="AH539" s="3"/>
    </row>
    <row r="540" spans="1:34" x14ac:dyDescent="0.25">
      <c r="A540" t="s">
        <v>303</v>
      </c>
      <c r="B540" t="s">
        <v>1046</v>
      </c>
      <c r="C540" t="s">
        <v>1273</v>
      </c>
      <c r="D540" s="2">
        <v>40928</v>
      </c>
      <c r="E540">
        <v>7.9938500000000001</v>
      </c>
      <c r="F540" s="2">
        <v>41044</v>
      </c>
      <c r="G540">
        <v>6.9135999999999997</v>
      </c>
      <c r="H540" s="3">
        <v>-0.1351</v>
      </c>
      <c r="I540">
        <v>-6308.11</v>
      </c>
      <c r="J540" s="3">
        <v>-0.13700000000000001</v>
      </c>
      <c r="K540">
        <v>5760</v>
      </c>
      <c r="T540" s="2"/>
      <c r="U540" s="2"/>
      <c r="V540" s="2"/>
      <c r="W540" s="2"/>
      <c r="X540" s="3"/>
      <c r="Y540" s="3"/>
      <c r="Z540" s="3"/>
      <c r="AA540" s="3"/>
      <c r="AF540" s="3"/>
      <c r="AG540" s="3"/>
      <c r="AH540" s="3"/>
    </row>
    <row r="541" spans="1:34" x14ac:dyDescent="0.25">
      <c r="A541" t="s">
        <v>530</v>
      </c>
      <c r="B541" t="s">
        <v>1011</v>
      </c>
      <c r="C541" t="s">
        <v>1273</v>
      </c>
      <c r="D541" s="2">
        <v>40942</v>
      </c>
      <c r="E541">
        <v>1.8673120000000001</v>
      </c>
      <c r="F541" s="2">
        <v>41033</v>
      </c>
      <c r="G541">
        <v>1.4938499999999999</v>
      </c>
      <c r="H541" s="3">
        <v>-0.2</v>
      </c>
      <c r="I541">
        <v>-9379.51</v>
      </c>
      <c r="J541" s="3">
        <v>-0.20180000000000001</v>
      </c>
      <c r="K541">
        <v>24891</v>
      </c>
      <c r="T541" s="2"/>
      <c r="U541" s="2"/>
      <c r="V541" s="2"/>
      <c r="W541" s="2"/>
      <c r="X541" s="3"/>
      <c r="Y541" s="3"/>
      <c r="Z541" s="3"/>
      <c r="AA541" s="3"/>
      <c r="AF541" s="3"/>
      <c r="AG541" s="3"/>
      <c r="AH541" s="3"/>
    </row>
    <row r="542" spans="1:34" x14ac:dyDescent="0.25">
      <c r="A542" t="s">
        <v>520</v>
      </c>
      <c r="B542" t="s">
        <v>998</v>
      </c>
      <c r="C542" t="s">
        <v>1273</v>
      </c>
      <c r="D542" s="2">
        <v>40935</v>
      </c>
      <c r="E542">
        <v>1.56</v>
      </c>
      <c r="F542" s="2">
        <v>41026</v>
      </c>
      <c r="G542">
        <v>1.405</v>
      </c>
      <c r="H542" s="3">
        <v>-9.9400000000000002E-2</v>
      </c>
      <c r="I542">
        <v>-4698.3500000000004</v>
      </c>
      <c r="J542" s="3">
        <v>-0.1013</v>
      </c>
      <c r="K542">
        <v>29743</v>
      </c>
      <c r="T542" s="2"/>
      <c r="U542" s="2"/>
      <c r="V542" s="2"/>
      <c r="W542" s="2"/>
      <c r="X542" s="3"/>
      <c r="Y542" s="3"/>
      <c r="Z542" s="3"/>
      <c r="AA542" s="3"/>
      <c r="AF542" s="3"/>
      <c r="AG542" s="3"/>
      <c r="AH542" s="3"/>
    </row>
    <row r="543" spans="1:34" x14ac:dyDescent="0.25">
      <c r="A543" t="s">
        <v>453</v>
      </c>
      <c r="B543" t="s">
        <v>836</v>
      </c>
      <c r="C543" t="s">
        <v>1273</v>
      </c>
      <c r="D543" s="2">
        <v>40928</v>
      </c>
      <c r="E543">
        <v>5.9722030000000004</v>
      </c>
      <c r="F543" s="2">
        <v>41026</v>
      </c>
      <c r="G543">
        <v>8.3462460000000007</v>
      </c>
      <c r="H543" s="3">
        <v>0.39750000000000002</v>
      </c>
      <c r="I543">
        <v>18195.87</v>
      </c>
      <c r="J543" s="3">
        <v>0.39510000000000001</v>
      </c>
      <c r="K543">
        <v>7711</v>
      </c>
      <c r="T543" s="2"/>
      <c r="U543" s="2"/>
      <c r="V543" s="2"/>
      <c r="W543" s="2"/>
      <c r="X543" s="3"/>
      <c r="Y543" s="3"/>
      <c r="Z543" s="3"/>
      <c r="AA543" s="3"/>
      <c r="AF543" s="3"/>
      <c r="AG543" s="3"/>
      <c r="AH543" s="3"/>
    </row>
    <row r="544" spans="1:34" x14ac:dyDescent="0.25">
      <c r="A544" t="s">
        <v>553</v>
      </c>
      <c r="B544" t="s">
        <v>1047</v>
      </c>
      <c r="C544" t="s">
        <v>1273</v>
      </c>
      <c r="D544" s="2">
        <v>40928</v>
      </c>
      <c r="E544">
        <v>6.4691729999999996</v>
      </c>
      <c r="F544" s="2">
        <v>41011</v>
      </c>
      <c r="G544">
        <v>5.5768740000000001</v>
      </c>
      <c r="H544" s="3">
        <v>-0.13789999999999999</v>
      </c>
      <c r="I544">
        <v>-6438.94</v>
      </c>
      <c r="J544" s="3">
        <v>-0.13980000000000001</v>
      </c>
      <c r="K544">
        <v>7120</v>
      </c>
      <c r="T544" s="2"/>
      <c r="U544" s="2"/>
      <c r="V544" s="2"/>
      <c r="W544" s="2"/>
      <c r="X544" s="3"/>
      <c r="Y544" s="3"/>
      <c r="Z544" s="3"/>
      <c r="AA544" s="3"/>
      <c r="AF544" s="3"/>
      <c r="AG544" s="3"/>
      <c r="AH544" s="3"/>
    </row>
    <row r="545" spans="1:34" x14ac:dyDescent="0.25">
      <c r="A545" t="s">
        <v>554</v>
      </c>
      <c r="B545" t="s">
        <v>1048</v>
      </c>
      <c r="C545" t="s">
        <v>1273</v>
      </c>
      <c r="D545" s="2">
        <v>40885</v>
      </c>
      <c r="E545">
        <v>8.6770910000000008</v>
      </c>
      <c r="F545" s="2">
        <v>40984</v>
      </c>
      <c r="G545">
        <v>6.9306859999999997</v>
      </c>
      <c r="H545" s="3">
        <v>-0.20130000000000001</v>
      </c>
      <c r="I545">
        <v>-9726.31</v>
      </c>
      <c r="J545" s="3">
        <v>-0.2031</v>
      </c>
      <c r="K545">
        <v>5520</v>
      </c>
      <c r="T545" s="2"/>
      <c r="U545" s="2"/>
      <c r="V545" s="2"/>
      <c r="W545" s="2"/>
      <c r="X545" s="3"/>
      <c r="Y545" s="3"/>
      <c r="Z545" s="3"/>
      <c r="AA545" s="3"/>
      <c r="AF545" s="3"/>
      <c r="AG545" s="3"/>
      <c r="AH545" s="3"/>
    </row>
    <row r="546" spans="1:34" x14ac:dyDescent="0.25">
      <c r="A546" t="s">
        <v>555</v>
      </c>
      <c r="B546" t="s">
        <v>1049</v>
      </c>
      <c r="C546" t="s">
        <v>1273</v>
      </c>
      <c r="D546" s="2">
        <v>40865</v>
      </c>
      <c r="E546">
        <v>4.41</v>
      </c>
      <c r="F546" s="2">
        <v>40969</v>
      </c>
      <c r="G546">
        <v>4.41</v>
      </c>
      <c r="H546" s="3">
        <v>0</v>
      </c>
      <c r="I546">
        <v>-96.38</v>
      </c>
      <c r="J546" s="3">
        <v>-2E-3</v>
      </c>
      <c r="K546">
        <v>10927</v>
      </c>
      <c r="T546" s="2"/>
      <c r="U546" s="2"/>
      <c r="V546" s="2"/>
      <c r="W546" s="2"/>
      <c r="X546" s="3"/>
      <c r="Y546" s="3"/>
      <c r="Z546" s="3"/>
      <c r="AA546" s="3"/>
      <c r="AF546" s="3"/>
      <c r="AG546" s="3"/>
      <c r="AH546" s="3"/>
    </row>
    <row r="547" spans="1:34" x14ac:dyDescent="0.25">
      <c r="A547" t="s">
        <v>304</v>
      </c>
      <c r="B547" t="s">
        <v>1050</v>
      </c>
      <c r="C547" t="s">
        <v>1273</v>
      </c>
      <c r="D547" s="2">
        <v>40606</v>
      </c>
      <c r="E547">
        <v>0.59831990000000002</v>
      </c>
      <c r="F547" s="2">
        <v>40942</v>
      </c>
      <c r="G547">
        <v>0.59831990000000002</v>
      </c>
      <c r="H547" s="3">
        <v>0</v>
      </c>
      <c r="I547">
        <v>-99.8</v>
      </c>
      <c r="J547" s="3">
        <v>-2E-3</v>
      </c>
      <c r="K547">
        <v>83399</v>
      </c>
      <c r="T547" s="2"/>
      <c r="U547" s="2"/>
      <c r="V547" s="2"/>
      <c r="W547" s="2"/>
      <c r="X547" s="3"/>
      <c r="Y547" s="3"/>
      <c r="Z547" s="3"/>
      <c r="AA547" s="3"/>
      <c r="AF547" s="3"/>
      <c r="AG547" s="3"/>
      <c r="AH547" s="3"/>
    </row>
    <row r="548" spans="1:34" x14ac:dyDescent="0.25">
      <c r="A548" t="s">
        <v>453</v>
      </c>
      <c r="B548" t="s">
        <v>836</v>
      </c>
      <c r="C548" t="s">
        <v>1273</v>
      </c>
      <c r="D548" s="2">
        <v>40851</v>
      </c>
      <c r="E548">
        <v>3.8578199999999998</v>
      </c>
      <c r="F548" s="2">
        <v>40907</v>
      </c>
      <c r="G548">
        <v>4.5997089999999998</v>
      </c>
      <c r="H548" s="3">
        <v>0.1923</v>
      </c>
      <c r="I548">
        <v>9053.48</v>
      </c>
      <c r="J548" s="3">
        <v>0.19009999999999999</v>
      </c>
      <c r="K548">
        <v>12344</v>
      </c>
      <c r="T548" s="2"/>
      <c r="U548" s="2"/>
      <c r="V548" s="2"/>
      <c r="W548" s="2"/>
      <c r="X548" s="3"/>
      <c r="Y548" s="3"/>
      <c r="Z548" s="3"/>
      <c r="AA548" s="3"/>
      <c r="AF548" s="3"/>
      <c r="AG548" s="3"/>
      <c r="AH548" s="3"/>
    </row>
    <row r="549" spans="1:34" x14ac:dyDescent="0.25">
      <c r="A549" t="s">
        <v>556</v>
      </c>
      <c r="B549" t="s">
        <v>1051</v>
      </c>
      <c r="C549" t="s">
        <v>1273</v>
      </c>
      <c r="D549" s="2">
        <v>40886</v>
      </c>
      <c r="E549">
        <v>6.6068429999999996</v>
      </c>
      <c r="F549" s="2">
        <v>40907</v>
      </c>
      <c r="G549">
        <v>5.91716</v>
      </c>
      <c r="H549" s="3">
        <v>-0.10440000000000001</v>
      </c>
      <c r="I549">
        <v>-5086.09</v>
      </c>
      <c r="J549" s="3">
        <v>-0.10630000000000001</v>
      </c>
      <c r="K549">
        <v>7243</v>
      </c>
      <c r="T549" s="2"/>
      <c r="U549" s="2"/>
      <c r="V549" s="2"/>
      <c r="W549" s="2"/>
      <c r="X549" s="3"/>
      <c r="Y549" s="3"/>
      <c r="Z549" s="3"/>
      <c r="AA549" s="3"/>
      <c r="AF549" s="3"/>
      <c r="AG549" s="3"/>
      <c r="AH549" s="3"/>
    </row>
    <row r="550" spans="1:34" x14ac:dyDescent="0.25">
      <c r="A550" t="s">
        <v>476</v>
      </c>
      <c r="B550" t="s">
        <v>919</v>
      </c>
      <c r="C550" t="s">
        <v>1273</v>
      </c>
      <c r="D550" s="2">
        <v>40851</v>
      </c>
      <c r="E550">
        <v>3.32</v>
      </c>
      <c r="F550" s="2">
        <v>40900</v>
      </c>
      <c r="G550">
        <v>3.17</v>
      </c>
      <c r="H550" s="3">
        <v>-4.5199999999999997E-2</v>
      </c>
      <c r="I550">
        <v>-2245.0100000000002</v>
      </c>
      <c r="J550" s="3">
        <v>-4.7100000000000003E-2</v>
      </c>
      <c r="K550">
        <v>14346</v>
      </c>
      <c r="T550" s="2"/>
      <c r="U550" s="2"/>
      <c r="V550" s="2"/>
      <c r="W550" s="2"/>
      <c r="X550" s="3"/>
      <c r="Y550" s="3"/>
      <c r="Z550" s="3"/>
      <c r="AA550" s="3"/>
      <c r="AF550" s="3"/>
      <c r="AG550" s="3"/>
      <c r="AH550" s="3"/>
    </row>
    <row r="551" spans="1:34" x14ac:dyDescent="0.25">
      <c r="A551" t="s">
        <v>557</v>
      </c>
      <c r="B551" t="s">
        <v>1052</v>
      </c>
      <c r="C551" t="s">
        <v>1273</v>
      </c>
      <c r="D551" s="2">
        <v>40893</v>
      </c>
      <c r="E551">
        <v>0.61</v>
      </c>
      <c r="F551" s="2">
        <v>40900</v>
      </c>
      <c r="G551">
        <v>0.55000000000000004</v>
      </c>
      <c r="H551" s="3">
        <v>-9.8400000000000001E-2</v>
      </c>
      <c r="I551">
        <v>-4826.4399999999996</v>
      </c>
      <c r="J551" s="3">
        <v>-0.1003</v>
      </c>
      <c r="K551">
        <v>78915</v>
      </c>
      <c r="T551" s="2"/>
      <c r="U551" s="2"/>
      <c r="V551" s="2"/>
      <c r="W551" s="2"/>
      <c r="X551" s="3"/>
      <c r="Y551" s="3"/>
      <c r="Z551" s="3"/>
      <c r="AA551" s="3"/>
      <c r="AF551" s="3"/>
      <c r="AG551" s="3"/>
      <c r="AH551" s="3"/>
    </row>
    <row r="552" spans="1:34" x14ac:dyDescent="0.25">
      <c r="A552" t="s">
        <v>305</v>
      </c>
      <c r="B552" t="s">
        <v>1053</v>
      </c>
      <c r="C552" t="s">
        <v>1273</v>
      </c>
      <c r="D552" s="2">
        <v>40886</v>
      </c>
      <c r="E552">
        <v>1.154598</v>
      </c>
      <c r="F552" s="2">
        <v>40900</v>
      </c>
      <c r="G552">
        <v>0.97696749999999999</v>
      </c>
      <c r="H552" s="3">
        <v>-0.15379999999999999</v>
      </c>
      <c r="I552">
        <v>-7447.72</v>
      </c>
      <c r="J552" s="3">
        <v>-0.15570000000000001</v>
      </c>
      <c r="K552">
        <v>41431</v>
      </c>
      <c r="T552" s="2"/>
      <c r="U552" s="2"/>
      <c r="V552" s="2"/>
      <c r="W552" s="2"/>
      <c r="X552" s="3"/>
      <c r="Y552" s="3"/>
      <c r="Z552" s="3"/>
      <c r="AA552" s="3"/>
      <c r="AF552" s="3"/>
      <c r="AG552" s="3"/>
      <c r="AH552" s="3"/>
    </row>
    <row r="553" spans="1:34" x14ac:dyDescent="0.25">
      <c r="A553" t="s">
        <v>500</v>
      </c>
      <c r="B553" t="s">
        <v>962</v>
      </c>
      <c r="C553" t="s">
        <v>1273</v>
      </c>
      <c r="D553" s="2">
        <v>40858</v>
      </c>
      <c r="E553">
        <v>0.76723969999999997</v>
      </c>
      <c r="F553" s="2">
        <v>40900</v>
      </c>
      <c r="G553">
        <v>0.7482955</v>
      </c>
      <c r="H553" s="3">
        <v>-2.47E-2</v>
      </c>
      <c r="I553">
        <v>-1271.8800000000001</v>
      </c>
      <c r="J553" s="3">
        <v>-2.6700000000000002E-2</v>
      </c>
      <c r="K553">
        <v>62165</v>
      </c>
      <c r="T553" s="2"/>
      <c r="U553" s="2"/>
      <c r="V553" s="2"/>
      <c r="W553" s="2"/>
      <c r="X553" s="3"/>
      <c r="Y553" s="3"/>
      <c r="Z553" s="3"/>
      <c r="AA553" s="3"/>
      <c r="AF553" s="3"/>
      <c r="AG553" s="3"/>
      <c r="AH553" s="3"/>
    </row>
    <row r="554" spans="1:34" x14ac:dyDescent="0.25">
      <c r="A554" t="s">
        <v>558</v>
      </c>
      <c r="B554" t="s">
        <v>1054</v>
      </c>
      <c r="C554" t="s">
        <v>1273</v>
      </c>
      <c r="D554" s="2">
        <v>40851</v>
      </c>
      <c r="E554">
        <v>0.54</v>
      </c>
      <c r="F554" s="2">
        <v>40900</v>
      </c>
      <c r="G554">
        <v>0.48</v>
      </c>
      <c r="H554" s="3">
        <v>-0.1111</v>
      </c>
      <c r="I554">
        <v>-5380.13</v>
      </c>
      <c r="J554" s="3">
        <v>-0.113</v>
      </c>
      <c r="K554">
        <v>88170</v>
      </c>
      <c r="T554" s="2"/>
      <c r="U554" s="2"/>
      <c r="V554" s="2"/>
      <c r="W554" s="2"/>
      <c r="X554" s="3"/>
      <c r="Y554" s="3"/>
      <c r="Z554" s="3"/>
      <c r="AA554" s="3"/>
      <c r="AF554" s="3"/>
      <c r="AG554" s="3"/>
      <c r="AH554" s="3"/>
    </row>
    <row r="555" spans="1:34" x14ac:dyDescent="0.25">
      <c r="A555" t="s">
        <v>559</v>
      </c>
      <c r="B555" t="s">
        <v>1055</v>
      </c>
      <c r="C555" t="s">
        <v>1273</v>
      </c>
      <c r="D555" s="2">
        <v>40872</v>
      </c>
      <c r="E555">
        <v>1.1405069999999999</v>
      </c>
      <c r="F555" s="2">
        <v>40879</v>
      </c>
      <c r="G555">
        <v>1.026456</v>
      </c>
      <c r="H555" s="3">
        <v>-0.1</v>
      </c>
      <c r="I555">
        <v>-4927.99</v>
      </c>
      <c r="J555" s="3">
        <v>-0.1019</v>
      </c>
      <c r="K555">
        <v>42403</v>
      </c>
      <c r="T555" s="2"/>
      <c r="U555" s="2"/>
      <c r="V555" s="2"/>
      <c r="W555" s="2"/>
      <c r="X555" s="3"/>
      <c r="Y555" s="3"/>
      <c r="Z555" s="3"/>
      <c r="AA555" s="3"/>
      <c r="AF555" s="3"/>
      <c r="AG555" s="3"/>
      <c r="AH555" s="3"/>
    </row>
    <row r="556" spans="1:34" x14ac:dyDescent="0.25">
      <c r="A556" t="s">
        <v>498</v>
      </c>
      <c r="B556" t="s">
        <v>960</v>
      </c>
      <c r="C556" t="s">
        <v>1273</v>
      </c>
      <c r="D556" s="2">
        <v>40872</v>
      </c>
      <c r="E556">
        <v>1.5442610000000001</v>
      </c>
      <c r="F556" s="2">
        <v>40879</v>
      </c>
      <c r="G556">
        <v>1.4855119999999999</v>
      </c>
      <c r="H556" s="3">
        <v>-3.7999999999999999E-2</v>
      </c>
      <c r="I556">
        <v>-1934.85</v>
      </c>
      <c r="J556" s="3">
        <v>-0.04</v>
      </c>
      <c r="K556">
        <v>31319</v>
      </c>
      <c r="T556" s="2"/>
      <c r="U556" s="2"/>
      <c r="V556" s="2"/>
      <c r="W556" s="2"/>
      <c r="X556" s="3"/>
      <c r="Y556" s="3"/>
      <c r="Z556" s="3"/>
      <c r="AA556" s="3"/>
      <c r="AF556" s="3"/>
      <c r="AG556" s="3"/>
      <c r="AH556" s="3"/>
    </row>
    <row r="557" spans="1:34" x14ac:dyDescent="0.25">
      <c r="A557" t="s">
        <v>551</v>
      </c>
      <c r="B557" t="s">
        <v>1044</v>
      </c>
      <c r="C557" t="s">
        <v>1273</v>
      </c>
      <c r="D557" s="2">
        <v>40865</v>
      </c>
      <c r="E557">
        <v>0.65728600000000004</v>
      </c>
      <c r="F557" s="2">
        <v>40879</v>
      </c>
      <c r="G557">
        <v>0.64246000000000003</v>
      </c>
      <c r="H557" s="3">
        <v>-2.2599999999999999E-2</v>
      </c>
      <c r="I557">
        <v>-1182.57</v>
      </c>
      <c r="J557" s="3">
        <v>-2.4500000000000001E-2</v>
      </c>
      <c r="K557">
        <v>73334</v>
      </c>
      <c r="T557" s="2"/>
      <c r="U557" s="2"/>
      <c r="V557" s="2"/>
      <c r="W557" s="2"/>
      <c r="X557" s="3"/>
      <c r="Y557" s="3"/>
      <c r="Z557" s="3"/>
      <c r="AA557" s="3"/>
      <c r="AF557" s="3"/>
      <c r="AG557" s="3"/>
      <c r="AH557" s="3"/>
    </row>
    <row r="558" spans="1:34" x14ac:dyDescent="0.25">
      <c r="A558" t="s">
        <v>306</v>
      </c>
      <c r="B558" t="s">
        <v>1056</v>
      </c>
      <c r="C558" t="s">
        <v>1273</v>
      </c>
      <c r="D558" s="2">
        <v>40858</v>
      </c>
      <c r="E558">
        <v>0.77671000000000001</v>
      </c>
      <c r="F558" s="2">
        <v>40879</v>
      </c>
      <c r="G558">
        <v>0.72577809999999998</v>
      </c>
      <c r="H558" s="3">
        <v>-6.5600000000000006E-2</v>
      </c>
      <c r="I558">
        <v>-3219.2</v>
      </c>
      <c r="J558" s="3">
        <v>-6.7500000000000004E-2</v>
      </c>
      <c r="K558">
        <v>61395</v>
      </c>
      <c r="T558" s="2"/>
      <c r="U558" s="2"/>
      <c r="V558" s="2"/>
      <c r="W558" s="2"/>
      <c r="X558" s="3"/>
      <c r="Y558" s="3"/>
      <c r="Z558" s="3"/>
      <c r="AA558" s="3"/>
      <c r="AF558" s="3"/>
      <c r="AG558" s="3"/>
      <c r="AH558" s="3"/>
    </row>
    <row r="559" spans="1:34" x14ac:dyDescent="0.25">
      <c r="A559" t="s">
        <v>254</v>
      </c>
      <c r="B559" t="s">
        <v>894</v>
      </c>
      <c r="C559" t="s">
        <v>1273</v>
      </c>
      <c r="D559" s="2">
        <v>40858</v>
      </c>
      <c r="E559">
        <v>0.77185899999999996</v>
      </c>
      <c r="F559" s="2">
        <v>40879</v>
      </c>
      <c r="G559">
        <v>0.73255250000000005</v>
      </c>
      <c r="H559" s="3">
        <v>-5.0900000000000001E-2</v>
      </c>
      <c r="I559">
        <v>-2521.58</v>
      </c>
      <c r="J559" s="3">
        <v>-5.2900000000000003E-2</v>
      </c>
      <c r="K559">
        <v>61787</v>
      </c>
      <c r="T559" s="2"/>
      <c r="U559" s="2"/>
      <c r="V559" s="2"/>
      <c r="W559" s="2"/>
      <c r="X559" s="3"/>
      <c r="Y559" s="3"/>
      <c r="Z559" s="3"/>
      <c r="AA559" s="3"/>
      <c r="AF559" s="3"/>
      <c r="AG559" s="3"/>
      <c r="AH559" s="3"/>
    </row>
    <row r="560" spans="1:34" x14ac:dyDescent="0.25">
      <c r="A560" t="s">
        <v>560</v>
      </c>
      <c r="B560" t="s">
        <v>1057</v>
      </c>
      <c r="C560" t="s">
        <v>1273</v>
      </c>
      <c r="D560" s="2">
        <v>40872</v>
      </c>
      <c r="E560">
        <v>1.4</v>
      </c>
      <c r="F560" s="2">
        <v>40875</v>
      </c>
      <c r="G560">
        <v>1.395</v>
      </c>
      <c r="H560" s="3">
        <v>-3.5999999999999999E-3</v>
      </c>
      <c r="I560">
        <v>-269.32</v>
      </c>
      <c r="J560" s="3">
        <v>-5.5999999999999999E-3</v>
      </c>
      <c r="K560">
        <v>34550</v>
      </c>
      <c r="T560" s="2"/>
      <c r="U560" s="2"/>
      <c r="V560" s="2"/>
      <c r="W560" s="2"/>
      <c r="X560" s="3"/>
      <c r="Y560" s="3"/>
      <c r="Z560" s="3"/>
      <c r="AA560" s="3"/>
      <c r="AF560" s="3"/>
      <c r="AG560" s="3"/>
      <c r="AH560" s="3"/>
    </row>
    <row r="561" spans="1:34" x14ac:dyDescent="0.25">
      <c r="A561" t="s">
        <v>561</v>
      </c>
      <c r="B561" t="s">
        <v>1058</v>
      </c>
      <c r="C561" t="s">
        <v>1273</v>
      </c>
      <c r="D561" s="2">
        <v>40851</v>
      </c>
      <c r="E561">
        <v>1.79</v>
      </c>
      <c r="F561" s="2">
        <v>40862</v>
      </c>
      <c r="G561">
        <v>1.8</v>
      </c>
      <c r="H561" s="3">
        <v>5.5999999999999999E-3</v>
      </c>
      <c r="I561">
        <v>170.54</v>
      </c>
      <c r="J561" s="3">
        <v>3.5999999999999999E-3</v>
      </c>
      <c r="K561">
        <v>26606</v>
      </c>
      <c r="T561" s="2"/>
      <c r="U561" s="2"/>
      <c r="V561" s="2"/>
      <c r="W561" s="2"/>
      <c r="X561" s="3"/>
      <c r="Y561" s="3"/>
      <c r="Z561" s="3"/>
      <c r="AA561" s="3"/>
      <c r="AF561" s="3"/>
      <c r="AG561" s="3"/>
      <c r="AH561" s="3"/>
    </row>
    <row r="562" spans="1:34" x14ac:dyDescent="0.25">
      <c r="A562" t="s">
        <v>55</v>
      </c>
      <c r="B562" t="s">
        <v>1059</v>
      </c>
      <c r="C562" t="s">
        <v>1273</v>
      </c>
      <c r="D562" s="2">
        <v>40431</v>
      </c>
      <c r="E562">
        <v>2.6977799999999998</v>
      </c>
      <c r="F562" s="2">
        <v>40774</v>
      </c>
      <c r="G562">
        <v>2.7614960000000002</v>
      </c>
      <c r="H562" s="3">
        <v>2.3599999999999999E-2</v>
      </c>
      <c r="I562">
        <v>829.4</v>
      </c>
      <c r="J562" s="3">
        <v>2.1600000000000001E-2</v>
      </c>
      <c r="K562">
        <v>14237</v>
      </c>
      <c r="T562" s="2"/>
      <c r="U562" s="2"/>
      <c r="V562" s="2"/>
      <c r="W562" s="2"/>
      <c r="X562" s="3"/>
      <c r="Y562" s="3"/>
      <c r="Z562" s="3"/>
      <c r="AA562" s="3"/>
      <c r="AF562" s="3"/>
      <c r="AG562" s="3"/>
      <c r="AH562" s="3"/>
    </row>
    <row r="563" spans="1:34" x14ac:dyDescent="0.25">
      <c r="A563" t="s">
        <v>173</v>
      </c>
      <c r="B563" t="s">
        <v>767</v>
      </c>
      <c r="C563" t="s">
        <v>1273</v>
      </c>
      <c r="D563" s="2">
        <v>40410</v>
      </c>
      <c r="E563">
        <v>2.1276199999999998</v>
      </c>
      <c r="F563" s="2">
        <v>40767</v>
      </c>
      <c r="G563">
        <v>2.1957719999999998</v>
      </c>
      <c r="H563" s="3">
        <v>3.2000000000000001E-2</v>
      </c>
      <c r="I563">
        <v>1070.6600000000001</v>
      </c>
      <c r="J563" s="3">
        <v>0.03</v>
      </c>
      <c r="K563">
        <v>16774</v>
      </c>
      <c r="T563" s="2"/>
      <c r="U563" s="2"/>
      <c r="V563" s="2"/>
      <c r="W563" s="2"/>
      <c r="X563" s="3"/>
      <c r="Y563" s="3"/>
      <c r="Z563" s="3"/>
      <c r="AA563" s="3"/>
      <c r="AF563" s="3"/>
      <c r="AG563" s="3"/>
      <c r="AH563" s="3"/>
    </row>
    <row r="564" spans="1:34" x14ac:dyDescent="0.25">
      <c r="A564" t="s">
        <v>156</v>
      </c>
      <c r="B564" t="s">
        <v>750</v>
      </c>
      <c r="C564" t="s">
        <v>1273</v>
      </c>
      <c r="D564" s="2">
        <v>40431</v>
      </c>
      <c r="E564">
        <v>0.78017510000000001</v>
      </c>
      <c r="F564" s="2">
        <v>40767</v>
      </c>
      <c r="G564">
        <v>0.94067029999999996</v>
      </c>
      <c r="H564" s="3">
        <v>0.20569999999999999</v>
      </c>
      <c r="I564">
        <v>7815.35</v>
      </c>
      <c r="J564" s="3">
        <v>0.20349999999999999</v>
      </c>
      <c r="K564">
        <v>49223</v>
      </c>
      <c r="T564" s="2"/>
      <c r="U564" s="2"/>
      <c r="V564" s="2"/>
      <c r="W564" s="2"/>
      <c r="X564" s="3"/>
      <c r="Y564" s="3"/>
      <c r="Z564" s="3"/>
      <c r="AA564" s="3"/>
      <c r="AF564" s="3"/>
      <c r="AG564" s="3"/>
      <c r="AH564" s="3"/>
    </row>
    <row r="565" spans="1:34" x14ac:dyDescent="0.25">
      <c r="A565" t="s">
        <v>562</v>
      </c>
      <c r="B565" t="s">
        <v>1060</v>
      </c>
      <c r="C565" t="s">
        <v>1273</v>
      </c>
      <c r="D565" s="2">
        <v>40641</v>
      </c>
      <c r="E565">
        <v>1.27515</v>
      </c>
      <c r="F565" s="2">
        <v>40718</v>
      </c>
      <c r="G565">
        <v>1.135024</v>
      </c>
      <c r="H565" s="3">
        <v>-0.1099</v>
      </c>
      <c r="I565">
        <v>-5640.73</v>
      </c>
      <c r="J565" s="3">
        <v>-0.1118</v>
      </c>
      <c r="K565">
        <v>39574</v>
      </c>
      <c r="T565" s="2"/>
      <c r="U565" s="2"/>
      <c r="V565" s="2"/>
      <c r="W565" s="2"/>
      <c r="X565" s="3"/>
      <c r="Y565" s="3"/>
      <c r="Z565" s="3"/>
      <c r="AA565" s="3"/>
      <c r="AF565" s="3"/>
      <c r="AG565" s="3"/>
      <c r="AH565" s="3"/>
    </row>
    <row r="566" spans="1:34" x14ac:dyDescent="0.25">
      <c r="A566" t="s">
        <v>563</v>
      </c>
      <c r="B566" t="s">
        <v>1061</v>
      </c>
      <c r="C566" t="s">
        <v>1273</v>
      </c>
      <c r="D566" s="2">
        <v>40641</v>
      </c>
      <c r="E566">
        <v>0.63</v>
      </c>
      <c r="F566" s="2">
        <v>40714</v>
      </c>
      <c r="G566">
        <v>0.69499999999999995</v>
      </c>
      <c r="H566" s="3">
        <v>0.1032</v>
      </c>
      <c r="I566">
        <v>5099.41</v>
      </c>
      <c r="J566" s="3">
        <v>0.1011</v>
      </c>
      <c r="K566">
        <v>80085</v>
      </c>
      <c r="T566" s="2"/>
      <c r="U566" s="2"/>
      <c r="V566" s="2"/>
      <c r="W566" s="2"/>
      <c r="X566" s="3"/>
      <c r="Y566" s="3"/>
      <c r="Z566" s="3"/>
      <c r="AA566" s="3"/>
      <c r="AF566" s="3"/>
      <c r="AG566" s="3"/>
      <c r="AH566" s="3"/>
    </row>
    <row r="567" spans="1:34" x14ac:dyDescent="0.25">
      <c r="A567" t="s">
        <v>307</v>
      </c>
      <c r="B567" t="s">
        <v>1062</v>
      </c>
      <c r="C567" t="s">
        <v>1273</v>
      </c>
      <c r="D567" s="2">
        <v>40641</v>
      </c>
      <c r="E567">
        <v>5.3571859999999996</v>
      </c>
      <c r="F567" s="2">
        <v>40711</v>
      </c>
      <c r="G567">
        <v>6.6667199999999998</v>
      </c>
      <c r="H567" s="3">
        <v>0.24440000000000001</v>
      </c>
      <c r="I567">
        <v>12223.84</v>
      </c>
      <c r="J567" s="3">
        <v>0.2422</v>
      </c>
      <c r="K567">
        <v>9421</v>
      </c>
      <c r="T567" s="2"/>
      <c r="U567" s="2"/>
      <c r="V567" s="2"/>
      <c r="W567" s="2"/>
      <c r="X567" s="3"/>
      <c r="Y567" s="3"/>
      <c r="Z567" s="3"/>
      <c r="AA567" s="3"/>
      <c r="AF567" s="3"/>
      <c r="AG567" s="3"/>
      <c r="AH567" s="3"/>
    </row>
    <row r="568" spans="1:34" x14ac:dyDescent="0.25">
      <c r="A568" t="s">
        <v>89</v>
      </c>
      <c r="B568" t="s">
        <v>1027</v>
      </c>
      <c r="C568" t="s">
        <v>1273</v>
      </c>
      <c r="D568" s="2">
        <v>40529</v>
      </c>
      <c r="E568">
        <v>0.7186534</v>
      </c>
      <c r="F568" s="2">
        <v>40711</v>
      </c>
      <c r="G568">
        <v>0.67553419999999997</v>
      </c>
      <c r="H568" s="3">
        <v>-0.06</v>
      </c>
      <c r="I568">
        <v>-2874.63</v>
      </c>
      <c r="J568" s="3">
        <v>-6.1899999999999997E-2</v>
      </c>
      <c r="K568">
        <v>64579</v>
      </c>
      <c r="T568" s="2"/>
      <c r="U568" s="2"/>
      <c r="V568" s="2"/>
      <c r="W568" s="2"/>
      <c r="X568" s="3"/>
      <c r="Y568" s="3"/>
      <c r="Z568" s="3"/>
      <c r="AA568" s="3"/>
      <c r="AF568" s="3"/>
      <c r="AG568" s="3"/>
      <c r="AH568" s="3"/>
    </row>
    <row r="569" spans="1:34" x14ac:dyDescent="0.25">
      <c r="A569" t="s">
        <v>94</v>
      </c>
      <c r="B569" t="s">
        <v>789</v>
      </c>
      <c r="C569" t="s">
        <v>1273</v>
      </c>
      <c r="D569" s="2">
        <v>40403</v>
      </c>
      <c r="E569">
        <v>2.5413869999999998</v>
      </c>
      <c r="F569" s="2">
        <v>40711</v>
      </c>
      <c r="G569">
        <v>4.4227299999999996</v>
      </c>
      <c r="H569" s="3">
        <v>0.74029999999999996</v>
      </c>
      <c r="I569">
        <v>26685.53</v>
      </c>
      <c r="J569" s="3">
        <v>0.73750000000000004</v>
      </c>
      <c r="K569">
        <v>14237</v>
      </c>
      <c r="T569" s="2"/>
      <c r="U569" s="2"/>
      <c r="V569" s="2"/>
      <c r="W569" s="2"/>
      <c r="X569" s="3"/>
      <c r="Y569" s="3"/>
      <c r="Z569" s="3"/>
      <c r="AA569" s="3"/>
      <c r="AF569" s="3"/>
      <c r="AG569" s="3"/>
      <c r="AH569" s="3"/>
    </row>
    <row r="570" spans="1:34" x14ac:dyDescent="0.25">
      <c r="A570" t="s">
        <v>302</v>
      </c>
      <c r="B570" t="s">
        <v>1040</v>
      </c>
      <c r="C570" t="s">
        <v>1273</v>
      </c>
      <c r="D570" s="2">
        <v>40025</v>
      </c>
      <c r="E570">
        <v>0.95894409999999997</v>
      </c>
      <c r="F570" s="2">
        <v>40704</v>
      </c>
      <c r="G570">
        <v>1.037355</v>
      </c>
      <c r="H570" s="3">
        <v>8.1799999999999998E-2</v>
      </c>
      <c r="I570">
        <v>2460.2399999999998</v>
      </c>
      <c r="J570" s="3">
        <v>7.9699999999999993E-2</v>
      </c>
      <c r="K570">
        <v>32196</v>
      </c>
      <c r="T570" s="2"/>
      <c r="U570" s="2"/>
      <c r="V570" s="2"/>
      <c r="W570" s="2"/>
      <c r="X570" s="3"/>
      <c r="Y570" s="3"/>
      <c r="Z570" s="3"/>
      <c r="AA570" s="3"/>
      <c r="AF570" s="3"/>
      <c r="AG570" s="3"/>
      <c r="AH570" s="3"/>
    </row>
    <row r="571" spans="1:34" x14ac:dyDescent="0.25">
      <c r="A571" t="s">
        <v>83</v>
      </c>
      <c r="B571" t="s">
        <v>1063</v>
      </c>
      <c r="C571" t="s">
        <v>1273</v>
      </c>
      <c r="D571" s="2">
        <v>40403</v>
      </c>
      <c r="E571">
        <v>3.7447750000000002</v>
      </c>
      <c r="F571" s="2">
        <v>40704</v>
      </c>
      <c r="G571">
        <v>5.7520800000000003</v>
      </c>
      <c r="H571" s="3">
        <v>0.53600000000000003</v>
      </c>
      <c r="I571">
        <v>19292.830000000002</v>
      </c>
      <c r="J571" s="3">
        <v>0.53349999999999997</v>
      </c>
      <c r="K571">
        <v>9657</v>
      </c>
      <c r="T571" s="2"/>
      <c r="U571" s="2"/>
      <c r="V571" s="2"/>
      <c r="W571" s="2"/>
      <c r="X571" s="3"/>
      <c r="Y571" s="3"/>
      <c r="Z571" s="3"/>
      <c r="AA571" s="3"/>
      <c r="AF571" s="3"/>
      <c r="AG571" s="3"/>
      <c r="AH571" s="3"/>
    </row>
    <row r="572" spans="1:34" x14ac:dyDescent="0.25">
      <c r="A572" t="s">
        <v>561</v>
      </c>
      <c r="B572" t="s">
        <v>1058</v>
      </c>
      <c r="C572" t="s">
        <v>1273</v>
      </c>
      <c r="D572" s="2">
        <v>40641</v>
      </c>
      <c r="E572">
        <v>1.68</v>
      </c>
      <c r="F572" s="2">
        <v>40690</v>
      </c>
      <c r="G572">
        <v>1.5</v>
      </c>
      <c r="H572" s="3">
        <v>-0.1071</v>
      </c>
      <c r="I572">
        <v>-5501.63</v>
      </c>
      <c r="J572" s="3">
        <v>-0.109</v>
      </c>
      <c r="K572">
        <v>30034</v>
      </c>
      <c r="T572" s="2"/>
      <c r="U572" s="2"/>
      <c r="V572" s="2"/>
      <c r="W572" s="2"/>
      <c r="X572" s="3"/>
      <c r="Y572" s="3"/>
      <c r="Z572" s="3"/>
      <c r="AA572" s="3"/>
      <c r="AF572" s="3"/>
      <c r="AG572" s="3"/>
      <c r="AH572" s="3"/>
    </row>
    <row r="573" spans="1:34" x14ac:dyDescent="0.25">
      <c r="A573" t="s">
        <v>308</v>
      </c>
      <c r="B573" t="s">
        <v>1064</v>
      </c>
      <c r="C573" t="s">
        <v>1273</v>
      </c>
      <c r="D573" s="2">
        <v>40641</v>
      </c>
      <c r="E573">
        <v>1.405</v>
      </c>
      <c r="F573" s="2">
        <v>40683</v>
      </c>
      <c r="G573">
        <v>1.27</v>
      </c>
      <c r="H573" s="3">
        <v>-9.6100000000000005E-2</v>
      </c>
      <c r="I573">
        <v>-4946.25</v>
      </c>
      <c r="J573" s="3">
        <v>-9.8000000000000004E-2</v>
      </c>
      <c r="K573">
        <v>35927</v>
      </c>
      <c r="T573" s="2"/>
      <c r="U573" s="2"/>
      <c r="V573" s="2"/>
      <c r="W573" s="2"/>
      <c r="X573" s="3"/>
      <c r="Y573" s="3"/>
      <c r="Z573" s="3"/>
      <c r="AA573" s="3"/>
      <c r="AF573" s="3"/>
      <c r="AG573" s="3"/>
      <c r="AH573" s="3"/>
    </row>
    <row r="574" spans="1:34" x14ac:dyDescent="0.25">
      <c r="A574" t="s">
        <v>497</v>
      </c>
      <c r="B574" t="s">
        <v>959</v>
      </c>
      <c r="C574" t="s">
        <v>1273</v>
      </c>
      <c r="D574" s="2">
        <v>40515</v>
      </c>
      <c r="E574">
        <v>0.49786999999999998</v>
      </c>
      <c r="F574" s="2">
        <v>40683</v>
      </c>
      <c r="G574">
        <v>0.53902870000000003</v>
      </c>
      <c r="H574" s="3">
        <v>8.2699999999999996E-2</v>
      </c>
      <c r="I574">
        <v>3621.19</v>
      </c>
      <c r="J574" s="3">
        <v>8.0600000000000005E-2</v>
      </c>
      <c r="K574">
        <v>90255</v>
      </c>
      <c r="T574" s="2"/>
      <c r="U574" s="2"/>
      <c r="V574" s="2"/>
      <c r="W574" s="2"/>
      <c r="X574" s="3"/>
      <c r="Y574" s="3"/>
      <c r="Z574" s="3"/>
      <c r="AA574" s="3"/>
      <c r="AF574" s="3"/>
      <c r="AG574" s="3"/>
      <c r="AH574" s="3"/>
    </row>
    <row r="575" spans="1:34" x14ac:dyDescent="0.25">
      <c r="A575" t="s">
        <v>564</v>
      </c>
      <c r="B575" t="s">
        <v>1065</v>
      </c>
      <c r="C575" t="s">
        <v>1273</v>
      </c>
      <c r="D575" s="2">
        <v>40648</v>
      </c>
      <c r="E575">
        <v>2.41</v>
      </c>
      <c r="F575" s="2">
        <v>40669</v>
      </c>
      <c r="G575">
        <v>2.2000000000000002</v>
      </c>
      <c r="H575" s="3">
        <v>-8.7099999999999997E-2</v>
      </c>
      <c r="I575">
        <v>-4650.8100000000004</v>
      </c>
      <c r="J575" s="3">
        <v>-8.8999999999999996E-2</v>
      </c>
      <c r="K575">
        <v>21671</v>
      </c>
      <c r="T575" s="2"/>
      <c r="U575" s="2"/>
      <c r="V575" s="2"/>
      <c r="W575" s="2"/>
      <c r="X575" s="3"/>
      <c r="Y575" s="3"/>
      <c r="Z575" s="3"/>
      <c r="AA575" s="3"/>
      <c r="AF575" s="3"/>
      <c r="AG575" s="3"/>
      <c r="AH575" s="3"/>
    </row>
    <row r="576" spans="1:34" x14ac:dyDescent="0.25">
      <c r="A576" t="s">
        <v>195</v>
      </c>
      <c r="B576" t="s">
        <v>799</v>
      </c>
      <c r="C576" t="s">
        <v>1273</v>
      </c>
      <c r="D576" s="2">
        <v>40641</v>
      </c>
      <c r="E576">
        <v>1.576092</v>
      </c>
      <c r="F576" s="2">
        <v>40669</v>
      </c>
      <c r="G576">
        <v>1.7337009999999999</v>
      </c>
      <c r="H576" s="3">
        <v>0.1</v>
      </c>
      <c r="I576">
        <v>4942.2</v>
      </c>
      <c r="J576" s="3">
        <v>9.7900000000000001E-2</v>
      </c>
      <c r="K576">
        <v>32030</v>
      </c>
      <c r="T576" s="2"/>
      <c r="U576" s="2"/>
      <c r="V576" s="2"/>
      <c r="W576" s="2"/>
      <c r="X576" s="3"/>
      <c r="Y576" s="3"/>
      <c r="Z576" s="3"/>
      <c r="AA576" s="3"/>
      <c r="AF576" s="3"/>
      <c r="AG576" s="3"/>
      <c r="AH576" s="3"/>
    </row>
    <row r="577" spans="1:34" x14ac:dyDescent="0.25">
      <c r="A577" t="s">
        <v>309</v>
      </c>
      <c r="B577" t="s">
        <v>1066</v>
      </c>
      <c r="C577" t="s">
        <v>1273</v>
      </c>
      <c r="D577" s="2">
        <v>40641</v>
      </c>
      <c r="E577">
        <v>8.3120399999999997</v>
      </c>
      <c r="F577" s="2">
        <v>40669</v>
      </c>
      <c r="G577">
        <v>7.4724389999999996</v>
      </c>
      <c r="H577" s="3">
        <v>-0.10100000000000001</v>
      </c>
      <c r="I577">
        <v>-5194.75</v>
      </c>
      <c r="J577" s="3">
        <v>-0.10290000000000001</v>
      </c>
      <c r="K577">
        <v>6073</v>
      </c>
      <c r="T577" s="2"/>
      <c r="U577" s="2"/>
      <c r="V577" s="2"/>
      <c r="W577" s="2"/>
      <c r="X577" s="3"/>
      <c r="Y577" s="3"/>
      <c r="Z577" s="3"/>
      <c r="AA577" s="3"/>
      <c r="AF577" s="3"/>
      <c r="AG577" s="3"/>
      <c r="AH577" s="3"/>
    </row>
    <row r="578" spans="1:34" x14ac:dyDescent="0.25">
      <c r="A578" t="s">
        <v>310</v>
      </c>
      <c r="B578" t="s">
        <v>1067</v>
      </c>
      <c r="C578" t="s">
        <v>1273</v>
      </c>
      <c r="D578" s="2">
        <v>40606</v>
      </c>
      <c r="E578">
        <v>3.6759110000000002</v>
      </c>
      <c r="F578" s="2">
        <v>40669</v>
      </c>
      <c r="G578">
        <v>4.395111</v>
      </c>
      <c r="H578" s="3">
        <v>0.19570000000000001</v>
      </c>
      <c r="I578">
        <v>9654.2900000000009</v>
      </c>
      <c r="J578" s="3">
        <v>0.19350000000000001</v>
      </c>
      <c r="K578">
        <v>13576</v>
      </c>
      <c r="T578" s="2"/>
      <c r="U578" s="2"/>
      <c r="V578" s="2"/>
      <c r="W578" s="2"/>
      <c r="X578" s="3"/>
      <c r="Y578" s="3"/>
      <c r="Z578" s="3"/>
      <c r="AA578" s="3"/>
      <c r="AF578" s="3"/>
      <c r="AG578" s="3"/>
      <c r="AH578" s="3"/>
    </row>
    <row r="579" spans="1:34" x14ac:dyDescent="0.25">
      <c r="A579" t="s">
        <v>565</v>
      </c>
      <c r="B579" t="s">
        <v>1068</v>
      </c>
      <c r="C579" t="s">
        <v>1273</v>
      </c>
      <c r="D579" s="2">
        <v>40431</v>
      </c>
      <c r="E579">
        <v>3.4454940000000001</v>
      </c>
      <c r="F579" s="2">
        <v>40669</v>
      </c>
      <c r="G579">
        <v>5.5661449999999997</v>
      </c>
      <c r="H579" s="3">
        <v>0.61550000000000005</v>
      </c>
      <c r="I579">
        <v>23549</v>
      </c>
      <c r="J579" s="3">
        <v>0.6129</v>
      </c>
      <c r="K579">
        <v>11152</v>
      </c>
      <c r="T579" s="2"/>
      <c r="U579" s="2"/>
      <c r="V579" s="2"/>
      <c r="W579" s="2"/>
      <c r="X579" s="3"/>
      <c r="Y579" s="3"/>
      <c r="Z579" s="3"/>
      <c r="AA579" s="3"/>
      <c r="AF579" s="3"/>
      <c r="AG579" s="3"/>
      <c r="AH579" s="3"/>
    </row>
    <row r="580" spans="1:34" x14ac:dyDescent="0.25">
      <c r="A580" t="s">
        <v>566</v>
      </c>
      <c r="B580" t="s">
        <v>1069</v>
      </c>
      <c r="C580" t="s">
        <v>1273</v>
      </c>
      <c r="D580" s="2">
        <v>40641</v>
      </c>
      <c r="E580">
        <v>1.99</v>
      </c>
      <c r="F580" s="2">
        <v>40648</v>
      </c>
      <c r="G580">
        <v>2.08</v>
      </c>
      <c r="H580" s="3">
        <v>4.5199999999999997E-2</v>
      </c>
      <c r="I580">
        <v>2179.1799999999998</v>
      </c>
      <c r="J580" s="3">
        <v>4.3200000000000002E-2</v>
      </c>
      <c r="K580">
        <v>25360</v>
      </c>
      <c r="T580" s="2"/>
      <c r="U580" s="2"/>
      <c r="V580" s="2"/>
      <c r="W580" s="2"/>
      <c r="X580" s="3"/>
      <c r="Y580" s="3"/>
      <c r="Z580" s="3"/>
      <c r="AA580" s="3"/>
      <c r="AF580" s="3"/>
      <c r="AG580" s="3"/>
      <c r="AH580" s="3"/>
    </row>
    <row r="581" spans="1:34" x14ac:dyDescent="0.25">
      <c r="A581" t="s">
        <v>311</v>
      </c>
      <c r="B581" t="s">
        <v>1070</v>
      </c>
      <c r="C581" t="s">
        <v>1273</v>
      </c>
      <c r="D581" s="2">
        <v>40585</v>
      </c>
      <c r="E581">
        <v>2.2949999999999999</v>
      </c>
      <c r="F581" s="2">
        <v>40627</v>
      </c>
      <c r="G581">
        <v>2.6349999999999998</v>
      </c>
      <c r="H581" s="3">
        <v>0.14810000000000001</v>
      </c>
      <c r="I581">
        <v>7050.54</v>
      </c>
      <c r="J581" s="3">
        <v>0.14599999999999999</v>
      </c>
      <c r="K581">
        <v>21042</v>
      </c>
      <c r="T581" s="2"/>
      <c r="U581" s="2"/>
      <c r="V581" s="2"/>
      <c r="W581" s="2"/>
      <c r="X581" s="3"/>
      <c r="Y581" s="3"/>
      <c r="Z581" s="3"/>
      <c r="AA581" s="3"/>
      <c r="AF581" s="3"/>
      <c r="AG581" s="3"/>
      <c r="AH581" s="3"/>
    </row>
    <row r="582" spans="1:34" x14ac:dyDescent="0.25">
      <c r="A582" t="s">
        <v>312</v>
      </c>
      <c r="B582" t="s">
        <v>1071</v>
      </c>
      <c r="C582" t="s">
        <v>1273</v>
      </c>
      <c r="D582" s="2">
        <v>40529</v>
      </c>
      <c r="E582">
        <v>0.64842</v>
      </c>
      <c r="F582" s="2">
        <v>40627</v>
      </c>
      <c r="G582">
        <v>0.58101000000000003</v>
      </c>
      <c r="H582" s="3">
        <v>-0.104</v>
      </c>
      <c r="I582">
        <v>-4913.21</v>
      </c>
      <c r="J582" s="3">
        <v>-0.10589999999999999</v>
      </c>
      <c r="K582">
        <v>71580</v>
      </c>
      <c r="T582" s="2"/>
      <c r="U582" s="2"/>
      <c r="V582" s="2"/>
      <c r="W582" s="2"/>
      <c r="X582" s="3"/>
      <c r="Y582" s="3"/>
      <c r="Z582" s="3"/>
      <c r="AA582" s="3"/>
      <c r="AF582" s="3"/>
      <c r="AG582" s="3"/>
      <c r="AH582" s="3"/>
    </row>
    <row r="583" spans="1:34" x14ac:dyDescent="0.25">
      <c r="A583" t="s">
        <v>567</v>
      </c>
      <c r="B583" t="s">
        <v>1072</v>
      </c>
      <c r="C583" t="s">
        <v>1273</v>
      </c>
      <c r="D583" s="2">
        <v>40431</v>
      </c>
      <c r="E583">
        <v>0.87744370000000005</v>
      </c>
      <c r="F583" s="2">
        <v>40627</v>
      </c>
      <c r="G583">
        <v>0.93344559999999999</v>
      </c>
      <c r="H583" s="3">
        <v>6.3799999999999996E-2</v>
      </c>
      <c r="I583">
        <v>2372.65</v>
      </c>
      <c r="J583" s="3">
        <v>6.1800000000000001E-2</v>
      </c>
      <c r="K583">
        <v>43783</v>
      </c>
      <c r="T583" s="2"/>
      <c r="U583" s="2"/>
      <c r="V583" s="2"/>
      <c r="W583" s="2"/>
      <c r="X583" s="3"/>
      <c r="Y583" s="3"/>
      <c r="Z583" s="3"/>
      <c r="AA583" s="3"/>
      <c r="AF583" s="3"/>
      <c r="AG583" s="3"/>
      <c r="AH583" s="3"/>
    </row>
    <row r="584" spans="1:34" x14ac:dyDescent="0.25">
      <c r="A584" t="s">
        <v>289</v>
      </c>
      <c r="B584" t="s">
        <v>990</v>
      </c>
      <c r="C584" t="s">
        <v>1273</v>
      </c>
      <c r="D584" s="2">
        <v>40578</v>
      </c>
      <c r="E584">
        <v>0.60222659999999995</v>
      </c>
      <c r="F584" s="2">
        <v>40620</v>
      </c>
      <c r="G584">
        <v>0.67771459999999994</v>
      </c>
      <c r="H584" s="3">
        <v>0.12529999999999999</v>
      </c>
      <c r="I584">
        <v>5710.09</v>
      </c>
      <c r="J584" s="3">
        <v>0.1232</v>
      </c>
      <c r="K584">
        <v>76947</v>
      </c>
      <c r="T584" s="2"/>
      <c r="U584" s="2"/>
      <c r="V584" s="2"/>
      <c r="W584" s="2"/>
      <c r="X584" s="3"/>
      <c r="Y584" s="3"/>
      <c r="Z584" s="3"/>
      <c r="AA584" s="3"/>
      <c r="AF584" s="3"/>
      <c r="AG584" s="3"/>
      <c r="AH584" s="3"/>
    </row>
    <row r="585" spans="1:34" x14ac:dyDescent="0.25">
      <c r="A585" t="s">
        <v>313</v>
      </c>
      <c r="B585" t="s">
        <v>1073</v>
      </c>
      <c r="C585" t="s">
        <v>1273</v>
      </c>
      <c r="D585" s="2">
        <v>40571</v>
      </c>
      <c r="E585">
        <v>3.5</v>
      </c>
      <c r="F585" s="2">
        <v>40620</v>
      </c>
      <c r="G585">
        <v>3.1</v>
      </c>
      <c r="H585" s="3">
        <v>-0.1143</v>
      </c>
      <c r="I585">
        <v>-5461.04</v>
      </c>
      <c r="J585" s="3">
        <v>-0.1162</v>
      </c>
      <c r="K585">
        <v>13431</v>
      </c>
      <c r="T585" s="2"/>
      <c r="U585" s="2"/>
      <c r="V585" s="2"/>
      <c r="W585" s="2"/>
      <c r="X585" s="3"/>
      <c r="Y585" s="3"/>
      <c r="Z585" s="3"/>
      <c r="AA585" s="3"/>
      <c r="AF585" s="3"/>
      <c r="AG585" s="3"/>
      <c r="AH585" s="3"/>
    </row>
    <row r="586" spans="1:34" x14ac:dyDescent="0.25">
      <c r="A586" t="s">
        <v>540</v>
      </c>
      <c r="B586" t="s">
        <v>1030</v>
      </c>
      <c r="C586" t="s">
        <v>1273</v>
      </c>
      <c r="D586" s="2">
        <v>40487</v>
      </c>
      <c r="E586">
        <v>0.54202130000000004</v>
      </c>
      <c r="F586" s="2">
        <v>40620</v>
      </c>
      <c r="G586">
        <v>0.48167900000000002</v>
      </c>
      <c r="H586" s="3">
        <v>-0.1113</v>
      </c>
      <c r="I586">
        <v>-4993.72</v>
      </c>
      <c r="J586" s="3">
        <v>-0.1132</v>
      </c>
      <c r="K586">
        <v>81376</v>
      </c>
      <c r="T586" s="2"/>
      <c r="U586" s="2"/>
      <c r="V586" s="2"/>
      <c r="W586" s="2"/>
      <c r="X586" s="3"/>
      <c r="Y586" s="3"/>
      <c r="Z586" s="3"/>
      <c r="AA586" s="3"/>
      <c r="AF586" s="3"/>
      <c r="AG586" s="3"/>
      <c r="AH586" s="3"/>
    </row>
    <row r="587" spans="1:34" x14ac:dyDescent="0.25">
      <c r="A587" t="s">
        <v>568</v>
      </c>
      <c r="B587" t="s">
        <v>1074</v>
      </c>
      <c r="C587" t="s">
        <v>1273</v>
      </c>
      <c r="D587" s="2">
        <v>40431</v>
      </c>
      <c r="E587">
        <v>1.572454</v>
      </c>
      <c r="F587" s="2">
        <v>40620</v>
      </c>
      <c r="G587">
        <v>2.7302339999999998</v>
      </c>
      <c r="H587" s="3">
        <v>0.73629999999999995</v>
      </c>
      <c r="I587">
        <v>28172.53</v>
      </c>
      <c r="J587" s="3">
        <v>0.73360000000000003</v>
      </c>
      <c r="K587">
        <v>24424</v>
      </c>
      <c r="T587" s="2"/>
      <c r="U587" s="2"/>
      <c r="V587" s="2"/>
      <c r="W587" s="2"/>
      <c r="X587" s="3"/>
      <c r="Y587" s="3"/>
      <c r="Z587" s="3"/>
      <c r="AA587" s="3"/>
      <c r="AF587" s="3"/>
      <c r="AG587" s="3"/>
      <c r="AH587" s="3"/>
    </row>
    <row r="588" spans="1:34" x14ac:dyDescent="0.25">
      <c r="A588" t="s">
        <v>511</v>
      </c>
      <c r="B588" t="s">
        <v>980</v>
      </c>
      <c r="C588" t="s">
        <v>1273</v>
      </c>
      <c r="D588" s="2">
        <v>40403</v>
      </c>
      <c r="E588">
        <v>1.6645829999999999</v>
      </c>
      <c r="F588" s="2">
        <v>40620</v>
      </c>
      <c r="G588">
        <v>2.2371509999999999</v>
      </c>
      <c r="H588" s="3">
        <v>0.34399999999999997</v>
      </c>
      <c r="I588">
        <v>12359.96</v>
      </c>
      <c r="J588" s="3">
        <v>0.34160000000000001</v>
      </c>
      <c r="K588">
        <v>21735</v>
      </c>
      <c r="T588" s="2"/>
      <c r="U588" s="2"/>
      <c r="V588" s="2"/>
      <c r="W588" s="2"/>
      <c r="X588" s="3"/>
      <c r="Y588" s="3"/>
      <c r="Z588" s="3"/>
      <c r="AA588" s="3"/>
      <c r="AF588" s="3"/>
      <c r="AG588" s="3"/>
      <c r="AH588" s="3"/>
    </row>
    <row r="589" spans="1:34" x14ac:dyDescent="0.25">
      <c r="A589" t="s">
        <v>569</v>
      </c>
      <c r="B589" t="s">
        <v>1075</v>
      </c>
      <c r="C589" t="s">
        <v>1273</v>
      </c>
      <c r="D589" s="2">
        <v>39906</v>
      </c>
      <c r="E589">
        <v>0.6156256</v>
      </c>
      <c r="F589" s="2">
        <v>40613</v>
      </c>
      <c r="G589">
        <v>0.70126929999999998</v>
      </c>
      <c r="H589" s="3">
        <v>0.1391</v>
      </c>
      <c r="I589">
        <v>3142.44</v>
      </c>
      <c r="J589" s="3">
        <v>0.13700000000000001</v>
      </c>
      <c r="K589">
        <v>37265</v>
      </c>
      <c r="T589" s="2"/>
      <c r="U589" s="2"/>
      <c r="V589" s="2"/>
      <c r="W589" s="2"/>
      <c r="X589" s="3"/>
      <c r="Y589" s="3"/>
      <c r="Z589" s="3"/>
      <c r="AA589" s="3"/>
      <c r="AF589" s="3"/>
      <c r="AG589" s="3"/>
      <c r="AH589" s="3"/>
    </row>
    <row r="590" spans="1:34" x14ac:dyDescent="0.25">
      <c r="A590" t="s">
        <v>570</v>
      </c>
      <c r="B590" t="s">
        <v>1076</v>
      </c>
      <c r="C590" t="s">
        <v>1273</v>
      </c>
      <c r="D590" s="2">
        <v>40515</v>
      </c>
      <c r="E590">
        <v>2.95</v>
      </c>
      <c r="F590" s="2">
        <v>40606</v>
      </c>
      <c r="G590">
        <v>2.6</v>
      </c>
      <c r="H590" s="3">
        <v>-0.1186</v>
      </c>
      <c r="I590">
        <v>-5416.09</v>
      </c>
      <c r="J590" s="3">
        <v>-0.1205</v>
      </c>
      <c r="K590">
        <v>15233</v>
      </c>
      <c r="T590" s="2"/>
      <c r="U590" s="2"/>
      <c r="V590" s="2"/>
      <c r="W590" s="2"/>
      <c r="X590" s="3"/>
      <c r="Y590" s="3"/>
      <c r="Z590" s="3"/>
      <c r="AA590" s="3"/>
      <c r="AF590" s="3"/>
      <c r="AG590" s="3"/>
      <c r="AH590" s="3"/>
    </row>
    <row r="591" spans="1:34" x14ac:dyDescent="0.25">
      <c r="A591" t="s">
        <v>571</v>
      </c>
      <c r="B591" t="s">
        <v>1077</v>
      </c>
      <c r="C591" t="s">
        <v>1273</v>
      </c>
      <c r="D591" s="2">
        <v>40431</v>
      </c>
      <c r="E591">
        <v>1.0852250000000001</v>
      </c>
      <c r="F591" s="2">
        <v>40606</v>
      </c>
      <c r="G591">
        <v>1.1968479999999999</v>
      </c>
      <c r="H591" s="3">
        <v>0.10290000000000001</v>
      </c>
      <c r="I591">
        <v>3870.34</v>
      </c>
      <c r="J591" s="3">
        <v>0.1008</v>
      </c>
      <c r="K591">
        <v>35397</v>
      </c>
      <c r="T591" s="2"/>
      <c r="U591" s="2"/>
      <c r="V591" s="2"/>
      <c r="W591" s="2"/>
      <c r="X591" s="3"/>
      <c r="Y591" s="3"/>
      <c r="Z591" s="3"/>
      <c r="AA591" s="3"/>
      <c r="AF591" s="3"/>
      <c r="AG591" s="3"/>
      <c r="AH591" s="3"/>
    </row>
    <row r="592" spans="1:34" x14ac:dyDescent="0.25">
      <c r="A592" t="s">
        <v>79</v>
      </c>
      <c r="B592" t="s">
        <v>992</v>
      </c>
      <c r="C592" t="s">
        <v>1273</v>
      </c>
      <c r="D592" s="2">
        <v>40410</v>
      </c>
      <c r="E592">
        <v>0.65</v>
      </c>
      <c r="F592" s="2">
        <v>40585</v>
      </c>
      <c r="G592">
        <v>0.78</v>
      </c>
      <c r="H592" s="3">
        <v>0.2</v>
      </c>
      <c r="I592">
        <v>7058.75</v>
      </c>
      <c r="J592" s="3">
        <v>0.1978</v>
      </c>
      <c r="K592">
        <v>54902</v>
      </c>
      <c r="T592" s="2"/>
      <c r="U592" s="2"/>
      <c r="V592" s="2"/>
      <c r="W592" s="2"/>
      <c r="X592" s="3"/>
      <c r="Y592" s="3"/>
      <c r="Z592" s="3"/>
      <c r="AA592" s="3"/>
      <c r="AF592" s="3"/>
      <c r="AG592" s="3"/>
      <c r="AH592" s="3"/>
    </row>
    <row r="593" spans="1:34" x14ac:dyDescent="0.25">
      <c r="A593" t="s">
        <v>572</v>
      </c>
      <c r="B593" t="s">
        <v>1078</v>
      </c>
      <c r="C593" t="s">
        <v>1273</v>
      </c>
      <c r="D593" s="2">
        <v>40501</v>
      </c>
      <c r="E593">
        <v>0.65500000000000003</v>
      </c>
      <c r="F593" s="2">
        <v>40578</v>
      </c>
      <c r="G593">
        <v>0.505</v>
      </c>
      <c r="H593" s="3">
        <v>-0.22900000000000001</v>
      </c>
      <c r="I593">
        <v>-10420.67</v>
      </c>
      <c r="J593" s="3">
        <v>-0.23080000000000001</v>
      </c>
      <c r="K593">
        <v>68938</v>
      </c>
      <c r="T593" s="2"/>
      <c r="U593" s="2"/>
      <c r="V593" s="2"/>
      <c r="W593" s="2"/>
      <c r="X593" s="3"/>
      <c r="Y593" s="3"/>
      <c r="Z593" s="3"/>
      <c r="AA593" s="3"/>
      <c r="AF593" s="3"/>
      <c r="AG593" s="3"/>
      <c r="AH593" s="3"/>
    </row>
    <row r="594" spans="1:34" x14ac:dyDescent="0.25">
      <c r="A594" t="s">
        <v>476</v>
      </c>
      <c r="B594" t="s">
        <v>919</v>
      </c>
      <c r="C594" t="s">
        <v>1273</v>
      </c>
      <c r="D594" s="2">
        <v>40431</v>
      </c>
      <c r="E594">
        <v>2.3199999999999998</v>
      </c>
      <c r="F594" s="2">
        <v>40578</v>
      </c>
      <c r="G594">
        <v>1.91</v>
      </c>
      <c r="H594" s="3">
        <v>-0.1767</v>
      </c>
      <c r="I594">
        <v>-6860.89</v>
      </c>
      <c r="J594" s="3">
        <v>-0.17849999999999999</v>
      </c>
      <c r="K594">
        <v>16563</v>
      </c>
      <c r="T594" s="2"/>
      <c r="U594" s="2"/>
      <c r="V594" s="2"/>
      <c r="W594" s="2"/>
      <c r="X594" s="3"/>
      <c r="Y594" s="3"/>
      <c r="Z594" s="3"/>
      <c r="AA594" s="3"/>
      <c r="AF594" s="3"/>
      <c r="AG594" s="3"/>
      <c r="AH594" s="3"/>
    </row>
    <row r="595" spans="1:34" x14ac:dyDescent="0.25">
      <c r="A595" t="s">
        <v>573</v>
      </c>
      <c r="B595" t="s">
        <v>1079</v>
      </c>
      <c r="C595" t="s">
        <v>1273</v>
      </c>
      <c r="D595" s="2">
        <v>40522</v>
      </c>
      <c r="E595">
        <v>0.92851499999999998</v>
      </c>
      <c r="F595" s="2">
        <v>40571</v>
      </c>
      <c r="G595">
        <v>0.73612</v>
      </c>
      <c r="H595" s="3">
        <v>-0.2072</v>
      </c>
      <c r="I595">
        <v>-9635.84</v>
      </c>
      <c r="J595" s="3">
        <v>-0.20899999999999999</v>
      </c>
      <c r="K595">
        <v>49654</v>
      </c>
      <c r="T595" s="2"/>
      <c r="U595" s="2"/>
      <c r="V595" s="2"/>
      <c r="W595" s="2"/>
      <c r="X595" s="3"/>
      <c r="Y595" s="3"/>
      <c r="Z595" s="3"/>
      <c r="AA595" s="3"/>
      <c r="AF595" s="3"/>
      <c r="AG595" s="3"/>
      <c r="AH595" s="3"/>
    </row>
    <row r="596" spans="1:34" x14ac:dyDescent="0.25">
      <c r="A596" t="s">
        <v>574</v>
      </c>
      <c r="B596" t="s">
        <v>1080</v>
      </c>
      <c r="C596" t="s">
        <v>1273</v>
      </c>
      <c r="D596" s="2">
        <v>40431</v>
      </c>
      <c r="E596">
        <v>2.8777520000000001</v>
      </c>
      <c r="F596" s="2">
        <v>40527</v>
      </c>
      <c r="G596">
        <v>3.8301289999999999</v>
      </c>
      <c r="H596" s="3">
        <v>0.33090000000000003</v>
      </c>
      <c r="I596">
        <v>12625.63</v>
      </c>
      <c r="J596" s="3">
        <v>0.3286</v>
      </c>
      <c r="K596">
        <v>13351</v>
      </c>
      <c r="T596" s="2"/>
      <c r="U596" s="2"/>
      <c r="V596" s="2"/>
      <c r="W596" s="2"/>
      <c r="X596" s="3"/>
      <c r="Y596" s="3"/>
      <c r="Z596" s="3"/>
      <c r="AA596" s="3"/>
      <c r="AF596" s="3"/>
      <c r="AG596" s="3"/>
      <c r="AH596" s="3"/>
    </row>
    <row r="597" spans="1:34" x14ac:dyDescent="0.25">
      <c r="A597" t="s">
        <v>81</v>
      </c>
      <c r="B597" t="s">
        <v>1081</v>
      </c>
      <c r="C597" t="s">
        <v>1273</v>
      </c>
      <c r="D597" s="2">
        <v>40410</v>
      </c>
      <c r="E597">
        <v>0.79163919999999999</v>
      </c>
      <c r="F597" s="2">
        <v>40522</v>
      </c>
      <c r="G597">
        <v>1.5188010000000001</v>
      </c>
      <c r="H597" s="3">
        <v>0.91859999999999997</v>
      </c>
      <c r="I597">
        <v>32671.95</v>
      </c>
      <c r="J597" s="3">
        <v>0.91559999999999997</v>
      </c>
      <c r="K597">
        <v>45074</v>
      </c>
      <c r="T597" s="2"/>
      <c r="U597" s="2"/>
      <c r="V597" s="2"/>
      <c r="W597" s="2"/>
      <c r="X597" s="3"/>
      <c r="Y597" s="3"/>
      <c r="Z597" s="3"/>
      <c r="AA597" s="3"/>
      <c r="AF597" s="3"/>
      <c r="AG597" s="3"/>
      <c r="AH597" s="3"/>
    </row>
    <row r="598" spans="1:34" x14ac:dyDescent="0.25">
      <c r="A598" t="s">
        <v>575</v>
      </c>
      <c r="B598" t="s">
        <v>1082</v>
      </c>
      <c r="C598" t="s">
        <v>1273</v>
      </c>
      <c r="D598" s="2">
        <v>40403</v>
      </c>
      <c r="E598">
        <v>4.0199999999999996</v>
      </c>
      <c r="F598" s="2">
        <v>40519</v>
      </c>
      <c r="G598">
        <v>6.58</v>
      </c>
      <c r="H598" s="3">
        <v>0.63680000000000003</v>
      </c>
      <c r="I598">
        <v>22942.05</v>
      </c>
      <c r="J598" s="3">
        <v>0.63419999999999999</v>
      </c>
      <c r="K598">
        <v>8999</v>
      </c>
      <c r="T598" s="2"/>
      <c r="U598" s="2"/>
      <c r="V598" s="2"/>
      <c r="W598" s="2"/>
      <c r="X598" s="3"/>
      <c r="Y598" s="3"/>
      <c r="Z598" s="3"/>
      <c r="AA598" s="3"/>
      <c r="AF598" s="3"/>
      <c r="AG598" s="3"/>
      <c r="AH598" s="3"/>
    </row>
    <row r="599" spans="1:34" x14ac:dyDescent="0.25">
      <c r="A599" t="s">
        <v>314</v>
      </c>
      <c r="B599" t="s">
        <v>1083</v>
      </c>
      <c r="C599" t="s">
        <v>1273</v>
      </c>
      <c r="D599" s="2">
        <v>40403</v>
      </c>
      <c r="E599">
        <v>1.591577</v>
      </c>
      <c r="F599" s="2">
        <v>40508</v>
      </c>
      <c r="G599">
        <v>4.6550630000000002</v>
      </c>
      <c r="H599" s="3">
        <v>1.9248000000000001</v>
      </c>
      <c r="I599">
        <v>69509.39</v>
      </c>
      <c r="J599" s="3">
        <v>1.9209000000000001</v>
      </c>
      <c r="K599">
        <v>22736</v>
      </c>
      <c r="T599" s="2"/>
      <c r="U599" s="2"/>
      <c r="V599" s="2"/>
      <c r="W599" s="2"/>
      <c r="X599" s="3"/>
      <c r="Y599" s="3"/>
      <c r="Z599" s="3"/>
      <c r="AA599" s="3"/>
      <c r="AF599" s="3"/>
      <c r="AG599" s="3"/>
      <c r="AH599" s="3"/>
    </row>
    <row r="600" spans="1:34" x14ac:dyDescent="0.25">
      <c r="A600" t="s">
        <v>576</v>
      </c>
      <c r="B600" t="s">
        <v>1084</v>
      </c>
      <c r="C600" t="s">
        <v>1273</v>
      </c>
      <c r="D600" s="2">
        <v>40403</v>
      </c>
      <c r="E600">
        <v>1.6617550000000001</v>
      </c>
      <c r="F600" s="2">
        <v>40500</v>
      </c>
      <c r="G600">
        <v>1.77</v>
      </c>
      <c r="H600" s="3">
        <v>6.5100000000000005E-2</v>
      </c>
      <c r="I600">
        <v>2280.9499999999998</v>
      </c>
      <c r="J600" s="3">
        <v>6.3100000000000003E-2</v>
      </c>
      <c r="K600">
        <v>21762</v>
      </c>
      <c r="T600" s="2"/>
      <c r="U600" s="2"/>
      <c r="V600" s="2"/>
      <c r="W600" s="2"/>
      <c r="X600" s="3"/>
      <c r="Y600" s="3"/>
      <c r="Z600" s="3"/>
      <c r="AA600" s="3"/>
      <c r="AF600" s="3"/>
      <c r="AG600" s="3"/>
      <c r="AH600" s="3"/>
    </row>
    <row r="601" spans="1:34" x14ac:dyDescent="0.25">
      <c r="A601" t="s">
        <v>577</v>
      </c>
      <c r="B601" t="s">
        <v>1085</v>
      </c>
      <c r="C601" t="s">
        <v>1273</v>
      </c>
      <c r="D601" s="2">
        <v>40403</v>
      </c>
      <c r="E601">
        <v>1.1903999999999999</v>
      </c>
      <c r="F601" s="2">
        <v>40483</v>
      </c>
      <c r="G601">
        <v>1.21</v>
      </c>
      <c r="H601" s="3">
        <v>1.6500000000000001E-2</v>
      </c>
      <c r="I601">
        <v>522.64</v>
      </c>
      <c r="J601" s="3">
        <v>1.44E-2</v>
      </c>
      <c r="K601">
        <v>30387</v>
      </c>
      <c r="T601" s="2"/>
      <c r="U601" s="2"/>
      <c r="V601" s="2"/>
      <c r="W601" s="2"/>
      <c r="X601" s="3"/>
      <c r="Y601" s="3"/>
      <c r="Z601" s="3"/>
      <c r="AA601" s="3"/>
      <c r="AF601" s="3"/>
      <c r="AG601" s="3"/>
      <c r="AH601" s="3"/>
    </row>
    <row r="602" spans="1:34" x14ac:dyDescent="0.25">
      <c r="A602" t="s">
        <v>578</v>
      </c>
      <c r="B602" t="s">
        <v>1086</v>
      </c>
      <c r="C602" t="s">
        <v>1273</v>
      </c>
      <c r="D602" s="2">
        <v>40401</v>
      </c>
      <c r="E602">
        <v>0.92</v>
      </c>
      <c r="F602" s="2">
        <v>40427</v>
      </c>
      <c r="G602">
        <v>0.91500000000000004</v>
      </c>
      <c r="H602" s="3">
        <v>-5.4000000000000003E-3</v>
      </c>
      <c r="I602">
        <v>-268.92</v>
      </c>
      <c r="J602" s="3">
        <v>-7.4000000000000003E-3</v>
      </c>
      <c r="K602">
        <v>39344</v>
      </c>
      <c r="T602" s="2"/>
      <c r="U602" s="2"/>
      <c r="V602" s="2"/>
      <c r="W602" s="2"/>
      <c r="X602" s="3"/>
      <c r="Y602" s="3"/>
      <c r="Z602" s="3"/>
      <c r="AA602" s="3"/>
      <c r="AF602" s="3"/>
      <c r="AG602" s="3"/>
      <c r="AH602" s="3"/>
    </row>
    <row r="603" spans="1:34" x14ac:dyDescent="0.25">
      <c r="A603" t="s">
        <v>579</v>
      </c>
      <c r="B603" t="s">
        <v>1087</v>
      </c>
      <c r="C603" t="s">
        <v>1273</v>
      </c>
      <c r="D603" s="2">
        <v>40403</v>
      </c>
      <c r="E603">
        <v>2.38104</v>
      </c>
      <c r="F603" s="2">
        <v>40417</v>
      </c>
      <c r="G603">
        <v>2.0238839999999998</v>
      </c>
      <c r="H603" s="3">
        <v>-0.15</v>
      </c>
      <c r="I603">
        <v>-5490.66</v>
      </c>
      <c r="J603" s="3">
        <v>-0.15179999999999999</v>
      </c>
      <c r="K603">
        <v>15186</v>
      </c>
      <c r="T603" s="2"/>
      <c r="U603" s="2"/>
      <c r="V603" s="2"/>
      <c r="W603" s="2"/>
      <c r="X603" s="3"/>
      <c r="Y603" s="3"/>
      <c r="Z603" s="3"/>
      <c r="AA603" s="3"/>
      <c r="AF603" s="3"/>
      <c r="AG603" s="3"/>
      <c r="AH603" s="3"/>
    </row>
    <row r="604" spans="1:34" x14ac:dyDescent="0.25">
      <c r="A604" t="s">
        <v>315</v>
      </c>
      <c r="B604" t="s">
        <v>1088</v>
      </c>
      <c r="C604" t="s">
        <v>1273</v>
      </c>
      <c r="D604" s="2">
        <v>40403</v>
      </c>
      <c r="E604">
        <v>4.0355340000000002</v>
      </c>
      <c r="F604" s="2">
        <v>40417</v>
      </c>
      <c r="G604">
        <v>3.5855790000000001</v>
      </c>
      <c r="H604" s="3">
        <v>-0.1115</v>
      </c>
      <c r="I604">
        <v>-4100.8</v>
      </c>
      <c r="J604" s="3">
        <v>-0.1134</v>
      </c>
      <c r="K604">
        <v>8962</v>
      </c>
      <c r="T604" s="2"/>
      <c r="U604" s="2"/>
      <c r="V604" s="2"/>
      <c r="W604" s="2"/>
      <c r="X604" s="3"/>
      <c r="Y604" s="3"/>
      <c r="Z604" s="3"/>
      <c r="AA604" s="3"/>
      <c r="AF604" s="3"/>
      <c r="AG604" s="3"/>
      <c r="AH604" s="3"/>
    </row>
    <row r="605" spans="1:34" x14ac:dyDescent="0.25">
      <c r="A605" t="s">
        <v>580</v>
      </c>
      <c r="B605" t="s">
        <v>1089</v>
      </c>
      <c r="C605" t="s">
        <v>1273</v>
      </c>
      <c r="D605" s="2">
        <v>40256</v>
      </c>
      <c r="E605">
        <v>1.647716</v>
      </c>
      <c r="F605" s="2">
        <v>40368</v>
      </c>
      <c r="G605">
        <v>1.2710950000000001</v>
      </c>
      <c r="H605" s="3">
        <v>-0.2286</v>
      </c>
      <c r="I605">
        <v>-9289.24</v>
      </c>
      <c r="J605" s="3">
        <v>-0.2303</v>
      </c>
      <c r="K605">
        <v>24475</v>
      </c>
      <c r="T605" s="2"/>
      <c r="U605" s="2"/>
      <c r="V605" s="2"/>
      <c r="W605" s="2"/>
      <c r="X605" s="3"/>
      <c r="Y605" s="3"/>
      <c r="Z605" s="3"/>
      <c r="AA605" s="3"/>
      <c r="AF605" s="3"/>
      <c r="AG605" s="3"/>
      <c r="AH605" s="3"/>
    </row>
    <row r="606" spans="1:34" x14ac:dyDescent="0.25">
      <c r="A606" t="s">
        <v>525</v>
      </c>
      <c r="B606" t="s">
        <v>1003</v>
      </c>
      <c r="C606" t="s">
        <v>1273</v>
      </c>
      <c r="D606" s="2">
        <v>40249</v>
      </c>
      <c r="E606">
        <v>2.4649160000000001</v>
      </c>
      <c r="F606" s="2">
        <v>40368</v>
      </c>
      <c r="G606">
        <v>3.1171120000000001</v>
      </c>
      <c r="H606" s="3">
        <v>0.2646</v>
      </c>
      <c r="I606">
        <v>10348.41</v>
      </c>
      <c r="J606" s="3">
        <v>0.26229999999999998</v>
      </c>
      <c r="K606">
        <v>16004</v>
      </c>
      <c r="T606" s="2"/>
      <c r="U606" s="2"/>
      <c r="V606" s="2"/>
      <c r="W606" s="2"/>
      <c r="X606" s="3"/>
      <c r="Y606" s="3"/>
      <c r="Z606" s="3"/>
      <c r="AA606" s="3"/>
      <c r="AF606" s="3"/>
      <c r="AG606" s="3"/>
      <c r="AH606" s="3"/>
    </row>
    <row r="607" spans="1:34" x14ac:dyDescent="0.25">
      <c r="A607" t="s">
        <v>581</v>
      </c>
      <c r="B607" t="s">
        <v>1090</v>
      </c>
      <c r="C607" t="s">
        <v>1273</v>
      </c>
      <c r="D607" s="2">
        <v>40256</v>
      </c>
      <c r="E607">
        <v>1.531639</v>
      </c>
      <c r="F607" s="2">
        <v>40326</v>
      </c>
      <c r="G607">
        <v>1.5100150000000001</v>
      </c>
      <c r="H607" s="3">
        <v>-1.41E-2</v>
      </c>
      <c r="I607">
        <v>-649.20000000000005</v>
      </c>
      <c r="J607" s="3">
        <v>-1.61E-2</v>
      </c>
      <c r="K607">
        <v>26320</v>
      </c>
      <c r="T607" s="2"/>
      <c r="U607" s="2"/>
      <c r="V607" s="2"/>
      <c r="W607" s="2"/>
      <c r="X607" s="3"/>
      <c r="Y607" s="3"/>
      <c r="Z607" s="3"/>
      <c r="AA607" s="3"/>
      <c r="AF607" s="3"/>
      <c r="AG607" s="3"/>
      <c r="AH607" s="3"/>
    </row>
    <row r="608" spans="1:34" x14ac:dyDescent="0.25">
      <c r="A608" t="s">
        <v>539</v>
      </c>
      <c r="B608" t="s">
        <v>1029</v>
      </c>
      <c r="C608" t="s">
        <v>1273</v>
      </c>
      <c r="D608" s="2">
        <v>40256</v>
      </c>
      <c r="E608">
        <v>1.812916</v>
      </c>
      <c r="F608" s="2">
        <v>40326</v>
      </c>
      <c r="G608">
        <v>1.9123589999999999</v>
      </c>
      <c r="H608" s="3">
        <v>5.4899999999999997E-2</v>
      </c>
      <c r="I608">
        <v>2128.7600000000002</v>
      </c>
      <c r="J608" s="3">
        <v>5.28E-2</v>
      </c>
      <c r="K608">
        <v>22240</v>
      </c>
      <c r="T608" s="2"/>
      <c r="U608" s="2"/>
      <c r="V608" s="2"/>
      <c r="W608" s="2"/>
      <c r="X608" s="3"/>
      <c r="Y608" s="3"/>
      <c r="Z608" s="3"/>
      <c r="AA608" s="3"/>
      <c r="AF608" s="3"/>
      <c r="AG608" s="3"/>
      <c r="AH608" s="3"/>
    </row>
    <row r="609" spans="1:34" x14ac:dyDescent="0.25">
      <c r="A609" t="s">
        <v>161</v>
      </c>
      <c r="B609" t="s">
        <v>755</v>
      </c>
      <c r="C609" t="s">
        <v>1273</v>
      </c>
      <c r="D609" s="2">
        <v>40256</v>
      </c>
      <c r="E609">
        <v>0.75988250000000002</v>
      </c>
      <c r="F609" s="2">
        <v>40326</v>
      </c>
      <c r="G609">
        <v>0.68982239999999995</v>
      </c>
      <c r="H609" s="3">
        <v>-9.2200000000000004E-2</v>
      </c>
      <c r="I609">
        <v>-3795.53</v>
      </c>
      <c r="J609" s="3">
        <v>-9.4100000000000003E-2</v>
      </c>
      <c r="K609">
        <v>53077</v>
      </c>
      <c r="T609" s="2"/>
      <c r="U609" s="2"/>
      <c r="V609" s="2"/>
      <c r="W609" s="2"/>
      <c r="X609" s="3"/>
      <c r="Y609" s="3"/>
      <c r="Z609" s="3"/>
      <c r="AA609" s="3"/>
      <c r="AF609" s="3"/>
      <c r="AG609" s="3"/>
      <c r="AH609" s="3"/>
    </row>
    <row r="610" spans="1:34" x14ac:dyDescent="0.25">
      <c r="A610" t="s">
        <v>575</v>
      </c>
      <c r="B610" t="s">
        <v>1082</v>
      </c>
      <c r="C610" t="s">
        <v>1273</v>
      </c>
      <c r="D610" s="2">
        <v>40249</v>
      </c>
      <c r="E610">
        <v>2.75</v>
      </c>
      <c r="F610" s="2">
        <v>40326</v>
      </c>
      <c r="G610">
        <v>3.06</v>
      </c>
      <c r="H610" s="3">
        <v>0.11269999999999999</v>
      </c>
      <c r="I610">
        <v>4362.3900000000003</v>
      </c>
      <c r="J610" s="3">
        <v>0.1106</v>
      </c>
      <c r="K610">
        <v>14341</v>
      </c>
      <c r="T610" s="2"/>
      <c r="U610" s="2"/>
      <c r="V610" s="2"/>
      <c r="W610" s="2"/>
      <c r="X610" s="3"/>
      <c r="Y610" s="3"/>
      <c r="Z610" s="3"/>
      <c r="AA610" s="3"/>
      <c r="AF610" s="3"/>
      <c r="AG610" s="3"/>
      <c r="AH610" s="3"/>
    </row>
    <row r="611" spans="1:34" x14ac:dyDescent="0.25">
      <c r="A611" t="s">
        <v>582</v>
      </c>
      <c r="B611" t="s">
        <v>1091</v>
      </c>
      <c r="C611" t="s">
        <v>1273</v>
      </c>
      <c r="D611" s="2">
        <v>40249</v>
      </c>
      <c r="E611">
        <v>1.084579</v>
      </c>
      <c r="F611" s="2">
        <v>40326</v>
      </c>
      <c r="G611">
        <v>0.88738320000000004</v>
      </c>
      <c r="H611" s="3">
        <v>-0.18179999999999999</v>
      </c>
      <c r="I611">
        <v>-7242.74</v>
      </c>
      <c r="J611" s="3">
        <v>-0.18360000000000001</v>
      </c>
      <c r="K611">
        <v>36365</v>
      </c>
      <c r="T611" s="2"/>
      <c r="U611" s="2"/>
      <c r="V611" s="2"/>
      <c r="W611" s="2"/>
      <c r="X611" s="3"/>
      <c r="Y611" s="3"/>
      <c r="Z611" s="3"/>
      <c r="AA611" s="3"/>
      <c r="AF611" s="3"/>
      <c r="AG611" s="3"/>
      <c r="AH611" s="3"/>
    </row>
    <row r="612" spans="1:34" x14ac:dyDescent="0.25">
      <c r="A612" t="s">
        <v>65</v>
      </c>
      <c r="B612" t="s">
        <v>823</v>
      </c>
      <c r="C612" t="s">
        <v>1273</v>
      </c>
      <c r="D612" s="2">
        <v>40263</v>
      </c>
      <c r="E612">
        <v>1.89933</v>
      </c>
      <c r="F612" s="2">
        <v>40312</v>
      </c>
      <c r="G612">
        <v>1.7175910000000001</v>
      </c>
      <c r="H612" s="3">
        <v>-9.5699999999999993E-2</v>
      </c>
      <c r="I612">
        <v>-3898.96</v>
      </c>
      <c r="J612" s="3">
        <v>-9.7600000000000006E-2</v>
      </c>
      <c r="K612">
        <v>21035</v>
      </c>
      <c r="T612" s="2"/>
      <c r="U612" s="2"/>
      <c r="V612" s="2"/>
      <c r="W612" s="2"/>
      <c r="X612" s="3"/>
      <c r="Y612" s="3"/>
      <c r="Z612" s="3"/>
      <c r="AA612" s="3"/>
      <c r="AF612" s="3"/>
      <c r="AG612" s="3"/>
      <c r="AH612" s="3"/>
    </row>
    <row r="613" spans="1:34" x14ac:dyDescent="0.25">
      <c r="A613" t="s">
        <v>512</v>
      </c>
      <c r="B613" t="s">
        <v>981</v>
      </c>
      <c r="C613" t="s">
        <v>1273</v>
      </c>
      <c r="D613" s="2">
        <v>40263</v>
      </c>
      <c r="E613">
        <v>1.0395540000000001</v>
      </c>
      <c r="F613" s="2">
        <v>40312</v>
      </c>
      <c r="G613">
        <v>1.0032559999999999</v>
      </c>
      <c r="H613" s="3">
        <v>-3.49E-2</v>
      </c>
      <c r="I613">
        <v>-1473.67</v>
      </c>
      <c r="J613" s="3">
        <v>-3.6900000000000002E-2</v>
      </c>
      <c r="K613">
        <v>38436</v>
      </c>
      <c r="T613" s="2"/>
      <c r="U613" s="2"/>
      <c r="V613" s="2"/>
      <c r="W613" s="2"/>
      <c r="X613" s="3"/>
      <c r="Y613" s="3"/>
      <c r="Z613" s="3"/>
      <c r="AA613" s="3"/>
      <c r="AF613" s="3"/>
      <c r="AG613" s="3"/>
      <c r="AH613" s="3"/>
    </row>
    <row r="614" spans="1:34" x14ac:dyDescent="0.25">
      <c r="A614" t="s">
        <v>583</v>
      </c>
      <c r="B614" t="s">
        <v>1092</v>
      </c>
      <c r="C614" t="s">
        <v>1273</v>
      </c>
      <c r="D614" s="2">
        <v>40263</v>
      </c>
      <c r="E614">
        <v>3.6452559999999998</v>
      </c>
      <c r="F614" s="2">
        <v>40312</v>
      </c>
      <c r="G614">
        <v>3.2633719999999999</v>
      </c>
      <c r="H614" s="3">
        <v>-0.1048</v>
      </c>
      <c r="I614">
        <v>-4262.33</v>
      </c>
      <c r="J614" s="3">
        <v>-0.1067</v>
      </c>
      <c r="K614">
        <v>10963</v>
      </c>
      <c r="T614" s="2"/>
      <c r="U614" s="2"/>
      <c r="V614" s="2"/>
      <c r="W614" s="2"/>
      <c r="X614" s="3"/>
      <c r="Y614" s="3"/>
      <c r="Z614" s="3"/>
      <c r="AA614" s="3"/>
      <c r="AF614" s="3"/>
      <c r="AG614" s="3"/>
      <c r="AH614" s="3"/>
    </row>
    <row r="615" spans="1:34" x14ac:dyDescent="0.25">
      <c r="A615" t="s">
        <v>556</v>
      </c>
      <c r="B615" t="s">
        <v>1051</v>
      </c>
      <c r="C615" t="s">
        <v>1273</v>
      </c>
      <c r="D615" s="2">
        <v>40256</v>
      </c>
      <c r="E615">
        <v>4.9673759999999998</v>
      </c>
      <c r="F615" s="2">
        <v>40312</v>
      </c>
      <c r="G615">
        <v>4.4782169999999999</v>
      </c>
      <c r="H615" s="3">
        <v>-9.8500000000000004E-2</v>
      </c>
      <c r="I615">
        <v>-4045.68</v>
      </c>
      <c r="J615" s="3">
        <v>-0.1004</v>
      </c>
      <c r="K615">
        <v>8114</v>
      </c>
      <c r="T615" s="2"/>
      <c r="U615" s="2"/>
      <c r="V615" s="2"/>
      <c r="W615" s="2"/>
      <c r="X615" s="3"/>
      <c r="Y615" s="3"/>
      <c r="Z615" s="3"/>
      <c r="AA615" s="3"/>
      <c r="AF615" s="3"/>
      <c r="AG615" s="3"/>
      <c r="AH615" s="3"/>
    </row>
    <row r="616" spans="1:34" x14ac:dyDescent="0.25">
      <c r="A616" t="s">
        <v>99</v>
      </c>
      <c r="B616" t="s">
        <v>1093</v>
      </c>
      <c r="C616" t="s">
        <v>1273</v>
      </c>
      <c r="D616" s="2">
        <v>40256</v>
      </c>
      <c r="E616">
        <v>1.1843710000000001</v>
      </c>
      <c r="F616" s="2">
        <v>40312</v>
      </c>
      <c r="G616">
        <v>1.0081180000000001</v>
      </c>
      <c r="H616" s="3">
        <v>-0.14879999999999999</v>
      </c>
      <c r="I616">
        <v>-6074.28</v>
      </c>
      <c r="J616" s="3">
        <v>-0.1507</v>
      </c>
      <c r="K616">
        <v>34040</v>
      </c>
      <c r="T616" s="2"/>
      <c r="U616" s="2"/>
      <c r="V616" s="2"/>
      <c r="W616" s="2"/>
      <c r="X616" s="3"/>
      <c r="Y616" s="3"/>
      <c r="Z616" s="3"/>
      <c r="AA616" s="3"/>
      <c r="AF616" s="3"/>
      <c r="AG616" s="3"/>
      <c r="AH616" s="3"/>
    </row>
    <row r="617" spans="1:34" x14ac:dyDescent="0.25">
      <c r="A617" t="s">
        <v>84</v>
      </c>
      <c r="B617" t="s">
        <v>1032</v>
      </c>
      <c r="C617" t="s">
        <v>1273</v>
      </c>
      <c r="D617" s="2">
        <v>40256</v>
      </c>
      <c r="E617">
        <v>1.1136839999999999</v>
      </c>
      <c r="F617" s="2">
        <v>40312</v>
      </c>
      <c r="G617">
        <v>0.92878680000000002</v>
      </c>
      <c r="H617" s="3">
        <v>-0.16600000000000001</v>
      </c>
      <c r="I617">
        <v>-6768.71</v>
      </c>
      <c r="J617" s="3">
        <v>-0.16789999999999999</v>
      </c>
      <c r="K617">
        <v>36208</v>
      </c>
      <c r="T617" s="2"/>
      <c r="U617" s="2"/>
      <c r="V617" s="2"/>
      <c r="W617" s="2"/>
      <c r="X617" s="3"/>
      <c r="Y617" s="3"/>
      <c r="Z617" s="3"/>
      <c r="AA617" s="3"/>
      <c r="AF617" s="3"/>
      <c r="AG617" s="3"/>
      <c r="AH617" s="3"/>
    </row>
    <row r="618" spans="1:34" x14ac:dyDescent="0.25">
      <c r="A618" t="s">
        <v>584</v>
      </c>
      <c r="B618" t="s">
        <v>1094</v>
      </c>
      <c r="C618" t="s">
        <v>1273</v>
      </c>
      <c r="D618" s="2">
        <v>40249</v>
      </c>
      <c r="E618">
        <v>1.87</v>
      </c>
      <c r="F618" s="2">
        <v>40312</v>
      </c>
      <c r="G618">
        <v>1.93</v>
      </c>
      <c r="H618" s="3">
        <v>3.2099999999999997E-2</v>
      </c>
      <c r="I618">
        <v>1185.43</v>
      </c>
      <c r="J618" s="3">
        <v>3.0099999999999998E-2</v>
      </c>
      <c r="K618">
        <v>21093</v>
      </c>
      <c r="T618" s="2"/>
      <c r="U618" s="2"/>
      <c r="V618" s="2"/>
      <c r="W618" s="2"/>
      <c r="X618" s="3"/>
      <c r="Y618" s="3"/>
      <c r="Z618" s="3"/>
      <c r="AA618" s="3"/>
      <c r="AF618" s="3"/>
      <c r="AG618" s="3"/>
      <c r="AH618" s="3"/>
    </row>
    <row r="619" spans="1:34" x14ac:dyDescent="0.25">
      <c r="A619" t="s">
        <v>585</v>
      </c>
      <c r="B619" t="s">
        <v>1095</v>
      </c>
      <c r="C619" t="s">
        <v>1273</v>
      </c>
      <c r="D619" s="2">
        <v>40200</v>
      </c>
      <c r="E619">
        <v>1.630485</v>
      </c>
      <c r="F619" s="2">
        <v>40312</v>
      </c>
      <c r="G619">
        <v>1.528929</v>
      </c>
      <c r="H619" s="3">
        <v>-6.2300000000000001E-2</v>
      </c>
      <c r="I619">
        <v>-2807.11</v>
      </c>
      <c r="J619" s="3">
        <v>-6.4199999999999993E-2</v>
      </c>
      <c r="K619">
        <v>26807</v>
      </c>
      <c r="T619" s="2"/>
      <c r="U619" s="2"/>
      <c r="V619" s="2"/>
      <c r="W619" s="2"/>
      <c r="X619" s="3"/>
      <c r="Y619" s="3"/>
      <c r="Z619" s="3"/>
      <c r="AA619" s="3"/>
      <c r="AF619" s="3"/>
      <c r="AG619" s="3"/>
      <c r="AH619" s="3"/>
    </row>
    <row r="620" spans="1:34" x14ac:dyDescent="0.25">
      <c r="A620" t="s">
        <v>316</v>
      </c>
      <c r="B620" t="s">
        <v>1096</v>
      </c>
      <c r="C620" t="s">
        <v>1273</v>
      </c>
      <c r="D620" s="2">
        <v>39912</v>
      </c>
      <c r="E620">
        <v>1.5094030000000001</v>
      </c>
      <c r="F620" s="2">
        <v>40312</v>
      </c>
      <c r="G620">
        <v>2.589912</v>
      </c>
      <c r="H620" s="3">
        <v>0.71589999999999998</v>
      </c>
      <c r="I620">
        <v>16261.32</v>
      </c>
      <c r="J620" s="3">
        <v>0.71309999999999996</v>
      </c>
      <c r="K620">
        <v>15107</v>
      </c>
      <c r="T620" s="2"/>
      <c r="U620" s="2"/>
      <c r="V620" s="2"/>
      <c r="W620" s="2"/>
      <c r="X620" s="3"/>
      <c r="Y620" s="3"/>
      <c r="Z620" s="3"/>
      <c r="AA620" s="3"/>
      <c r="AF620" s="3"/>
      <c r="AG620" s="3"/>
      <c r="AH620" s="3"/>
    </row>
    <row r="621" spans="1:34" x14ac:dyDescent="0.25">
      <c r="A621" t="s">
        <v>586</v>
      </c>
      <c r="B621" t="s">
        <v>1097</v>
      </c>
      <c r="C621" t="s">
        <v>1273</v>
      </c>
      <c r="D621" s="2">
        <v>39906</v>
      </c>
      <c r="E621">
        <v>1.27</v>
      </c>
      <c r="F621" s="2">
        <v>40312</v>
      </c>
      <c r="G621">
        <v>2.67</v>
      </c>
      <c r="H621" s="3">
        <v>1.1024</v>
      </c>
      <c r="I621">
        <v>25235.18</v>
      </c>
      <c r="J621" s="3">
        <v>1.0992999999999999</v>
      </c>
      <c r="K621">
        <v>18076</v>
      </c>
      <c r="T621" s="2"/>
      <c r="U621" s="2"/>
      <c r="V621" s="2"/>
      <c r="W621" s="2"/>
      <c r="X621" s="3"/>
      <c r="Y621" s="3"/>
      <c r="Z621" s="3"/>
      <c r="AA621" s="3"/>
      <c r="AF621" s="3"/>
      <c r="AG621" s="3"/>
      <c r="AH621" s="3"/>
    </row>
    <row r="622" spans="1:34" x14ac:dyDescent="0.25">
      <c r="A622" t="s">
        <v>587</v>
      </c>
      <c r="B622" t="s">
        <v>1098</v>
      </c>
      <c r="C622" t="s">
        <v>1273</v>
      </c>
      <c r="D622" s="2">
        <v>40263</v>
      </c>
      <c r="E622">
        <v>6.11</v>
      </c>
      <c r="F622" s="2">
        <v>40305</v>
      </c>
      <c r="G622">
        <v>4.71</v>
      </c>
      <c r="H622" s="3">
        <v>-0.2291</v>
      </c>
      <c r="I622">
        <v>-9226.76</v>
      </c>
      <c r="J622" s="3">
        <v>-0.23089999999999999</v>
      </c>
      <c r="K622">
        <v>6540</v>
      </c>
      <c r="T622" s="2"/>
      <c r="U622" s="2"/>
      <c r="V622" s="2"/>
      <c r="W622" s="2"/>
      <c r="X622" s="3"/>
      <c r="Y622" s="3"/>
      <c r="Z622" s="3"/>
      <c r="AA622" s="3"/>
      <c r="AF622" s="3"/>
      <c r="AG622" s="3"/>
      <c r="AH622" s="3"/>
    </row>
    <row r="623" spans="1:34" x14ac:dyDescent="0.25">
      <c r="A623" t="s">
        <v>588</v>
      </c>
      <c r="B623" t="s">
        <v>1099</v>
      </c>
      <c r="C623" t="s">
        <v>1273</v>
      </c>
      <c r="D623" s="2">
        <v>40004</v>
      </c>
      <c r="E623">
        <v>2.0203790000000001</v>
      </c>
      <c r="F623" s="2">
        <v>40242</v>
      </c>
      <c r="G623">
        <v>2.1551779999999998</v>
      </c>
      <c r="H623" s="3">
        <v>6.6699999999999995E-2</v>
      </c>
      <c r="I623">
        <v>1842.18</v>
      </c>
      <c r="J623" s="3">
        <v>6.4699999999999994E-2</v>
      </c>
      <c r="K623">
        <v>14103</v>
      </c>
      <c r="T623" s="2"/>
      <c r="U623" s="2"/>
      <c r="V623" s="2"/>
      <c r="W623" s="2"/>
      <c r="X623" s="3"/>
      <c r="Y623" s="3"/>
      <c r="Z623" s="3"/>
      <c r="AA623" s="3"/>
      <c r="AF623" s="3"/>
      <c r="AG623" s="3"/>
      <c r="AH623" s="3"/>
    </row>
    <row r="624" spans="1:34" x14ac:dyDescent="0.25">
      <c r="A624" t="s">
        <v>589</v>
      </c>
      <c r="B624" t="s">
        <v>1100</v>
      </c>
      <c r="C624" t="s">
        <v>1273</v>
      </c>
      <c r="D624" s="2">
        <v>40158</v>
      </c>
      <c r="E624">
        <v>0.7870743</v>
      </c>
      <c r="F624" s="2">
        <v>40228</v>
      </c>
      <c r="G624">
        <v>0.73261750000000003</v>
      </c>
      <c r="H624" s="3">
        <v>-6.9199999999999998E-2</v>
      </c>
      <c r="I624">
        <v>-3066.9</v>
      </c>
      <c r="J624" s="3">
        <v>-7.1099999999999997E-2</v>
      </c>
      <c r="K624">
        <v>54789</v>
      </c>
      <c r="T624" s="2"/>
      <c r="U624" s="2"/>
      <c r="V624" s="2"/>
      <c r="W624" s="2"/>
      <c r="X624" s="3"/>
      <c r="Y624" s="3"/>
      <c r="Z624" s="3"/>
      <c r="AA624" s="3"/>
      <c r="AF624" s="3"/>
      <c r="AG624" s="3"/>
      <c r="AH624" s="3"/>
    </row>
    <row r="625" spans="1:34" x14ac:dyDescent="0.25">
      <c r="A625" t="s">
        <v>580</v>
      </c>
      <c r="B625" t="s">
        <v>1089</v>
      </c>
      <c r="C625" t="s">
        <v>1273</v>
      </c>
      <c r="D625" s="2">
        <v>40207</v>
      </c>
      <c r="E625">
        <v>1.3887890000000001</v>
      </c>
      <c r="F625" s="2">
        <v>40221</v>
      </c>
      <c r="G625">
        <v>1.257172</v>
      </c>
      <c r="H625" s="3">
        <v>-9.4799999999999995E-2</v>
      </c>
      <c r="I625">
        <v>-3974.18</v>
      </c>
      <c r="J625" s="3">
        <v>-9.6699999999999994E-2</v>
      </c>
      <c r="K625">
        <v>29600</v>
      </c>
      <c r="T625" s="2"/>
      <c r="U625" s="2"/>
      <c r="V625" s="2"/>
      <c r="W625" s="2"/>
      <c r="X625" s="3"/>
      <c r="Y625" s="3"/>
      <c r="Z625" s="3"/>
      <c r="AA625" s="3"/>
      <c r="AF625" s="3"/>
      <c r="AG625" s="3"/>
      <c r="AH625" s="3"/>
    </row>
    <row r="626" spans="1:34" x14ac:dyDescent="0.25">
      <c r="A626" t="s">
        <v>317</v>
      </c>
      <c r="B626" t="s">
        <v>1101</v>
      </c>
      <c r="C626" t="s">
        <v>1273</v>
      </c>
      <c r="D626" s="2">
        <v>40193</v>
      </c>
      <c r="E626">
        <v>1.6707419999999999</v>
      </c>
      <c r="F626" s="2">
        <v>40221</v>
      </c>
      <c r="G626">
        <v>1.633197</v>
      </c>
      <c r="H626" s="3">
        <v>-2.2499999999999999E-2</v>
      </c>
      <c r="I626">
        <v>-1050.8</v>
      </c>
      <c r="J626" s="3">
        <v>-2.4400000000000002E-2</v>
      </c>
      <c r="K626">
        <v>25724</v>
      </c>
      <c r="T626" s="2"/>
      <c r="U626" s="2"/>
      <c r="V626" s="2"/>
      <c r="W626" s="2"/>
      <c r="X626" s="3"/>
      <c r="Y626" s="3"/>
      <c r="Z626" s="3"/>
      <c r="AA626" s="3"/>
      <c r="AF626" s="3"/>
      <c r="AG626" s="3"/>
      <c r="AH626" s="3"/>
    </row>
    <row r="627" spans="1:34" x14ac:dyDescent="0.25">
      <c r="A627" t="s">
        <v>590</v>
      </c>
      <c r="B627" t="s">
        <v>1102</v>
      </c>
      <c r="C627" t="s">
        <v>1273</v>
      </c>
      <c r="D627" s="2">
        <v>39912</v>
      </c>
      <c r="E627">
        <v>0.50561869999999998</v>
      </c>
      <c r="F627" s="2">
        <v>40221</v>
      </c>
      <c r="G627">
        <v>1.258313</v>
      </c>
      <c r="H627" s="3">
        <v>1.4886999999999999</v>
      </c>
      <c r="I627">
        <v>33883.480000000003</v>
      </c>
      <c r="J627" s="3">
        <v>1.4852000000000001</v>
      </c>
      <c r="K627">
        <v>45122</v>
      </c>
      <c r="T627" s="2"/>
      <c r="U627" s="2"/>
      <c r="V627" s="2"/>
      <c r="W627" s="2"/>
      <c r="X627" s="3"/>
      <c r="Y627" s="3"/>
      <c r="Z627" s="3"/>
      <c r="AA627" s="3"/>
      <c r="AF627" s="3"/>
      <c r="AG627" s="3"/>
      <c r="AH627" s="3"/>
    </row>
    <row r="628" spans="1:34" x14ac:dyDescent="0.25">
      <c r="A628" t="s">
        <v>591</v>
      </c>
      <c r="B628" t="s">
        <v>1103</v>
      </c>
      <c r="C628" t="s">
        <v>1273</v>
      </c>
      <c r="D628" s="2">
        <v>40158</v>
      </c>
      <c r="E628">
        <v>5.75</v>
      </c>
      <c r="F628" s="2">
        <v>40218</v>
      </c>
      <c r="G628">
        <v>5.28</v>
      </c>
      <c r="H628" s="3">
        <v>-8.1699999999999995E-2</v>
      </c>
      <c r="I628">
        <v>-3606.76</v>
      </c>
      <c r="J628" s="3">
        <v>-8.3699999999999997E-2</v>
      </c>
      <c r="K628">
        <v>7498</v>
      </c>
      <c r="T628" s="2"/>
      <c r="U628" s="2"/>
      <c r="V628" s="2"/>
      <c r="W628" s="2"/>
      <c r="X628" s="3"/>
      <c r="Y628" s="3"/>
      <c r="Z628" s="3"/>
      <c r="AA628" s="3"/>
      <c r="AF628" s="3"/>
      <c r="AG628" s="3"/>
      <c r="AH628" s="3"/>
    </row>
    <row r="629" spans="1:34" x14ac:dyDescent="0.25">
      <c r="A629" t="s">
        <v>303</v>
      </c>
      <c r="B629" t="s">
        <v>1046</v>
      </c>
      <c r="C629" t="s">
        <v>1273</v>
      </c>
      <c r="D629" s="2">
        <v>40200</v>
      </c>
      <c r="E629">
        <v>7.4326169999999996</v>
      </c>
      <c r="F629" s="2">
        <v>40214</v>
      </c>
      <c r="G629">
        <v>6.0427780000000002</v>
      </c>
      <c r="H629" s="3">
        <v>-0.187</v>
      </c>
      <c r="I629">
        <v>-8251.49</v>
      </c>
      <c r="J629" s="3">
        <v>-0.1888</v>
      </c>
      <c r="K629">
        <v>5880</v>
      </c>
      <c r="T629" s="2"/>
      <c r="U629" s="2"/>
      <c r="V629" s="2"/>
      <c r="W629" s="2"/>
      <c r="X629" s="3"/>
      <c r="Y629" s="3"/>
      <c r="Z629" s="3"/>
      <c r="AA629" s="3"/>
      <c r="AF629" s="3"/>
      <c r="AG629" s="3"/>
      <c r="AH629" s="3"/>
    </row>
    <row r="630" spans="1:34" x14ac:dyDescent="0.25">
      <c r="A630" t="s">
        <v>318</v>
      </c>
      <c r="B630" t="s">
        <v>1104</v>
      </c>
      <c r="C630" t="s">
        <v>1273</v>
      </c>
      <c r="D630" s="2">
        <v>40193</v>
      </c>
      <c r="E630">
        <v>1.9016409999999999</v>
      </c>
      <c r="F630" s="2">
        <v>40214</v>
      </c>
      <c r="G630">
        <v>1.442307</v>
      </c>
      <c r="H630" s="3">
        <v>-0.24149999999999999</v>
      </c>
      <c r="I630">
        <v>-10457.91</v>
      </c>
      <c r="J630" s="3">
        <v>-0.24329999999999999</v>
      </c>
      <c r="K630">
        <v>22603</v>
      </c>
      <c r="T630" s="2"/>
      <c r="U630" s="2"/>
      <c r="V630" s="2"/>
      <c r="W630" s="2"/>
      <c r="X630" s="3"/>
      <c r="Y630" s="3"/>
      <c r="Z630" s="3"/>
      <c r="AA630" s="3"/>
      <c r="AF630" s="3"/>
      <c r="AG630" s="3"/>
      <c r="AH630" s="3"/>
    </row>
    <row r="631" spans="1:34" x14ac:dyDescent="0.25">
      <c r="A631" t="s">
        <v>584</v>
      </c>
      <c r="B631" t="s">
        <v>1094</v>
      </c>
      <c r="C631" t="s">
        <v>1273</v>
      </c>
      <c r="D631" s="2">
        <v>40193</v>
      </c>
      <c r="E631">
        <v>1.7196199999999999</v>
      </c>
      <c r="F631" s="2">
        <v>40214</v>
      </c>
      <c r="G631">
        <v>1.4413</v>
      </c>
      <c r="H631" s="3">
        <v>-0.1618</v>
      </c>
      <c r="I631">
        <v>-7036.46</v>
      </c>
      <c r="J631" s="3">
        <v>-0.16370000000000001</v>
      </c>
      <c r="K631">
        <v>24998</v>
      </c>
      <c r="T631" s="2"/>
      <c r="U631" s="2"/>
      <c r="V631" s="2"/>
      <c r="W631" s="2"/>
      <c r="X631" s="3"/>
      <c r="Y631" s="3"/>
      <c r="Z631" s="3"/>
      <c r="AA631" s="3"/>
      <c r="AF631" s="3"/>
      <c r="AG631" s="3"/>
      <c r="AH631" s="3"/>
    </row>
    <row r="632" spans="1:34" x14ac:dyDescent="0.25">
      <c r="A632" t="s">
        <v>103</v>
      </c>
      <c r="B632" t="s">
        <v>818</v>
      </c>
      <c r="C632" t="s">
        <v>1273</v>
      </c>
      <c r="D632" s="2">
        <v>40186</v>
      </c>
      <c r="E632">
        <v>1.0743020000000001</v>
      </c>
      <c r="F632" s="2">
        <v>40214</v>
      </c>
      <c r="G632">
        <v>0.92927159999999998</v>
      </c>
      <c r="H632" s="3">
        <v>-0.13500000000000001</v>
      </c>
      <c r="I632">
        <v>-5799.46</v>
      </c>
      <c r="J632" s="3">
        <v>-0.13689999999999999</v>
      </c>
      <c r="K632">
        <v>39443</v>
      </c>
      <c r="T632" s="2"/>
      <c r="U632" s="2"/>
      <c r="V632" s="2"/>
      <c r="W632" s="2"/>
      <c r="X632" s="3"/>
      <c r="Y632" s="3"/>
      <c r="Z632" s="3"/>
      <c r="AA632" s="3"/>
      <c r="AF632" s="3"/>
      <c r="AG632" s="3"/>
      <c r="AH632" s="3"/>
    </row>
    <row r="633" spans="1:34" x14ac:dyDescent="0.25">
      <c r="A633" t="s">
        <v>592</v>
      </c>
      <c r="B633" t="s">
        <v>1105</v>
      </c>
      <c r="C633" t="s">
        <v>1273</v>
      </c>
      <c r="D633" s="2">
        <v>40158</v>
      </c>
      <c r="E633">
        <v>0.57089900000000005</v>
      </c>
      <c r="F633" s="2">
        <v>40214</v>
      </c>
      <c r="G633">
        <v>0.55218089999999997</v>
      </c>
      <c r="H633" s="3">
        <v>-3.2800000000000003E-2</v>
      </c>
      <c r="I633">
        <v>-1498.84</v>
      </c>
      <c r="J633" s="3">
        <v>-3.4799999999999998E-2</v>
      </c>
      <c r="K633">
        <v>75542</v>
      </c>
      <c r="T633" s="2"/>
      <c r="U633" s="2"/>
      <c r="V633" s="2"/>
      <c r="W633" s="2"/>
      <c r="X633" s="3"/>
      <c r="Y633" s="3"/>
      <c r="Z633" s="3"/>
      <c r="AA633" s="3"/>
      <c r="AF633" s="3"/>
      <c r="AG633" s="3"/>
      <c r="AH633" s="3"/>
    </row>
    <row r="634" spans="1:34" x14ac:dyDescent="0.25">
      <c r="A634" t="s">
        <v>593</v>
      </c>
      <c r="B634" t="s">
        <v>1106</v>
      </c>
      <c r="C634" t="s">
        <v>1273</v>
      </c>
      <c r="D634" s="2">
        <v>39997</v>
      </c>
      <c r="E634">
        <v>3.041979</v>
      </c>
      <c r="F634" s="2">
        <v>40214</v>
      </c>
      <c r="G634">
        <v>5.5979580000000002</v>
      </c>
      <c r="H634" s="3">
        <v>0.84019999999999995</v>
      </c>
      <c r="I634">
        <v>23868.57</v>
      </c>
      <c r="J634" s="3">
        <v>0.83740000000000003</v>
      </c>
      <c r="K634">
        <v>9370</v>
      </c>
      <c r="T634" s="2"/>
      <c r="U634" s="2"/>
      <c r="V634" s="2"/>
      <c r="W634" s="2"/>
      <c r="X634" s="3"/>
      <c r="Y634" s="3"/>
      <c r="Z634" s="3"/>
      <c r="AA634" s="3"/>
      <c r="AF634" s="3"/>
      <c r="AG634" s="3"/>
      <c r="AH634" s="3"/>
    </row>
    <row r="635" spans="1:34" x14ac:dyDescent="0.25">
      <c r="A635" t="s">
        <v>319</v>
      </c>
      <c r="B635" t="s">
        <v>1107</v>
      </c>
      <c r="C635" t="s">
        <v>1273</v>
      </c>
      <c r="D635" s="2">
        <v>39912</v>
      </c>
      <c r="E635">
        <v>1.8181290000000001</v>
      </c>
      <c r="F635" s="2">
        <v>40214</v>
      </c>
      <c r="G635">
        <v>2.4749400000000001</v>
      </c>
      <c r="H635" s="3">
        <v>0.36130000000000001</v>
      </c>
      <c r="I635">
        <v>8186.49</v>
      </c>
      <c r="J635" s="3">
        <v>0.3589</v>
      </c>
      <c r="K635">
        <v>12546</v>
      </c>
      <c r="T635" s="2"/>
      <c r="U635" s="2"/>
      <c r="V635" s="2"/>
      <c r="W635" s="2"/>
      <c r="X635" s="3"/>
      <c r="Y635" s="3"/>
      <c r="Z635" s="3"/>
      <c r="AA635" s="3"/>
      <c r="AF635" s="3"/>
      <c r="AG635" s="3"/>
      <c r="AH635" s="3"/>
    </row>
    <row r="636" spans="1:34" x14ac:dyDescent="0.25">
      <c r="A636" t="s">
        <v>94</v>
      </c>
      <c r="B636" t="s">
        <v>789</v>
      </c>
      <c r="C636" t="s">
        <v>1273</v>
      </c>
      <c r="D636" s="2">
        <v>39906</v>
      </c>
      <c r="E636">
        <v>1.1417299999999999</v>
      </c>
      <c r="F636" s="2">
        <v>40214</v>
      </c>
      <c r="G636">
        <v>1.3573010000000001</v>
      </c>
      <c r="H636" s="3">
        <v>0.1888</v>
      </c>
      <c r="I636">
        <v>4282.53</v>
      </c>
      <c r="J636" s="3">
        <v>0.18659999999999999</v>
      </c>
      <c r="K636">
        <v>20099</v>
      </c>
      <c r="T636" s="2"/>
      <c r="U636" s="2"/>
      <c r="V636" s="2"/>
      <c r="W636" s="2"/>
      <c r="X636" s="3"/>
      <c r="Y636" s="3"/>
      <c r="Z636" s="3"/>
      <c r="AA636" s="3"/>
      <c r="AF636" s="3"/>
      <c r="AG636" s="3"/>
      <c r="AH636" s="3"/>
    </row>
    <row r="637" spans="1:34" x14ac:dyDescent="0.25">
      <c r="A637" t="s">
        <v>594</v>
      </c>
      <c r="B637" t="s">
        <v>1108</v>
      </c>
      <c r="C637" t="s">
        <v>1273</v>
      </c>
      <c r="D637" s="2">
        <v>40178</v>
      </c>
      <c r="E637">
        <v>0.98</v>
      </c>
      <c r="F637" s="2">
        <v>40205</v>
      </c>
      <c r="G637">
        <v>1.04</v>
      </c>
      <c r="H637" s="3">
        <v>6.1199999999999997E-2</v>
      </c>
      <c r="I637">
        <v>2473.66</v>
      </c>
      <c r="J637" s="3">
        <v>5.9200000000000003E-2</v>
      </c>
      <c r="K637">
        <v>42664</v>
      </c>
      <c r="T637" s="2"/>
      <c r="U637" s="2"/>
      <c r="V637" s="2"/>
      <c r="W637" s="2"/>
      <c r="X637" s="3"/>
      <c r="Y637" s="3"/>
      <c r="Z637" s="3"/>
      <c r="AA637" s="3"/>
      <c r="AF637" s="3"/>
      <c r="AG637" s="3"/>
      <c r="AH637" s="3"/>
    </row>
    <row r="638" spans="1:34" x14ac:dyDescent="0.25">
      <c r="A638" t="s">
        <v>584</v>
      </c>
      <c r="B638" t="s">
        <v>1094</v>
      </c>
      <c r="C638" t="s">
        <v>1273</v>
      </c>
      <c r="D638" s="2">
        <v>40158</v>
      </c>
      <c r="E638">
        <v>1.38663</v>
      </c>
      <c r="F638" s="2">
        <v>40171</v>
      </c>
      <c r="G638">
        <v>1.26735</v>
      </c>
      <c r="H638" s="3">
        <v>-8.5999999999999993E-2</v>
      </c>
      <c r="I638">
        <v>-3792.76</v>
      </c>
      <c r="J638" s="3">
        <v>-8.7900000000000006E-2</v>
      </c>
      <c r="K638">
        <v>31105</v>
      </c>
      <c r="T638" s="2"/>
      <c r="U638" s="2"/>
      <c r="V638" s="2"/>
      <c r="W638" s="2"/>
      <c r="X638" s="3"/>
      <c r="Y638" s="3"/>
      <c r="Z638" s="3"/>
      <c r="AA638" s="3"/>
      <c r="AF638" s="3"/>
      <c r="AG638" s="3"/>
      <c r="AH638" s="3"/>
    </row>
    <row r="639" spans="1:34" x14ac:dyDescent="0.25">
      <c r="A639" t="s">
        <v>595</v>
      </c>
      <c r="B639" t="s">
        <v>1109</v>
      </c>
      <c r="C639" t="s">
        <v>1273</v>
      </c>
      <c r="D639" s="2">
        <v>39912</v>
      </c>
      <c r="E639">
        <v>6.0716749999999999</v>
      </c>
      <c r="F639" s="2">
        <v>40171</v>
      </c>
      <c r="G639">
        <v>12.83234</v>
      </c>
      <c r="H639" s="3">
        <v>1.1134999999999999</v>
      </c>
      <c r="I639">
        <v>25328.799999999999</v>
      </c>
      <c r="J639" s="3">
        <v>1.1104000000000001</v>
      </c>
      <c r="K639">
        <v>3757</v>
      </c>
      <c r="T639" s="2"/>
      <c r="U639" s="2"/>
      <c r="V639" s="2"/>
      <c r="W639" s="2"/>
      <c r="X639" s="3"/>
      <c r="Y639" s="3"/>
      <c r="Z639" s="3"/>
      <c r="AA639" s="3"/>
      <c r="AF639" s="3"/>
      <c r="AG639" s="3"/>
      <c r="AH639" s="3"/>
    </row>
    <row r="640" spans="1:34" x14ac:dyDescent="0.25">
      <c r="A640" t="s">
        <v>596</v>
      </c>
      <c r="B640" t="s">
        <v>1110</v>
      </c>
      <c r="C640" t="s">
        <v>1273</v>
      </c>
      <c r="D640" s="2">
        <v>39912</v>
      </c>
      <c r="E640">
        <v>1.546854</v>
      </c>
      <c r="F640" s="2">
        <v>40165</v>
      </c>
      <c r="G640">
        <v>2.3875350000000002</v>
      </c>
      <c r="H640" s="3">
        <v>0.54349999999999998</v>
      </c>
      <c r="I640">
        <v>12342.01</v>
      </c>
      <c r="J640" s="3">
        <v>0.54090000000000005</v>
      </c>
      <c r="K640">
        <v>14750</v>
      </c>
      <c r="T640" s="2"/>
      <c r="U640" s="2"/>
      <c r="V640" s="2"/>
      <c r="W640" s="2"/>
      <c r="X640" s="3"/>
      <c r="Y640" s="3"/>
      <c r="Z640" s="3"/>
      <c r="AA640" s="3"/>
      <c r="AF640" s="3"/>
      <c r="AG640" s="3"/>
      <c r="AH640" s="3"/>
    </row>
    <row r="641" spans="1:34" x14ac:dyDescent="0.25">
      <c r="A641" t="s">
        <v>597</v>
      </c>
      <c r="B641" t="s">
        <v>1111</v>
      </c>
      <c r="C641" t="s">
        <v>1273</v>
      </c>
      <c r="D641" s="2">
        <v>39912</v>
      </c>
      <c r="E641">
        <v>0.63446780000000003</v>
      </c>
      <c r="F641" s="2">
        <v>40165</v>
      </c>
      <c r="G641">
        <v>2.62</v>
      </c>
      <c r="H641" s="3">
        <v>3.1294</v>
      </c>
      <c r="I641">
        <v>71300.55</v>
      </c>
      <c r="J641" s="3">
        <v>3.1242999999999999</v>
      </c>
      <c r="K641">
        <v>35969</v>
      </c>
      <c r="T641" s="2"/>
      <c r="U641" s="2"/>
      <c r="V641" s="2"/>
      <c r="W641" s="2"/>
      <c r="X641" s="3"/>
      <c r="Y641" s="3"/>
      <c r="Z641" s="3"/>
      <c r="AA641" s="3"/>
      <c r="AF641" s="3"/>
      <c r="AG641" s="3"/>
      <c r="AH641" s="3"/>
    </row>
    <row r="642" spans="1:34" x14ac:dyDescent="0.25">
      <c r="A642" t="s">
        <v>481</v>
      </c>
      <c r="B642" t="s">
        <v>926</v>
      </c>
      <c r="C642" t="s">
        <v>1273</v>
      </c>
      <c r="D642" s="2">
        <v>39906</v>
      </c>
      <c r="E642">
        <v>1.0227409999999999</v>
      </c>
      <c r="F642" s="2">
        <v>40165</v>
      </c>
      <c r="G642">
        <v>1.6619550000000001</v>
      </c>
      <c r="H642" s="3">
        <v>0.625</v>
      </c>
      <c r="I642">
        <v>14276.72</v>
      </c>
      <c r="J642" s="3">
        <v>0.62239999999999995</v>
      </c>
      <c r="K642">
        <v>22429</v>
      </c>
      <c r="T642" s="2"/>
      <c r="U642" s="2"/>
      <c r="V642" s="2"/>
      <c r="W642" s="2"/>
      <c r="X642" s="3"/>
      <c r="Y642" s="3"/>
      <c r="Z642" s="3"/>
      <c r="AA642" s="3"/>
      <c r="AF642" s="3"/>
      <c r="AG642" s="3"/>
      <c r="AH642" s="3"/>
    </row>
    <row r="643" spans="1:34" x14ac:dyDescent="0.25">
      <c r="A643" t="s">
        <v>582</v>
      </c>
      <c r="B643" t="s">
        <v>1091</v>
      </c>
      <c r="C643" t="s">
        <v>1273</v>
      </c>
      <c r="D643" s="2">
        <v>40018</v>
      </c>
      <c r="E643">
        <v>0.58560679999999998</v>
      </c>
      <c r="F643" s="2">
        <v>40158</v>
      </c>
      <c r="G643">
        <v>0.8380841</v>
      </c>
      <c r="H643" s="3">
        <v>0.43109999999999998</v>
      </c>
      <c r="I643">
        <v>12500.96</v>
      </c>
      <c r="J643" s="3">
        <v>0.42870000000000003</v>
      </c>
      <c r="K643">
        <v>49794</v>
      </c>
      <c r="T643" s="2"/>
      <c r="U643" s="2"/>
      <c r="V643" s="2"/>
      <c r="W643" s="2"/>
      <c r="X643" s="3"/>
      <c r="Y643" s="3"/>
      <c r="Z643" s="3"/>
      <c r="AA643" s="3"/>
      <c r="AF643" s="3"/>
      <c r="AG643" s="3"/>
      <c r="AH643" s="3"/>
    </row>
    <row r="644" spans="1:34" x14ac:dyDescent="0.25">
      <c r="A644" t="s">
        <v>598</v>
      </c>
      <c r="B644" t="s">
        <v>1112</v>
      </c>
      <c r="C644" t="s">
        <v>1273</v>
      </c>
      <c r="D644" s="2">
        <v>40025</v>
      </c>
      <c r="E644">
        <v>0.79</v>
      </c>
      <c r="F644" s="2">
        <v>40151</v>
      </c>
      <c r="G644">
        <v>1.075</v>
      </c>
      <c r="H644" s="3">
        <v>0.36080000000000001</v>
      </c>
      <c r="I644">
        <v>11064.07</v>
      </c>
      <c r="J644" s="3">
        <v>0.3584</v>
      </c>
      <c r="K644">
        <v>39077</v>
      </c>
      <c r="T644" s="2"/>
      <c r="U644" s="2"/>
      <c r="V644" s="2"/>
      <c r="W644" s="2"/>
      <c r="X644" s="3"/>
      <c r="Y644" s="3"/>
      <c r="Z644" s="3"/>
      <c r="AA644" s="3"/>
      <c r="AF644" s="3"/>
      <c r="AG644" s="3"/>
      <c r="AH644" s="3"/>
    </row>
    <row r="645" spans="1:34" x14ac:dyDescent="0.25">
      <c r="A645" t="s">
        <v>518</v>
      </c>
      <c r="B645" t="s">
        <v>996</v>
      </c>
      <c r="C645" t="s">
        <v>1273</v>
      </c>
      <c r="D645" s="2">
        <v>40025</v>
      </c>
      <c r="E645">
        <v>1.9477139999999999</v>
      </c>
      <c r="F645" s="2">
        <v>40151</v>
      </c>
      <c r="G645">
        <v>2.7023030000000001</v>
      </c>
      <c r="H645" s="3">
        <v>0.38740000000000002</v>
      </c>
      <c r="I645">
        <v>11888.78</v>
      </c>
      <c r="J645" s="3">
        <v>0.38500000000000001</v>
      </c>
      <c r="K645">
        <v>15853</v>
      </c>
      <c r="T645" s="2"/>
      <c r="U645" s="2"/>
      <c r="V645" s="2"/>
      <c r="W645" s="2"/>
      <c r="X645" s="3"/>
      <c r="Y645" s="3"/>
      <c r="Z645" s="3"/>
      <c r="AA645" s="3"/>
      <c r="AF645" s="3"/>
      <c r="AG645" s="3"/>
      <c r="AH645" s="3"/>
    </row>
    <row r="646" spans="1:34" x14ac:dyDescent="0.25">
      <c r="A646" t="s">
        <v>599</v>
      </c>
      <c r="B646" t="s">
        <v>1113</v>
      </c>
      <c r="C646" t="s">
        <v>1273</v>
      </c>
      <c r="D646" s="2">
        <v>39906</v>
      </c>
      <c r="E646">
        <v>1.193689</v>
      </c>
      <c r="F646" s="2">
        <v>40151</v>
      </c>
      <c r="G646">
        <v>1.763404</v>
      </c>
      <c r="H646" s="3">
        <v>0.4773</v>
      </c>
      <c r="I646">
        <v>10894.22</v>
      </c>
      <c r="J646" s="3">
        <v>0.4748</v>
      </c>
      <c r="K646">
        <v>19222</v>
      </c>
      <c r="T646" s="2"/>
      <c r="U646" s="2"/>
      <c r="V646" s="2"/>
      <c r="W646" s="2"/>
      <c r="X646" s="3"/>
      <c r="Y646" s="3"/>
      <c r="Z646" s="3"/>
      <c r="AA646" s="3"/>
      <c r="AF646" s="3"/>
      <c r="AG646" s="3"/>
      <c r="AH646" s="3"/>
    </row>
    <row r="647" spans="1:34" x14ac:dyDescent="0.25">
      <c r="A647" t="s">
        <v>553</v>
      </c>
      <c r="B647" t="s">
        <v>1047</v>
      </c>
      <c r="C647" t="s">
        <v>1273</v>
      </c>
      <c r="D647" s="2">
        <v>39906</v>
      </c>
      <c r="E647">
        <v>2.0399509999999998</v>
      </c>
      <c r="F647" s="2">
        <v>40151</v>
      </c>
      <c r="G647">
        <v>3.3461240000000001</v>
      </c>
      <c r="H647" s="3">
        <v>0.64029999999999998</v>
      </c>
      <c r="I647">
        <v>14636.45</v>
      </c>
      <c r="J647" s="3">
        <v>0.63770000000000004</v>
      </c>
      <c r="K647">
        <v>11252</v>
      </c>
      <c r="T647" s="2"/>
      <c r="U647" s="2"/>
      <c r="V647" s="2"/>
      <c r="W647" s="2"/>
      <c r="X647" s="3"/>
      <c r="Y647" s="3"/>
      <c r="Z647" s="3"/>
      <c r="AA647" s="3"/>
      <c r="AF647" s="3"/>
      <c r="AG647" s="3"/>
      <c r="AH647" s="3"/>
    </row>
    <row r="648" spans="1:34" x14ac:dyDescent="0.25">
      <c r="A648" t="s">
        <v>587</v>
      </c>
      <c r="B648" t="s">
        <v>1098</v>
      </c>
      <c r="C648" t="s">
        <v>1273</v>
      </c>
      <c r="D648" s="2">
        <v>39906</v>
      </c>
      <c r="E648">
        <v>1.9</v>
      </c>
      <c r="F648" s="2">
        <v>40151</v>
      </c>
      <c r="G648">
        <v>4.3600000000000003</v>
      </c>
      <c r="H648" s="3">
        <v>1.2947</v>
      </c>
      <c r="I648">
        <v>29648.54</v>
      </c>
      <c r="J648" s="3">
        <v>1.2914000000000001</v>
      </c>
      <c r="K648">
        <v>12083</v>
      </c>
      <c r="T648" s="2"/>
      <c r="U648" s="2"/>
      <c r="V648" s="2"/>
      <c r="W648" s="2"/>
      <c r="X648" s="3"/>
      <c r="Y648" s="3"/>
      <c r="Z648" s="3"/>
      <c r="AA648" s="3"/>
      <c r="AF648" s="3"/>
      <c r="AG648" s="3"/>
      <c r="AH648" s="3"/>
    </row>
    <row r="649" spans="1:34" x14ac:dyDescent="0.25">
      <c r="A649" t="s">
        <v>539</v>
      </c>
      <c r="B649" t="s">
        <v>1029</v>
      </c>
      <c r="C649" t="s">
        <v>1273</v>
      </c>
      <c r="D649" s="2">
        <v>39906</v>
      </c>
      <c r="E649">
        <v>1.121356</v>
      </c>
      <c r="F649" s="2">
        <v>40130</v>
      </c>
      <c r="G649">
        <v>1.3100149999999999</v>
      </c>
      <c r="H649" s="3">
        <v>0.16819999999999999</v>
      </c>
      <c r="I649">
        <v>3810.22</v>
      </c>
      <c r="J649" s="3">
        <v>0.1661</v>
      </c>
      <c r="K649">
        <v>20460</v>
      </c>
      <c r="T649" s="2"/>
      <c r="U649" s="2"/>
      <c r="V649" s="2"/>
      <c r="W649" s="2"/>
      <c r="X649" s="3"/>
      <c r="Y649" s="3"/>
      <c r="Z649" s="3"/>
      <c r="AA649" s="3"/>
      <c r="AF649" s="3"/>
      <c r="AG649" s="3"/>
      <c r="AH649" s="3"/>
    </row>
    <row r="650" spans="1:34" x14ac:dyDescent="0.25">
      <c r="A650" t="s">
        <v>320</v>
      </c>
      <c r="B650" t="s">
        <v>1114</v>
      </c>
      <c r="C650" t="s">
        <v>1273</v>
      </c>
      <c r="D650" s="2">
        <v>39912</v>
      </c>
      <c r="E650">
        <v>11.1</v>
      </c>
      <c r="F650" s="2">
        <v>40011</v>
      </c>
      <c r="G650">
        <v>10.45</v>
      </c>
      <c r="H650" s="3">
        <v>-5.8599999999999999E-2</v>
      </c>
      <c r="I650">
        <v>-1379.36</v>
      </c>
      <c r="J650" s="3">
        <v>-6.0499999999999998E-2</v>
      </c>
      <c r="K650">
        <v>2054</v>
      </c>
      <c r="T650" s="2"/>
      <c r="U650" s="2"/>
      <c r="V650" s="2"/>
      <c r="W650" s="2"/>
      <c r="X650" s="3"/>
      <c r="Y650" s="3"/>
      <c r="Z650" s="3"/>
      <c r="AA650" s="3"/>
      <c r="AF650" s="3"/>
      <c r="AG650" s="3"/>
      <c r="AH650" s="3"/>
    </row>
    <row r="651" spans="1:34" x14ac:dyDescent="0.25">
      <c r="A651" t="s">
        <v>541</v>
      </c>
      <c r="B651" t="s">
        <v>1033</v>
      </c>
      <c r="C651" t="s">
        <v>1273</v>
      </c>
      <c r="D651" s="2">
        <v>39906</v>
      </c>
      <c r="E651">
        <v>0.64721010000000001</v>
      </c>
      <c r="F651" s="2">
        <v>40011</v>
      </c>
      <c r="G651">
        <v>0.68409779999999998</v>
      </c>
      <c r="H651" s="3">
        <v>5.7000000000000002E-2</v>
      </c>
      <c r="I651">
        <v>1260.83</v>
      </c>
      <c r="J651" s="3">
        <v>5.4899999999999997E-2</v>
      </c>
      <c r="K651">
        <v>35460</v>
      </c>
      <c r="T651" s="2"/>
      <c r="U651" s="2"/>
      <c r="V651" s="2"/>
      <c r="W651" s="2"/>
      <c r="X651" s="3"/>
      <c r="Y651" s="3"/>
      <c r="Z651" s="3"/>
      <c r="AA651" s="3"/>
      <c r="AF651" s="3"/>
      <c r="AG651" s="3"/>
      <c r="AH651" s="3"/>
    </row>
    <row r="652" spans="1:34" x14ac:dyDescent="0.25">
      <c r="A652" t="s">
        <v>496</v>
      </c>
      <c r="B652" t="s">
        <v>956</v>
      </c>
      <c r="C652" t="s">
        <v>1273</v>
      </c>
      <c r="D652" s="2">
        <v>39906</v>
      </c>
      <c r="E652">
        <v>1.308354</v>
      </c>
      <c r="F652" s="2">
        <v>40011</v>
      </c>
      <c r="G652">
        <v>1.794314</v>
      </c>
      <c r="H652" s="3">
        <v>0.37140000000000001</v>
      </c>
      <c r="I652">
        <v>8473.66</v>
      </c>
      <c r="J652" s="3">
        <v>0.36909999999999998</v>
      </c>
      <c r="K652">
        <v>17549</v>
      </c>
      <c r="T652" s="2"/>
      <c r="U652" s="2"/>
      <c r="V652" s="2"/>
      <c r="W652" s="2"/>
      <c r="X652" s="3"/>
      <c r="Y652" s="3"/>
      <c r="Z652" s="3"/>
      <c r="AA652" s="3"/>
      <c r="AF652" s="3"/>
      <c r="AG652" s="3"/>
      <c r="AH652" s="3"/>
    </row>
    <row r="653" spans="1:34" x14ac:dyDescent="0.25">
      <c r="A653" t="s">
        <v>600</v>
      </c>
      <c r="B653" t="s">
        <v>1115</v>
      </c>
      <c r="C653" t="s">
        <v>1273</v>
      </c>
      <c r="D653" s="2">
        <v>39906</v>
      </c>
      <c r="E653">
        <v>4.4711999999999996</v>
      </c>
      <c r="F653" s="2">
        <v>39997</v>
      </c>
      <c r="G653">
        <v>6.55776</v>
      </c>
      <c r="H653" s="3">
        <v>0.4667</v>
      </c>
      <c r="I653">
        <v>10657.85</v>
      </c>
      <c r="J653" s="3">
        <v>0.4642</v>
      </c>
      <c r="K653">
        <v>5135</v>
      </c>
      <c r="T653" s="2"/>
      <c r="U653" s="2"/>
      <c r="V653" s="2"/>
      <c r="W653" s="2"/>
      <c r="X653" s="3"/>
      <c r="Y653" s="3"/>
      <c r="Z653" s="3"/>
      <c r="AA653" s="3"/>
      <c r="AF653" s="3"/>
      <c r="AG653" s="3"/>
      <c r="AH653" s="3"/>
    </row>
    <row r="654" spans="1:34" x14ac:dyDescent="0.25">
      <c r="A654" t="s">
        <v>487</v>
      </c>
      <c r="B654" t="s">
        <v>939</v>
      </c>
      <c r="C654" t="s">
        <v>1273</v>
      </c>
      <c r="D654" s="2">
        <v>39912</v>
      </c>
      <c r="E654">
        <v>1.8008409999999999</v>
      </c>
      <c r="F654" s="2">
        <v>39997</v>
      </c>
      <c r="G654">
        <v>2.5932110000000002</v>
      </c>
      <c r="H654" s="3">
        <v>0.44</v>
      </c>
      <c r="I654">
        <v>9978.93</v>
      </c>
      <c r="J654" s="3">
        <v>0.43759999999999999</v>
      </c>
      <c r="K654">
        <v>12664</v>
      </c>
      <c r="T654" s="2"/>
      <c r="U654" s="2"/>
      <c r="V654" s="2"/>
      <c r="W654" s="2"/>
      <c r="X654" s="3"/>
      <c r="Y654" s="3"/>
      <c r="Z654" s="3"/>
      <c r="AA654" s="3"/>
      <c r="AF654" s="3"/>
      <c r="AG654" s="3"/>
      <c r="AH654" s="3"/>
    </row>
    <row r="655" spans="1:34" x14ac:dyDescent="0.25">
      <c r="A655" t="s">
        <v>601</v>
      </c>
      <c r="B655" t="s">
        <v>1116</v>
      </c>
      <c r="C655" t="s">
        <v>1273</v>
      </c>
      <c r="D655" s="2">
        <v>39912</v>
      </c>
      <c r="E655">
        <v>1.2409570000000001</v>
      </c>
      <c r="F655" s="2">
        <v>39997</v>
      </c>
      <c r="G655">
        <v>1.051164</v>
      </c>
      <c r="H655" s="3">
        <v>-0.15290000000000001</v>
      </c>
      <c r="I655">
        <v>-3532.06</v>
      </c>
      <c r="J655" s="3">
        <v>-0.15479999999999999</v>
      </c>
      <c r="K655">
        <v>18388</v>
      </c>
      <c r="T655" s="2"/>
      <c r="U655" s="2"/>
      <c r="V655" s="2"/>
      <c r="W655" s="2"/>
      <c r="X655" s="3"/>
      <c r="Y655" s="3"/>
      <c r="Z655" s="3"/>
      <c r="AA655" s="3"/>
      <c r="AF655" s="3"/>
      <c r="AG655" s="3"/>
      <c r="AH655" s="3"/>
    </row>
    <row r="656" spans="1:34" x14ac:dyDescent="0.25">
      <c r="A656" t="s">
        <v>602</v>
      </c>
      <c r="B656" t="s">
        <v>1117</v>
      </c>
      <c r="C656" t="s">
        <v>1273</v>
      </c>
      <c r="D656" s="2">
        <v>39906</v>
      </c>
      <c r="E656">
        <v>1.395</v>
      </c>
      <c r="F656" s="2">
        <v>39995</v>
      </c>
      <c r="G656">
        <v>1.4</v>
      </c>
      <c r="H656" s="3">
        <v>3.5999999999999999E-3</v>
      </c>
      <c r="I656">
        <v>36.28</v>
      </c>
      <c r="J656" s="3">
        <v>1.6000000000000001E-3</v>
      </c>
      <c r="K656">
        <v>16453</v>
      </c>
      <c r="T656" s="2"/>
      <c r="U656" s="2"/>
      <c r="V656" s="2"/>
      <c r="W656" s="2"/>
      <c r="X656" s="3"/>
      <c r="Y656" s="3"/>
      <c r="Z656" s="3"/>
      <c r="AA656" s="3"/>
      <c r="AF656" s="3"/>
      <c r="AG656" s="3"/>
      <c r="AH656" s="3"/>
    </row>
    <row r="657" spans="1:34" x14ac:dyDescent="0.25">
      <c r="A657" t="s">
        <v>321</v>
      </c>
      <c r="B657" t="s">
        <v>1118</v>
      </c>
      <c r="C657" t="s">
        <v>1273</v>
      </c>
      <c r="D657" s="2">
        <v>37099</v>
      </c>
      <c r="E657">
        <v>1.5149790000000001</v>
      </c>
      <c r="F657" s="2">
        <v>39738</v>
      </c>
      <c r="G657">
        <v>3.1475520000000001</v>
      </c>
      <c r="H657" s="3">
        <v>1.0775999999999999</v>
      </c>
      <c r="I657">
        <v>5510.48</v>
      </c>
      <c r="J657" s="3">
        <v>1.0745</v>
      </c>
      <c r="K657">
        <v>3385</v>
      </c>
      <c r="T657" s="2"/>
      <c r="U657" s="2"/>
      <c r="V657" s="2"/>
      <c r="W657" s="2"/>
      <c r="X657" s="3"/>
      <c r="Y657" s="3"/>
      <c r="Z657" s="3"/>
      <c r="AA657" s="3"/>
      <c r="AF657" s="3"/>
      <c r="AG657" s="3"/>
      <c r="AH657" s="3"/>
    </row>
    <row r="658" spans="1:34" x14ac:dyDescent="0.25">
      <c r="A658" t="s">
        <v>322</v>
      </c>
      <c r="B658" t="s">
        <v>1119</v>
      </c>
      <c r="C658" t="s">
        <v>1273</v>
      </c>
      <c r="D658" s="2">
        <v>37743</v>
      </c>
      <c r="E658">
        <v>0.98396620000000001</v>
      </c>
      <c r="F658" s="2">
        <v>39738</v>
      </c>
      <c r="G658">
        <v>1.379723</v>
      </c>
      <c r="H658" s="3">
        <v>0.4022</v>
      </c>
      <c r="I658">
        <v>2345.41</v>
      </c>
      <c r="J658" s="3">
        <v>0.39979999999999999</v>
      </c>
      <c r="K658">
        <v>5962</v>
      </c>
      <c r="T658" s="2"/>
      <c r="U658" s="2"/>
      <c r="V658" s="2"/>
      <c r="W658" s="2"/>
      <c r="X658" s="3"/>
      <c r="Y658" s="3"/>
      <c r="Z658" s="3"/>
      <c r="AA658" s="3"/>
      <c r="AF658" s="3"/>
      <c r="AG658" s="3"/>
      <c r="AH658" s="3"/>
    </row>
    <row r="659" spans="1:34" x14ac:dyDescent="0.25">
      <c r="A659" t="s">
        <v>603</v>
      </c>
      <c r="B659" t="s">
        <v>1120</v>
      </c>
      <c r="C659" t="s">
        <v>1273</v>
      </c>
      <c r="D659" s="2">
        <v>39577</v>
      </c>
      <c r="E659">
        <v>6.27</v>
      </c>
      <c r="F659" s="2">
        <v>39716</v>
      </c>
      <c r="G659">
        <v>6.4</v>
      </c>
      <c r="H659" s="3">
        <v>2.07E-2</v>
      </c>
      <c r="I659">
        <v>422.15</v>
      </c>
      <c r="J659" s="3">
        <v>1.8700000000000001E-2</v>
      </c>
      <c r="K659">
        <v>3598</v>
      </c>
      <c r="T659" s="2"/>
      <c r="U659" s="2"/>
      <c r="V659" s="2"/>
      <c r="W659" s="2"/>
      <c r="X659" s="3"/>
      <c r="Y659" s="3"/>
      <c r="Z659" s="3"/>
      <c r="AA659" s="3"/>
      <c r="AF659" s="3"/>
      <c r="AG659" s="3"/>
      <c r="AH659" s="3"/>
    </row>
    <row r="660" spans="1:34" x14ac:dyDescent="0.25">
      <c r="A660" t="s">
        <v>604</v>
      </c>
      <c r="B660" t="s">
        <v>1121</v>
      </c>
      <c r="C660" t="s">
        <v>1273</v>
      </c>
      <c r="D660" s="2">
        <v>39430</v>
      </c>
      <c r="E660">
        <v>1.77</v>
      </c>
      <c r="F660" s="2">
        <v>39668</v>
      </c>
      <c r="G660">
        <v>1.875</v>
      </c>
      <c r="H660" s="3">
        <v>5.9299999999999999E-2</v>
      </c>
      <c r="I660">
        <v>1388.56</v>
      </c>
      <c r="J660" s="3">
        <v>5.7299999999999997E-2</v>
      </c>
      <c r="K660">
        <v>13700</v>
      </c>
      <c r="T660" s="2"/>
      <c r="U660" s="2"/>
      <c r="V660" s="2"/>
      <c r="W660" s="2"/>
      <c r="X660" s="3"/>
      <c r="Y660" s="3"/>
      <c r="Z660" s="3"/>
      <c r="AA660" s="3"/>
      <c r="AF660" s="3"/>
      <c r="AG660" s="3"/>
      <c r="AH660" s="3"/>
    </row>
    <row r="661" spans="1:34" x14ac:dyDescent="0.25">
      <c r="A661" t="s">
        <v>76</v>
      </c>
      <c r="B661" t="s">
        <v>1122</v>
      </c>
      <c r="C661" t="s">
        <v>1273</v>
      </c>
      <c r="D661" s="2">
        <v>39423</v>
      </c>
      <c r="E661">
        <v>2.1192739999999999</v>
      </c>
      <c r="F661" s="2">
        <v>39654</v>
      </c>
      <c r="G661">
        <v>1.9780679999999999</v>
      </c>
      <c r="H661" s="3">
        <v>-6.6600000000000006E-2</v>
      </c>
      <c r="I661">
        <v>-1656.89</v>
      </c>
      <c r="J661" s="3">
        <v>-6.8599999999999994E-2</v>
      </c>
      <c r="K661">
        <v>11403</v>
      </c>
      <c r="T661" s="2"/>
      <c r="U661" s="2"/>
      <c r="V661" s="2"/>
      <c r="W661" s="2"/>
      <c r="X661" s="3"/>
      <c r="Y661" s="3"/>
      <c r="Z661" s="3"/>
      <c r="AA661" s="3"/>
      <c r="AF661" s="3"/>
      <c r="AG661" s="3"/>
      <c r="AH661" s="3"/>
    </row>
    <row r="662" spans="1:34" x14ac:dyDescent="0.25">
      <c r="A662" t="s">
        <v>605</v>
      </c>
      <c r="B662" t="s">
        <v>1123</v>
      </c>
      <c r="C662" t="s">
        <v>1273</v>
      </c>
      <c r="D662" s="2">
        <v>39570</v>
      </c>
      <c r="E662">
        <v>1.1696850000000001</v>
      </c>
      <c r="F662" s="2">
        <v>39647</v>
      </c>
      <c r="G662">
        <v>1.1568780000000001</v>
      </c>
      <c r="H662" s="3">
        <v>-1.09E-2</v>
      </c>
      <c r="I662">
        <v>-292.77</v>
      </c>
      <c r="J662" s="3">
        <v>-1.29E-2</v>
      </c>
      <c r="K662">
        <v>19346</v>
      </c>
      <c r="T662" s="2"/>
      <c r="U662" s="2"/>
      <c r="V662" s="2"/>
      <c r="W662" s="2"/>
      <c r="X662" s="3"/>
      <c r="Y662" s="3"/>
      <c r="Z662" s="3"/>
      <c r="AA662" s="3"/>
      <c r="AF662" s="3"/>
      <c r="AG662" s="3"/>
      <c r="AH662" s="3"/>
    </row>
    <row r="663" spans="1:34" x14ac:dyDescent="0.25">
      <c r="A663" t="s">
        <v>606</v>
      </c>
      <c r="B663" t="s">
        <v>1124</v>
      </c>
      <c r="C663" t="s">
        <v>1273</v>
      </c>
      <c r="D663" s="2">
        <v>39570</v>
      </c>
      <c r="E663">
        <v>1.713392</v>
      </c>
      <c r="F663" s="2">
        <v>39646</v>
      </c>
      <c r="G663">
        <v>1.6539680000000001</v>
      </c>
      <c r="H663" s="3">
        <v>-3.4700000000000002E-2</v>
      </c>
      <c r="I663">
        <v>-829.22</v>
      </c>
      <c r="J663" s="3">
        <v>-3.6600000000000001E-2</v>
      </c>
      <c r="K663">
        <v>13206</v>
      </c>
      <c r="T663" s="2"/>
      <c r="U663" s="2"/>
      <c r="V663" s="2"/>
      <c r="W663" s="2"/>
      <c r="X663" s="3"/>
      <c r="Y663" s="3"/>
      <c r="Z663" s="3"/>
      <c r="AA663" s="3"/>
      <c r="AF663" s="3"/>
      <c r="AG663" s="3"/>
      <c r="AH663" s="3"/>
    </row>
    <row r="664" spans="1:34" x14ac:dyDescent="0.25">
      <c r="A664" t="s">
        <v>65</v>
      </c>
      <c r="B664" t="s">
        <v>823</v>
      </c>
      <c r="C664" t="s">
        <v>1273</v>
      </c>
      <c r="D664" s="2">
        <v>39570</v>
      </c>
      <c r="E664">
        <v>1.2106220000000001</v>
      </c>
      <c r="F664" s="2">
        <v>39640</v>
      </c>
      <c r="G664">
        <v>1.337105</v>
      </c>
      <c r="H664" s="3">
        <v>0.1045</v>
      </c>
      <c r="I664">
        <v>2316.85</v>
      </c>
      <c r="J664" s="3">
        <v>0.1024</v>
      </c>
      <c r="K664">
        <v>18694</v>
      </c>
      <c r="T664" s="2"/>
      <c r="U664" s="2"/>
      <c r="V664" s="2"/>
      <c r="W664" s="2"/>
      <c r="X664" s="3"/>
      <c r="Y664" s="3"/>
      <c r="Z664" s="3"/>
      <c r="AA664" s="3"/>
      <c r="AF664" s="3"/>
      <c r="AG664" s="3"/>
      <c r="AH664" s="3"/>
    </row>
    <row r="665" spans="1:34" x14ac:dyDescent="0.25">
      <c r="A665" t="s">
        <v>146</v>
      </c>
      <c r="B665" t="s">
        <v>739</v>
      </c>
      <c r="C665" t="s">
        <v>1273</v>
      </c>
      <c r="D665" s="2">
        <v>39584</v>
      </c>
      <c r="E665">
        <v>7.01</v>
      </c>
      <c r="F665" s="2">
        <v>39640</v>
      </c>
      <c r="G665">
        <v>7.04</v>
      </c>
      <c r="H665" s="3">
        <v>4.3E-3</v>
      </c>
      <c r="I665">
        <v>53.18</v>
      </c>
      <c r="J665" s="3">
        <v>2.3E-3</v>
      </c>
      <c r="K665">
        <v>3334</v>
      </c>
      <c r="T665" s="2"/>
      <c r="U665" s="2"/>
      <c r="V665" s="2"/>
      <c r="W665" s="2"/>
      <c r="X665" s="3"/>
      <c r="Y665" s="3"/>
      <c r="Z665" s="3"/>
      <c r="AA665" s="3"/>
      <c r="AF665" s="3"/>
      <c r="AG665" s="3"/>
      <c r="AH665" s="3"/>
    </row>
    <row r="666" spans="1:34" x14ac:dyDescent="0.25">
      <c r="A666" t="s">
        <v>215</v>
      </c>
      <c r="B666" t="s">
        <v>833</v>
      </c>
      <c r="C666" t="s">
        <v>1273</v>
      </c>
      <c r="D666" s="2">
        <v>39570</v>
      </c>
      <c r="E666">
        <v>0.67496970000000001</v>
      </c>
      <c r="F666" s="2">
        <v>39640</v>
      </c>
      <c r="G666">
        <v>0.58658089999999996</v>
      </c>
      <c r="H666" s="3">
        <v>-0.13100000000000001</v>
      </c>
      <c r="I666">
        <v>-3004.81</v>
      </c>
      <c r="J666" s="3">
        <v>-0.1328</v>
      </c>
      <c r="K666">
        <v>33517</v>
      </c>
      <c r="T666" s="2"/>
      <c r="U666" s="2"/>
      <c r="V666" s="2"/>
      <c r="W666" s="2"/>
      <c r="X666" s="3"/>
      <c r="Y666" s="3"/>
      <c r="Z666" s="3"/>
      <c r="AA666" s="3"/>
      <c r="AF666" s="3"/>
      <c r="AG666" s="3"/>
      <c r="AH666" s="3"/>
    </row>
    <row r="667" spans="1:34" x14ac:dyDescent="0.25">
      <c r="A667" t="s">
        <v>607</v>
      </c>
      <c r="B667" t="s">
        <v>1125</v>
      </c>
      <c r="C667" t="s">
        <v>1273</v>
      </c>
      <c r="D667" s="2">
        <v>39577</v>
      </c>
      <c r="E667">
        <v>4.9675200000000004</v>
      </c>
      <c r="F667" s="2">
        <v>39633</v>
      </c>
      <c r="G667">
        <v>6.0840290000000001</v>
      </c>
      <c r="H667" s="3">
        <v>0.2248</v>
      </c>
      <c r="I667">
        <v>5020.99</v>
      </c>
      <c r="J667" s="3">
        <v>0.2225</v>
      </c>
      <c r="K667">
        <v>4542</v>
      </c>
      <c r="T667" s="2"/>
      <c r="U667" s="2"/>
      <c r="V667" s="2"/>
      <c r="W667" s="2"/>
      <c r="X667" s="3"/>
      <c r="Y667" s="3"/>
      <c r="Z667" s="3"/>
      <c r="AA667" s="3"/>
      <c r="AF667" s="3"/>
      <c r="AG667" s="3"/>
      <c r="AH667" s="3"/>
    </row>
    <row r="668" spans="1:34" x14ac:dyDescent="0.25">
      <c r="A668" t="s">
        <v>299</v>
      </c>
      <c r="B668" t="s">
        <v>1024</v>
      </c>
      <c r="C668" t="s">
        <v>1273</v>
      </c>
      <c r="D668" s="2">
        <v>39577</v>
      </c>
      <c r="E668">
        <v>3.3683420000000002</v>
      </c>
      <c r="F668" s="2">
        <v>39626</v>
      </c>
      <c r="G668">
        <v>4.0234810000000003</v>
      </c>
      <c r="H668" s="3">
        <v>0.19450000000000001</v>
      </c>
      <c r="I668">
        <v>4336.67</v>
      </c>
      <c r="J668" s="3">
        <v>0.1923</v>
      </c>
      <c r="K668">
        <v>6695</v>
      </c>
      <c r="T668" s="2"/>
      <c r="U668" s="2"/>
      <c r="V668" s="2"/>
      <c r="W668" s="2"/>
      <c r="X668" s="3"/>
      <c r="Y668" s="3"/>
      <c r="Z668" s="3"/>
      <c r="AA668" s="3"/>
      <c r="AF668" s="3"/>
      <c r="AG668" s="3"/>
      <c r="AH668" s="3"/>
    </row>
    <row r="669" spans="1:34" x14ac:dyDescent="0.25">
      <c r="A669" t="s">
        <v>189</v>
      </c>
      <c r="B669" t="s">
        <v>790</v>
      </c>
      <c r="C669" t="s">
        <v>1273</v>
      </c>
      <c r="D669" s="2">
        <v>39584</v>
      </c>
      <c r="E669">
        <v>1.5337000000000001</v>
      </c>
      <c r="F669" s="2">
        <v>39626</v>
      </c>
      <c r="G669">
        <v>1.44106</v>
      </c>
      <c r="H669" s="3">
        <v>-6.0400000000000002E-2</v>
      </c>
      <c r="I669">
        <v>-1457.46</v>
      </c>
      <c r="J669" s="3">
        <v>-6.2300000000000001E-2</v>
      </c>
      <c r="K669">
        <v>15243</v>
      </c>
      <c r="T669" s="2"/>
      <c r="U669" s="2"/>
      <c r="V669" s="2"/>
      <c r="W669" s="2"/>
      <c r="X669" s="3"/>
      <c r="Y669" s="3"/>
      <c r="Z669" s="3"/>
      <c r="AA669" s="3"/>
      <c r="AF669" s="3"/>
      <c r="AG669" s="3"/>
      <c r="AH669" s="3"/>
    </row>
    <row r="670" spans="1:34" x14ac:dyDescent="0.25">
      <c r="A670" t="s">
        <v>517</v>
      </c>
      <c r="B670" t="s">
        <v>991</v>
      </c>
      <c r="C670" t="s">
        <v>1273</v>
      </c>
      <c r="D670" s="2">
        <v>39584</v>
      </c>
      <c r="E670">
        <v>4.1571199999999999</v>
      </c>
      <c r="F670" s="2">
        <v>39619</v>
      </c>
      <c r="G670">
        <v>3.4012799999999999</v>
      </c>
      <c r="H670" s="3">
        <v>-0.18179999999999999</v>
      </c>
      <c r="I670">
        <v>-4291.83</v>
      </c>
      <c r="J670" s="3">
        <v>-0.18360000000000001</v>
      </c>
      <c r="K670">
        <v>5622</v>
      </c>
      <c r="T670" s="2"/>
      <c r="U670" s="2"/>
      <c r="V670" s="2"/>
      <c r="W670" s="2"/>
      <c r="X670" s="3"/>
      <c r="Y670" s="3"/>
      <c r="Z670" s="3"/>
      <c r="AA670" s="3"/>
      <c r="AF670" s="3"/>
      <c r="AG670" s="3"/>
      <c r="AH670" s="3"/>
    </row>
    <row r="671" spans="1:34" x14ac:dyDescent="0.25">
      <c r="A671" t="s">
        <v>608</v>
      </c>
      <c r="B671" t="s">
        <v>1126</v>
      </c>
      <c r="C671" t="s">
        <v>1273</v>
      </c>
      <c r="D671" s="2">
        <v>39577</v>
      </c>
      <c r="E671">
        <v>0.54</v>
      </c>
      <c r="F671" s="2">
        <v>39619</v>
      </c>
      <c r="G671">
        <v>0.81</v>
      </c>
      <c r="H671" s="3">
        <v>0.5</v>
      </c>
      <c r="I671">
        <v>11218.29</v>
      </c>
      <c r="J671" s="3">
        <v>0.4975</v>
      </c>
      <c r="K671">
        <v>41758</v>
      </c>
      <c r="T671" s="2"/>
      <c r="U671" s="2"/>
      <c r="V671" s="2"/>
      <c r="W671" s="2"/>
      <c r="X671" s="3"/>
      <c r="Y671" s="3"/>
      <c r="Z671" s="3"/>
      <c r="AA671" s="3"/>
      <c r="AF671" s="3"/>
      <c r="AG671" s="3"/>
      <c r="AH671" s="3"/>
    </row>
    <row r="672" spans="1:34" x14ac:dyDescent="0.25">
      <c r="A672" t="s">
        <v>609</v>
      </c>
      <c r="B672" t="s">
        <v>1127</v>
      </c>
      <c r="C672" t="s">
        <v>1273</v>
      </c>
      <c r="D672" s="2">
        <v>39577</v>
      </c>
      <c r="E672">
        <v>13.576499999999999</v>
      </c>
      <c r="F672" s="2">
        <v>39619</v>
      </c>
      <c r="G672">
        <v>17.843399999999999</v>
      </c>
      <c r="H672" s="3">
        <v>0.31430000000000002</v>
      </c>
      <c r="I672">
        <v>7035.13</v>
      </c>
      <c r="J672" s="3">
        <v>0.312</v>
      </c>
      <c r="K672">
        <v>1661</v>
      </c>
      <c r="T672" s="2"/>
      <c r="U672" s="2"/>
      <c r="V672" s="2"/>
      <c r="W672" s="2"/>
      <c r="X672" s="3"/>
      <c r="Y672" s="3"/>
      <c r="Z672" s="3"/>
      <c r="AA672" s="3"/>
      <c r="AF672" s="3"/>
      <c r="AG672" s="3"/>
      <c r="AH672" s="3"/>
    </row>
    <row r="673" spans="1:34" x14ac:dyDescent="0.25">
      <c r="A673" t="s">
        <v>610</v>
      </c>
      <c r="B673" t="s">
        <v>1128</v>
      </c>
      <c r="C673" t="s">
        <v>1273</v>
      </c>
      <c r="D673" s="2">
        <v>39577</v>
      </c>
      <c r="E673">
        <v>2.3588969999999998</v>
      </c>
      <c r="F673" s="2">
        <v>39619</v>
      </c>
      <c r="G673">
        <v>2.0790519999999999</v>
      </c>
      <c r="H673" s="3">
        <v>-0.1186</v>
      </c>
      <c r="I673">
        <v>-2718.31</v>
      </c>
      <c r="J673" s="3">
        <v>-0.1205</v>
      </c>
      <c r="K673">
        <v>9562</v>
      </c>
      <c r="T673" s="2"/>
      <c r="U673" s="2"/>
      <c r="V673" s="2"/>
      <c r="W673" s="2"/>
      <c r="X673" s="3"/>
      <c r="Y673" s="3"/>
      <c r="Z673" s="3"/>
      <c r="AA673" s="3"/>
      <c r="AF673" s="3"/>
      <c r="AG673" s="3"/>
      <c r="AH673" s="3"/>
    </row>
    <row r="674" spans="1:34" x14ac:dyDescent="0.25">
      <c r="A674" t="s">
        <v>95</v>
      </c>
      <c r="B674" t="s">
        <v>1129</v>
      </c>
      <c r="C674" t="s">
        <v>1273</v>
      </c>
      <c r="D674" s="2">
        <v>39577</v>
      </c>
      <c r="E674">
        <v>1.2190099999999999</v>
      </c>
      <c r="F674" s="2">
        <v>39619</v>
      </c>
      <c r="G674">
        <v>1.1111740000000001</v>
      </c>
      <c r="H674" s="3">
        <v>-8.8499999999999995E-2</v>
      </c>
      <c r="I674">
        <v>-2039.07</v>
      </c>
      <c r="J674" s="3">
        <v>-9.0399999999999994E-2</v>
      </c>
      <c r="K674">
        <v>18509</v>
      </c>
      <c r="T674" s="2"/>
      <c r="U674" s="2"/>
      <c r="V674" s="2"/>
      <c r="W674" s="2"/>
      <c r="X674" s="3"/>
      <c r="Y674" s="3"/>
      <c r="Z674" s="3"/>
      <c r="AA674" s="3"/>
      <c r="AF674" s="3"/>
      <c r="AG674" s="3"/>
      <c r="AH674" s="3"/>
    </row>
    <row r="675" spans="1:34" x14ac:dyDescent="0.25">
      <c r="A675" t="s">
        <v>323</v>
      </c>
      <c r="B675" t="s">
        <v>1130</v>
      </c>
      <c r="C675" t="s">
        <v>1273</v>
      </c>
      <c r="D675" s="2">
        <v>39577</v>
      </c>
      <c r="E675">
        <v>1.5147470000000001</v>
      </c>
      <c r="F675" s="2">
        <v>39619</v>
      </c>
      <c r="G675">
        <v>1.877319</v>
      </c>
      <c r="H675" s="3">
        <v>0.2394</v>
      </c>
      <c r="I675">
        <v>5351.06</v>
      </c>
      <c r="J675" s="3">
        <v>0.23710000000000001</v>
      </c>
      <c r="K675">
        <v>14898</v>
      </c>
      <c r="T675" s="2"/>
      <c r="U675" s="2"/>
      <c r="V675" s="2"/>
      <c r="W675" s="2"/>
      <c r="X675" s="3"/>
      <c r="Y675" s="3"/>
      <c r="Z675" s="3"/>
      <c r="AA675" s="3"/>
      <c r="AF675" s="3"/>
      <c r="AG675" s="3"/>
      <c r="AH675" s="3"/>
    </row>
    <row r="676" spans="1:34" x14ac:dyDescent="0.25">
      <c r="A676" t="s">
        <v>611</v>
      </c>
      <c r="B676" t="s">
        <v>1131</v>
      </c>
      <c r="C676" t="s">
        <v>1273</v>
      </c>
      <c r="D676" s="2">
        <v>39570</v>
      </c>
      <c r="E676">
        <v>9.5478629999999995</v>
      </c>
      <c r="F676" s="2">
        <v>39619</v>
      </c>
      <c r="G676">
        <v>10.781689999999999</v>
      </c>
      <c r="H676" s="3">
        <v>0.12920000000000001</v>
      </c>
      <c r="I676">
        <v>2874.78</v>
      </c>
      <c r="J676" s="3">
        <v>0.12709999999999999</v>
      </c>
      <c r="K676">
        <v>2369</v>
      </c>
      <c r="T676" s="2"/>
      <c r="U676" s="2"/>
      <c r="V676" s="2"/>
      <c r="W676" s="2"/>
      <c r="X676" s="3"/>
      <c r="Y676" s="3"/>
      <c r="Z676" s="3"/>
      <c r="AA676" s="3"/>
      <c r="AF676" s="3"/>
      <c r="AG676" s="3"/>
      <c r="AH676" s="3"/>
    </row>
    <row r="677" spans="1:34" x14ac:dyDescent="0.25">
      <c r="A677" t="s">
        <v>612</v>
      </c>
      <c r="B677" t="s">
        <v>1132</v>
      </c>
      <c r="C677" t="s">
        <v>1273</v>
      </c>
      <c r="D677" s="2">
        <v>39577</v>
      </c>
      <c r="E677">
        <v>3.1902180000000002</v>
      </c>
      <c r="F677" s="2">
        <v>39612</v>
      </c>
      <c r="G677">
        <v>3.3348179999999998</v>
      </c>
      <c r="H677" s="3">
        <v>4.53E-2</v>
      </c>
      <c r="I677">
        <v>976.33</v>
      </c>
      <c r="J677" s="3">
        <v>4.3299999999999998E-2</v>
      </c>
      <c r="K677">
        <v>7071</v>
      </c>
      <c r="T677" s="2"/>
      <c r="U677" s="2"/>
      <c r="V677" s="2"/>
      <c r="W677" s="2"/>
      <c r="X677" s="3"/>
      <c r="Y677" s="3"/>
      <c r="Z677" s="3"/>
      <c r="AA677" s="3"/>
      <c r="AF677" s="3"/>
      <c r="AG677" s="3"/>
      <c r="AH677" s="3"/>
    </row>
    <row r="678" spans="1:34" x14ac:dyDescent="0.25">
      <c r="A678" t="s">
        <v>53</v>
      </c>
      <c r="B678" t="s">
        <v>907</v>
      </c>
      <c r="C678" t="s">
        <v>1273</v>
      </c>
      <c r="D678" s="2">
        <v>39101</v>
      </c>
      <c r="E678">
        <v>1.084549</v>
      </c>
      <c r="F678" s="2">
        <v>39534</v>
      </c>
      <c r="G678">
        <v>0.84998450000000003</v>
      </c>
      <c r="H678" s="3">
        <v>-0.21629999999999999</v>
      </c>
      <c r="I678">
        <v>-3836.49</v>
      </c>
      <c r="J678" s="3">
        <v>-0.21809999999999999</v>
      </c>
      <c r="K678">
        <v>16222</v>
      </c>
      <c r="T678" s="2"/>
      <c r="U678" s="2"/>
      <c r="V678" s="2"/>
      <c r="W678" s="2"/>
      <c r="X678" s="3"/>
      <c r="Y678" s="3"/>
      <c r="Z678" s="3"/>
      <c r="AA678" s="3"/>
      <c r="AF678" s="3"/>
      <c r="AG678" s="3"/>
      <c r="AH678" s="3"/>
    </row>
    <row r="679" spans="1:34" x14ac:dyDescent="0.25">
      <c r="A679" t="s">
        <v>324</v>
      </c>
      <c r="B679" t="s">
        <v>1133</v>
      </c>
      <c r="C679" t="s">
        <v>1273</v>
      </c>
      <c r="D679" s="2">
        <v>37728</v>
      </c>
      <c r="E679">
        <v>1.345486</v>
      </c>
      <c r="F679" s="2">
        <v>39521</v>
      </c>
      <c r="G679">
        <v>2.499123</v>
      </c>
      <c r="H679" s="3">
        <v>0.85740000000000005</v>
      </c>
      <c r="I679">
        <v>4997</v>
      </c>
      <c r="J679" s="3">
        <v>0.85460000000000003</v>
      </c>
      <c r="K679">
        <v>4346</v>
      </c>
      <c r="T679" s="2"/>
      <c r="U679" s="2"/>
      <c r="V679" s="2"/>
      <c r="W679" s="2"/>
      <c r="X679" s="3"/>
      <c r="Y679" s="3"/>
      <c r="Z679" s="3"/>
      <c r="AA679" s="3"/>
      <c r="AF679" s="3"/>
      <c r="AG679" s="3"/>
      <c r="AH679" s="3"/>
    </row>
    <row r="680" spans="1:34" x14ac:dyDescent="0.25">
      <c r="A680" t="s">
        <v>585</v>
      </c>
      <c r="B680" t="s">
        <v>1095</v>
      </c>
      <c r="C680" t="s">
        <v>1273</v>
      </c>
      <c r="D680" s="2">
        <v>39339</v>
      </c>
      <c r="E680">
        <v>1.7369060000000001</v>
      </c>
      <c r="F680" s="2">
        <v>39479</v>
      </c>
      <c r="G680">
        <v>1.7271129999999999</v>
      </c>
      <c r="H680" s="3">
        <v>-5.5999999999999999E-3</v>
      </c>
      <c r="I680">
        <v>-159.47</v>
      </c>
      <c r="J680" s="3">
        <v>-7.6E-3</v>
      </c>
      <c r="K680">
        <v>12029</v>
      </c>
      <c r="T680" s="2"/>
      <c r="U680" s="2"/>
      <c r="V680" s="2"/>
      <c r="W680" s="2"/>
      <c r="X680" s="3"/>
      <c r="Y680" s="3"/>
      <c r="Z680" s="3"/>
      <c r="AA680" s="3"/>
      <c r="AF680" s="3"/>
      <c r="AG680" s="3"/>
      <c r="AH680" s="3"/>
    </row>
    <row r="681" spans="1:34" x14ac:dyDescent="0.25">
      <c r="A681" t="s">
        <v>304</v>
      </c>
      <c r="B681" t="s">
        <v>1050</v>
      </c>
      <c r="C681" t="s">
        <v>1273</v>
      </c>
      <c r="D681" s="2">
        <v>39332</v>
      </c>
      <c r="E681">
        <v>0.61900129999999998</v>
      </c>
      <c r="F681" s="2">
        <v>39479</v>
      </c>
      <c r="G681">
        <v>0.42186940000000001</v>
      </c>
      <c r="H681" s="3">
        <v>-0.31850000000000001</v>
      </c>
      <c r="I681">
        <v>-6723.61</v>
      </c>
      <c r="J681" s="3">
        <v>-0.3201</v>
      </c>
      <c r="K681">
        <v>33928</v>
      </c>
      <c r="T681" s="2"/>
      <c r="U681" s="2"/>
      <c r="V681" s="2"/>
      <c r="W681" s="2"/>
      <c r="X681" s="3"/>
      <c r="Y681" s="3"/>
      <c r="Z681" s="3"/>
      <c r="AA681" s="3"/>
      <c r="AF681" s="3"/>
      <c r="AG681" s="3"/>
      <c r="AH681" s="3"/>
    </row>
    <row r="682" spans="1:34" x14ac:dyDescent="0.25">
      <c r="A682" t="s">
        <v>549</v>
      </c>
      <c r="B682" t="s">
        <v>1042</v>
      </c>
      <c r="C682" t="s">
        <v>1273</v>
      </c>
      <c r="D682" s="2">
        <v>38695</v>
      </c>
      <c r="E682">
        <v>1.8088679999999999</v>
      </c>
      <c r="F682" s="2">
        <v>39479</v>
      </c>
      <c r="G682">
        <v>2.3216109999999999</v>
      </c>
      <c r="H682" s="3">
        <v>0.28349999999999997</v>
      </c>
      <c r="I682">
        <v>3429.57</v>
      </c>
      <c r="J682" s="3">
        <v>0.28120000000000001</v>
      </c>
      <c r="K682">
        <v>6743</v>
      </c>
      <c r="T682" s="2"/>
      <c r="U682" s="2"/>
      <c r="V682" s="2"/>
      <c r="W682" s="2"/>
      <c r="X682" s="3"/>
      <c r="Y682" s="3"/>
      <c r="Z682" s="3"/>
      <c r="AA682" s="3"/>
      <c r="AF682" s="3"/>
      <c r="AG682" s="3"/>
      <c r="AH682" s="3"/>
    </row>
    <row r="683" spans="1:34" x14ac:dyDescent="0.25">
      <c r="A683" t="s">
        <v>244</v>
      </c>
      <c r="B683" t="s">
        <v>874</v>
      </c>
      <c r="C683" t="s">
        <v>1273</v>
      </c>
      <c r="D683" s="2">
        <v>39423</v>
      </c>
      <c r="E683">
        <v>3.0951810000000002</v>
      </c>
      <c r="F683" s="2">
        <v>39479</v>
      </c>
      <c r="G683">
        <v>2.838775</v>
      </c>
      <c r="H683" s="3">
        <v>-8.2799999999999999E-2</v>
      </c>
      <c r="I683">
        <v>-2048.61</v>
      </c>
      <c r="J683" s="3">
        <v>-8.48E-2</v>
      </c>
      <c r="K683">
        <v>7809</v>
      </c>
      <c r="T683" s="2"/>
      <c r="U683" s="2"/>
      <c r="V683" s="2"/>
      <c r="W683" s="2"/>
      <c r="X683" s="3"/>
      <c r="Y683" s="3"/>
      <c r="Z683" s="3"/>
      <c r="AA683" s="3"/>
      <c r="AF683" s="3"/>
      <c r="AG683" s="3"/>
      <c r="AH683" s="3"/>
    </row>
    <row r="684" spans="1:34" x14ac:dyDescent="0.25">
      <c r="A684" t="s">
        <v>539</v>
      </c>
      <c r="B684" t="s">
        <v>1029</v>
      </c>
      <c r="C684" t="s">
        <v>1273</v>
      </c>
      <c r="D684" s="2">
        <v>39423</v>
      </c>
      <c r="E684">
        <v>1.411772</v>
      </c>
      <c r="F684" s="2">
        <v>39472</v>
      </c>
      <c r="G684">
        <v>1.522499</v>
      </c>
      <c r="H684" s="3">
        <v>7.8399999999999997E-2</v>
      </c>
      <c r="I684">
        <v>1845.63</v>
      </c>
      <c r="J684" s="3">
        <v>7.6399999999999996E-2</v>
      </c>
      <c r="K684">
        <v>17122</v>
      </c>
      <c r="T684" s="2"/>
      <c r="U684" s="2"/>
      <c r="V684" s="2"/>
      <c r="W684" s="2"/>
      <c r="X684" s="3"/>
      <c r="Y684" s="3"/>
      <c r="Z684" s="3"/>
      <c r="AA684" s="3"/>
      <c r="AF684" s="3"/>
      <c r="AG684" s="3"/>
      <c r="AH684" s="3"/>
    </row>
    <row r="685" spans="1:34" x14ac:dyDescent="0.25">
      <c r="A685" t="s">
        <v>613</v>
      </c>
      <c r="B685" t="s">
        <v>1134</v>
      </c>
      <c r="C685" t="s">
        <v>1273</v>
      </c>
      <c r="D685" s="2">
        <v>39346</v>
      </c>
      <c r="E685">
        <v>2.2993670000000002</v>
      </c>
      <c r="F685" s="2">
        <v>39472</v>
      </c>
      <c r="G685">
        <v>1.6695610000000001</v>
      </c>
      <c r="H685" s="3">
        <v>-0.27389999999999998</v>
      </c>
      <c r="I685">
        <v>-5804.74</v>
      </c>
      <c r="J685" s="3">
        <v>-0.27560000000000001</v>
      </c>
      <c r="K685">
        <v>9159</v>
      </c>
      <c r="T685" s="2"/>
      <c r="U685" s="2"/>
      <c r="V685" s="2"/>
      <c r="W685" s="2"/>
      <c r="X685" s="3"/>
      <c r="Y685" s="3"/>
      <c r="Z685" s="3"/>
      <c r="AA685" s="3"/>
      <c r="AF685" s="3"/>
      <c r="AG685" s="3"/>
      <c r="AH685" s="3"/>
    </row>
    <row r="686" spans="1:34" x14ac:dyDescent="0.25">
      <c r="A686" t="s">
        <v>97</v>
      </c>
      <c r="B686" t="s">
        <v>418</v>
      </c>
      <c r="C686" t="s">
        <v>1273</v>
      </c>
      <c r="D686" s="2">
        <v>39339</v>
      </c>
      <c r="E686">
        <v>4.3971559999999998</v>
      </c>
      <c r="F686" s="2">
        <v>39472</v>
      </c>
      <c r="G686">
        <v>4.4064329999999998</v>
      </c>
      <c r="H686" s="3">
        <v>2.0999999999999999E-3</v>
      </c>
      <c r="I686">
        <v>2.25</v>
      </c>
      <c r="J686" s="3">
        <v>1E-4</v>
      </c>
      <c r="K686">
        <v>4751</v>
      </c>
      <c r="T686" s="2"/>
      <c r="U686" s="2"/>
      <c r="V686" s="2"/>
      <c r="W686" s="2"/>
      <c r="X686" s="3"/>
      <c r="Y686" s="3"/>
      <c r="Z686" s="3"/>
      <c r="AA686" s="3"/>
      <c r="AF686" s="3"/>
      <c r="AG686" s="3"/>
      <c r="AH686" s="3"/>
    </row>
    <row r="687" spans="1:34" x14ac:dyDescent="0.25">
      <c r="A687" t="s">
        <v>319</v>
      </c>
      <c r="B687" t="s">
        <v>1107</v>
      </c>
      <c r="C687" t="s">
        <v>1273</v>
      </c>
      <c r="D687" s="2">
        <v>39332</v>
      </c>
      <c r="E687">
        <v>3.9218280000000001</v>
      </c>
      <c r="F687" s="2">
        <v>39472</v>
      </c>
      <c r="G687">
        <v>3.3126120000000001</v>
      </c>
      <c r="H687" s="3">
        <v>-0.15529999999999999</v>
      </c>
      <c r="I687">
        <v>-3300.48</v>
      </c>
      <c r="J687" s="3">
        <v>-0.15720000000000001</v>
      </c>
      <c r="K687">
        <v>5354</v>
      </c>
      <c r="T687" s="2"/>
      <c r="U687" s="2"/>
      <c r="V687" s="2"/>
      <c r="W687" s="2"/>
      <c r="X687" s="3"/>
      <c r="Y687" s="3"/>
      <c r="Z687" s="3"/>
      <c r="AA687" s="3"/>
      <c r="AF687" s="3"/>
      <c r="AG687" s="3"/>
      <c r="AH687" s="3"/>
    </row>
    <row r="688" spans="1:34" x14ac:dyDescent="0.25">
      <c r="A688" t="s">
        <v>614</v>
      </c>
      <c r="B688" t="s">
        <v>1135</v>
      </c>
      <c r="C688" t="s">
        <v>1273</v>
      </c>
      <c r="D688" s="2">
        <v>39332</v>
      </c>
      <c r="E688">
        <v>1.51</v>
      </c>
      <c r="F688" s="2">
        <v>39472</v>
      </c>
      <c r="G688">
        <v>1.46</v>
      </c>
      <c r="H688" s="3">
        <v>-3.3099999999999997E-2</v>
      </c>
      <c r="I688">
        <v>-736.76</v>
      </c>
      <c r="J688" s="3">
        <v>-3.5099999999999999E-2</v>
      </c>
      <c r="K688">
        <v>13909</v>
      </c>
      <c r="T688" s="2"/>
      <c r="U688" s="2"/>
      <c r="V688" s="2"/>
      <c r="W688" s="2"/>
      <c r="X688" s="3"/>
      <c r="Y688" s="3"/>
      <c r="Z688" s="3"/>
      <c r="AA688" s="3"/>
      <c r="AF688" s="3"/>
      <c r="AG688" s="3"/>
      <c r="AH688" s="3"/>
    </row>
    <row r="689" spans="1:34" x14ac:dyDescent="0.25">
      <c r="A689" t="s">
        <v>487</v>
      </c>
      <c r="B689" t="s">
        <v>939</v>
      </c>
      <c r="C689" t="s">
        <v>1273</v>
      </c>
      <c r="D689" s="2">
        <v>39332</v>
      </c>
      <c r="E689">
        <v>3.8602409999999998</v>
      </c>
      <c r="F689" s="2">
        <v>39472</v>
      </c>
      <c r="G689">
        <v>3.7829000000000002</v>
      </c>
      <c r="H689" s="3">
        <v>-0.02</v>
      </c>
      <c r="I689">
        <v>-462.4</v>
      </c>
      <c r="J689" s="3">
        <v>-2.1999999999999999E-2</v>
      </c>
      <c r="K689">
        <v>5441</v>
      </c>
      <c r="T689" s="2"/>
      <c r="U689" s="2"/>
      <c r="V689" s="2"/>
      <c r="W689" s="2"/>
      <c r="X689" s="3"/>
      <c r="Y689" s="3"/>
      <c r="Z689" s="3"/>
      <c r="AA689" s="3"/>
      <c r="AF689" s="3"/>
      <c r="AG689" s="3"/>
      <c r="AH689" s="3"/>
    </row>
    <row r="690" spans="1:34" x14ac:dyDescent="0.25">
      <c r="A690" t="s">
        <v>547</v>
      </c>
      <c r="B690" t="s">
        <v>1039</v>
      </c>
      <c r="C690" t="s">
        <v>1273</v>
      </c>
      <c r="D690" s="2">
        <v>38912</v>
      </c>
      <c r="E690">
        <v>1.2344889999999999</v>
      </c>
      <c r="F690" s="2">
        <v>39472</v>
      </c>
      <c r="G690">
        <v>2.0769090000000001</v>
      </c>
      <c r="H690" s="3">
        <v>0.68240000000000001</v>
      </c>
      <c r="I690">
        <v>9518.85</v>
      </c>
      <c r="J690" s="3">
        <v>0.67969999999999997</v>
      </c>
      <c r="K690">
        <v>11344</v>
      </c>
      <c r="T690" s="2"/>
      <c r="U690" s="2"/>
      <c r="V690" s="2"/>
      <c r="W690" s="2"/>
      <c r="X690" s="3"/>
      <c r="Y690" s="3"/>
      <c r="Z690" s="3"/>
      <c r="AA690" s="3"/>
      <c r="AF690" s="3"/>
      <c r="AG690" s="3"/>
      <c r="AH690" s="3"/>
    </row>
    <row r="691" spans="1:34" x14ac:dyDescent="0.25">
      <c r="A691" t="s">
        <v>93</v>
      </c>
      <c r="B691" t="s">
        <v>1136</v>
      </c>
      <c r="C691" t="s">
        <v>1273</v>
      </c>
      <c r="D691" s="2">
        <v>38177</v>
      </c>
      <c r="E691">
        <v>0.60112719999999997</v>
      </c>
      <c r="F691" s="2">
        <v>39465</v>
      </c>
      <c r="G691">
        <v>0.98672459999999995</v>
      </c>
      <c r="H691" s="3">
        <v>0.64149999999999996</v>
      </c>
      <c r="I691">
        <v>5590.41</v>
      </c>
      <c r="J691" s="3">
        <v>0.63880000000000003</v>
      </c>
      <c r="K691">
        <v>14558</v>
      </c>
      <c r="T691" s="2"/>
      <c r="U691" s="2"/>
      <c r="V691" s="2"/>
      <c r="W691" s="2"/>
      <c r="X691" s="3"/>
      <c r="Y691" s="3"/>
      <c r="Z691" s="3"/>
      <c r="AA691" s="3"/>
      <c r="AF691" s="3"/>
      <c r="AG691" s="3"/>
      <c r="AH691" s="3"/>
    </row>
    <row r="692" spans="1:34" x14ac:dyDescent="0.25">
      <c r="A692" t="s">
        <v>615</v>
      </c>
      <c r="B692" t="s">
        <v>1137</v>
      </c>
      <c r="C692" t="s">
        <v>1273</v>
      </c>
      <c r="D692" s="2">
        <v>39430</v>
      </c>
      <c r="E692">
        <v>6.5526720000000003</v>
      </c>
      <c r="F692" s="2">
        <v>39458</v>
      </c>
      <c r="G692">
        <v>6.01776</v>
      </c>
      <c r="H692" s="3">
        <v>-8.1600000000000006E-2</v>
      </c>
      <c r="I692">
        <v>-2026.23</v>
      </c>
      <c r="J692" s="3">
        <v>-8.3599999999999994E-2</v>
      </c>
      <c r="K692">
        <v>3701</v>
      </c>
      <c r="T692" s="2"/>
      <c r="U692" s="2"/>
      <c r="V692" s="2"/>
      <c r="W692" s="2"/>
      <c r="X692" s="3"/>
      <c r="Y692" s="3"/>
      <c r="Z692" s="3"/>
      <c r="AA692" s="3"/>
      <c r="AF692" s="3"/>
      <c r="AG692" s="3"/>
      <c r="AH692" s="3"/>
    </row>
    <row r="693" spans="1:34" x14ac:dyDescent="0.25">
      <c r="A693" t="s">
        <v>616</v>
      </c>
      <c r="B693" t="s">
        <v>1138</v>
      </c>
      <c r="C693" t="s">
        <v>1273</v>
      </c>
      <c r="D693" s="2">
        <v>39430</v>
      </c>
      <c r="E693">
        <v>11.09136</v>
      </c>
      <c r="F693" s="2">
        <v>39444</v>
      </c>
      <c r="G693">
        <v>9.3583350000000003</v>
      </c>
      <c r="H693" s="3">
        <v>-0.15629999999999999</v>
      </c>
      <c r="I693">
        <v>-3833.11</v>
      </c>
      <c r="J693" s="3">
        <v>-0.15809999999999999</v>
      </c>
      <c r="K693">
        <v>2186</v>
      </c>
      <c r="T693" s="2"/>
      <c r="U693" s="2"/>
      <c r="V693" s="2"/>
      <c r="W693" s="2"/>
      <c r="X693" s="3"/>
      <c r="Y693" s="3"/>
      <c r="Z693" s="3"/>
      <c r="AA693" s="3"/>
      <c r="AF693" s="3"/>
      <c r="AG693" s="3"/>
      <c r="AH693" s="3"/>
    </row>
    <row r="694" spans="1:34" x14ac:dyDescent="0.25">
      <c r="A694" t="s">
        <v>538</v>
      </c>
      <c r="B694" t="s">
        <v>1025</v>
      </c>
      <c r="C694" t="s">
        <v>1273</v>
      </c>
      <c r="D694" s="2">
        <v>39388</v>
      </c>
      <c r="E694">
        <v>0.5598187</v>
      </c>
      <c r="F694" s="2">
        <v>39444</v>
      </c>
      <c r="G694">
        <v>0.69341459999999999</v>
      </c>
      <c r="H694" s="3">
        <v>0.23860000000000001</v>
      </c>
      <c r="I694">
        <v>5750.55</v>
      </c>
      <c r="J694" s="3">
        <v>0.2364</v>
      </c>
      <c r="K694">
        <v>43452</v>
      </c>
      <c r="T694" s="2"/>
      <c r="U694" s="2"/>
      <c r="V694" s="2"/>
      <c r="W694" s="2"/>
      <c r="X694" s="3"/>
      <c r="Y694" s="3"/>
      <c r="Z694" s="3"/>
      <c r="AA694" s="3"/>
      <c r="AF694" s="3"/>
      <c r="AG694" s="3"/>
      <c r="AH694" s="3"/>
    </row>
    <row r="695" spans="1:34" x14ac:dyDescent="0.25">
      <c r="A695" t="s">
        <v>617</v>
      </c>
      <c r="B695" t="s">
        <v>1139</v>
      </c>
      <c r="C695" t="s">
        <v>1273</v>
      </c>
      <c r="D695" s="2">
        <v>39353</v>
      </c>
      <c r="E695">
        <v>2</v>
      </c>
      <c r="F695" s="2">
        <v>39416</v>
      </c>
      <c r="G695">
        <v>2.37</v>
      </c>
      <c r="H695" s="3">
        <v>0.185</v>
      </c>
      <c r="I695">
        <v>3927.23</v>
      </c>
      <c r="J695" s="3">
        <v>0.18279999999999999</v>
      </c>
      <c r="K695">
        <v>10741</v>
      </c>
      <c r="T695" s="2"/>
      <c r="U695" s="2"/>
      <c r="V695" s="2"/>
      <c r="W695" s="2"/>
      <c r="X695" s="3"/>
      <c r="Y695" s="3"/>
      <c r="Z695" s="3"/>
      <c r="AA695" s="3"/>
      <c r="AF695" s="3"/>
      <c r="AG695" s="3"/>
      <c r="AH695" s="3"/>
    </row>
    <row r="696" spans="1:34" x14ac:dyDescent="0.25">
      <c r="A696" t="s">
        <v>325</v>
      </c>
      <c r="B696" t="s">
        <v>1140</v>
      </c>
      <c r="C696" t="s">
        <v>1273</v>
      </c>
      <c r="D696" s="2">
        <v>39346</v>
      </c>
      <c r="E696">
        <v>6.1848910000000004</v>
      </c>
      <c r="F696" s="2">
        <v>39416</v>
      </c>
      <c r="G696">
        <v>6.1830080000000001</v>
      </c>
      <c r="H696" s="3">
        <v>-2.9999999999999997E-4</v>
      </c>
      <c r="I696">
        <v>-48.52</v>
      </c>
      <c r="J696" s="3">
        <v>-2.3E-3</v>
      </c>
      <c r="K696">
        <v>3405</v>
      </c>
      <c r="T696" s="2"/>
      <c r="U696" s="2"/>
      <c r="V696" s="2"/>
      <c r="W696" s="2"/>
      <c r="X696" s="3"/>
      <c r="Y696" s="3"/>
      <c r="Z696" s="3"/>
      <c r="AA696" s="3"/>
      <c r="AF696" s="3"/>
      <c r="AG696" s="3"/>
      <c r="AH696" s="3"/>
    </row>
    <row r="697" spans="1:34" x14ac:dyDescent="0.25">
      <c r="A697" t="s">
        <v>618</v>
      </c>
      <c r="B697" t="s">
        <v>1141</v>
      </c>
      <c r="C697" t="s">
        <v>1273</v>
      </c>
      <c r="D697" s="2">
        <v>39339</v>
      </c>
      <c r="E697">
        <v>2.921713</v>
      </c>
      <c r="F697" s="2">
        <v>39416</v>
      </c>
      <c r="G697">
        <v>4.3871209999999996</v>
      </c>
      <c r="H697" s="3">
        <v>0.50160000000000005</v>
      </c>
      <c r="I697">
        <v>10428.33</v>
      </c>
      <c r="J697" s="3">
        <v>0.49909999999999999</v>
      </c>
      <c r="K697">
        <v>7152</v>
      </c>
      <c r="T697" s="2"/>
      <c r="U697" s="2"/>
      <c r="V697" s="2"/>
      <c r="W697" s="2"/>
      <c r="X697" s="3"/>
      <c r="Y697" s="3"/>
      <c r="Z697" s="3"/>
      <c r="AA697" s="3"/>
      <c r="AF697" s="3"/>
      <c r="AG697" s="3"/>
      <c r="AH697" s="3"/>
    </row>
    <row r="698" spans="1:34" x14ac:dyDescent="0.25">
      <c r="A698" t="s">
        <v>550</v>
      </c>
      <c r="B698" t="s">
        <v>1043</v>
      </c>
      <c r="C698" t="s">
        <v>1273</v>
      </c>
      <c r="D698" s="2">
        <v>39339</v>
      </c>
      <c r="E698">
        <v>7.7362820000000001</v>
      </c>
      <c r="F698" s="2">
        <v>39416</v>
      </c>
      <c r="G698">
        <v>10.68069</v>
      </c>
      <c r="H698" s="3">
        <v>0.38059999999999999</v>
      </c>
      <c r="I698">
        <v>7903.1</v>
      </c>
      <c r="J698" s="3">
        <v>0.37819999999999998</v>
      </c>
      <c r="K698">
        <v>2701</v>
      </c>
      <c r="T698" s="2"/>
      <c r="U698" s="2"/>
      <c r="V698" s="2"/>
      <c r="W698" s="2"/>
      <c r="X698" s="3"/>
      <c r="Y698" s="3"/>
      <c r="Z698" s="3"/>
      <c r="AA698" s="3"/>
      <c r="AF698" s="3"/>
      <c r="AG698" s="3"/>
      <c r="AH698" s="3"/>
    </row>
    <row r="699" spans="1:34" x14ac:dyDescent="0.25">
      <c r="A699" t="s">
        <v>619</v>
      </c>
      <c r="B699" t="s">
        <v>1142</v>
      </c>
      <c r="C699" t="s">
        <v>1273</v>
      </c>
      <c r="D699" s="2">
        <v>39339</v>
      </c>
      <c r="E699">
        <v>2.5565989999999998</v>
      </c>
      <c r="F699" s="2">
        <v>39416</v>
      </c>
      <c r="G699">
        <v>3.2205219999999999</v>
      </c>
      <c r="H699" s="3">
        <v>0.25969999999999999</v>
      </c>
      <c r="I699">
        <v>5380.34</v>
      </c>
      <c r="J699" s="3">
        <v>0.25740000000000002</v>
      </c>
      <c r="K699">
        <v>8175</v>
      </c>
      <c r="T699" s="2"/>
      <c r="U699" s="2"/>
      <c r="V699" s="2"/>
      <c r="W699" s="2"/>
      <c r="X699" s="3"/>
      <c r="Y699" s="3"/>
      <c r="Z699" s="3"/>
      <c r="AA699" s="3"/>
      <c r="AF699" s="3"/>
      <c r="AG699" s="3"/>
      <c r="AH699" s="3"/>
    </row>
    <row r="700" spans="1:34" x14ac:dyDescent="0.25">
      <c r="A700" t="s">
        <v>616</v>
      </c>
      <c r="B700" t="s">
        <v>1138</v>
      </c>
      <c r="C700" t="s">
        <v>1273</v>
      </c>
      <c r="D700" s="2">
        <v>39339</v>
      </c>
      <c r="E700">
        <v>3.9611999999999998</v>
      </c>
      <c r="F700" s="2">
        <v>39416</v>
      </c>
      <c r="G700">
        <v>9.3484320000000007</v>
      </c>
      <c r="H700" s="3">
        <v>1.36</v>
      </c>
      <c r="I700">
        <v>28352.799999999999</v>
      </c>
      <c r="J700" s="3">
        <v>1.3566</v>
      </c>
      <c r="K700">
        <v>5276</v>
      </c>
      <c r="T700" s="2"/>
      <c r="U700" s="2"/>
      <c r="V700" s="2"/>
      <c r="W700" s="2"/>
      <c r="X700" s="3"/>
      <c r="Y700" s="3"/>
      <c r="Z700" s="3"/>
      <c r="AA700" s="3"/>
      <c r="AF700" s="3"/>
      <c r="AG700" s="3"/>
      <c r="AH700" s="3"/>
    </row>
    <row r="701" spans="1:34" x14ac:dyDescent="0.25">
      <c r="A701" t="s">
        <v>100</v>
      </c>
      <c r="B701" t="s">
        <v>1143</v>
      </c>
      <c r="C701" t="s">
        <v>1273</v>
      </c>
      <c r="D701" s="2">
        <v>39332</v>
      </c>
      <c r="E701">
        <v>0.81391570000000002</v>
      </c>
      <c r="F701" s="2">
        <v>39388</v>
      </c>
      <c r="G701">
        <v>0.91636879999999998</v>
      </c>
      <c r="H701" s="3">
        <v>0.12590000000000001</v>
      </c>
      <c r="I701">
        <v>2599.66</v>
      </c>
      <c r="J701" s="3">
        <v>0.12379999999999999</v>
      </c>
      <c r="K701">
        <v>25810</v>
      </c>
      <c r="T701" s="2"/>
      <c r="U701" s="2"/>
      <c r="V701" s="2"/>
      <c r="W701" s="2"/>
      <c r="X701" s="3"/>
      <c r="Y701" s="3"/>
      <c r="Z701" s="3"/>
      <c r="AA701" s="3"/>
      <c r="AF701" s="3"/>
      <c r="AG701" s="3"/>
      <c r="AH701" s="3"/>
    </row>
    <row r="702" spans="1:34" x14ac:dyDescent="0.25">
      <c r="A702" t="s">
        <v>326</v>
      </c>
      <c r="B702" t="s">
        <v>1144</v>
      </c>
      <c r="C702" t="s">
        <v>1273</v>
      </c>
      <c r="D702" s="2">
        <v>38625</v>
      </c>
      <c r="E702">
        <v>1.2892779999999999</v>
      </c>
      <c r="F702" s="2">
        <v>39318</v>
      </c>
      <c r="G702">
        <v>3.6391209999999998</v>
      </c>
      <c r="H702" s="3">
        <v>1.8226</v>
      </c>
      <c r="I702">
        <v>22086.75</v>
      </c>
      <c r="J702" s="3">
        <v>1.8188</v>
      </c>
      <c r="K702">
        <v>9419</v>
      </c>
      <c r="T702" s="2"/>
      <c r="U702" s="2"/>
      <c r="V702" s="2"/>
      <c r="W702" s="2"/>
      <c r="X702" s="3"/>
      <c r="Y702" s="3"/>
      <c r="Z702" s="3"/>
      <c r="AA702" s="3"/>
      <c r="AF702" s="3"/>
      <c r="AG702" s="3"/>
      <c r="AH702" s="3"/>
    </row>
    <row r="703" spans="1:34" x14ac:dyDescent="0.25">
      <c r="A703" t="s">
        <v>620</v>
      </c>
      <c r="B703" t="s">
        <v>1145</v>
      </c>
      <c r="C703" t="s">
        <v>1273</v>
      </c>
      <c r="D703" s="2">
        <v>38954</v>
      </c>
      <c r="E703">
        <v>2.2513960000000002</v>
      </c>
      <c r="F703" s="2">
        <v>39318</v>
      </c>
      <c r="G703">
        <v>4.1159470000000002</v>
      </c>
      <c r="H703" s="3">
        <v>0.82820000000000005</v>
      </c>
      <c r="I703">
        <v>11883.08</v>
      </c>
      <c r="J703" s="3">
        <v>0.82530000000000003</v>
      </c>
      <c r="K703">
        <v>6395</v>
      </c>
      <c r="T703" s="2"/>
      <c r="U703" s="2"/>
      <c r="V703" s="2"/>
      <c r="W703" s="2"/>
      <c r="X703" s="3"/>
      <c r="Y703" s="3"/>
      <c r="Z703" s="3"/>
      <c r="AA703" s="3"/>
      <c r="AF703" s="3"/>
      <c r="AG703" s="3"/>
      <c r="AH703" s="3"/>
    </row>
    <row r="704" spans="1:34" x14ac:dyDescent="0.25">
      <c r="A704" t="s">
        <v>544</v>
      </c>
      <c r="B704" t="s">
        <v>1036</v>
      </c>
      <c r="C704" t="s">
        <v>1273</v>
      </c>
      <c r="D704" s="2">
        <v>38912</v>
      </c>
      <c r="E704">
        <v>0.54548140000000001</v>
      </c>
      <c r="F704" s="2">
        <v>39318</v>
      </c>
      <c r="G704">
        <v>0.79795099999999997</v>
      </c>
      <c r="H704" s="3">
        <v>0.46279999999999999</v>
      </c>
      <c r="I704">
        <v>6447.92</v>
      </c>
      <c r="J704" s="3">
        <v>0.46039999999999998</v>
      </c>
      <c r="K704">
        <v>25676</v>
      </c>
      <c r="T704" s="2"/>
      <c r="U704" s="2"/>
      <c r="V704" s="2"/>
      <c r="W704" s="2"/>
      <c r="X704" s="3"/>
      <c r="Y704" s="3"/>
      <c r="Z704" s="3"/>
      <c r="AA704" s="3"/>
      <c r="AF704" s="3"/>
      <c r="AG704" s="3"/>
      <c r="AH704" s="3"/>
    </row>
    <row r="705" spans="1:34" x14ac:dyDescent="0.25">
      <c r="A705" t="s">
        <v>621</v>
      </c>
      <c r="B705" t="s">
        <v>1146</v>
      </c>
      <c r="C705" t="s">
        <v>1273</v>
      </c>
      <c r="D705" s="2">
        <v>38912</v>
      </c>
      <c r="E705">
        <v>11.44223</v>
      </c>
      <c r="F705" s="2">
        <v>39311</v>
      </c>
      <c r="G705">
        <v>25.702449999999999</v>
      </c>
      <c r="H705" s="3">
        <v>1.2463</v>
      </c>
      <c r="I705">
        <v>17394.82</v>
      </c>
      <c r="J705" s="3">
        <v>1.2430000000000001</v>
      </c>
      <c r="K705">
        <v>1223</v>
      </c>
      <c r="T705" s="2"/>
      <c r="U705" s="2"/>
      <c r="V705" s="2"/>
      <c r="W705" s="2"/>
      <c r="X705" s="3"/>
      <c r="Y705" s="3"/>
      <c r="Z705" s="3"/>
      <c r="AA705" s="3"/>
      <c r="AF705" s="3"/>
      <c r="AG705" s="3"/>
      <c r="AH705" s="3"/>
    </row>
    <row r="706" spans="1:34" x14ac:dyDescent="0.25">
      <c r="A706" t="s">
        <v>550</v>
      </c>
      <c r="B706" t="s">
        <v>1043</v>
      </c>
      <c r="C706" t="s">
        <v>1273</v>
      </c>
      <c r="D706" s="2">
        <v>39171</v>
      </c>
      <c r="E706">
        <v>5.157019</v>
      </c>
      <c r="F706" s="2">
        <v>39304</v>
      </c>
      <c r="G706">
        <v>6.410914</v>
      </c>
      <c r="H706" s="3">
        <v>0.24310000000000001</v>
      </c>
      <c r="I706">
        <v>4604.0600000000004</v>
      </c>
      <c r="J706" s="3">
        <v>0.2409</v>
      </c>
      <c r="K706">
        <v>3706</v>
      </c>
      <c r="T706" s="2"/>
      <c r="U706" s="2"/>
      <c r="V706" s="2"/>
      <c r="W706" s="2"/>
      <c r="X706" s="3"/>
      <c r="Y706" s="3"/>
      <c r="Z706" s="3"/>
      <c r="AA706" s="3"/>
      <c r="AF706" s="3"/>
      <c r="AG706" s="3"/>
      <c r="AH706" s="3"/>
    </row>
    <row r="707" spans="1:34" x14ac:dyDescent="0.25">
      <c r="A707" t="s">
        <v>611</v>
      </c>
      <c r="B707" t="s">
        <v>1131</v>
      </c>
      <c r="C707" t="s">
        <v>1273</v>
      </c>
      <c r="D707" s="2">
        <v>39143</v>
      </c>
      <c r="E707">
        <v>2.3999130000000002</v>
      </c>
      <c r="F707" s="2">
        <v>39304</v>
      </c>
      <c r="G707">
        <v>2.9477199999999999</v>
      </c>
      <c r="H707" s="3">
        <v>0.2283</v>
      </c>
      <c r="I707">
        <v>4357.03</v>
      </c>
      <c r="J707" s="3">
        <v>0.22600000000000001</v>
      </c>
      <c r="K707">
        <v>8032</v>
      </c>
      <c r="T707" s="2"/>
      <c r="U707" s="2"/>
      <c r="V707" s="2"/>
      <c r="W707" s="2"/>
      <c r="X707" s="3"/>
      <c r="Y707" s="3"/>
      <c r="Z707" s="3"/>
      <c r="AA707" s="3"/>
      <c r="AF707" s="3"/>
      <c r="AG707" s="3"/>
      <c r="AH707" s="3"/>
    </row>
    <row r="708" spans="1:34" x14ac:dyDescent="0.25">
      <c r="A708" t="s">
        <v>327</v>
      </c>
      <c r="B708" t="s">
        <v>1147</v>
      </c>
      <c r="C708" t="s">
        <v>1273</v>
      </c>
      <c r="D708" s="2">
        <v>38667</v>
      </c>
      <c r="E708">
        <v>0.62716689999999997</v>
      </c>
      <c r="F708" s="2">
        <v>39304</v>
      </c>
      <c r="G708">
        <v>0.92676449999999999</v>
      </c>
      <c r="H708" s="3">
        <v>0.47770000000000001</v>
      </c>
      <c r="I708">
        <v>5682.2</v>
      </c>
      <c r="J708" s="3">
        <v>0.47520000000000001</v>
      </c>
      <c r="K708">
        <v>19065</v>
      </c>
      <c r="T708" s="2"/>
      <c r="U708" s="2"/>
      <c r="V708" s="2"/>
      <c r="W708" s="2"/>
      <c r="X708" s="3"/>
      <c r="Y708" s="3"/>
      <c r="Z708" s="3"/>
      <c r="AA708" s="3"/>
      <c r="AF708" s="3"/>
      <c r="AG708" s="3"/>
      <c r="AH708" s="3"/>
    </row>
    <row r="709" spans="1:34" x14ac:dyDescent="0.25">
      <c r="A709" t="s">
        <v>571</v>
      </c>
      <c r="B709" t="s">
        <v>1077</v>
      </c>
      <c r="C709" t="s">
        <v>1273</v>
      </c>
      <c r="D709" s="2">
        <v>39255</v>
      </c>
      <c r="E709">
        <v>1.3882220000000001</v>
      </c>
      <c r="F709" s="2">
        <v>39297</v>
      </c>
      <c r="G709">
        <v>1.754923</v>
      </c>
      <c r="H709" s="3">
        <v>0.26419999999999999</v>
      </c>
      <c r="I709">
        <v>5396.29</v>
      </c>
      <c r="J709" s="3">
        <v>0.26190000000000002</v>
      </c>
      <c r="K709">
        <v>14843</v>
      </c>
      <c r="T709" s="2"/>
      <c r="U709" s="2"/>
      <c r="V709" s="2"/>
      <c r="W709" s="2"/>
      <c r="X709" s="3"/>
      <c r="Y709" s="3"/>
      <c r="Z709" s="3"/>
      <c r="AA709" s="3"/>
      <c r="AF709" s="3"/>
      <c r="AG709" s="3"/>
      <c r="AH709" s="3"/>
    </row>
    <row r="710" spans="1:34" x14ac:dyDescent="0.25">
      <c r="A710" t="s">
        <v>615</v>
      </c>
      <c r="B710" t="s">
        <v>1137</v>
      </c>
      <c r="C710" t="s">
        <v>1273</v>
      </c>
      <c r="D710" s="2">
        <v>39177</v>
      </c>
      <c r="E710">
        <v>4.4798879999999999</v>
      </c>
      <c r="F710" s="2">
        <v>39297</v>
      </c>
      <c r="G710">
        <v>4.9479360000000003</v>
      </c>
      <c r="H710" s="3">
        <v>0.1045</v>
      </c>
      <c r="I710">
        <v>1962.89</v>
      </c>
      <c r="J710" s="3">
        <v>0.1024</v>
      </c>
      <c r="K710">
        <v>4280</v>
      </c>
      <c r="T710" s="2"/>
      <c r="U710" s="2"/>
      <c r="V710" s="2"/>
      <c r="W710" s="2"/>
      <c r="X710" s="3"/>
      <c r="Y710" s="3"/>
      <c r="Z710" s="3"/>
      <c r="AA710" s="3"/>
      <c r="AF710" s="3"/>
      <c r="AG710" s="3"/>
      <c r="AH710" s="3"/>
    </row>
    <row r="711" spans="1:34" x14ac:dyDescent="0.25">
      <c r="A711" t="s">
        <v>215</v>
      </c>
      <c r="B711" t="s">
        <v>833</v>
      </c>
      <c r="C711" t="s">
        <v>1273</v>
      </c>
      <c r="D711" s="2">
        <v>39157</v>
      </c>
      <c r="E711">
        <v>0.54640409999999995</v>
      </c>
      <c r="F711" s="2">
        <v>39297</v>
      </c>
      <c r="G711">
        <v>0.60265150000000001</v>
      </c>
      <c r="H711" s="3">
        <v>0.10290000000000001</v>
      </c>
      <c r="I711">
        <v>1929.32</v>
      </c>
      <c r="J711" s="3">
        <v>0.1008</v>
      </c>
      <c r="K711">
        <v>35016</v>
      </c>
      <c r="T711" s="2"/>
      <c r="U711" s="2"/>
      <c r="V711" s="2"/>
      <c r="W711" s="2"/>
      <c r="X711" s="3"/>
      <c r="Y711" s="3"/>
      <c r="Z711" s="3"/>
      <c r="AA711" s="3"/>
      <c r="AF711" s="3"/>
      <c r="AG711" s="3"/>
      <c r="AH711" s="3"/>
    </row>
    <row r="712" spans="1:34" x14ac:dyDescent="0.25">
      <c r="A712" t="s">
        <v>539</v>
      </c>
      <c r="B712" t="s">
        <v>1029</v>
      </c>
      <c r="C712" t="s">
        <v>1273</v>
      </c>
      <c r="D712" s="2">
        <v>39038</v>
      </c>
      <c r="E712">
        <v>0.64007289999999994</v>
      </c>
      <c r="F712" s="2">
        <v>39297</v>
      </c>
      <c r="G712">
        <v>1.171462</v>
      </c>
      <c r="H712" s="3">
        <v>0.83020000000000005</v>
      </c>
      <c r="I712">
        <v>13415.79</v>
      </c>
      <c r="J712" s="3">
        <v>0.82740000000000002</v>
      </c>
      <c r="K712">
        <v>25333</v>
      </c>
      <c r="T712" s="2"/>
      <c r="U712" s="2"/>
      <c r="V712" s="2"/>
      <c r="W712" s="2"/>
      <c r="X712" s="3"/>
      <c r="Y712" s="3"/>
      <c r="Z712" s="3"/>
      <c r="AA712" s="3"/>
      <c r="AF712" s="3"/>
      <c r="AG712" s="3"/>
      <c r="AH712" s="3"/>
    </row>
    <row r="713" spans="1:34" x14ac:dyDescent="0.25">
      <c r="A713" t="s">
        <v>98</v>
      </c>
      <c r="B713" t="s">
        <v>937</v>
      </c>
      <c r="C713" t="s">
        <v>1273</v>
      </c>
      <c r="D713" s="2">
        <v>39177</v>
      </c>
      <c r="E713">
        <v>6.6575249999999997</v>
      </c>
      <c r="F713" s="2">
        <v>39295</v>
      </c>
      <c r="G713">
        <v>9.0616310000000002</v>
      </c>
      <c r="H713" s="3">
        <v>0.36109999999999998</v>
      </c>
      <c r="I713">
        <v>6876.16</v>
      </c>
      <c r="J713" s="3">
        <v>0.35870000000000002</v>
      </c>
      <c r="K713">
        <v>2879</v>
      </c>
      <c r="T713" s="2"/>
      <c r="U713" s="2"/>
      <c r="V713" s="2"/>
      <c r="W713" s="2"/>
      <c r="X713" s="3"/>
      <c r="Y713" s="3"/>
      <c r="Z713" s="3"/>
      <c r="AA713" s="3"/>
      <c r="AF713" s="3"/>
      <c r="AG713" s="3"/>
      <c r="AH713" s="3"/>
    </row>
    <row r="714" spans="1:34" x14ac:dyDescent="0.25">
      <c r="A714" t="s">
        <v>622</v>
      </c>
      <c r="B714" t="s">
        <v>1148</v>
      </c>
      <c r="C714" t="s">
        <v>1273</v>
      </c>
      <c r="D714" s="2">
        <v>38772</v>
      </c>
      <c r="E714">
        <v>1.336967</v>
      </c>
      <c r="F714" s="2">
        <v>39262</v>
      </c>
      <c r="G714">
        <v>1.755422</v>
      </c>
      <c r="H714" s="3">
        <v>0.313</v>
      </c>
      <c r="I714">
        <v>4078.86</v>
      </c>
      <c r="J714" s="3">
        <v>0.31069999999999998</v>
      </c>
      <c r="K714">
        <v>9820</v>
      </c>
      <c r="T714" s="2"/>
      <c r="U714" s="2"/>
      <c r="V714" s="2"/>
      <c r="W714" s="2"/>
      <c r="X714" s="3"/>
      <c r="Y714" s="3"/>
      <c r="Z714" s="3"/>
      <c r="AA714" s="3"/>
      <c r="AF714" s="3"/>
      <c r="AG714" s="3"/>
      <c r="AH714" s="3"/>
    </row>
    <row r="715" spans="1:34" x14ac:dyDescent="0.25">
      <c r="A715" t="s">
        <v>623</v>
      </c>
      <c r="B715" t="s">
        <v>1149</v>
      </c>
      <c r="C715" t="s">
        <v>1273</v>
      </c>
      <c r="D715" s="2">
        <v>39171</v>
      </c>
      <c r="E715">
        <v>2.8943970000000001</v>
      </c>
      <c r="F715" s="2">
        <v>39255</v>
      </c>
      <c r="G715">
        <v>1.9326509999999999</v>
      </c>
      <c r="H715" s="3">
        <v>-0.33229999999999998</v>
      </c>
      <c r="I715">
        <v>-6382.28</v>
      </c>
      <c r="J715" s="3">
        <v>-0.33389999999999997</v>
      </c>
      <c r="K715">
        <v>6603</v>
      </c>
      <c r="T715" s="2"/>
      <c r="U715" s="2"/>
      <c r="V715" s="2"/>
      <c r="W715" s="2"/>
      <c r="X715" s="3"/>
      <c r="Y715" s="3"/>
      <c r="Z715" s="3"/>
      <c r="AA715" s="3"/>
      <c r="AF715" s="3"/>
      <c r="AG715" s="3"/>
      <c r="AH715" s="3"/>
    </row>
    <row r="716" spans="1:34" x14ac:dyDescent="0.25">
      <c r="A716" t="s">
        <v>104</v>
      </c>
      <c r="B716" t="s">
        <v>810</v>
      </c>
      <c r="C716" t="s">
        <v>1273</v>
      </c>
      <c r="D716" s="2">
        <v>38541</v>
      </c>
      <c r="E716">
        <v>1.178696</v>
      </c>
      <c r="F716" s="2">
        <v>39177</v>
      </c>
      <c r="G716">
        <v>4.035507</v>
      </c>
      <c r="H716" s="3">
        <v>2.4237000000000002</v>
      </c>
      <c r="I716">
        <v>26271.759999999998</v>
      </c>
      <c r="J716" s="3">
        <v>2.4192999999999998</v>
      </c>
      <c r="K716">
        <v>9213</v>
      </c>
      <c r="T716" s="2"/>
      <c r="U716" s="2"/>
      <c r="V716" s="2"/>
      <c r="W716" s="2"/>
      <c r="X716" s="3"/>
      <c r="Y716" s="3"/>
      <c r="Z716" s="3"/>
      <c r="AA716" s="3"/>
      <c r="AF716" s="3"/>
      <c r="AG716" s="3"/>
      <c r="AH716" s="3"/>
    </row>
    <row r="717" spans="1:34" x14ac:dyDescent="0.25">
      <c r="A717" t="s">
        <v>132</v>
      </c>
      <c r="B717" t="s">
        <v>438</v>
      </c>
      <c r="C717" t="s">
        <v>1273</v>
      </c>
      <c r="D717" s="2">
        <v>38534</v>
      </c>
      <c r="E717">
        <v>1.094608</v>
      </c>
      <c r="F717" s="2">
        <v>39171</v>
      </c>
      <c r="G717">
        <v>2.011441</v>
      </c>
      <c r="H717" s="3">
        <v>0.83760000000000001</v>
      </c>
      <c r="I717">
        <v>9012.09</v>
      </c>
      <c r="J717" s="3">
        <v>0.83479999999999999</v>
      </c>
      <c r="K717">
        <v>9863</v>
      </c>
      <c r="T717" s="2"/>
      <c r="U717" s="2"/>
      <c r="V717" s="2"/>
      <c r="W717" s="2"/>
      <c r="X717" s="3"/>
      <c r="Y717" s="3"/>
      <c r="Z717" s="3"/>
      <c r="AA717" s="3"/>
      <c r="AF717" s="3"/>
      <c r="AG717" s="3"/>
      <c r="AH717" s="3"/>
    </row>
    <row r="718" spans="1:34" x14ac:dyDescent="0.25">
      <c r="A718" t="s">
        <v>624</v>
      </c>
      <c r="B718" t="s">
        <v>1150</v>
      </c>
      <c r="C718" t="s">
        <v>1273</v>
      </c>
      <c r="D718" s="2">
        <v>38562</v>
      </c>
      <c r="E718">
        <v>0.71317929999999996</v>
      </c>
      <c r="F718" s="2">
        <v>39164</v>
      </c>
      <c r="G718">
        <v>0.91674849999999997</v>
      </c>
      <c r="H718" s="3">
        <v>0.28539999999999999</v>
      </c>
      <c r="I718">
        <v>3113.3</v>
      </c>
      <c r="J718" s="3">
        <v>0.28320000000000001</v>
      </c>
      <c r="K718">
        <v>15417</v>
      </c>
      <c r="T718" s="2"/>
      <c r="U718" s="2"/>
      <c r="V718" s="2"/>
      <c r="W718" s="2"/>
      <c r="X718" s="3"/>
      <c r="Y718" s="3"/>
      <c r="Z718" s="3"/>
      <c r="AA718" s="3"/>
      <c r="AF718" s="3"/>
      <c r="AG718" s="3"/>
      <c r="AH718" s="3"/>
    </row>
    <row r="719" spans="1:34" x14ac:dyDescent="0.25">
      <c r="A719" t="s">
        <v>625</v>
      </c>
      <c r="B719" t="s">
        <v>1151</v>
      </c>
      <c r="C719" t="s">
        <v>1273</v>
      </c>
      <c r="D719" s="2">
        <v>38779</v>
      </c>
      <c r="E719">
        <v>3.2727439999999999</v>
      </c>
      <c r="F719" s="2">
        <v>39157</v>
      </c>
      <c r="G719">
        <v>4.25</v>
      </c>
      <c r="H719" s="3">
        <v>0.29859999999999998</v>
      </c>
      <c r="I719">
        <v>3986.57</v>
      </c>
      <c r="J719" s="3">
        <v>0.29630000000000001</v>
      </c>
      <c r="K719">
        <v>4111</v>
      </c>
      <c r="T719" s="2"/>
      <c r="U719" s="2"/>
      <c r="V719" s="2"/>
      <c r="W719" s="2"/>
      <c r="X719" s="3"/>
      <c r="Y719" s="3"/>
      <c r="Z719" s="3"/>
      <c r="AA719" s="3"/>
      <c r="AF719" s="3"/>
      <c r="AG719" s="3"/>
      <c r="AH719" s="3"/>
    </row>
    <row r="720" spans="1:34" x14ac:dyDescent="0.25">
      <c r="A720" t="s">
        <v>328</v>
      </c>
      <c r="B720" t="s">
        <v>1152</v>
      </c>
      <c r="C720" t="s">
        <v>1273</v>
      </c>
      <c r="D720" s="2">
        <v>38121</v>
      </c>
      <c r="E720">
        <v>0.76285400000000003</v>
      </c>
      <c r="F720" s="2">
        <v>39143</v>
      </c>
      <c r="G720">
        <v>1.7015210000000001</v>
      </c>
      <c r="H720" s="3">
        <v>1.2304999999999999</v>
      </c>
      <c r="I720">
        <v>10762.59</v>
      </c>
      <c r="J720" s="3">
        <v>1.2272000000000001</v>
      </c>
      <c r="K720">
        <v>11496</v>
      </c>
      <c r="T720" s="2"/>
      <c r="U720" s="2"/>
      <c r="V720" s="2"/>
      <c r="W720" s="2"/>
      <c r="X720" s="3"/>
      <c r="Y720" s="3"/>
      <c r="Z720" s="3"/>
      <c r="AA720" s="3"/>
      <c r="AF720" s="3"/>
      <c r="AG720" s="3"/>
      <c r="AH720" s="3"/>
    </row>
    <row r="721" spans="1:34" x14ac:dyDescent="0.25">
      <c r="A721" t="s">
        <v>626</v>
      </c>
      <c r="B721" t="s">
        <v>1153</v>
      </c>
      <c r="C721" t="s">
        <v>1273</v>
      </c>
      <c r="D721" s="2">
        <v>38555</v>
      </c>
      <c r="E721">
        <v>1.483446</v>
      </c>
      <c r="F721" s="2">
        <v>39094</v>
      </c>
      <c r="G721">
        <v>2.6942759999999999</v>
      </c>
      <c r="H721" s="3">
        <v>0.81620000000000004</v>
      </c>
      <c r="I721">
        <v>8852</v>
      </c>
      <c r="J721" s="3">
        <v>0.81340000000000001</v>
      </c>
      <c r="K721">
        <v>7336</v>
      </c>
      <c r="T721" s="2"/>
      <c r="U721" s="2"/>
      <c r="V721" s="2"/>
      <c r="W721" s="2"/>
      <c r="X721" s="3"/>
      <c r="Y721" s="3"/>
      <c r="Z721" s="3"/>
      <c r="AA721" s="3"/>
      <c r="AF721" s="3"/>
      <c r="AG721" s="3"/>
      <c r="AH721" s="3"/>
    </row>
    <row r="722" spans="1:34" x14ac:dyDescent="0.25">
      <c r="A722" t="s">
        <v>627</v>
      </c>
      <c r="B722" t="s">
        <v>1154</v>
      </c>
      <c r="C722" t="s">
        <v>1273</v>
      </c>
      <c r="D722" s="2">
        <v>38954</v>
      </c>
      <c r="E722">
        <v>2.8332670000000002</v>
      </c>
      <c r="F722" s="2">
        <v>39035</v>
      </c>
      <c r="G722">
        <v>2.99</v>
      </c>
      <c r="H722" s="3">
        <v>5.5300000000000002E-2</v>
      </c>
      <c r="I722">
        <v>766.77</v>
      </c>
      <c r="J722" s="3">
        <v>5.33E-2</v>
      </c>
      <c r="K722">
        <v>5081</v>
      </c>
      <c r="T722" s="2"/>
      <c r="U722" s="2"/>
      <c r="V722" s="2"/>
      <c r="W722" s="2"/>
      <c r="X722" s="3"/>
      <c r="Y722" s="3"/>
      <c r="Z722" s="3"/>
      <c r="AA722" s="3"/>
      <c r="AF722" s="3"/>
      <c r="AG722" s="3"/>
      <c r="AH722" s="3"/>
    </row>
    <row r="723" spans="1:34" x14ac:dyDescent="0.25">
      <c r="A723" t="s">
        <v>68</v>
      </c>
      <c r="B723" t="s">
        <v>1155</v>
      </c>
      <c r="C723" t="s">
        <v>1273</v>
      </c>
      <c r="D723" s="2">
        <v>38954</v>
      </c>
      <c r="E723">
        <v>0.55617059999999996</v>
      </c>
      <c r="F723" s="2">
        <v>38989</v>
      </c>
      <c r="G723">
        <v>0.51917670000000005</v>
      </c>
      <c r="H723" s="3">
        <v>-6.6500000000000004E-2</v>
      </c>
      <c r="I723">
        <v>-985.73</v>
      </c>
      <c r="J723" s="3">
        <v>-6.8400000000000002E-2</v>
      </c>
      <c r="K723">
        <v>25893</v>
      </c>
      <c r="T723" s="2"/>
      <c r="U723" s="2"/>
      <c r="V723" s="2"/>
      <c r="W723" s="2"/>
      <c r="X723" s="3"/>
      <c r="Y723" s="3"/>
      <c r="Z723" s="3"/>
      <c r="AA723" s="3"/>
      <c r="AF723" s="3"/>
      <c r="AG723" s="3"/>
      <c r="AH723" s="3"/>
    </row>
    <row r="724" spans="1:34" x14ac:dyDescent="0.25">
      <c r="A724" t="s">
        <v>560</v>
      </c>
      <c r="B724" t="s">
        <v>1057</v>
      </c>
      <c r="C724" t="s">
        <v>1273</v>
      </c>
      <c r="D724" s="2">
        <v>38674</v>
      </c>
      <c r="E724">
        <v>1.3117239999999999</v>
      </c>
      <c r="F724" s="2">
        <v>38891</v>
      </c>
      <c r="G724">
        <v>1.5677509999999999</v>
      </c>
      <c r="H724" s="3">
        <v>0.19520000000000001</v>
      </c>
      <c r="I724">
        <v>2309.21</v>
      </c>
      <c r="J724" s="3">
        <v>0.193</v>
      </c>
      <c r="K724">
        <v>9122</v>
      </c>
      <c r="T724" s="2"/>
      <c r="U724" s="2"/>
      <c r="V724" s="2"/>
      <c r="W724" s="2"/>
      <c r="X724" s="3"/>
      <c r="Y724" s="3"/>
      <c r="Z724" s="3"/>
      <c r="AA724" s="3"/>
      <c r="AF724" s="3"/>
      <c r="AG724" s="3"/>
      <c r="AH724" s="3"/>
    </row>
    <row r="725" spans="1:34" x14ac:dyDescent="0.25">
      <c r="A725" t="s">
        <v>628</v>
      </c>
      <c r="B725" t="s">
        <v>1156</v>
      </c>
      <c r="C725" t="s">
        <v>1273</v>
      </c>
      <c r="D725" s="2">
        <v>38667</v>
      </c>
      <c r="E725">
        <v>0.66907190000000005</v>
      </c>
      <c r="F725" s="2">
        <v>38884</v>
      </c>
      <c r="G725">
        <v>0.71499999999999997</v>
      </c>
      <c r="H725" s="3">
        <v>6.8599999999999994E-2</v>
      </c>
      <c r="I725">
        <v>796.14</v>
      </c>
      <c r="J725" s="3">
        <v>6.6600000000000006E-2</v>
      </c>
      <c r="K725">
        <v>17873</v>
      </c>
      <c r="T725" s="2"/>
      <c r="U725" s="2"/>
      <c r="V725" s="2"/>
      <c r="W725" s="2"/>
      <c r="X725" s="3"/>
      <c r="Y725" s="3"/>
      <c r="Z725" s="3"/>
      <c r="AA725" s="3"/>
      <c r="AF725" s="3"/>
      <c r="AG725" s="3"/>
      <c r="AH725" s="3"/>
    </row>
    <row r="726" spans="1:34" x14ac:dyDescent="0.25">
      <c r="A726" t="s">
        <v>629</v>
      </c>
      <c r="B726" t="s">
        <v>1157</v>
      </c>
      <c r="C726" t="s">
        <v>1273</v>
      </c>
      <c r="D726" s="2">
        <v>38575</v>
      </c>
      <c r="E726">
        <v>0.64157160000000002</v>
      </c>
      <c r="F726" s="2">
        <v>38884</v>
      </c>
      <c r="G726">
        <v>0.84885659999999996</v>
      </c>
      <c r="H726" s="3">
        <v>0.3231</v>
      </c>
      <c r="I726">
        <v>3596.26</v>
      </c>
      <c r="J726" s="3">
        <v>0.32079999999999997</v>
      </c>
      <c r="K726">
        <v>17475</v>
      </c>
      <c r="T726" s="2"/>
      <c r="U726" s="2"/>
      <c r="V726" s="2"/>
      <c r="W726" s="2"/>
      <c r="X726" s="3"/>
      <c r="Y726" s="3"/>
      <c r="Z726" s="3"/>
      <c r="AA726" s="3"/>
      <c r="AF726" s="3"/>
      <c r="AG726" s="3"/>
      <c r="AH726" s="3"/>
    </row>
    <row r="727" spans="1:34" x14ac:dyDescent="0.25">
      <c r="A727" t="s">
        <v>630</v>
      </c>
      <c r="B727" t="s">
        <v>1158</v>
      </c>
      <c r="C727" t="s">
        <v>1273</v>
      </c>
      <c r="D727" s="2">
        <v>38527</v>
      </c>
      <c r="E727">
        <v>1.781576</v>
      </c>
      <c r="F727" s="2">
        <v>38877</v>
      </c>
      <c r="G727">
        <v>2.2349709999999998</v>
      </c>
      <c r="H727" s="3">
        <v>0.2545</v>
      </c>
      <c r="I727">
        <v>2752.44</v>
      </c>
      <c r="J727" s="3">
        <v>0.25219999999999998</v>
      </c>
      <c r="K727">
        <v>6125</v>
      </c>
      <c r="T727" s="2"/>
      <c r="U727" s="2"/>
      <c r="V727" s="2"/>
      <c r="W727" s="2"/>
      <c r="X727" s="3"/>
      <c r="Y727" s="3"/>
      <c r="Z727" s="3"/>
      <c r="AA727" s="3"/>
      <c r="AF727" s="3"/>
      <c r="AG727" s="3"/>
      <c r="AH727" s="3"/>
    </row>
    <row r="728" spans="1:34" x14ac:dyDescent="0.25">
      <c r="A728" t="s">
        <v>631</v>
      </c>
      <c r="B728" t="s">
        <v>1159</v>
      </c>
      <c r="C728" t="s">
        <v>1273</v>
      </c>
      <c r="D728" s="2">
        <v>38751</v>
      </c>
      <c r="E728">
        <v>0.63</v>
      </c>
      <c r="F728" s="2">
        <v>38870</v>
      </c>
      <c r="G728">
        <v>0.39</v>
      </c>
      <c r="H728" s="3">
        <v>-0.38100000000000001</v>
      </c>
      <c r="I728">
        <v>-5004.78</v>
      </c>
      <c r="J728" s="3">
        <v>-0.3826</v>
      </c>
      <c r="K728">
        <v>20765</v>
      </c>
      <c r="T728" s="2"/>
      <c r="U728" s="2"/>
      <c r="V728" s="2"/>
      <c r="W728" s="2"/>
      <c r="X728" s="3"/>
      <c r="Y728" s="3"/>
      <c r="Z728" s="3"/>
      <c r="AA728" s="3"/>
      <c r="AF728" s="3"/>
      <c r="AG728" s="3"/>
      <c r="AH728" s="3"/>
    </row>
    <row r="729" spans="1:34" x14ac:dyDescent="0.25">
      <c r="A729" t="s">
        <v>146</v>
      </c>
      <c r="B729" t="s">
        <v>739</v>
      </c>
      <c r="C729" t="s">
        <v>1273</v>
      </c>
      <c r="D729" s="2">
        <v>38695</v>
      </c>
      <c r="E729">
        <v>2.2200000000000002</v>
      </c>
      <c r="F729" s="2">
        <v>38870</v>
      </c>
      <c r="G729">
        <v>3.25</v>
      </c>
      <c r="H729" s="3">
        <v>0.46400000000000002</v>
      </c>
      <c r="I729">
        <v>5629.79</v>
      </c>
      <c r="J729" s="3">
        <v>0.46150000000000002</v>
      </c>
      <c r="K729">
        <v>5495</v>
      </c>
      <c r="T729" s="2"/>
      <c r="U729" s="2"/>
      <c r="V729" s="2"/>
      <c r="W729" s="2"/>
      <c r="X729" s="3"/>
      <c r="Y729" s="3"/>
      <c r="Z729" s="3"/>
      <c r="AA729" s="3"/>
      <c r="AF729" s="3"/>
      <c r="AG729" s="3"/>
      <c r="AH729" s="3"/>
    </row>
    <row r="730" spans="1:34" x14ac:dyDescent="0.25">
      <c r="A730" t="s">
        <v>478</v>
      </c>
      <c r="B730" t="s">
        <v>921</v>
      </c>
      <c r="C730" t="s">
        <v>1273</v>
      </c>
      <c r="D730" s="2">
        <v>38562</v>
      </c>
      <c r="E730">
        <v>0.6817396</v>
      </c>
      <c r="F730" s="2">
        <v>38779</v>
      </c>
      <c r="G730">
        <v>0.40273999999999999</v>
      </c>
      <c r="H730" s="3">
        <v>-0.40920000000000001</v>
      </c>
      <c r="I730">
        <v>-4516.92</v>
      </c>
      <c r="J730" s="3">
        <v>-0.4108</v>
      </c>
      <c r="K730">
        <v>16127</v>
      </c>
      <c r="T730" s="2"/>
      <c r="U730" s="2"/>
      <c r="V730" s="2"/>
      <c r="W730" s="2"/>
      <c r="X730" s="3"/>
      <c r="Y730" s="3"/>
      <c r="Z730" s="3"/>
      <c r="AA730" s="3"/>
      <c r="AF730" s="3"/>
      <c r="AG730" s="3"/>
      <c r="AH730" s="3"/>
    </row>
    <row r="731" spans="1:34" x14ac:dyDescent="0.25">
      <c r="A731" t="s">
        <v>508</v>
      </c>
      <c r="B731" t="s">
        <v>977</v>
      </c>
      <c r="C731" t="s">
        <v>1273</v>
      </c>
      <c r="D731" s="2">
        <v>38513</v>
      </c>
      <c r="E731">
        <v>2.3128669999999998</v>
      </c>
      <c r="F731" s="2">
        <v>38772</v>
      </c>
      <c r="G731">
        <v>2.7352249999999998</v>
      </c>
      <c r="H731" s="3">
        <v>0.18260000000000001</v>
      </c>
      <c r="I731">
        <v>1954.68</v>
      </c>
      <c r="J731" s="3">
        <v>0.1804</v>
      </c>
      <c r="K731">
        <v>4684</v>
      </c>
      <c r="T731" s="2"/>
      <c r="U731" s="2"/>
      <c r="V731" s="2"/>
      <c r="W731" s="2"/>
      <c r="X731" s="3"/>
      <c r="Y731" s="3"/>
      <c r="Z731" s="3"/>
      <c r="AA731" s="3"/>
      <c r="AF731" s="3"/>
      <c r="AG731" s="3"/>
      <c r="AH731" s="3"/>
    </row>
    <row r="732" spans="1:34" x14ac:dyDescent="0.25">
      <c r="A732" t="s">
        <v>632</v>
      </c>
      <c r="B732" t="s">
        <v>1160</v>
      </c>
      <c r="C732" t="s">
        <v>1273</v>
      </c>
      <c r="D732" s="2">
        <v>38527</v>
      </c>
      <c r="E732">
        <v>0.70623029999999998</v>
      </c>
      <c r="F732" s="2">
        <v>38751</v>
      </c>
      <c r="G732">
        <v>0.81952939999999996</v>
      </c>
      <c r="H732" s="3">
        <v>0.16039999999999999</v>
      </c>
      <c r="I732">
        <v>1727.46</v>
      </c>
      <c r="J732" s="3">
        <v>0.1583</v>
      </c>
      <c r="K732">
        <v>15455</v>
      </c>
      <c r="T732" s="2"/>
      <c r="U732" s="2"/>
      <c r="V732" s="2"/>
      <c r="W732" s="2"/>
      <c r="X732" s="3"/>
      <c r="Y732" s="3"/>
      <c r="Z732" s="3"/>
      <c r="AA732" s="3"/>
      <c r="AF732" s="3"/>
      <c r="AG732" s="3"/>
      <c r="AH732" s="3"/>
    </row>
    <row r="733" spans="1:34" x14ac:dyDescent="0.25">
      <c r="A733" t="s">
        <v>548</v>
      </c>
      <c r="B733" t="s">
        <v>1041</v>
      </c>
      <c r="C733" t="s">
        <v>1273</v>
      </c>
      <c r="D733" s="2">
        <v>38674</v>
      </c>
      <c r="E733">
        <v>2.7917420000000002</v>
      </c>
      <c r="F733" s="2">
        <v>38723</v>
      </c>
      <c r="G733">
        <v>2.3628439999999999</v>
      </c>
      <c r="H733" s="3">
        <v>-0.15359999999999999</v>
      </c>
      <c r="I733">
        <v>-1859.92</v>
      </c>
      <c r="J733" s="3">
        <v>-0.1555</v>
      </c>
      <c r="K733">
        <v>4285</v>
      </c>
      <c r="T733" s="2"/>
      <c r="U733" s="2"/>
      <c r="V733" s="2"/>
      <c r="W733" s="2"/>
      <c r="X733" s="3"/>
      <c r="Y733" s="3"/>
      <c r="Z733" s="3"/>
      <c r="AA733" s="3"/>
      <c r="AF733" s="3"/>
      <c r="AG733" s="3"/>
      <c r="AH733" s="3"/>
    </row>
    <row r="734" spans="1:34" x14ac:dyDescent="0.25">
      <c r="A734" t="s">
        <v>633</v>
      </c>
      <c r="B734" t="s">
        <v>1161</v>
      </c>
      <c r="C734" t="s">
        <v>1273</v>
      </c>
      <c r="D734" s="2">
        <v>37735</v>
      </c>
      <c r="E734">
        <v>1.436599</v>
      </c>
      <c r="F734" s="2">
        <v>38695</v>
      </c>
      <c r="G734">
        <v>5.0539360000000002</v>
      </c>
      <c r="H734" s="3">
        <v>2.5179999999999998</v>
      </c>
      <c r="I734">
        <v>14797.25</v>
      </c>
      <c r="J734" s="3">
        <v>2.5135000000000001</v>
      </c>
      <c r="K734">
        <v>4098</v>
      </c>
      <c r="T734" s="2"/>
      <c r="U734" s="2"/>
      <c r="V734" s="2"/>
      <c r="W734" s="2"/>
      <c r="X734" s="3"/>
      <c r="Y734" s="3"/>
      <c r="Z734" s="3"/>
      <c r="AA734" s="3"/>
      <c r="AF734" s="3"/>
      <c r="AG734" s="3"/>
      <c r="AH734" s="3"/>
    </row>
    <row r="735" spans="1:34" x14ac:dyDescent="0.25">
      <c r="A735" t="s">
        <v>189</v>
      </c>
      <c r="B735" t="s">
        <v>790</v>
      </c>
      <c r="C735" t="s">
        <v>1273</v>
      </c>
      <c r="D735" s="2">
        <v>38142</v>
      </c>
      <c r="E735">
        <v>0.51613560000000003</v>
      </c>
      <c r="F735" s="2">
        <v>38653</v>
      </c>
      <c r="G735">
        <v>1.1003259999999999</v>
      </c>
      <c r="H735" s="3">
        <v>1.1318999999999999</v>
      </c>
      <c r="I735">
        <v>9758.7000000000007</v>
      </c>
      <c r="J735" s="3">
        <v>1.1287</v>
      </c>
      <c r="K735">
        <v>16751</v>
      </c>
      <c r="T735" s="2"/>
      <c r="U735" s="2"/>
      <c r="V735" s="2"/>
      <c r="W735" s="2"/>
      <c r="X735" s="3"/>
      <c r="Y735" s="3"/>
      <c r="Z735" s="3"/>
      <c r="AA735" s="3"/>
      <c r="AF735" s="3"/>
      <c r="AG735" s="3"/>
      <c r="AH735" s="3"/>
    </row>
    <row r="736" spans="1:34" x14ac:dyDescent="0.25">
      <c r="A736" t="s">
        <v>628</v>
      </c>
      <c r="B736" t="s">
        <v>1156</v>
      </c>
      <c r="C736" t="s">
        <v>1273</v>
      </c>
      <c r="D736" s="2">
        <v>38639</v>
      </c>
      <c r="E736">
        <v>0.53132179999999996</v>
      </c>
      <c r="F736" s="2">
        <v>38646</v>
      </c>
      <c r="G736">
        <v>0.49196459999999997</v>
      </c>
      <c r="H736" s="3">
        <v>-7.4099999999999999E-2</v>
      </c>
      <c r="I736">
        <v>-905.13</v>
      </c>
      <c r="J736" s="3">
        <v>-7.5999999999999998E-2</v>
      </c>
      <c r="K736">
        <v>22415</v>
      </c>
      <c r="T736" s="2"/>
      <c r="U736" s="2"/>
      <c r="V736" s="2"/>
      <c r="W736" s="2"/>
      <c r="X736" s="3"/>
      <c r="Y736" s="3"/>
      <c r="Z736" s="3"/>
      <c r="AA736" s="3"/>
      <c r="AF736" s="3"/>
      <c r="AG736" s="3"/>
      <c r="AH736" s="3"/>
    </row>
    <row r="737" spans="1:34" x14ac:dyDescent="0.25">
      <c r="A737" t="s">
        <v>329</v>
      </c>
      <c r="B737" t="s">
        <v>1162</v>
      </c>
      <c r="C737" t="s">
        <v>1273</v>
      </c>
      <c r="D737" s="2">
        <v>38569</v>
      </c>
      <c r="E737">
        <v>0.50131990000000004</v>
      </c>
      <c r="F737" s="2">
        <v>38646</v>
      </c>
      <c r="G737">
        <v>0.46123429999999999</v>
      </c>
      <c r="H737" s="3">
        <v>-0.08</v>
      </c>
      <c r="I737">
        <v>-917.8</v>
      </c>
      <c r="J737" s="3">
        <v>-8.1900000000000001E-2</v>
      </c>
      <c r="K737">
        <v>22359</v>
      </c>
      <c r="T737" s="2"/>
      <c r="U737" s="2"/>
      <c r="V737" s="2"/>
      <c r="W737" s="2"/>
      <c r="X737" s="3"/>
      <c r="Y737" s="3"/>
      <c r="Z737" s="3"/>
      <c r="AA737" s="3"/>
      <c r="AF737" s="3"/>
      <c r="AG737" s="3"/>
      <c r="AH737" s="3"/>
    </row>
    <row r="738" spans="1:34" x14ac:dyDescent="0.25">
      <c r="A738" t="s">
        <v>634</v>
      </c>
      <c r="B738" t="s">
        <v>1163</v>
      </c>
      <c r="C738" t="s">
        <v>1273</v>
      </c>
      <c r="D738" s="2">
        <v>38555</v>
      </c>
      <c r="E738">
        <v>0.76</v>
      </c>
      <c r="F738" s="2">
        <v>38646</v>
      </c>
      <c r="G738">
        <v>0.87</v>
      </c>
      <c r="H738" s="3">
        <v>0.1447</v>
      </c>
      <c r="I738">
        <v>1552.08</v>
      </c>
      <c r="J738" s="3">
        <v>0.1426</v>
      </c>
      <c r="K738">
        <v>14322</v>
      </c>
      <c r="T738" s="2"/>
      <c r="U738" s="2"/>
      <c r="V738" s="2"/>
      <c r="W738" s="2"/>
      <c r="X738" s="3"/>
      <c r="Y738" s="3"/>
      <c r="Z738" s="3"/>
      <c r="AA738" s="3"/>
      <c r="AF738" s="3"/>
      <c r="AG738" s="3"/>
      <c r="AH738" s="3"/>
    </row>
    <row r="739" spans="1:34" x14ac:dyDescent="0.25">
      <c r="A739" t="s">
        <v>549</v>
      </c>
      <c r="B739" t="s">
        <v>1042</v>
      </c>
      <c r="C739" t="s">
        <v>1273</v>
      </c>
      <c r="D739" s="2">
        <v>38541</v>
      </c>
      <c r="E739">
        <v>1.6814830000000001</v>
      </c>
      <c r="F739" s="2">
        <v>38639</v>
      </c>
      <c r="G739">
        <v>1.5693839999999999</v>
      </c>
      <c r="H739" s="3">
        <v>-6.6699999999999995E-2</v>
      </c>
      <c r="I739">
        <v>-744.81</v>
      </c>
      <c r="J739" s="3">
        <v>-6.8599999999999994E-2</v>
      </c>
      <c r="K739">
        <v>6457</v>
      </c>
      <c r="T739" s="2"/>
      <c r="U739" s="2"/>
      <c r="V739" s="2"/>
      <c r="W739" s="2"/>
      <c r="X739" s="3"/>
      <c r="Y739" s="3"/>
      <c r="Z739" s="3"/>
      <c r="AA739" s="3"/>
      <c r="AF739" s="3"/>
      <c r="AG739" s="3"/>
      <c r="AH739" s="3"/>
    </row>
    <row r="740" spans="1:34" x14ac:dyDescent="0.25">
      <c r="A740" t="s">
        <v>622</v>
      </c>
      <c r="B740" t="s">
        <v>1148</v>
      </c>
      <c r="C740" t="s">
        <v>1273</v>
      </c>
      <c r="D740" s="2">
        <v>37792</v>
      </c>
      <c r="E740">
        <v>0.70087630000000001</v>
      </c>
      <c r="F740" s="2">
        <v>38625</v>
      </c>
      <c r="G740">
        <v>1.1554789999999999</v>
      </c>
      <c r="H740" s="3">
        <v>0.64859999999999995</v>
      </c>
      <c r="I740">
        <v>4110.4799999999996</v>
      </c>
      <c r="J740" s="3">
        <v>0.64600000000000002</v>
      </c>
      <c r="K740">
        <v>9079</v>
      </c>
      <c r="T740" s="2"/>
      <c r="U740" s="2"/>
      <c r="V740" s="2"/>
      <c r="W740" s="2"/>
      <c r="X740" s="3"/>
      <c r="Y740" s="3"/>
      <c r="Z740" s="3"/>
      <c r="AA740" s="3"/>
      <c r="AF740" s="3"/>
      <c r="AG740" s="3"/>
      <c r="AH740" s="3"/>
    </row>
    <row r="741" spans="1:34" x14ac:dyDescent="0.25">
      <c r="A741" t="s">
        <v>635</v>
      </c>
      <c r="B741" t="s">
        <v>1164</v>
      </c>
      <c r="C741" t="s">
        <v>1273</v>
      </c>
      <c r="D741" s="2">
        <v>38415</v>
      </c>
      <c r="E741">
        <v>0.95470569999999999</v>
      </c>
      <c r="F741" s="2">
        <v>38548</v>
      </c>
      <c r="G741">
        <v>0.78632040000000003</v>
      </c>
      <c r="H741" s="3">
        <v>-0.1764</v>
      </c>
      <c r="I741">
        <v>-2024.5</v>
      </c>
      <c r="J741" s="3">
        <v>-0.1782</v>
      </c>
      <c r="K741">
        <v>11900</v>
      </c>
      <c r="T741" s="2"/>
      <c r="U741" s="2"/>
      <c r="V741" s="2"/>
      <c r="W741" s="2"/>
      <c r="X741" s="3"/>
      <c r="Y741" s="3"/>
      <c r="Z741" s="3"/>
      <c r="AA741" s="3"/>
      <c r="AF741" s="3"/>
      <c r="AG741" s="3"/>
      <c r="AH741" s="3"/>
    </row>
    <row r="742" spans="1:34" x14ac:dyDescent="0.25">
      <c r="A742" t="s">
        <v>548</v>
      </c>
      <c r="B742" t="s">
        <v>1041</v>
      </c>
      <c r="C742" t="s">
        <v>1273</v>
      </c>
      <c r="D742" s="2">
        <v>38163</v>
      </c>
      <c r="E742">
        <v>1.91055</v>
      </c>
      <c r="F742" s="2">
        <v>38506</v>
      </c>
      <c r="G742">
        <v>2.3472469999999999</v>
      </c>
      <c r="H742" s="3">
        <v>0.2286</v>
      </c>
      <c r="I742">
        <v>1926.08</v>
      </c>
      <c r="J742" s="3">
        <v>0.2263</v>
      </c>
      <c r="K742">
        <v>4454</v>
      </c>
      <c r="T742" s="2"/>
      <c r="U742" s="2"/>
      <c r="V742" s="2"/>
      <c r="W742" s="2"/>
      <c r="X742" s="3"/>
      <c r="Y742" s="3"/>
      <c r="Z742" s="3"/>
      <c r="AA742" s="3"/>
      <c r="AF742" s="3"/>
      <c r="AG742" s="3"/>
      <c r="AH742" s="3"/>
    </row>
    <row r="743" spans="1:34" x14ac:dyDescent="0.25">
      <c r="A743" t="s">
        <v>636</v>
      </c>
      <c r="B743" t="s">
        <v>1165</v>
      </c>
      <c r="C743" t="s">
        <v>1273</v>
      </c>
      <c r="D743" s="2">
        <v>38093</v>
      </c>
      <c r="E743">
        <v>0.9875003</v>
      </c>
      <c r="F743" s="2">
        <v>38499</v>
      </c>
      <c r="G743">
        <v>1.6331169999999999</v>
      </c>
      <c r="H743" s="3">
        <v>0.65380000000000005</v>
      </c>
      <c r="I743">
        <v>5916.85</v>
      </c>
      <c r="J743" s="3">
        <v>0.65110000000000001</v>
      </c>
      <c r="K743">
        <v>9202</v>
      </c>
      <c r="T743" s="2"/>
      <c r="U743" s="2"/>
      <c r="V743" s="2"/>
      <c r="W743" s="2"/>
      <c r="X743" s="3"/>
      <c r="Y743" s="3"/>
      <c r="Z743" s="3"/>
      <c r="AA743" s="3"/>
      <c r="AF743" s="3"/>
      <c r="AG743" s="3"/>
      <c r="AH743" s="3"/>
    </row>
    <row r="744" spans="1:34" x14ac:dyDescent="0.25">
      <c r="A744" t="s">
        <v>330</v>
      </c>
      <c r="B744" t="s">
        <v>1166</v>
      </c>
      <c r="C744" t="s">
        <v>1273</v>
      </c>
      <c r="D744" s="2">
        <v>37967</v>
      </c>
      <c r="E744">
        <v>1.4243030000000001</v>
      </c>
      <c r="F744" s="2">
        <v>38485</v>
      </c>
      <c r="G744">
        <v>1.315347</v>
      </c>
      <c r="H744" s="3">
        <v>-7.6499999999999999E-2</v>
      </c>
      <c r="I744">
        <v>-660.01</v>
      </c>
      <c r="J744" s="3">
        <v>-7.8399999999999997E-2</v>
      </c>
      <c r="K744">
        <v>5909</v>
      </c>
      <c r="T744" s="2"/>
      <c r="U744" s="2"/>
      <c r="V744" s="2"/>
      <c r="W744" s="2"/>
      <c r="X744" s="3"/>
      <c r="Y744" s="3"/>
      <c r="Z744" s="3"/>
      <c r="AA744" s="3"/>
      <c r="AF744" s="3"/>
      <c r="AG744" s="3"/>
      <c r="AH744" s="3"/>
    </row>
    <row r="745" spans="1:34" x14ac:dyDescent="0.25">
      <c r="A745" t="s">
        <v>637</v>
      </c>
      <c r="B745" t="s">
        <v>1167</v>
      </c>
      <c r="C745" t="s">
        <v>1273</v>
      </c>
      <c r="D745" s="2">
        <v>37400</v>
      </c>
      <c r="E745">
        <v>1.8413440000000001</v>
      </c>
      <c r="F745" s="2">
        <v>38485</v>
      </c>
      <c r="G745">
        <v>2.771766</v>
      </c>
      <c r="H745" s="3">
        <v>0.50529999999999997</v>
      </c>
      <c r="I745">
        <v>3018.14</v>
      </c>
      <c r="J745" s="3">
        <v>0.50280000000000002</v>
      </c>
      <c r="K745">
        <v>3260</v>
      </c>
      <c r="T745" s="2"/>
      <c r="U745" s="2"/>
      <c r="V745" s="2"/>
      <c r="W745" s="2"/>
      <c r="X745" s="3"/>
      <c r="Y745" s="3"/>
      <c r="Z745" s="3"/>
      <c r="AA745" s="3"/>
      <c r="AF745" s="3"/>
      <c r="AG745" s="3"/>
      <c r="AH745" s="3"/>
    </row>
    <row r="746" spans="1:34" x14ac:dyDescent="0.25">
      <c r="A746" t="s">
        <v>487</v>
      </c>
      <c r="B746" t="s">
        <v>939</v>
      </c>
      <c r="C746" t="s">
        <v>1273</v>
      </c>
      <c r="D746" s="2">
        <v>38149</v>
      </c>
      <c r="E746">
        <v>0.62389930000000005</v>
      </c>
      <c r="F746" s="2">
        <v>38478</v>
      </c>
      <c r="G746">
        <v>0.78525990000000001</v>
      </c>
      <c r="H746" s="3">
        <v>0.2586</v>
      </c>
      <c r="I746">
        <v>2208.13</v>
      </c>
      <c r="J746" s="3">
        <v>0.25640000000000002</v>
      </c>
      <c r="K746">
        <v>13805</v>
      </c>
      <c r="T746" s="2"/>
      <c r="U746" s="2"/>
      <c r="V746" s="2"/>
      <c r="W746" s="2"/>
      <c r="X746" s="3"/>
      <c r="Y746" s="3"/>
      <c r="Z746" s="3"/>
      <c r="AA746" s="3"/>
      <c r="AF746" s="3"/>
      <c r="AG746" s="3"/>
      <c r="AH746" s="3"/>
    </row>
    <row r="747" spans="1:34" x14ac:dyDescent="0.25">
      <c r="A747" t="s">
        <v>331</v>
      </c>
      <c r="B747" t="s">
        <v>1168</v>
      </c>
      <c r="C747" t="s">
        <v>1273</v>
      </c>
      <c r="D747" s="2">
        <v>38373</v>
      </c>
      <c r="E747">
        <v>0.51</v>
      </c>
      <c r="F747" s="2">
        <v>38464</v>
      </c>
      <c r="G747">
        <v>0.98999990000000004</v>
      </c>
      <c r="H747" s="3">
        <v>0.94120000000000004</v>
      </c>
      <c r="I747">
        <v>10322.68</v>
      </c>
      <c r="J747" s="3">
        <v>0.93820000000000003</v>
      </c>
      <c r="K747">
        <v>21573</v>
      </c>
      <c r="T747" s="2"/>
      <c r="U747" s="2"/>
      <c r="V747" s="2"/>
      <c r="W747" s="2"/>
      <c r="X747" s="3"/>
      <c r="Y747" s="3"/>
      <c r="Z747" s="3"/>
      <c r="AA747" s="3"/>
      <c r="AF747" s="3"/>
      <c r="AG747" s="3"/>
      <c r="AH747" s="3"/>
    </row>
    <row r="748" spans="1:34" x14ac:dyDescent="0.25">
      <c r="A748" t="s">
        <v>638</v>
      </c>
      <c r="B748" t="s">
        <v>1169</v>
      </c>
      <c r="C748" t="s">
        <v>1273</v>
      </c>
      <c r="D748" s="2">
        <v>38268</v>
      </c>
      <c r="E748">
        <v>1.2833060000000001</v>
      </c>
      <c r="F748" s="2">
        <v>38464</v>
      </c>
      <c r="G748">
        <v>1.3937889999999999</v>
      </c>
      <c r="H748" s="3">
        <v>8.6099999999999996E-2</v>
      </c>
      <c r="I748">
        <v>800.67</v>
      </c>
      <c r="J748" s="3">
        <v>8.4000000000000005E-2</v>
      </c>
      <c r="K748">
        <v>7427</v>
      </c>
      <c r="T748" s="2"/>
      <c r="U748" s="2"/>
      <c r="V748" s="2"/>
      <c r="W748" s="2"/>
      <c r="X748" s="3"/>
      <c r="Y748" s="3"/>
      <c r="Z748" s="3"/>
      <c r="AA748" s="3"/>
      <c r="AF748" s="3"/>
      <c r="AG748" s="3"/>
      <c r="AH748" s="3"/>
    </row>
    <row r="749" spans="1:34" x14ac:dyDescent="0.25">
      <c r="A749" t="s">
        <v>244</v>
      </c>
      <c r="B749" t="s">
        <v>874</v>
      </c>
      <c r="C749" t="s">
        <v>1273</v>
      </c>
      <c r="D749" s="2">
        <v>38184</v>
      </c>
      <c r="E749">
        <v>1.008203</v>
      </c>
      <c r="F749" s="2">
        <v>38464</v>
      </c>
      <c r="G749">
        <v>1.226739</v>
      </c>
      <c r="H749" s="3">
        <v>0.21679999999999999</v>
      </c>
      <c r="I749">
        <v>1883.77</v>
      </c>
      <c r="J749" s="3">
        <v>0.2145</v>
      </c>
      <c r="K749">
        <v>8709</v>
      </c>
      <c r="T749" s="2"/>
      <c r="U749" s="2"/>
      <c r="V749" s="2"/>
      <c r="W749" s="2"/>
      <c r="X749" s="3"/>
      <c r="Y749" s="3"/>
      <c r="Z749" s="3"/>
      <c r="AA749" s="3"/>
      <c r="AF749" s="3"/>
      <c r="AG749" s="3"/>
      <c r="AH749" s="3"/>
    </row>
    <row r="750" spans="1:34" x14ac:dyDescent="0.25">
      <c r="A750" t="s">
        <v>639</v>
      </c>
      <c r="B750" t="s">
        <v>1170</v>
      </c>
      <c r="C750" t="s">
        <v>1273</v>
      </c>
      <c r="D750" s="2">
        <v>38114</v>
      </c>
      <c r="E750">
        <v>1.2857909999999999</v>
      </c>
      <c r="F750" s="2">
        <v>38457</v>
      </c>
      <c r="G750">
        <v>2.1220880000000002</v>
      </c>
      <c r="H750" s="3">
        <v>0.65039999999999998</v>
      </c>
      <c r="I750">
        <v>5625.33</v>
      </c>
      <c r="J750" s="3">
        <v>0.64780000000000004</v>
      </c>
      <c r="K750">
        <v>6754</v>
      </c>
      <c r="T750" s="2"/>
      <c r="U750" s="2"/>
      <c r="V750" s="2"/>
      <c r="W750" s="2"/>
      <c r="X750" s="3"/>
      <c r="Y750" s="3"/>
      <c r="Z750" s="3"/>
      <c r="AA750" s="3"/>
      <c r="AF750" s="3"/>
      <c r="AG750" s="3"/>
      <c r="AH750" s="3"/>
    </row>
    <row r="751" spans="1:34" x14ac:dyDescent="0.25">
      <c r="A751" t="s">
        <v>640</v>
      </c>
      <c r="B751" t="s">
        <v>1171</v>
      </c>
      <c r="C751" t="s">
        <v>1273</v>
      </c>
      <c r="D751" s="2">
        <v>38184</v>
      </c>
      <c r="E751">
        <v>1.538459</v>
      </c>
      <c r="F751" s="2">
        <v>38450</v>
      </c>
      <c r="G751">
        <v>1.560324</v>
      </c>
      <c r="H751" s="3">
        <v>1.4200000000000001E-2</v>
      </c>
      <c r="I751">
        <v>107.1</v>
      </c>
      <c r="J751" s="3">
        <v>1.2200000000000001E-2</v>
      </c>
      <c r="K751">
        <v>5707</v>
      </c>
      <c r="T751" s="2"/>
      <c r="U751" s="2"/>
      <c r="V751" s="2"/>
      <c r="W751" s="2"/>
      <c r="X751" s="3"/>
      <c r="Y751" s="3"/>
      <c r="Z751" s="3"/>
      <c r="AA751" s="3"/>
      <c r="AF751" s="3"/>
      <c r="AG751" s="3"/>
      <c r="AH751" s="3"/>
    </row>
    <row r="752" spans="1:34" x14ac:dyDescent="0.25">
      <c r="A752" t="s">
        <v>298</v>
      </c>
      <c r="B752" t="s">
        <v>1023</v>
      </c>
      <c r="C752" t="s">
        <v>1273</v>
      </c>
      <c r="D752" s="2">
        <v>37728</v>
      </c>
      <c r="E752">
        <v>0.64395539999999996</v>
      </c>
      <c r="F752" s="2">
        <v>38415</v>
      </c>
      <c r="G752">
        <v>1.2581199999999999</v>
      </c>
      <c r="H752" s="3">
        <v>0.95369999999999999</v>
      </c>
      <c r="I752">
        <v>5560.57</v>
      </c>
      <c r="J752" s="3">
        <v>0.95079999999999998</v>
      </c>
      <c r="K752">
        <v>9082</v>
      </c>
      <c r="T752" s="2"/>
      <c r="U752" s="2"/>
      <c r="V752" s="2"/>
      <c r="W752" s="2"/>
      <c r="X752" s="3"/>
      <c r="Y752" s="3"/>
      <c r="Z752" s="3"/>
      <c r="AA752" s="3"/>
      <c r="AF752" s="3"/>
      <c r="AG752" s="3"/>
      <c r="AH752" s="3"/>
    </row>
    <row r="753" spans="1:34" x14ac:dyDescent="0.25">
      <c r="A753" t="s">
        <v>641</v>
      </c>
      <c r="B753" t="s">
        <v>1172</v>
      </c>
      <c r="C753" t="s">
        <v>1273</v>
      </c>
      <c r="D753" s="2">
        <v>38268</v>
      </c>
      <c r="E753">
        <v>0.54</v>
      </c>
      <c r="F753" s="2">
        <v>38356</v>
      </c>
      <c r="G753">
        <v>0.63</v>
      </c>
      <c r="H753" s="3">
        <v>0.16669999999999999</v>
      </c>
      <c r="I753">
        <v>1568.2</v>
      </c>
      <c r="J753" s="3">
        <v>0.16450000000000001</v>
      </c>
      <c r="K753">
        <v>17654</v>
      </c>
      <c r="T753" s="2"/>
      <c r="U753" s="2"/>
      <c r="V753" s="2"/>
      <c r="W753" s="2"/>
      <c r="X753" s="3"/>
      <c r="Y753" s="3"/>
      <c r="Z753" s="3"/>
      <c r="AA753" s="3"/>
      <c r="AF753" s="3"/>
      <c r="AG753" s="3"/>
      <c r="AH753" s="3"/>
    </row>
    <row r="754" spans="1:34" x14ac:dyDescent="0.25">
      <c r="A754" t="s">
        <v>642</v>
      </c>
      <c r="B754" t="s">
        <v>1173</v>
      </c>
      <c r="C754" t="s">
        <v>1273</v>
      </c>
      <c r="D754" s="2">
        <v>38156</v>
      </c>
      <c r="E754">
        <v>1.2753779999999999</v>
      </c>
      <c r="F754" s="2">
        <v>38275</v>
      </c>
      <c r="G754">
        <v>1.282897</v>
      </c>
      <c r="H754" s="3">
        <v>5.8999999999999999E-3</v>
      </c>
      <c r="I754">
        <v>33.58</v>
      </c>
      <c r="J754" s="3">
        <v>3.8999999999999998E-3</v>
      </c>
      <c r="K754">
        <v>6769</v>
      </c>
      <c r="T754" s="2"/>
      <c r="U754" s="2"/>
      <c r="V754" s="2"/>
      <c r="W754" s="2"/>
      <c r="X754" s="3"/>
      <c r="Y754" s="3"/>
      <c r="Z754" s="3"/>
      <c r="AA754" s="3"/>
      <c r="AF754" s="3"/>
      <c r="AG754" s="3"/>
      <c r="AH754" s="3"/>
    </row>
    <row r="755" spans="1:34" x14ac:dyDescent="0.25">
      <c r="A755" t="s">
        <v>643</v>
      </c>
      <c r="B755" t="s">
        <v>1174</v>
      </c>
      <c r="C755" t="s">
        <v>1273</v>
      </c>
      <c r="D755" s="2">
        <v>38205</v>
      </c>
      <c r="E755">
        <v>1.2277549999999999</v>
      </c>
      <c r="F755" s="2">
        <v>38268</v>
      </c>
      <c r="G755">
        <v>1.479787</v>
      </c>
      <c r="H755" s="3">
        <v>0.20530000000000001</v>
      </c>
      <c r="I755">
        <v>1897.86</v>
      </c>
      <c r="J755" s="3">
        <v>0.2031</v>
      </c>
      <c r="K755">
        <v>7612</v>
      </c>
      <c r="T755" s="2"/>
      <c r="U755" s="2"/>
      <c r="V755" s="2"/>
      <c r="W755" s="2"/>
      <c r="X755" s="3"/>
      <c r="Y755" s="3"/>
      <c r="Z755" s="3"/>
      <c r="AA755" s="3"/>
      <c r="AF755" s="3"/>
      <c r="AG755" s="3"/>
      <c r="AH755" s="3"/>
    </row>
    <row r="756" spans="1:34" x14ac:dyDescent="0.25">
      <c r="A756" t="s">
        <v>644</v>
      </c>
      <c r="B756" t="s">
        <v>1175</v>
      </c>
      <c r="C756" t="s">
        <v>1273</v>
      </c>
      <c r="D756" s="2">
        <v>38085</v>
      </c>
      <c r="E756">
        <v>0.63534380000000001</v>
      </c>
      <c r="F756" s="2">
        <v>38202</v>
      </c>
      <c r="G756">
        <v>0.73731250000000004</v>
      </c>
      <c r="H756" s="3">
        <v>0.1605</v>
      </c>
      <c r="I756">
        <v>1438.83</v>
      </c>
      <c r="J756" s="3">
        <v>0.1583</v>
      </c>
      <c r="K756">
        <v>14303</v>
      </c>
      <c r="T756" s="2"/>
      <c r="U756" s="2"/>
      <c r="V756" s="2"/>
      <c r="W756" s="2"/>
      <c r="X756" s="3"/>
      <c r="Y756" s="3"/>
      <c r="Z756" s="3"/>
      <c r="AA756" s="3"/>
      <c r="AF756" s="3"/>
      <c r="AG756" s="3"/>
      <c r="AH756" s="3"/>
    </row>
    <row r="757" spans="1:34" x14ac:dyDescent="0.25">
      <c r="A757" t="s">
        <v>258</v>
      </c>
      <c r="B757" t="s">
        <v>902</v>
      </c>
      <c r="C757" t="s">
        <v>1273</v>
      </c>
      <c r="D757" s="2">
        <v>38093</v>
      </c>
      <c r="E757">
        <v>1.5114259999999999</v>
      </c>
      <c r="F757" s="2">
        <v>38163</v>
      </c>
      <c r="G757">
        <v>1.2774399999999999</v>
      </c>
      <c r="H757" s="3">
        <v>-0.15479999999999999</v>
      </c>
      <c r="I757">
        <v>-1423.25</v>
      </c>
      <c r="J757" s="3">
        <v>-0.15670000000000001</v>
      </c>
      <c r="K757">
        <v>6011</v>
      </c>
      <c r="T757" s="2"/>
      <c r="U757" s="2"/>
      <c r="V757" s="2"/>
      <c r="W757" s="2"/>
      <c r="X757" s="3"/>
      <c r="Y757" s="3"/>
      <c r="Z757" s="3"/>
      <c r="AA757" s="3"/>
      <c r="AF757" s="3"/>
      <c r="AG757" s="3"/>
      <c r="AH757" s="3"/>
    </row>
    <row r="758" spans="1:34" x14ac:dyDescent="0.25">
      <c r="A758" t="s">
        <v>645</v>
      </c>
      <c r="B758" t="s">
        <v>1176</v>
      </c>
      <c r="C758" t="s">
        <v>1273</v>
      </c>
      <c r="D758" s="2">
        <v>38051</v>
      </c>
      <c r="E758">
        <v>4.1527919999999998</v>
      </c>
      <c r="F758" s="2">
        <v>38163</v>
      </c>
      <c r="G758">
        <v>2.64</v>
      </c>
      <c r="H758" s="3">
        <v>-0.36430000000000001</v>
      </c>
      <c r="I758">
        <v>-3239.75</v>
      </c>
      <c r="J758" s="3">
        <v>-0.3659</v>
      </c>
      <c r="K758">
        <v>2132</v>
      </c>
      <c r="T758" s="2"/>
      <c r="U758" s="2"/>
      <c r="V758" s="2"/>
      <c r="W758" s="2"/>
      <c r="X758" s="3"/>
      <c r="Y758" s="3"/>
      <c r="Z758" s="3"/>
      <c r="AA758" s="3"/>
      <c r="AF758" s="3"/>
      <c r="AG758" s="3"/>
      <c r="AH758" s="3"/>
    </row>
    <row r="759" spans="1:34" x14ac:dyDescent="0.25">
      <c r="A759" t="s">
        <v>332</v>
      </c>
      <c r="B759" t="s">
        <v>1177</v>
      </c>
      <c r="C759" t="s">
        <v>1273</v>
      </c>
      <c r="D759" s="2">
        <v>37792</v>
      </c>
      <c r="E759">
        <v>0.52807999999999999</v>
      </c>
      <c r="F759" s="2">
        <v>38163</v>
      </c>
      <c r="G759">
        <v>0.70021060000000002</v>
      </c>
      <c r="H759" s="3">
        <v>0.32600000000000001</v>
      </c>
      <c r="I759">
        <v>2059.54</v>
      </c>
      <c r="J759" s="3">
        <v>0.3236</v>
      </c>
      <c r="K759">
        <v>12051</v>
      </c>
      <c r="T759" s="2"/>
      <c r="U759" s="2"/>
      <c r="V759" s="2"/>
      <c r="W759" s="2"/>
      <c r="X759" s="3"/>
      <c r="Y759" s="3"/>
      <c r="Z759" s="3"/>
      <c r="AA759" s="3"/>
      <c r="AF759" s="3"/>
      <c r="AG759" s="3"/>
      <c r="AH759" s="3"/>
    </row>
    <row r="760" spans="1:34" x14ac:dyDescent="0.25">
      <c r="A760" t="s">
        <v>646</v>
      </c>
      <c r="B760" t="s">
        <v>1178</v>
      </c>
      <c r="C760" t="s">
        <v>1273</v>
      </c>
      <c r="D760" s="2">
        <v>37638</v>
      </c>
      <c r="E760">
        <v>1.3332900000000001</v>
      </c>
      <c r="F760" s="2">
        <v>38163</v>
      </c>
      <c r="G760">
        <v>2.9783439999999999</v>
      </c>
      <c r="H760" s="3">
        <v>1.2338</v>
      </c>
      <c r="I760">
        <v>7414.51</v>
      </c>
      <c r="J760" s="3">
        <v>1.2305999999999999</v>
      </c>
      <c r="K760">
        <v>4519</v>
      </c>
      <c r="T760" s="2"/>
      <c r="U760" s="2"/>
      <c r="V760" s="2"/>
      <c r="W760" s="2"/>
      <c r="X760" s="3"/>
      <c r="Y760" s="3"/>
      <c r="Z760" s="3"/>
      <c r="AA760" s="3"/>
      <c r="AF760" s="3"/>
      <c r="AG760" s="3"/>
      <c r="AH760" s="3"/>
    </row>
    <row r="761" spans="1:34" x14ac:dyDescent="0.25">
      <c r="A761" t="s">
        <v>333</v>
      </c>
      <c r="B761" t="s">
        <v>1179</v>
      </c>
      <c r="C761" t="s">
        <v>1273</v>
      </c>
      <c r="D761" s="2">
        <v>37727</v>
      </c>
      <c r="E761">
        <v>0.56326010000000004</v>
      </c>
      <c r="F761" s="2">
        <v>38156</v>
      </c>
      <c r="G761">
        <v>1.020421</v>
      </c>
      <c r="H761" s="3">
        <v>0.81159999999999999</v>
      </c>
      <c r="I761">
        <v>4732.99</v>
      </c>
      <c r="J761" s="3">
        <v>0.80879999999999996</v>
      </c>
      <c r="K761">
        <v>10389</v>
      </c>
      <c r="T761" s="2"/>
      <c r="U761" s="2"/>
      <c r="V761" s="2"/>
      <c r="W761" s="2"/>
      <c r="X761" s="3"/>
      <c r="Y761" s="3"/>
      <c r="Z761" s="3"/>
      <c r="AA761" s="3"/>
      <c r="AF761" s="3"/>
      <c r="AG761" s="3"/>
      <c r="AH761" s="3"/>
    </row>
    <row r="762" spans="1:34" x14ac:dyDescent="0.25">
      <c r="A762" t="s">
        <v>548</v>
      </c>
      <c r="B762" t="s">
        <v>1041</v>
      </c>
      <c r="C762" t="s">
        <v>1273</v>
      </c>
      <c r="D762" s="2">
        <v>38085</v>
      </c>
      <c r="E762">
        <v>1.364679</v>
      </c>
      <c r="F762" s="2">
        <v>38135</v>
      </c>
      <c r="G762">
        <v>1.559633</v>
      </c>
      <c r="H762" s="3">
        <v>0.1429</v>
      </c>
      <c r="I762">
        <v>1278.73</v>
      </c>
      <c r="J762" s="3">
        <v>0.14069999999999999</v>
      </c>
      <c r="K762">
        <v>6659</v>
      </c>
      <c r="T762" s="2"/>
      <c r="U762" s="2"/>
      <c r="V762" s="2"/>
      <c r="W762" s="2"/>
      <c r="X762" s="3"/>
      <c r="Y762" s="3"/>
      <c r="Z762" s="3"/>
      <c r="AA762" s="3"/>
      <c r="AF762" s="3"/>
      <c r="AG762" s="3"/>
      <c r="AH762" s="3"/>
    </row>
    <row r="763" spans="1:34" x14ac:dyDescent="0.25">
      <c r="A763" t="s">
        <v>647</v>
      </c>
      <c r="B763" t="s">
        <v>1180</v>
      </c>
      <c r="C763" t="s">
        <v>1273</v>
      </c>
      <c r="D763" s="2">
        <v>38016</v>
      </c>
      <c r="E763">
        <v>1.152433</v>
      </c>
      <c r="F763" s="2">
        <v>38128</v>
      </c>
      <c r="G763">
        <v>1.1861999999999999</v>
      </c>
      <c r="H763" s="3">
        <v>2.93E-2</v>
      </c>
      <c r="I763">
        <v>236.62</v>
      </c>
      <c r="J763" s="3">
        <v>2.7300000000000001E-2</v>
      </c>
      <c r="K763">
        <v>7529</v>
      </c>
      <c r="T763" s="2"/>
      <c r="U763" s="2"/>
      <c r="V763" s="2"/>
      <c r="W763" s="2"/>
      <c r="X763" s="3"/>
      <c r="Y763" s="3"/>
      <c r="Z763" s="3"/>
      <c r="AA763" s="3"/>
      <c r="AF763" s="3"/>
      <c r="AG763" s="3"/>
      <c r="AH763" s="3"/>
    </row>
    <row r="764" spans="1:34" x14ac:dyDescent="0.25">
      <c r="A764" t="s">
        <v>334</v>
      </c>
      <c r="B764" t="s">
        <v>1181</v>
      </c>
      <c r="C764" t="s">
        <v>1273</v>
      </c>
      <c r="D764" s="2">
        <v>37638</v>
      </c>
      <c r="E764">
        <v>1.4644889999999999</v>
      </c>
      <c r="F764" s="2">
        <v>38121</v>
      </c>
      <c r="G764">
        <v>1.992699</v>
      </c>
      <c r="H764" s="3">
        <v>0.36070000000000002</v>
      </c>
      <c r="I764">
        <v>2159.88</v>
      </c>
      <c r="J764" s="3">
        <v>0.35830000000000001</v>
      </c>
      <c r="K764">
        <v>4116</v>
      </c>
      <c r="T764" s="2"/>
      <c r="U764" s="2"/>
      <c r="V764" s="2"/>
      <c r="W764" s="2"/>
      <c r="X764" s="3"/>
      <c r="Y764" s="3"/>
      <c r="Z764" s="3"/>
      <c r="AA764" s="3"/>
      <c r="AF764" s="3"/>
      <c r="AG764" s="3"/>
      <c r="AH764" s="3"/>
    </row>
    <row r="765" spans="1:34" x14ac:dyDescent="0.25">
      <c r="A765" t="s">
        <v>648</v>
      </c>
      <c r="B765" t="s">
        <v>1182</v>
      </c>
      <c r="C765" t="s">
        <v>1273</v>
      </c>
      <c r="D765" s="2">
        <v>37988</v>
      </c>
      <c r="E765">
        <v>1.0402309999999999</v>
      </c>
      <c r="F765" s="2">
        <v>38114</v>
      </c>
      <c r="G765">
        <v>1.0227710000000001</v>
      </c>
      <c r="H765" s="3">
        <v>-1.6799999999999999E-2</v>
      </c>
      <c r="I765">
        <v>-159.5</v>
      </c>
      <c r="J765" s="3">
        <v>-1.8800000000000001E-2</v>
      </c>
      <c r="K765">
        <v>8170</v>
      </c>
      <c r="T765" s="2"/>
      <c r="U765" s="2"/>
      <c r="V765" s="2"/>
      <c r="W765" s="2"/>
      <c r="X765" s="3"/>
      <c r="Y765" s="3"/>
      <c r="Z765" s="3"/>
      <c r="AA765" s="3"/>
      <c r="AF765" s="3"/>
      <c r="AG765" s="3"/>
      <c r="AH765" s="3"/>
    </row>
    <row r="766" spans="1:34" x14ac:dyDescent="0.25">
      <c r="A766" t="s">
        <v>106</v>
      </c>
      <c r="B766" t="s">
        <v>1183</v>
      </c>
      <c r="C766" t="s">
        <v>1273</v>
      </c>
      <c r="D766" s="2">
        <v>37735</v>
      </c>
      <c r="E766">
        <v>0.92630729999999994</v>
      </c>
      <c r="F766" s="2">
        <v>38079</v>
      </c>
      <c r="G766">
        <v>1.5868979999999999</v>
      </c>
      <c r="H766" s="3">
        <v>0.71309999999999996</v>
      </c>
      <c r="I766">
        <v>4182.08</v>
      </c>
      <c r="J766" s="3">
        <v>0.71040000000000003</v>
      </c>
      <c r="K766">
        <v>6355</v>
      </c>
      <c r="T766" s="2"/>
      <c r="U766" s="2"/>
      <c r="V766" s="2"/>
      <c r="W766" s="2"/>
      <c r="X766" s="3"/>
      <c r="Y766" s="3"/>
      <c r="Z766" s="3"/>
      <c r="AA766" s="3"/>
      <c r="AF766" s="3"/>
      <c r="AG766" s="3"/>
      <c r="AH766" s="3"/>
    </row>
    <row r="767" spans="1:34" x14ac:dyDescent="0.25">
      <c r="A767" t="s">
        <v>649</v>
      </c>
      <c r="B767" t="s">
        <v>1184</v>
      </c>
      <c r="C767" t="s">
        <v>1273</v>
      </c>
      <c r="D767" s="2">
        <v>37979</v>
      </c>
      <c r="E767">
        <v>0.77271000000000001</v>
      </c>
      <c r="F767" s="2">
        <v>38072</v>
      </c>
      <c r="G767">
        <v>0.74575499999999995</v>
      </c>
      <c r="H767" s="3">
        <v>-3.49E-2</v>
      </c>
      <c r="I767">
        <v>-312.04000000000002</v>
      </c>
      <c r="J767" s="3">
        <v>-3.6799999999999999E-2</v>
      </c>
      <c r="K767">
        <v>10959</v>
      </c>
      <c r="T767" s="2"/>
      <c r="U767" s="2"/>
      <c r="V767" s="2"/>
      <c r="W767" s="2"/>
      <c r="X767" s="3"/>
      <c r="Y767" s="3"/>
      <c r="Z767" s="3"/>
      <c r="AA767" s="3"/>
      <c r="AF767" s="3"/>
      <c r="AG767" s="3"/>
      <c r="AH767" s="3"/>
    </row>
    <row r="768" spans="1:34" x14ac:dyDescent="0.25">
      <c r="A768" t="s">
        <v>452</v>
      </c>
      <c r="B768" t="s">
        <v>835</v>
      </c>
      <c r="C768" t="s">
        <v>1273</v>
      </c>
      <c r="D768" s="2">
        <v>37967</v>
      </c>
      <c r="E768">
        <v>1.122463</v>
      </c>
      <c r="F768" s="2">
        <v>38072</v>
      </c>
      <c r="G768">
        <v>1.007509</v>
      </c>
      <c r="H768" s="3">
        <v>-0.1024</v>
      </c>
      <c r="I768">
        <v>-877.66</v>
      </c>
      <c r="J768" s="3">
        <v>-0.1043</v>
      </c>
      <c r="K768">
        <v>7496</v>
      </c>
      <c r="T768" s="2"/>
      <c r="U768" s="2"/>
      <c r="V768" s="2"/>
      <c r="W768" s="2"/>
      <c r="X768" s="3"/>
      <c r="Y768" s="3"/>
      <c r="Z768" s="3"/>
      <c r="AA768" s="3"/>
      <c r="AF768" s="3"/>
      <c r="AG768" s="3"/>
      <c r="AH768" s="3"/>
    </row>
    <row r="769" spans="1:34" x14ac:dyDescent="0.25">
      <c r="A769" t="s">
        <v>54</v>
      </c>
      <c r="B769" t="s">
        <v>936</v>
      </c>
      <c r="C769" t="s">
        <v>1273</v>
      </c>
      <c r="D769" s="2">
        <v>37638</v>
      </c>
      <c r="E769">
        <v>2.6166399999999999</v>
      </c>
      <c r="F769" s="2">
        <v>38072</v>
      </c>
      <c r="G769">
        <v>3.1378710000000001</v>
      </c>
      <c r="H769" s="3">
        <v>0.19919999999999999</v>
      </c>
      <c r="I769">
        <v>1187.1400000000001</v>
      </c>
      <c r="J769" s="3">
        <v>0.19700000000000001</v>
      </c>
      <c r="K769">
        <v>2303</v>
      </c>
      <c r="T769" s="2"/>
      <c r="U769" s="2"/>
      <c r="V769" s="2"/>
      <c r="W769" s="2"/>
      <c r="X769" s="3"/>
      <c r="Y769" s="3"/>
      <c r="Z769" s="3"/>
      <c r="AA769" s="3"/>
      <c r="AF769" s="3"/>
      <c r="AG769" s="3"/>
      <c r="AH769" s="3"/>
    </row>
    <row r="770" spans="1:34" x14ac:dyDescent="0.25">
      <c r="A770" t="s">
        <v>650</v>
      </c>
      <c r="B770" t="s">
        <v>1185</v>
      </c>
      <c r="C770" t="s">
        <v>1273</v>
      </c>
      <c r="D770" s="2">
        <v>38016</v>
      </c>
      <c r="E770">
        <v>1.653292</v>
      </c>
      <c r="F770" s="2">
        <v>38051</v>
      </c>
      <c r="G770">
        <v>1.4094679999999999</v>
      </c>
      <c r="H770" s="3">
        <v>-0.14749999999999999</v>
      </c>
      <c r="I770">
        <v>-1295.6600000000001</v>
      </c>
      <c r="J770" s="3">
        <v>-0.14929999999999999</v>
      </c>
      <c r="K770">
        <v>5248</v>
      </c>
      <c r="T770" s="2"/>
      <c r="U770" s="2"/>
      <c r="V770" s="2"/>
      <c r="W770" s="2"/>
      <c r="X770" s="3"/>
      <c r="Y770" s="3"/>
      <c r="Z770" s="3"/>
      <c r="AA770" s="3"/>
      <c r="AF770" s="3"/>
      <c r="AG770" s="3"/>
      <c r="AH770" s="3"/>
    </row>
    <row r="771" spans="1:34" x14ac:dyDescent="0.25">
      <c r="A771" t="s">
        <v>234</v>
      </c>
      <c r="B771" t="s">
        <v>860</v>
      </c>
      <c r="C771" t="s">
        <v>1273</v>
      </c>
      <c r="D771" s="2">
        <v>37728</v>
      </c>
      <c r="E771">
        <v>1.520418</v>
      </c>
      <c r="F771" s="2">
        <v>38016</v>
      </c>
      <c r="G771">
        <v>2.0201359999999999</v>
      </c>
      <c r="H771" s="3">
        <v>0.32869999999999999</v>
      </c>
      <c r="I771">
        <v>1908.79</v>
      </c>
      <c r="J771" s="3">
        <v>0.32629999999999998</v>
      </c>
      <c r="K771">
        <v>3847</v>
      </c>
      <c r="T771" s="2"/>
      <c r="U771" s="2"/>
      <c r="V771" s="2"/>
      <c r="W771" s="2"/>
      <c r="X771" s="3"/>
      <c r="Y771" s="3"/>
      <c r="Z771" s="3"/>
      <c r="AA771" s="3"/>
      <c r="AF771" s="3"/>
      <c r="AG771" s="3"/>
      <c r="AH771" s="3"/>
    </row>
    <row r="772" spans="1:34" x14ac:dyDescent="0.25">
      <c r="A772" t="s">
        <v>651</v>
      </c>
      <c r="B772" t="s">
        <v>1186</v>
      </c>
      <c r="C772" t="s">
        <v>1273</v>
      </c>
      <c r="D772" s="2">
        <v>37735</v>
      </c>
      <c r="E772">
        <v>2.1424400000000001</v>
      </c>
      <c r="F772" s="2">
        <v>38015</v>
      </c>
      <c r="G772">
        <v>3.9</v>
      </c>
      <c r="H772" s="3">
        <v>0.82040000000000002</v>
      </c>
      <c r="I772">
        <v>4811.42</v>
      </c>
      <c r="J772" s="3">
        <v>0.8175</v>
      </c>
      <c r="K772">
        <v>2747</v>
      </c>
      <c r="T772" s="2"/>
      <c r="U772" s="2"/>
      <c r="V772" s="2"/>
      <c r="W772" s="2"/>
      <c r="X772" s="3"/>
      <c r="Y772" s="3"/>
      <c r="Z772" s="3"/>
      <c r="AA772" s="3"/>
      <c r="AF772" s="3"/>
      <c r="AG772" s="3"/>
      <c r="AH772" s="3"/>
    </row>
    <row r="773" spans="1:34" x14ac:dyDescent="0.25">
      <c r="A773" t="s">
        <v>652</v>
      </c>
      <c r="B773" t="s">
        <v>1187</v>
      </c>
      <c r="C773" t="s">
        <v>1273</v>
      </c>
      <c r="D773" s="2">
        <v>37967</v>
      </c>
      <c r="E773">
        <v>0.86277959999999998</v>
      </c>
      <c r="F773" s="2">
        <v>37979</v>
      </c>
      <c r="G773">
        <v>0.90725270000000002</v>
      </c>
      <c r="H773" s="3">
        <v>5.1499999999999997E-2</v>
      </c>
      <c r="I773">
        <v>416.48</v>
      </c>
      <c r="J773" s="3">
        <v>4.9500000000000002E-2</v>
      </c>
      <c r="K773">
        <v>9753</v>
      </c>
      <c r="T773" s="2"/>
      <c r="U773" s="2"/>
      <c r="V773" s="2"/>
      <c r="W773" s="2"/>
      <c r="X773" s="3"/>
      <c r="Y773" s="3"/>
      <c r="Z773" s="3"/>
      <c r="AA773" s="3"/>
      <c r="AF773" s="3"/>
      <c r="AG773" s="3"/>
      <c r="AH773" s="3"/>
    </row>
    <row r="774" spans="1:34" x14ac:dyDescent="0.25">
      <c r="A774" t="s">
        <v>653</v>
      </c>
      <c r="B774" t="s">
        <v>1188</v>
      </c>
      <c r="C774" t="s">
        <v>1273</v>
      </c>
      <c r="D774" s="2">
        <v>37722</v>
      </c>
      <c r="E774">
        <v>1.7959799999999999</v>
      </c>
      <c r="F774" s="2">
        <v>37974</v>
      </c>
      <c r="G774">
        <v>2.5240800000000001</v>
      </c>
      <c r="H774" s="3">
        <v>0.40539999999999998</v>
      </c>
      <c r="I774">
        <v>2351.56</v>
      </c>
      <c r="J774" s="3">
        <v>0.40300000000000002</v>
      </c>
      <c r="K774">
        <v>3249</v>
      </c>
      <c r="T774" s="2"/>
      <c r="U774" s="2"/>
      <c r="V774" s="2"/>
      <c r="W774" s="2"/>
      <c r="X774" s="3"/>
      <c r="Y774" s="3"/>
      <c r="Z774" s="3"/>
      <c r="AA774" s="3"/>
      <c r="AF774" s="3"/>
      <c r="AG774" s="3"/>
      <c r="AH774" s="3"/>
    </row>
    <row r="775" spans="1:34" x14ac:dyDescent="0.25">
      <c r="A775" t="s">
        <v>654</v>
      </c>
      <c r="B775" t="s">
        <v>1189</v>
      </c>
      <c r="C775" t="s">
        <v>1273</v>
      </c>
      <c r="D775" s="2">
        <v>37848</v>
      </c>
      <c r="E775">
        <v>0.7944502</v>
      </c>
      <c r="F775" s="2">
        <v>37967</v>
      </c>
      <c r="G775">
        <v>0.7944502</v>
      </c>
      <c r="H775" s="3">
        <v>0</v>
      </c>
      <c r="I775">
        <v>-14.93</v>
      </c>
      <c r="J775" s="3">
        <v>-2E-3</v>
      </c>
      <c r="K775">
        <v>9398</v>
      </c>
      <c r="T775" s="2"/>
      <c r="U775" s="2"/>
      <c r="V775" s="2"/>
      <c r="W775" s="2"/>
      <c r="X775" s="3"/>
      <c r="Y775" s="3"/>
      <c r="Z775" s="3"/>
      <c r="AA775" s="3"/>
      <c r="AF775" s="3"/>
      <c r="AG775" s="3"/>
      <c r="AH775" s="3"/>
    </row>
    <row r="776" spans="1:34" x14ac:dyDescent="0.25">
      <c r="A776" t="s">
        <v>655</v>
      </c>
      <c r="B776" t="s">
        <v>1190</v>
      </c>
      <c r="C776" t="s">
        <v>1273</v>
      </c>
      <c r="D776" s="2">
        <v>37204</v>
      </c>
      <c r="E776">
        <v>0.51971259999999997</v>
      </c>
      <c r="F776" s="2">
        <v>37967</v>
      </c>
      <c r="G776">
        <v>0.64482260000000002</v>
      </c>
      <c r="H776" s="3">
        <v>0.2407</v>
      </c>
      <c r="I776">
        <v>1164.3399999999999</v>
      </c>
      <c r="J776" s="3">
        <v>0.23849999999999999</v>
      </c>
      <c r="K776">
        <v>9394</v>
      </c>
      <c r="T776" s="2"/>
      <c r="U776" s="2"/>
      <c r="V776" s="2"/>
      <c r="W776" s="2"/>
      <c r="X776" s="3"/>
      <c r="Y776" s="3"/>
      <c r="Z776" s="3"/>
      <c r="AA776" s="3"/>
      <c r="AF776" s="3"/>
      <c r="AG776" s="3"/>
      <c r="AH776" s="3"/>
    </row>
    <row r="777" spans="1:34" x14ac:dyDescent="0.25">
      <c r="A777" t="s">
        <v>642</v>
      </c>
      <c r="B777" t="s">
        <v>1173</v>
      </c>
      <c r="C777" t="s">
        <v>1273</v>
      </c>
      <c r="D777" s="2">
        <v>37743</v>
      </c>
      <c r="E777">
        <v>0.52706280000000005</v>
      </c>
      <c r="F777" s="2">
        <v>37953</v>
      </c>
      <c r="G777">
        <v>1.0039290000000001</v>
      </c>
      <c r="H777" s="3">
        <v>0.90480000000000005</v>
      </c>
      <c r="I777">
        <v>5290.48</v>
      </c>
      <c r="J777" s="3">
        <v>0.90190000000000003</v>
      </c>
      <c r="K777">
        <v>11130</v>
      </c>
      <c r="T777" s="2"/>
      <c r="U777" s="2"/>
      <c r="V777" s="2"/>
      <c r="W777" s="2"/>
      <c r="X777" s="3"/>
      <c r="Y777" s="3"/>
      <c r="Z777" s="3"/>
      <c r="AA777" s="3"/>
      <c r="AF777" s="3"/>
      <c r="AG777" s="3"/>
      <c r="AH777" s="3"/>
    </row>
    <row r="778" spans="1:34" x14ac:dyDescent="0.25">
      <c r="A778" t="s">
        <v>335</v>
      </c>
      <c r="B778" t="s">
        <v>1191</v>
      </c>
      <c r="C778" t="s">
        <v>1273</v>
      </c>
      <c r="D778" s="2">
        <v>37848</v>
      </c>
      <c r="E778">
        <v>1.057294</v>
      </c>
      <c r="F778" s="2">
        <v>37939</v>
      </c>
      <c r="G778">
        <v>0.92548039999999998</v>
      </c>
      <c r="H778" s="3">
        <v>-0.12470000000000001</v>
      </c>
      <c r="I778">
        <v>-944.87</v>
      </c>
      <c r="J778" s="3">
        <v>-0.1265</v>
      </c>
      <c r="K778">
        <v>7062</v>
      </c>
      <c r="T778" s="2"/>
      <c r="U778" s="2"/>
      <c r="V778" s="2"/>
      <c r="W778" s="2"/>
      <c r="X778" s="3"/>
      <c r="Y778" s="3"/>
      <c r="Z778" s="3"/>
      <c r="AA778" s="3"/>
      <c r="AF778" s="3"/>
      <c r="AG778" s="3"/>
      <c r="AH778" s="3"/>
    </row>
    <row r="779" spans="1:34" x14ac:dyDescent="0.25">
      <c r="A779" t="s">
        <v>656</v>
      </c>
      <c r="B779" t="s">
        <v>1192</v>
      </c>
      <c r="C779" t="s">
        <v>1273</v>
      </c>
      <c r="D779" s="2">
        <v>37735</v>
      </c>
      <c r="E779">
        <v>0.54956439999999995</v>
      </c>
      <c r="F779" s="2">
        <v>37848</v>
      </c>
      <c r="G779">
        <v>0.94103499999999995</v>
      </c>
      <c r="H779" s="3">
        <v>0.71230000000000004</v>
      </c>
      <c r="I779">
        <v>4176.6899999999996</v>
      </c>
      <c r="J779" s="3">
        <v>0.70960000000000001</v>
      </c>
      <c r="K779">
        <v>10710</v>
      </c>
      <c r="T779" s="2"/>
      <c r="U779" s="2"/>
      <c r="V779" s="2"/>
      <c r="W779" s="2"/>
      <c r="X779" s="3"/>
      <c r="Y779" s="3"/>
      <c r="Z779" s="3"/>
      <c r="AA779" s="3"/>
      <c r="AF779" s="3"/>
      <c r="AG779" s="3"/>
      <c r="AH779" s="3"/>
    </row>
    <row r="780" spans="1:34" x14ac:dyDescent="0.25">
      <c r="A780" t="s">
        <v>657</v>
      </c>
      <c r="B780" t="s">
        <v>1193</v>
      </c>
      <c r="C780" t="s">
        <v>1273</v>
      </c>
      <c r="D780" s="2">
        <v>37596</v>
      </c>
      <c r="E780">
        <v>0.69538869999999997</v>
      </c>
      <c r="F780" s="2">
        <v>37820</v>
      </c>
      <c r="G780">
        <v>0.60573169999999998</v>
      </c>
      <c r="H780" s="3">
        <v>-0.12889999999999999</v>
      </c>
      <c r="I780">
        <v>-786.88</v>
      </c>
      <c r="J780" s="3">
        <v>-0.1308</v>
      </c>
      <c r="K780">
        <v>8651</v>
      </c>
      <c r="T780" s="2"/>
      <c r="U780" s="2"/>
      <c r="V780" s="2"/>
      <c r="W780" s="2"/>
      <c r="X780" s="3"/>
      <c r="Y780" s="3"/>
      <c r="Z780" s="3"/>
      <c r="AA780" s="3"/>
      <c r="AF780" s="3"/>
      <c r="AG780" s="3"/>
      <c r="AH780" s="3"/>
    </row>
    <row r="781" spans="1:34" x14ac:dyDescent="0.25">
      <c r="A781" t="s">
        <v>336</v>
      </c>
      <c r="B781" t="s">
        <v>1194</v>
      </c>
      <c r="C781" t="s">
        <v>1273</v>
      </c>
      <c r="D781" s="2">
        <v>37722</v>
      </c>
      <c r="E781">
        <v>3.4580099999999998</v>
      </c>
      <c r="F781" s="2">
        <v>37792</v>
      </c>
      <c r="G781">
        <v>3.0193080000000001</v>
      </c>
      <c r="H781" s="3">
        <v>-0.12690000000000001</v>
      </c>
      <c r="I781">
        <v>-751.02</v>
      </c>
      <c r="J781" s="3">
        <v>-0.12870000000000001</v>
      </c>
      <c r="K781">
        <v>1687</v>
      </c>
      <c r="T781" s="2"/>
      <c r="U781" s="2"/>
      <c r="V781" s="2"/>
      <c r="W781" s="2"/>
      <c r="X781" s="3"/>
      <c r="Y781" s="3"/>
      <c r="Z781" s="3"/>
      <c r="AA781" s="3"/>
      <c r="AF781" s="3"/>
      <c r="AG781" s="3"/>
      <c r="AH781" s="3"/>
    </row>
    <row r="782" spans="1:34" x14ac:dyDescent="0.25">
      <c r="A782" t="s">
        <v>592</v>
      </c>
      <c r="B782" t="s">
        <v>1105</v>
      </c>
      <c r="C782" t="s">
        <v>1273</v>
      </c>
      <c r="D782" s="2">
        <v>37722</v>
      </c>
      <c r="E782">
        <v>0.53810239999999998</v>
      </c>
      <c r="F782" s="2">
        <v>37792</v>
      </c>
      <c r="G782">
        <v>0.39290009999999997</v>
      </c>
      <c r="H782" s="3">
        <v>-0.26979999999999998</v>
      </c>
      <c r="I782">
        <v>-1584.67</v>
      </c>
      <c r="J782" s="3">
        <v>-0.27160000000000001</v>
      </c>
      <c r="K782">
        <v>10844</v>
      </c>
      <c r="T782" s="2"/>
      <c r="U782" s="2"/>
      <c r="V782" s="2"/>
      <c r="W782" s="2"/>
      <c r="X782" s="3"/>
      <c r="Y782" s="3"/>
      <c r="Z782" s="3"/>
      <c r="AA782" s="3"/>
      <c r="AF782" s="3"/>
      <c r="AG782" s="3"/>
      <c r="AH782" s="3"/>
    </row>
    <row r="783" spans="1:34" x14ac:dyDescent="0.25">
      <c r="A783" t="s">
        <v>658</v>
      </c>
      <c r="B783" t="s">
        <v>1195</v>
      </c>
      <c r="C783" t="s">
        <v>1273</v>
      </c>
      <c r="D783" s="2">
        <v>37617</v>
      </c>
      <c r="E783">
        <v>21.51</v>
      </c>
      <c r="F783" s="2">
        <v>37725</v>
      </c>
      <c r="G783">
        <v>18.55</v>
      </c>
      <c r="H783" s="3">
        <v>-0.1376</v>
      </c>
      <c r="I783">
        <v>-831.02</v>
      </c>
      <c r="J783" s="3">
        <v>-0.13950000000000001</v>
      </c>
      <c r="K783">
        <v>277</v>
      </c>
      <c r="T783" s="2"/>
      <c r="U783" s="2"/>
      <c r="V783" s="2"/>
      <c r="W783" s="2"/>
      <c r="X783" s="3"/>
      <c r="Y783" s="3"/>
      <c r="Z783" s="3"/>
      <c r="AA783" s="3"/>
      <c r="AF783" s="3"/>
      <c r="AG783" s="3"/>
      <c r="AH783" s="3"/>
    </row>
    <row r="784" spans="1:34" x14ac:dyDescent="0.25">
      <c r="A784" t="s">
        <v>659</v>
      </c>
      <c r="B784" t="s">
        <v>1196</v>
      </c>
      <c r="C784" t="s">
        <v>1273</v>
      </c>
      <c r="D784" s="2">
        <v>37624</v>
      </c>
      <c r="E784">
        <v>1.983638</v>
      </c>
      <c r="F784" s="2">
        <v>37694</v>
      </c>
      <c r="G784">
        <v>1.3885460000000001</v>
      </c>
      <c r="H784" s="3">
        <v>-0.3</v>
      </c>
      <c r="I784">
        <v>-1824.12</v>
      </c>
      <c r="J784" s="3">
        <v>-0.30170000000000002</v>
      </c>
      <c r="K784">
        <v>3048</v>
      </c>
      <c r="T784" s="2"/>
      <c r="U784" s="2"/>
      <c r="V784" s="2"/>
      <c r="W784" s="2"/>
      <c r="X784" s="3"/>
      <c r="Y784" s="3"/>
      <c r="Z784" s="3"/>
      <c r="AA784" s="3"/>
      <c r="AF784" s="3"/>
      <c r="AG784" s="3"/>
      <c r="AH784" s="3"/>
    </row>
    <row r="785" spans="1:34" x14ac:dyDescent="0.25">
      <c r="A785" t="s">
        <v>244</v>
      </c>
      <c r="B785" t="s">
        <v>874</v>
      </c>
      <c r="C785" t="s">
        <v>1273</v>
      </c>
      <c r="D785" s="2">
        <v>37617</v>
      </c>
      <c r="E785">
        <v>0.68483349999999998</v>
      </c>
      <c r="F785" s="2">
        <v>37694</v>
      </c>
      <c r="G785">
        <v>0.65537820000000002</v>
      </c>
      <c r="H785" s="3">
        <v>-4.2999999999999997E-2</v>
      </c>
      <c r="I785">
        <v>-268.83999999999997</v>
      </c>
      <c r="J785" s="3">
        <v>-4.4999999999999998E-2</v>
      </c>
      <c r="K785">
        <v>8730</v>
      </c>
      <c r="T785" s="2"/>
      <c r="U785" s="2"/>
      <c r="V785" s="2"/>
      <c r="W785" s="2"/>
      <c r="X785" s="3"/>
      <c r="Y785" s="3"/>
      <c r="Z785" s="3"/>
      <c r="AA785" s="3"/>
      <c r="AF785" s="3"/>
      <c r="AG785" s="3"/>
      <c r="AH785" s="3"/>
    </row>
    <row r="786" spans="1:34" x14ac:dyDescent="0.25">
      <c r="A786" t="s">
        <v>337</v>
      </c>
      <c r="B786" t="s">
        <v>1197</v>
      </c>
      <c r="C786" t="s">
        <v>1273</v>
      </c>
      <c r="D786" s="2">
        <v>37015</v>
      </c>
      <c r="E786">
        <v>0.51886560000000004</v>
      </c>
      <c r="F786" s="2">
        <v>37694</v>
      </c>
      <c r="G786">
        <v>0.48531930000000001</v>
      </c>
      <c r="H786" s="3">
        <v>-6.4699999999999994E-2</v>
      </c>
      <c r="I786">
        <v>-309.19</v>
      </c>
      <c r="J786" s="3">
        <v>-6.6600000000000006E-2</v>
      </c>
      <c r="K786">
        <v>8949</v>
      </c>
      <c r="T786" s="2"/>
      <c r="U786" s="2"/>
      <c r="V786" s="2"/>
      <c r="W786" s="2"/>
      <c r="X786" s="3"/>
      <c r="Y786" s="3"/>
      <c r="Z786" s="3"/>
      <c r="AA786" s="3"/>
      <c r="AF786" s="3"/>
      <c r="AG786" s="3"/>
      <c r="AH786" s="3"/>
    </row>
    <row r="787" spans="1:34" x14ac:dyDescent="0.25">
      <c r="A787" t="s">
        <v>660</v>
      </c>
      <c r="B787" t="s">
        <v>1198</v>
      </c>
      <c r="C787" t="s">
        <v>1273</v>
      </c>
      <c r="D787" s="2">
        <v>37638</v>
      </c>
      <c r="E787">
        <v>0.99</v>
      </c>
      <c r="F787" s="2">
        <v>37687</v>
      </c>
      <c r="G787">
        <v>0.83</v>
      </c>
      <c r="H787" s="3">
        <v>-0.16159999999999999</v>
      </c>
      <c r="I787">
        <v>-985</v>
      </c>
      <c r="J787" s="3">
        <v>-0.16350000000000001</v>
      </c>
      <c r="K787">
        <v>6087</v>
      </c>
      <c r="T787" s="2"/>
      <c r="U787" s="2"/>
      <c r="V787" s="2"/>
      <c r="W787" s="2"/>
      <c r="X787" s="3"/>
      <c r="Y787" s="3"/>
      <c r="Z787" s="3"/>
      <c r="AA787" s="3"/>
      <c r="AF787" s="3"/>
      <c r="AG787" s="3"/>
      <c r="AH787" s="3"/>
    </row>
    <row r="788" spans="1:34" x14ac:dyDescent="0.25">
      <c r="A788" t="s">
        <v>234</v>
      </c>
      <c r="B788" t="s">
        <v>860</v>
      </c>
      <c r="C788" t="s">
        <v>1273</v>
      </c>
      <c r="D788" s="2">
        <v>37638</v>
      </c>
      <c r="E788">
        <v>0.97285500000000003</v>
      </c>
      <c r="F788" s="2">
        <v>37687</v>
      </c>
      <c r="G788">
        <v>1.270559</v>
      </c>
      <c r="H788" s="3">
        <v>0.30599999999999999</v>
      </c>
      <c r="I788">
        <v>1830.38</v>
      </c>
      <c r="J788" s="3">
        <v>0.30370000000000003</v>
      </c>
      <c r="K788">
        <v>6195</v>
      </c>
      <c r="T788" s="2"/>
      <c r="U788" s="2"/>
      <c r="V788" s="2"/>
      <c r="W788" s="2"/>
      <c r="X788" s="3"/>
      <c r="Y788" s="3"/>
      <c r="Z788" s="3"/>
      <c r="AA788" s="3"/>
      <c r="AF788" s="3"/>
      <c r="AG788" s="3"/>
      <c r="AH788" s="3"/>
    </row>
    <row r="789" spans="1:34" x14ac:dyDescent="0.25">
      <c r="A789" t="s">
        <v>549</v>
      </c>
      <c r="B789" t="s">
        <v>1042</v>
      </c>
      <c r="C789" t="s">
        <v>1273</v>
      </c>
      <c r="D789" s="2">
        <v>37330</v>
      </c>
      <c r="E789">
        <v>1.122072</v>
      </c>
      <c r="F789" s="2">
        <v>37687</v>
      </c>
      <c r="G789">
        <v>0.80337130000000001</v>
      </c>
      <c r="H789" s="3">
        <v>-0.28399999999999997</v>
      </c>
      <c r="I789">
        <v>-1673.35</v>
      </c>
      <c r="J789" s="3">
        <v>-0.28570000000000001</v>
      </c>
      <c r="K789">
        <v>5219</v>
      </c>
      <c r="T789" s="2"/>
      <c r="U789" s="2"/>
      <c r="V789" s="2"/>
      <c r="W789" s="2"/>
      <c r="X789" s="3"/>
      <c r="Y789" s="3"/>
      <c r="Z789" s="3"/>
      <c r="AA789" s="3"/>
      <c r="AF789" s="3"/>
      <c r="AG789" s="3"/>
      <c r="AH789" s="3"/>
    </row>
    <row r="790" spans="1:34" x14ac:dyDescent="0.25">
      <c r="A790" t="s">
        <v>661</v>
      </c>
      <c r="B790" t="s">
        <v>1199</v>
      </c>
      <c r="C790" t="s">
        <v>1273</v>
      </c>
      <c r="D790" s="2">
        <v>37113</v>
      </c>
      <c r="E790">
        <v>1.309202</v>
      </c>
      <c r="F790" s="2">
        <v>37673</v>
      </c>
      <c r="G790">
        <v>2.0754000000000001</v>
      </c>
      <c r="H790" s="3">
        <v>0.58520000000000005</v>
      </c>
      <c r="I790">
        <v>2997.86</v>
      </c>
      <c r="J790" s="3">
        <v>0.5827</v>
      </c>
      <c r="K790">
        <v>3930</v>
      </c>
      <c r="T790" s="2"/>
      <c r="U790" s="2"/>
      <c r="V790" s="2"/>
      <c r="W790" s="2"/>
      <c r="X790" s="3"/>
      <c r="Y790" s="3"/>
      <c r="Z790" s="3"/>
      <c r="AA790" s="3"/>
      <c r="AF790" s="3"/>
      <c r="AG790" s="3"/>
      <c r="AH790" s="3"/>
    </row>
    <row r="791" spans="1:34" x14ac:dyDescent="0.25">
      <c r="A791" t="s">
        <v>662</v>
      </c>
      <c r="B791" t="s">
        <v>1200</v>
      </c>
      <c r="C791" t="s">
        <v>1273</v>
      </c>
      <c r="D791" s="2">
        <v>37631</v>
      </c>
      <c r="E791">
        <v>0.73</v>
      </c>
      <c r="F791" s="2">
        <v>37666</v>
      </c>
      <c r="G791">
        <v>0.61</v>
      </c>
      <c r="H791" s="3">
        <v>-0.16439999999999999</v>
      </c>
      <c r="I791">
        <v>-1004.09</v>
      </c>
      <c r="J791" s="3">
        <v>-0.16619999999999999</v>
      </c>
      <c r="K791">
        <v>8275</v>
      </c>
      <c r="T791" s="2"/>
      <c r="U791" s="2"/>
      <c r="V791" s="2"/>
      <c r="W791" s="2"/>
      <c r="X791" s="3"/>
      <c r="Y791" s="3"/>
      <c r="Z791" s="3"/>
      <c r="AA791" s="3"/>
      <c r="AF791" s="3"/>
      <c r="AG791" s="3"/>
      <c r="AH791" s="3"/>
    </row>
    <row r="792" spans="1:34" x14ac:dyDescent="0.25">
      <c r="A792" t="s">
        <v>663</v>
      </c>
      <c r="B792" t="s">
        <v>1201</v>
      </c>
      <c r="C792" t="s">
        <v>1273</v>
      </c>
      <c r="D792" s="2">
        <v>37617</v>
      </c>
      <c r="E792">
        <v>0.79396129999999998</v>
      </c>
      <c r="F792" s="2">
        <v>37666</v>
      </c>
      <c r="G792">
        <v>0.89837719999999999</v>
      </c>
      <c r="H792" s="3">
        <v>0.13150000000000001</v>
      </c>
      <c r="I792">
        <v>773.41</v>
      </c>
      <c r="J792" s="3">
        <v>0.12939999999999999</v>
      </c>
      <c r="K792">
        <v>7529</v>
      </c>
      <c r="T792" s="2"/>
      <c r="U792" s="2"/>
      <c r="V792" s="2"/>
      <c r="W792" s="2"/>
      <c r="X792" s="3"/>
      <c r="Y792" s="3"/>
      <c r="Z792" s="3"/>
      <c r="AA792" s="3"/>
      <c r="AF792" s="3"/>
      <c r="AG792" s="3"/>
      <c r="AH792" s="3"/>
    </row>
    <row r="793" spans="1:34" x14ac:dyDescent="0.25">
      <c r="A793" t="s">
        <v>664</v>
      </c>
      <c r="B793" t="s">
        <v>1202</v>
      </c>
      <c r="C793" t="s">
        <v>1273</v>
      </c>
      <c r="D793" s="2">
        <v>37596</v>
      </c>
      <c r="E793">
        <v>0.8316962</v>
      </c>
      <c r="F793" s="2">
        <v>37666</v>
      </c>
      <c r="G793">
        <v>0.74852660000000004</v>
      </c>
      <c r="H793" s="3">
        <v>-0.1</v>
      </c>
      <c r="I793">
        <v>-613</v>
      </c>
      <c r="J793" s="3">
        <v>-0.1019</v>
      </c>
      <c r="K793">
        <v>7233</v>
      </c>
      <c r="T793" s="2"/>
      <c r="U793" s="2"/>
      <c r="V793" s="2"/>
      <c r="W793" s="2"/>
      <c r="X793" s="3"/>
      <c r="Y793" s="3"/>
      <c r="Z793" s="3"/>
      <c r="AA793" s="3"/>
      <c r="AF793" s="3"/>
      <c r="AG793" s="3"/>
      <c r="AH793" s="3"/>
    </row>
    <row r="794" spans="1:34" x14ac:dyDescent="0.25">
      <c r="A794" t="s">
        <v>146</v>
      </c>
      <c r="B794" t="s">
        <v>739</v>
      </c>
      <c r="C794" t="s">
        <v>1273</v>
      </c>
      <c r="D794" s="2">
        <v>37638</v>
      </c>
      <c r="E794">
        <v>1.27</v>
      </c>
      <c r="F794" s="2">
        <v>37659</v>
      </c>
      <c r="G794">
        <v>1.42</v>
      </c>
      <c r="H794" s="3">
        <v>0.1181</v>
      </c>
      <c r="I794">
        <v>699.28</v>
      </c>
      <c r="J794" s="3">
        <v>0.11600000000000001</v>
      </c>
      <c r="K794">
        <v>4747</v>
      </c>
      <c r="T794" s="2"/>
      <c r="U794" s="2"/>
      <c r="V794" s="2"/>
      <c r="W794" s="2"/>
      <c r="X794" s="3"/>
      <c r="Y794" s="3"/>
      <c r="Z794" s="3"/>
      <c r="AA794" s="3"/>
      <c r="AF794" s="3"/>
      <c r="AG794" s="3"/>
      <c r="AH794" s="3"/>
    </row>
    <row r="795" spans="1:34" x14ac:dyDescent="0.25">
      <c r="A795" t="s">
        <v>665</v>
      </c>
      <c r="B795" t="s">
        <v>1203</v>
      </c>
      <c r="C795" t="s">
        <v>1273</v>
      </c>
      <c r="D795" s="2">
        <v>37624</v>
      </c>
      <c r="E795">
        <v>0.96996550000000004</v>
      </c>
      <c r="F795" s="2">
        <v>37659</v>
      </c>
      <c r="G795">
        <v>1.1154599999999999</v>
      </c>
      <c r="H795" s="3">
        <v>0.15</v>
      </c>
      <c r="I795">
        <v>894.3</v>
      </c>
      <c r="J795" s="3">
        <v>0.14779999999999999</v>
      </c>
      <c r="K795">
        <v>6236</v>
      </c>
      <c r="T795" s="2"/>
      <c r="U795" s="2"/>
      <c r="V795" s="2"/>
      <c r="W795" s="2"/>
      <c r="X795" s="3"/>
      <c r="Y795" s="3"/>
      <c r="Z795" s="3"/>
      <c r="AA795" s="3"/>
      <c r="AF795" s="3"/>
      <c r="AG795" s="3"/>
      <c r="AH795" s="3"/>
    </row>
    <row r="796" spans="1:34" x14ac:dyDescent="0.25">
      <c r="A796" t="s">
        <v>666</v>
      </c>
      <c r="B796" t="s">
        <v>1204</v>
      </c>
      <c r="C796" t="s">
        <v>1273</v>
      </c>
      <c r="D796" s="2">
        <v>37624</v>
      </c>
      <c r="E796">
        <v>1.8527439999999999</v>
      </c>
      <c r="F796" s="2">
        <v>37631</v>
      </c>
      <c r="G796">
        <v>1.827188</v>
      </c>
      <c r="H796" s="3">
        <v>-1.38E-2</v>
      </c>
      <c r="I796">
        <v>-95.43</v>
      </c>
      <c r="J796" s="3">
        <v>-1.5800000000000002E-2</v>
      </c>
      <c r="K796">
        <v>3264</v>
      </c>
      <c r="T796" s="2"/>
      <c r="U796" s="2"/>
      <c r="V796" s="2"/>
      <c r="W796" s="2"/>
      <c r="X796" s="3"/>
      <c r="Y796" s="3"/>
      <c r="Z796" s="3"/>
      <c r="AA796" s="3"/>
      <c r="AF796" s="3"/>
      <c r="AG796" s="3"/>
      <c r="AH796" s="3"/>
    </row>
    <row r="797" spans="1:34" x14ac:dyDescent="0.25">
      <c r="A797" t="s">
        <v>667</v>
      </c>
      <c r="B797" t="s">
        <v>1205</v>
      </c>
      <c r="C797" t="s">
        <v>1273</v>
      </c>
      <c r="D797" s="2">
        <v>37596</v>
      </c>
      <c r="E797">
        <v>23.5</v>
      </c>
      <c r="F797" s="2">
        <v>37603</v>
      </c>
      <c r="G797">
        <v>22</v>
      </c>
      <c r="H797" s="3">
        <v>-6.3799999999999996E-2</v>
      </c>
      <c r="I797">
        <v>-394.1</v>
      </c>
      <c r="J797" s="3">
        <v>-6.5799999999999997E-2</v>
      </c>
      <c r="K797">
        <v>255</v>
      </c>
      <c r="T797" s="2"/>
      <c r="U797" s="2"/>
      <c r="V797" s="2"/>
      <c r="W797" s="2"/>
      <c r="X797" s="3"/>
      <c r="Y797" s="3"/>
      <c r="Z797" s="3"/>
      <c r="AA797" s="3"/>
      <c r="AF797" s="3"/>
      <c r="AG797" s="3"/>
      <c r="AH797" s="3"/>
    </row>
    <row r="798" spans="1:34" x14ac:dyDescent="0.25">
      <c r="A798" t="s">
        <v>668</v>
      </c>
      <c r="B798" t="s">
        <v>1206</v>
      </c>
      <c r="C798" t="s">
        <v>1273</v>
      </c>
      <c r="D798" s="2">
        <v>37343</v>
      </c>
      <c r="E798">
        <v>1.8</v>
      </c>
      <c r="F798" s="2">
        <v>37496</v>
      </c>
      <c r="G798">
        <v>2.7</v>
      </c>
      <c r="H798" s="3">
        <v>0.5</v>
      </c>
      <c r="I798">
        <v>2950.67</v>
      </c>
      <c r="J798" s="3">
        <v>0.4975</v>
      </c>
      <c r="K798">
        <v>3295</v>
      </c>
      <c r="T798" s="2"/>
      <c r="U798" s="2"/>
      <c r="V798" s="2"/>
      <c r="W798" s="2"/>
      <c r="X798" s="3"/>
      <c r="Y798" s="3"/>
      <c r="Z798" s="3"/>
      <c r="AA798" s="3"/>
      <c r="AF798" s="3"/>
      <c r="AG798" s="3"/>
      <c r="AH798" s="3"/>
    </row>
    <row r="799" spans="1:34" x14ac:dyDescent="0.25">
      <c r="A799" t="s">
        <v>669</v>
      </c>
      <c r="B799" t="s">
        <v>1207</v>
      </c>
      <c r="C799" t="s">
        <v>1273</v>
      </c>
      <c r="D799" s="2">
        <v>37197</v>
      </c>
      <c r="E799">
        <v>1.3212060000000001</v>
      </c>
      <c r="F799" s="2">
        <v>37480</v>
      </c>
      <c r="G799">
        <v>1.98</v>
      </c>
      <c r="H799" s="3">
        <v>0.49859999999999999</v>
      </c>
      <c r="I799">
        <v>2424.67</v>
      </c>
      <c r="J799" s="3">
        <v>0.49609999999999999</v>
      </c>
      <c r="K799">
        <v>3699</v>
      </c>
      <c r="T799" s="2"/>
      <c r="U799" s="2"/>
      <c r="V799" s="2"/>
      <c r="W799" s="2"/>
      <c r="X799" s="3"/>
      <c r="Y799" s="3"/>
      <c r="Z799" s="3"/>
      <c r="AA799" s="3"/>
      <c r="AF799" s="3"/>
      <c r="AG799" s="3"/>
      <c r="AH799" s="3"/>
    </row>
    <row r="800" spans="1:34" x14ac:dyDescent="0.25">
      <c r="A800" t="s">
        <v>69</v>
      </c>
      <c r="B800" t="s">
        <v>1208</v>
      </c>
      <c r="C800" t="s">
        <v>1273</v>
      </c>
      <c r="D800" s="2">
        <v>37211</v>
      </c>
      <c r="E800">
        <v>1.8372999999999999</v>
      </c>
      <c r="F800" s="2">
        <v>37463</v>
      </c>
      <c r="G800">
        <v>2.012178</v>
      </c>
      <c r="H800" s="3">
        <v>9.5200000000000007E-2</v>
      </c>
      <c r="I800">
        <v>453.23</v>
      </c>
      <c r="J800" s="3">
        <v>9.3100000000000002E-2</v>
      </c>
      <c r="K800">
        <v>2650</v>
      </c>
      <c r="T800" s="2"/>
      <c r="U800" s="2"/>
      <c r="V800" s="2"/>
      <c r="W800" s="2"/>
      <c r="X800" s="3"/>
      <c r="Y800" s="3"/>
      <c r="Z800" s="3"/>
      <c r="AA800" s="3"/>
      <c r="AF800" s="3"/>
      <c r="AG800" s="3"/>
      <c r="AH800" s="3"/>
    </row>
    <row r="801" spans="1:34" x14ac:dyDescent="0.25">
      <c r="A801" t="s">
        <v>72</v>
      </c>
      <c r="B801" t="s">
        <v>1209</v>
      </c>
      <c r="C801" t="s">
        <v>1273</v>
      </c>
      <c r="D801" s="2">
        <v>36707</v>
      </c>
      <c r="E801">
        <v>1.3800809999999999</v>
      </c>
      <c r="F801" s="2">
        <v>37456</v>
      </c>
      <c r="G801">
        <v>1.8104469999999999</v>
      </c>
      <c r="H801" s="3">
        <v>0.31180000000000002</v>
      </c>
      <c r="I801">
        <v>1333.64</v>
      </c>
      <c r="J801" s="3">
        <v>0.3095</v>
      </c>
      <c r="K801">
        <v>3122</v>
      </c>
      <c r="T801" s="2"/>
      <c r="U801" s="2"/>
      <c r="V801" s="2"/>
      <c r="W801" s="2"/>
      <c r="X801" s="3"/>
      <c r="Y801" s="3"/>
      <c r="Z801" s="3"/>
      <c r="AA801" s="3"/>
      <c r="AF801" s="3"/>
      <c r="AG801" s="3"/>
      <c r="AH801" s="3"/>
    </row>
    <row r="802" spans="1:34" x14ac:dyDescent="0.25">
      <c r="A802" t="s">
        <v>101</v>
      </c>
      <c r="B802" t="s">
        <v>402</v>
      </c>
      <c r="C802" t="s">
        <v>1273</v>
      </c>
      <c r="D802" s="2">
        <v>37232</v>
      </c>
      <c r="E802">
        <v>0.89837230000000001</v>
      </c>
      <c r="F802" s="2">
        <v>37449</v>
      </c>
      <c r="G802">
        <v>1.5285740000000001</v>
      </c>
      <c r="H802" s="3">
        <v>0.70150000000000001</v>
      </c>
      <c r="I802">
        <v>3542.53</v>
      </c>
      <c r="J802" s="3">
        <v>0.69879999999999998</v>
      </c>
      <c r="K802">
        <v>5643</v>
      </c>
      <c r="T802" s="2"/>
      <c r="U802" s="2"/>
      <c r="V802" s="2"/>
      <c r="W802" s="2"/>
      <c r="X802" s="3"/>
      <c r="Y802" s="3"/>
      <c r="Z802" s="3"/>
      <c r="AA802" s="3"/>
      <c r="AF802" s="3"/>
      <c r="AG802" s="3"/>
      <c r="AH802" s="3"/>
    </row>
    <row r="803" spans="1:34" x14ac:dyDescent="0.25">
      <c r="A803" t="s">
        <v>670</v>
      </c>
      <c r="B803" t="s">
        <v>1210</v>
      </c>
      <c r="C803" t="s">
        <v>1273</v>
      </c>
      <c r="D803" s="2">
        <v>37400</v>
      </c>
      <c r="E803">
        <v>2.9795370000000001</v>
      </c>
      <c r="F803" s="2">
        <v>37442</v>
      </c>
      <c r="G803">
        <v>2.5809760000000002</v>
      </c>
      <c r="H803" s="3">
        <v>-0.1338</v>
      </c>
      <c r="I803">
        <v>-813.9</v>
      </c>
      <c r="J803" s="3">
        <v>-0.1356</v>
      </c>
      <c r="K803">
        <v>2014</v>
      </c>
      <c r="T803" s="2"/>
      <c r="U803" s="2"/>
      <c r="V803" s="2"/>
      <c r="W803" s="2"/>
      <c r="X803" s="3"/>
      <c r="Y803" s="3"/>
      <c r="Z803" s="3"/>
      <c r="AA803" s="3"/>
      <c r="AF803" s="3"/>
      <c r="AG803" s="3"/>
      <c r="AH803" s="3"/>
    </row>
    <row r="804" spans="1:34" x14ac:dyDescent="0.25">
      <c r="A804" t="s">
        <v>671</v>
      </c>
      <c r="B804" t="s">
        <v>1211</v>
      </c>
      <c r="C804" t="s">
        <v>1273</v>
      </c>
      <c r="D804" s="2">
        <v>37343</v>
      </c>
      <c r="E804">
        <v>0.51445779999999997</v>
      </c>
      <c r="F804" s="2">
        <v>37421</v>
      </c>
      <c r="G804">
        <v>0.44769609999999999</v>
      </c>
      <c r="H804" s="3">
        <v>-0.1298</v>
      </c>
      <c r="I804">
        <v>-780.86</v>
      </c>
      <c r="J804" s="3">
        <v>-0.13159999999999999</v>
      </c>
      <c r="K804">
        <v>11530</v>
      </c>
      <c r="T804" s="2"/>
      <c r="U804" s="2"/>
      <c r="V804" s="2"/>
      <c r="W804" s="2"/>
      <c r="X804" s="3"/>
      <c r="Y804" s="3"/>
      <c r="Z804" s="3"/>
      <c r="AA804" s="3"/>
      <c r="AF804" s="3"/>
      <c r="AG804" s="3"/>
      <c r="AH804" s="3"/>
    </row>
    <row r="805" spans="1:34" x14ac:dyDescent="0.25">
      <c r="A805" t="s">
        <v>672</v>
      </c>
      <c r="B805" t="s">
        <v>1212</v>
      </c>
      <c r="C805" t="s">
        <v>1273</v>
      </c>
      <c r="D805" s="2">
        <v>37253</v>
      </c>
      <c r="E805">
        <v>1.1260749999999999</v>
      </c>
      <c r="F805" s="2">
        <v>37407</v>
      </c>
      <c r="G805">
        <v>1.2994220000000001</v>
      </c>
      <c r="H805" s="3">
        <v>0.15390000000000001</v>
      </c>
      <c r="I805">
        <v>784.02</v>
      </c>
      <c r="J805" s="3">
        <v>0.15179999999999999</v>
      </c>
      <c r="K805">
        <v>4587</v>
      </c>
      <c r="T805" s="2"/>
      <c r="U805" s="2"/>
      <c r="V805" s="2"/>
      <c r="W805" s="2"/>
      <c r="X805" s="3"/>
      <c r="Y805" s="3"/>
      <c r="Z805" s="3"/>
      <c r="AA805" s="3"/>
      <c r="AF805" s="3"/>
      <c r="AG805" s="3"/>
      <c r="AH805" s="3"/>
    </row>
    <row r="806" spans="1:34" x14ac:dyDescent="0.25">
      <c r="A806" t="s">
        <v>673</v>
      </c>
      <c r="B806" t="s">
        <v>1213</v>
      </c>
      <c r="C806" t="s">
        <v>1273</v>
      </c>
      <c r="D806" s="2">
        <v>36945</v>
      </c>
      <c r="E806">
        <v>0.76479799999999998</v>
      </c>
      <c r="F806" s="2">
        <v>37399</v>
      </c>
      <c r="G806">
        <v>1.2084509999999999</v>
      </c>
      <c r="H806" s="3">
        <v>0.58009999999999995</v>
      </c>
      <c r="I806">
        <v>2698.22</v>
      </c>
      <c r="J806" s="3">
        <v>0.57750000000000001</v>
      </c>
      <c r="K806">
        <v>6109</v>
      </c>
      <c r="T806" s="2"/>
      <c r="U806" s="2"/>
      <c r="V806" s="2"/>
      <c r="W806" s="2"/>
      <c r="X806" s="3"/>
      <c r="Y806" s="3"/>
      <c r="Z806" s="3"/>
      <c r="AA806" s="3"/>
      <c r="AF806" s="3"/>
      <c r="AG806" s="3"/>
      <c r="AH806" s="3"/>
    </row>
    <row r="807" spans="1:34" x14ac:dyDescent="0.25">
      <c r="A807" t="s">
        <v>674</v>
      </c>
      <c r="B807" t="s">
        <v>1214</v>
      </c>
      <c r="C807" t="s">
        <v>1273</v>
      </c>
      <c r="D807" s="2">
        <v>37204</v>
      </c>
      <c r="E807">
        <v>0.98743740000000002</v>
      </c>
      <c r="F807" s="2">
        <v>37393</v>
      </c>
      <c r="G807">
        <v>1.0442199999999999</v>
      </c>
      <c r="H807" s="3">
        <v>5.7500000000000002E-2</v>
      </c>
      <c r="I807">
        <v>270.63</v>
      </c>
      <c r="J807" s="3">
        <v>5.5399999999999998E-2</v>
      </c>
      <c r="K807">
        <v>4943</v>
      </c>
      <c r="T807" s="2"/>
      <c r="U807" s="2"/>
      <c r="V807" s="2"/>
      <c r="W807" s="2"/>
      <c r="X807" s="3"/>
      <c r="Y807" s="3"/>
      <c r="Z807" s="3"/>
      <c r="AA807" s="3"/>
      <c r="AF807" s="3"/>
      <c r="AG807" s="3"/>
      <c r="AH807" s="3"/>
    </row>
    <row r="808" spans="1:34" x14ac:dyDescent="0.25">
      <c r="A808" t="s">
        <v>675</v>
      </c>
      <c r="B808" t="s">
        <v>1215</v>
      </c>
      <c r="C808" t="s">
        <v>1273</v>
      </c>
      <c r="D808" s="2">
        <v>37197</v>
      </c>
      <c r="E808">
        <v>1.6811929999999999</v>
      </c>
      <c r="F808" s="2">
        <v>37393</v>
      </c>
      <c r="G808">
        <v>1.569439</v>
      </c>
      <c r="H808" s="3">
        <v>-6.6500000000000004E-2</v>
      </c>
      <c r="I808">
        <v>-334.32</v>
      </c>
      <c r="J808" s="3">
        <v>-6.8400000000000002E-2</v>
      </c>
      <c r="K808">
        <v>2907</v>
      </c>
      <c r="T808" s="2"/>
      <c r="U808" s="2"/>
      <c r="V808" s="2"/>
      <c r="W808" s="2"/>
      <c r="X808" s="3"/>
      <c r="Y808" s="3"/>
      <c r="Z808" s="3"/>
      <c r="AA808" s="3"/>
      <c r="AF808" s="3"/>
      <c r="AG808" s="3"/>
      <c r="AH808" s="3"/>
    </row>
    <row r="809" spans="1:34" x14ac:dyDescent="0.25">
      <c r="A809" t="s">
        <v>452</v>
      </c>
      <c r="B809" t="s">
        <v>835</v>
      </c>
      <c r="C809" t="s">
        <v>1273</v>
      </c>
      <c r="D809" s="2">
        <v>37085</v>
      </c>
      <c r="E809">
        <v>0.93752610000000003</v>
      </c>
      <c r="F809" s="2">
        <v>37372</v>
      </c>
      <c r="G809">
        <v>1.345834</v>
      </c>
      <c r="H809" s="3">
        <v>0.4355</v>
      </c>
      <c r="I809">
        <v>2200.25</v>
      </c>
      <c r="J809" s="3">
        <v>0.43309999999999998</v>
      </c>
      <c r="K809">
        <v>5419</v>
      </c>
      <c r="T809" s="2"/>
      <c r="U809" s="2"/>
      <c r="V809" s="2"/>
      <c r="W809" s="2"/>
      <c r="X809" s="3"/>
      <c r="Y809" s="3"/>
      <c r="Z809" s="3"/>
      <c r="AA809" s="3"/>
      <c r="AF809" s="3"/>
      <c r="AG809" s="3"/>
      <c r="AH809" s="3"/>
    </row>
    <row r="810" spans="1:34" x14ac:dyDescent="0.25">
      <c r="A810" t="s">
        <v>646</v>
      </c>
      <c r="B810" t="s">
        <v>1178</v>
      </c>
      <c r="C810" t="s">
        <v>1273</v>
      </c>
      <c r="D810" s="2">
        <v>37197</v>
      </c>
      <c r="E810">
        <v>0.81156490000000003</v>
      </c>
      <c r="F810" s="2">
        <v>37365</v>
      </c>
      <c r="G810">
        <v>1.350104</v>
      </c>
      <c r="H810" s="3">
        <v>0.66359999999999997</v>
      </c>
      <c r="I810">
        <v>3230.06</v>
      </c>
      <c r="J810" s="3">
        <v>0.66090000000000004</v>
      </c>
      <c r="K810">
        <v>6022</v>
      </c>
      <c r="T810" s="2"/>
      <c r="U810" s="2"/>
      <c r="V810" s="2"/>
      <c r="W810" s="2"/>
      <c r="X810" s="3"/>
      <c r="Y810" s="3"/>
      <c r="Z810" s="3"/>
      <c r="AA810" s="3"/>
      <c r="AF810" s="3"/>
      <c r="AG810" s="3"/>
      <c r="AH810" s="3"/>
    </row>
    <row r="811" spans="1:34" x14ac:dyDescent="0.25">
      <c r="A811" t="s">
        <v>338</v>
      </c>
      <c r="B811" t="s">
        <v>1216</v>
      </c>
      <c r="C811" t="s">
        <v>1273</v>
      </c>
      <c r="D811" s="2">
        <v>37204</v>
      </c>
      <c r="E811">
        <v>1.99088</v>
      </c>
      <c r="F811" s="2">
        <v>37358</v>
      </c>
      <c r="G811">
        <v>2.1741030000000001</v>
      </c>
      <c r="H811" s="3">
        <v>9.1999999999999998E-2</v>
      </c>
      <c r="I811">
        <v>439.05</v>
      </c>
      <c r="J811" s="3">
        <v>8.9899999999999994E-2</v>
      </c>
      <c r="K811">
        <v>2452</v>
      </c>
      <c r="T811" s="2"/>
      <c r="U811" s="2"/>
      <c r="V811" s="2"/>
      <c r="W811" s="2"/>
      <c r="X811" s="3"/>
      <c r="Y811" s="3"/>
      <c r="Z811" s="3"/>
      <c r="AA811" s="3"/>
      <c r="AF811" s="3"/>
      <c r="AG811" s="3"/>
      <c r="AH811" s="3"/>
    </row>
    <row r="812" spans="1:34" x14ac:dyDescent="0.25">
      <c r="A812" t="s">
        <v>676</v>
      </c>
      <c r="B812" t="s">
        <v>1217</v>
      </c>
      <c r="C812" t="s">
        <v>1273</v>
      </c>
      <c r="D812" s="2">
        <v>37197</v>
      </c>
      <c r="E812">
        <v>0.72394480000000005</v>
      </c>
      <c r="F812" s="2">
        <v>37358</v>
      </c>
      <c r="G812">
        <v>1.5274829999999999</v>
      </c>
      <c r="H812" s="3">
        <v>1.1099000000000001</v>
      </c>
      <c r="I812">
        <v>5408.69</v>
      </c>
      <c r="J812" s="3">
        <v>1.1068</v>
      </c>
      <c r="K812">
        <v>6750</v>
      </c>
      <c r="T812" s="2"/>
      <c r="U812" s="2"/>
      <c r="V812" s="2"/>
      <c r="W812" s="2"/>
      <c r="X812" s="3"/>
      <c r="Y812" s="3"/>
      <c r="Z812" s="3"/>
      <c r="AA812" s="3"/>
      <c r="AF812" s="3"/>
      <c r="AG812" s="3"/>
      <c r="AH812" s="3"/>
    </row>
    <row r="813" spans="1:34" x14ac:dyDescent="0.25">
      <c r="A813" t="s">
        <v>665</v>
      </c>
      <c r="B813" t="s">
        <v>1203</v>
      </c>
      <c r="C813" t="s">
        <v>1273</v>
      </c>
      <c r="D813" s="2">
        <v>37295</v>
      </c>
      <c r="E813">
        <v>0.80507130000000005</v>
      </c>
      <c r="F813" s="2">
        <v>37337</v>
      </c>
      <c r="G813">
        <v>0.84386989999999995</v>
      </c>
      <c r="H813" s="3">
        <v>4.82E-2</v>
      </c>
      <c r="I813">
        <v>254.62</v>
      </c>
      <c r="J813" s="3">
        <v>4.6100000000000002E-2</v>
      </c>
      <c r="K813">
        <v>6854</v>
      </c>
      <c r="T813" s="2"/>
      <c r="U813" s="2"/>
      <c r="V813" s="2"/>
      <c r="W813" s="2"/>
      <c r="X813" s="3"/>
      <c r="Y813" s="3"/>
      <c r="Z813" s="3"/>
      <c r="AA813" s="3"/>
      <c r="AF813" s="3"/>
      <c r="AG813" s="3"/>
      <c r="AH813" s="3"/>
    </row>
    <row r="814" spans="1:34" x14ac:dyDescent="0.25">
      <c r="A814" t="s">
        <v>538</v>
      </c>
      <c r="B814" t="s">
        <v>1025</v>
      </c>
      <c r="C814" t="s">
        <v>1273</v>
      </c>
      <c r="D814" s="2">
        <v>37211</v>
      </c>
      <c r="E814">
        <v>0.67814569999999996</v>
      </c>
      <c r="F814" s="2">
        <v>37337</v>
      </c>
      <c r="G814">
        <v>0.70611919999999995</v>
      </c>
      <c r="H814" s="3">
        <v>4.1200000000000001E-2</v>
      </c>
      <c r="I814">
        <v>190.96</v>
      </c>
      <c r="J814" s="3">
        <v>3.9199999999999999E-2</v>
      </c>
      <c r="K814">
        <v>7182</v>
      </c>
      <c r="T814" s="2"/>
      <c r="U814" s="2"/>
      <c r="V814" s="2"/>
      <c r="W814" s="2"/>
      <c r="X814" s="3"/>
      <c r="Y814" s="3"/>
      <c r="Z814" s="3"/>
      <c r="AA814" s="3"/>
      <c r="AF814" s="3"/>
      <c r="AG814" s="3"/>
      <c r="AH814" s="3"/>
    </row>
    <row r="815" spans="1:34" x14ac:dyDescent="0.25">
      <c r="A815" t="s">
        <v>52</v>
      </c>
      <c r="B815" t="s">
        <v>1218</v>
      </c>
      <c r="C815" t="s">
        <v>1273</v>
      </c>
      <c r="D815" s="2">
        <v>37197</v>
      </c>
      <c r="E815">
        <v>1.214388</v>
      </c>
      <c r="F815" s="2">
        <v>37330</v>
      </c>
      <c r="G815">
        <v>1.088036</v>
      </c>
      <c r="H815" s="3">
        <v>-0.104</v>
      </c>
      <c r="I815">
        <v>-517.58000000000004</v>
      </c>
      <c r="J815" s="3">
        <v>-0.10589999999999999</v>
      </c>
      <c r="K815">
        <v>4023</v>
      </c>
      <c r="T815" s="2"/>
      <c r="U815" s="2"/>
      <c r="V815" s="2"/>
      <c r="W815" s="2"/>
      <c r="X815" s="3"/>
      <c r="Y815" s="3"/>
      <c r="Z815" s="3"/>
      <c r="AA815" s="3"/>
      <c r="AF815" s="3"/>
      <c r="AG815" s="3"/>
      <c r="AH815" s="3"/>
    </row>
    <row r="816" spans="1:34" x14ac:dyDescent="0.25">
      <c r="A816" t="s">
        <v>163</v>
      </c>
      <c r="B816" t="s">
        <v>757</v>
      </c>
      <c r="C816" t="s">
        <v>1273</v>
      </c>
      <c r="D816" s="2">
        <v>37204</v>
      </c>
      <c r="E816">
        <v>1.5321199999999999</v>
      </c>
      <c r="F816" s="2">
        <v>37309</v>
      </c>
      <c r="G816">
        <v>1.0836950000000001</v>
      </c>
      <c r="H816" s="3">
        <v>-0.29270000000000002</v>
      </c>
      <c r="I816">
        <v>-1437.02</v>
      </c>
      <c r="J816" s="3">
        <v>-0.2944</v>
      </c>
      <c r="K816">
        <v>3186</v>
      </c>
      <c r="T816" s="2"/>
      <c r="U816" s="2"/>
      <c r="V816" s="2"/>
      <c r="W816" s="2"/>
      <c r="X816" s="3"/>
      <c r="Y816" s="3"/>
      <c r="Z816" s="3"/>
      <c r="AA816" s="3"/>
      <c r="AF816" s="3"/>
      <c r="AG816" s="3"/>
      <c r="AH816" s="3"/>
    </row>
    <row r="817" spans="1:34" x14ac:dyDescent="0.25">
      <c r="A817" t="s">
        <v>677</v>
      </c>
      <c r="B817" t="s">
        <v>1219</v>
      </c>
      <c r="C817" t="s">
        <v>1273</v>
      </c>
      <c r="D817" s="2">
        <v>37218</v>
      </c>
      <c r="E817">
        <v>3</v>
      </c>
      <c r="F817" s="2">
        <v>37293</v>
      </c>
      <c r="G817">
        <v>3.22</v>
      </c>
      <c r="H817" s="3">
        <v>7.3300000000000004E-2</v>
      </c>
      <c r="I817">
        <v>350.81</v>
      </c>
      <c r="J817" s="3">
        <v>7.1300000000000002E-2</v>
      </c>
      <c r="K817">
        <v>1641</v>
      </c>
      <c r="T817" s="2"/>
      <c r="U817" s="2"/>
      <c r="V817" s="2"/>
      <c r="W817" s="2"/>
      <c r="X817" s="3"/>
      <c r="Y817" s="3"/>
      <c r="Z817" s="3"/>
      <c r="AA817" s="3"/>
      <c r="AF817" s="3"/>
      <c r="AG817" s="3"/>
      <c r="AH817" s="3"/>
    </row>
    <row r="818" spans="1:34" x14ac:dyDescent="0.25">
      <c r="A818" t="s">
        <v>678</v>
      </c>
      <c r="B818" t="s">
        <v>1220</v>
      </c>
      <c r="C818" t="s">
        <v>1273</v>
      </c>
      <c r="D818" s="2">
        <v>37099</v>
      </c>
      <c r="E818">
        <v>1.86287</v>
      </c>
      <c r="F818" s="2">
        <v>37249</v>
      </c>
      <c r="G818">
        <v>1.893113</v>
      </c>
      <c r="H818" s="3">
        <v>1.6199999999999999E-2</v>
      </c>
      <c r="I818">
        <v>72.92</v>
      </c>
      <c r="J818" s="3">
        <v>1.4200000000000001E-2</v>
      </c>
      <c r="K818">
        <v>2753</v>
      </c>
      <c r="T818" s="2"/>
      <c r="U818" s="2"/>
      <c r="V818" s="2"/>
      <c r="W818" s="2"/>
      <c r="X818" s="3"/>
      <c r="Y818" s="3"/>
      <c r="Z818" s="3"/>
      <c r="AA818" s="3"/>
      <c r="AF818" s="3"/>
      <c r="AG818" s="3"/>
      <c r="AH818" s="3"/>
    </row>
    <row r="819" spans="1:34" x14ac:dyDescent="0.25">
      <c r="A819" t="s">
        <v>679</v>
      </c>
      <c r="B819" t="s">
        <v>1221</v>
      </c>
      <c r="C819" t="s">
        <v>1273</v>
      </c>
      <c r="D819" s="2">
        <v>36931</v>
      </c>
      <c r="E819">
        <v>0.58283459999999998</v>
      </c>
      <c r="F819" s="2">
        <v>37232</v>
      </c>
      <c r="G819">
        <v>0.73</v>
      </c>
      <c r="H819" s="3">
        <v>0.2525</v>
      </c>
      <c r="I819">
        <v>1176.5899999999999</v>
      </c>
      <c r="J819" s="3">
        <v>0.25019999999999998</v>
      </c>
      <c r="K819">
        <v>8067</v>
      </c>
      <c r="T819" s="2"/>
      <c r="U819" s="2"/>
      <c r="V819" s="2"/>
      <c r="W819" s="2"/>
      <c r="X819" s="3"/>
      <c r="Y819" s="3"/>
      <c r="Z819" s="3"/>
      <c r="AA819" s="3"/>
      <c r="AF819" s="3"/>
      <c r="AG819" s="3"/>
      <c r="AH819" s="3"/>
    </row>
    <row r="820" spans="1:34" x14ac:dyDescent="0.25">
      <c r="A820" t="s">
        <v>680</v>
      </c>
      <c r="B820" t="s">
        <v>1222</v>
      </c>
      <c r="C820" t="s">
        <v>1273</v>
      </c>
      <c r="D820" s="2">
        <v>37197</v>
      </c>
      <c r="E820">
        <v>7.19</v>
      </c>
      <c r="F820" s="2">
        <v>37218</v>
      </c>
      <c r="G820">
        <v>7.2</v>
      </c>
      <c r="H820" s="3">
        <v>1.4E-3</v>
      </c>
      <c r="I820">
        <v>-2.98</v>
      </c>
      <c r="J820" s="3">
        <v>-5.9999999999999995E-4</v>
      </c>
      <c r="K820">
        <v>679</v>
      </c>
      <c r="T820" s="2"/>
      <c r="U820" s="2"/>
      <c r="V820" s="2"/>
      <c r="W820" s="2"/>
      <c r="X820" s="3"/>
      <c r="Y820" s="3"/>
      <c r="Z820" s="3"/>
      <c r="AA820" s="3"/>
      <c r="AF820" s="3"/>
      <c r="AG820" s="3"/>
      <c r="AH820" s="3"/>
    </row>
    <row r="821" spans="1:34" x14ac:dyDescent="0.25">
      <c r="A821" t="s">
        <v>54</v>
      </c>
      <c r="B821" t="s">
        <v>936</v>
      </c>
      <c r="C821" t="s">
        <v>1273</v>
      </c>
      <c r="D821" s="2">
        <v>36854</v>
      </c>
      <c r="E821">
        <v>1.731554</v>
      </c>
      <c r="F821" s="2">
        <v>37197</v>
      </c>
      <c r="G821">
        <v>1.9421440000000001</v>
      </c>
      <c r="H821" s="3">
        <v>0.1216</v>
      </c>
      <c r="I821">
        <v>550.4</v>
      </c>
      <c r="J821" s="3">
        <v>0.1195</v>
      </c>
      <c r="K821">
        <v>2660</v>
      </c>
      <c r="T821" s="2"/>
      <c r="U821" s="2"/>
      <c r="V821" s="2"/>
      <c r="W821" s="2"/>
      <c r="X821" s="3"/>
      <c r="Y821" s="3"/>
      <c r="Z821" s="3"/>
      <c r="AA821" s="3"/>
      <c r="AF821" s="3"/>
      <c r="AG821" s="3"/>
      <c r="AH821" s="3"/>
    </row>
    <row r="822" spans="1:34" x14ac:dyDescent="0.25">
      <c r="A822" t="s">
        <v>681</v>
      </c>
      <c r="B822" t="s">
        <v>1223</v>
      </c>
      <c r="C822" t="s">
        <v>1273</v>
      </c>
      <c r="D822" s="2">
        <v>37029</v>
      </c>
      <c r="E822">
        <v>0.51059279999999996</v>
      </c>
      <c r="F822" s="2">
        <v>37162</v>
      </c>
      <c r="G822">
        <v>0.45643899999999998</v>
      </c>
      <c r="H822" s="3">
        <v>-0.1061</v>
      </c>
      <c r="I822">
        <v>-510.09</v>
      </c>
      <c r="J822" s="3">
        <v>-0.108</v>
      </c>
      <c r="K822">
        <v>9254</v>
      </c>
      <c r="T822" s="2"/>
      <c r="U822" s="2"/>
      <c r="V822" s="2"/>
      <c r="W822" s="2"/>
      <c r="X822" s="3"/>
      <c r="Y822" s="3"/>
      <c r="Z822" s="3"/>
      <c r="AA822" s="3"/>
      <c r="AF822" s="3"/>
      <c r="AG822" s="3"/>
      <c r="AH822" s="3"/>
    </row>
    <row r="823" spans="1:34" x14ac:dyDescent="0.25">
      <c r="A823" t="s">
        <v>682</v>
      </c>
      <c r="B823" t="s">
        <v>1224</v>
      </c>
      <c r="C823" t="s">
        <v>1273</v>
      </c>
      <c r="D823" s="2">
        <v>36931</v>
      </c>
      <c r="E823">
        <v>0.73956290000000002</v>
      </c>
      <c r="F823" s="2">
        <v>37162</v>
      </c>
      <c r="G823">
        <v>0.85037759999999996</v>
      </c>
      <c r="H823" s="3">
        <v>0.14979999999999999</v>
      </c>
      <c r="I823">
        <v>694.23</v>
      </c>
      <c r="J823" s="3">
        <v>0.1477</v>
      </c>
      <c r="K823">
        <v>6356</v>
      </c>
      <c r="T823" s="2"/>
      <c r="U823" s="2"/>
      <c r="V823" s="2"/>
      <c r="W823" s="2"/>
      <c r="X823" s="3"/>
      <c r="Y823" s="3"/>
      <c r="Z823" s="3"/>
      <c r="AA823" s="3"/>
      <c r="AF823" s="3"/>
      <c r="AG823" s="3"/>
      <c r="AH823" s="3"/>
    </row>
    <row r="824" spans="1:34" x14ac:dyDescent="0.25">
      <c r="A824" t="s">
        <v>650</v>
      </c>
      <c r="B824" t="s">
        <v>1185</v>
      </c>
      <c r="C824" t="s">
        <v>1273</v>
      </c>
      <c r="D824" s="2">
        <v>36931</v>
      </c>
      <c r="E824">
        <v>1.0562609999999999</v>
      </c>
      <c r="F824" s="2">
        <v>37162</v>
      </c>
      <c r="G824">
        <v>0.57909880000000002</v>
      </c>
      <c r="H824" s="3">
        <v>-0.45169999999999999</v>
      </c>
      <c r="I824">
        <v>-2131.61</v>
      </c>
      <c r="J824" s="3">
        <v>-0.45329999999999998</v>
      </c>
      <c r="K824">
        <v>4452</v>
      </c>
      <c r="T824" s="2"/>
      <c r="U824" s="2"/>
      <c r="V824" s="2"/>
      <c r="W824" s="2"/>
      <c r="X824" s="3"/>
      <c r="Y824" s="3"/>
      <c r="Z824" s="3"/>
      <c r="AA824" s="3"/>
      <c r="AF824" s="3"/>
      <c r="AG824" s="3"/>
      <c r="AH824" s="3"/>
    </row>
    <row r="825" spans="1:34" x14ac:dyDescent="0.25">
      <c r="A825" t="s">
        <v>683</v>
      </c>
      <c r="B825" t="s">
        <v>1225</v>
      </c>
      <c r="C825" t="s">
        <v>1273</v>
      </c>
      <c r="D825" s="2">
        <v>37085</v>
      </c>
      <c r="E825">
        <v>1.230178</v>
      </c>
      <c r="F825" s="2">
        <v>37155</v>
      </c>
      <c r="G825">
        <v>1.196445</v>
      </c>
      <c r="H825" s="3">
        <v>-2.7400000000000001E-2</v>
      </c>
      <c r="I825">
        <v>-149.34</v>
      </c>
      <c r="J825" s="3">
        <v>-2.9399999999999999E-2</v>
      </c>
      <c r="K825">
        <v>4130</v>
      </c>
      <c r="T825" s="2"/>
      <c r="U825" s="2"/>
      <c r="V825" s="2"/>
      <c r="W825" s="2"/>
      <c r="X825" s="3"/>
      <c r="Y825" s="3"/>
      <c r="Z825" s="3"/>
      <c r="AA825" s="3"/>
      <c r="AF825" s="3"/>
      <c r="AG825" s="3"/>
      <c r="AH825" s="3"/>
    </row>
    <row r="826" spans="1:34" x14ac:dyDescent="0.25">
      <c r="A826" t="s">
        <v>541</v>
      </c>
      <c r="B826" t="s">
        <v>1033</v>
      </c>
      <c r="C826" t="s">
        <v>1273</v>
      </c>
      <c r="D826" s="2">
        <v>37022</v>
      </c>
      <c r="E826">
        <v>0.83835510000000002</v>
      </c>
      <c r="F826" s="2">
        <v>37155</v>
      </c>
      <c r="G826">
        <v>0.77799359999999995</v>
      </c>
      <c r="H826" s="3">
        <v>-7.1999999999999995E-2</v>
      </c>
      <c r="I826">
        <v>-347.82</v>
      </c>
      <c r="J826" s="3">
        <v>-7.3899999999999993E-2</v>
      </c>
      <c r="K826">
        <v>5612</v>
      </c>
      <c r="T826" s="2"/>
      <c r="U826" s="2"/>
      <c r="V826" s="2"/>
      <c r="W826" s="2"/>
      <c r="X826" s="3"/>
      <c r="Y826" s="3"/>
      <c r="Z826" s="3"/>
      <c r="AA826" s="3"/>
      <c r="AF826" s="3"/>
      <c r="AG826" s="3"/>
      <c r="AH826" s="3"/>
    </row>
    <row r="827" spans="1:34" x14ac:dyDescent="0.25">
      <c r="A827" t="s">
        <v>538</v>
      </c>
      <c r="B827" t="s">
        <v>1025</v>
      </c>
      <c r="C827" t="s">
        <v>1273</v>
      </c>
      <c r="D827" s="2">
        <v>37008</v>
      </c>
      <c r="E827">
        <v>0.62280279999999999</v>
      </c>
      <c r="F827" s="2">
        <v>37155</v>
      </c>
      <c r="G827">
        <v>0.54929799999999995</v>
      </c>
      <c r="H827" s="3">
        <v>-0.11799999999999999</v>
      </c>
      <c r="I827">
        <v>-558.58000000000004</v>
      </c>
      <c r="J827" s="3">
        <v>-0.11990000000000001</v>
      </c>
      <c r="K827">
        <v>7480</v>
      </c>
      <c r="T827" s="2"/>
      <c r="U827" s="2"/>
      <c r="V827" s="2"/>
      <c r="W827" s="2"/>
      <c r="X827" s="3"/>
      <c r="Y827" s="3"/>
      <c r="Z827" s="3"/>
      <c r="AA827" s="3"/>
      <c r="AF827" s="3"/>
      <c r="AG827" s="3"/>
      <c r="AH827" s="3"/>
    </row>
    <row r="828" spans="1:34" x14ac:dyDescent="0.25">
      <c r="A828" t="s">
        <v>87</v>
      </c>
      <c r="B828" t="s">
        <v>1226</v>
      </c>
      <c r="C828" t="s">
        <v>1273</v>
      </c>
      <c r="D828" s="2">
        <v>36931</v>
      </c>
      <c r="E828">
        <v>11.12509</v>
      </c>
      <c r="F828" s="2">
        <v>37155</v>
      </c>
      <c r="G828">
        <v>8.2758620000000001</v>
      </c>
      <c r="H828" s="3">
        <v>-0.25609999999999999</v>
      </c>
      <c r="I828">
        <v>-1210.56</v>
      </c>
      <c r="J828" s="3">
        <v>-0.25790000000000002</v>
      </c>
      <c r="K828">
        <v>422</v>
      </c>
      <c r="T828" s="2"/>
      <c r="U828" s="2"/>
      <c r="V828" s="2"/>
      <c r="W828" s="2"/>
      <c r="X828" s="3"/>
      <c r="Y828" s="3"/>
      <c r="Z828" s="3"/>
      <c r="AA828" s="3"/>
      <c r="AF828" s="3"/>
      <c r="AG828" s="3"/>
      <c r="AH828" s="3"/>
    </row>
    <row r="829" spans="1:34" x14ac:dyDescent="0.25">
      <c r="A829" t="s">
        <v>339</v>
      </c>
      <c r="B829" t="s">
        <v>1227</v>
      </c>
      <c r="C829" t="s">
        <v>1273</v>
      </c>
      <c r="D829" s="2">
        <v>36840</v>
      </c>
      <c r="E829">
        <v>1.986224</v>
      </c>
      <c r="F829" s="2">
        <v>37155</v>
      </c>
      <c r="G829">
        <v>2.8807740000000002</v>
      </c>
      <c r="H829" s="3">
        <v>0.45040000000000002</v>
      </c>
      <c r="I829">
        <v>1979.54</v>
      </c>
      <c r="J829" s="3">
        <v>0.44790000000000002</v>
      </c>
      <c r="K829">
        <v>2225</v>
      </c>
      <c r="T829" s="2"/>
      <c r="U829" s="2"/>
      <c r="V829" s="2"/>
      <c r="W829" s="2"/>
      <c r="X829" s="3"/>
      <c r="Y829" s="3"/>
      <c r="Z829" s="3"/>
      <c r="AA829" s="3"/>
      <c r="AF829" s="3"/>
      <c r="AG829" s="3"/>
      <c r="AH829" s="3"/>
    </row>
    <row r="830" spans="1:34" x14ac:dyDescent="0.25">
      <c r="A830" t="s">
        <v>625</v>
      </c>
      <c r="B830" t="s">
        <v>1151</v>
      </c>
      <c r="C830" t="s">
        <v>1273</v>
      </c>
      <c r="D830" s="2">
        <v>37113</v>
      </c>
      <c r="E830">
        <v>1.3340890000000001</v>
      </c>
      <c r="F830" s="2">
        <v>37127</v>
      </c>
      <c r="G830">
        <v>1.4105650000000001</v>
      </c>
      <c r="H830" s="3">
        <v>5.7299999999999997E-2</v>
      </c>
      <c r="I830">
        <v>284.38</v>
      </c>
      <c r="J830" s="3">
        <v>5.5300000000000002E-2</v>
      </c>
      <c r="K830">
        <v>3857</v>
      </c>
      <c r="T830" s="2"/>
      <c r="U830" s="2"/>
      <c r="V830" s="2"/>
      <c r="W830" s="2"/>
      <c r="X830" s="3"/>
      <c r="Y830" s="3"/>
      <c r="Z830" s="3"/>
      <c r="AA830" s="3"/>
      <c r="AF830" s="3"/>
      <c r="AG830" s="3"/>
      <c r="AH830" s="3"/>
    </row>
    <row r="831" spans="1:34" x14ac:dyDescent="0.25">
      <c r="A831" t="s">
        <v>672</v>
      </c>
      <c r="B831" t="s">
        <v>1212</v>
      </c>
      <c r="C831" t="s">
        <v>1273</v>
      </c>
      <c r="D831" s="2">
        <v>37085</v>
      </c>
      <c r="E831">
        <v>1.035989</v>
      </c>
      <c r="F831" s="2">
        <v>37127</v>
      </c>
      <c r="G831">
        <v>0.98418939999999999</v>
      </c>
      <c r="H831" s="3">
        <v>-0.05</v>
      </c>
      <c r="I831">
        <v>-263.88</v>
      </c>
      <c r="J831" s="3">
        <v>-5.1999999999999998E-2</v>
      </c>
      <c r="K831">
        <v>4903</v>
      </c>
      <c r="T831" s="2"/>
      <c r="U831" s="2"/>
      <c r="V831" s="2"/>
      <c r="W831" s="2"/>
      <c r="X831" s="3"/>
      <c r="Y831" s="3"/>
      <c r="Z831" s="3"/>
      <c r="AA831" s="3"/>
      <c r="AF831" s="3"/>
      <c r="AG831" s="3"/>
      <c r="AH831" s="3"/>
    </row>
    <row r="832" spans="1:34" x14ac:dyDescent="0.25">
      <c r="A832" t="s">
        <v>684</v>
      </c>
      <c r="B832" t="s">
        <v>1228</v>
      </c>
      <c r="C832" t="s">
        <v>1273</v>
      </c>
      <c r="D832" s="2">
        <v>36727</v>
      </c>
      <c r="E832">
        <v>0.71986430000000001</v>
      </c>
      <c r="F832" s="2">
        <v>37106</v>
      </c>
      <c r="G832">
        <v>0.91</v>
      </c>
      <c r="H832" s="3">
        <v>0.2641</v>
      </c>
      <c r="I832">
        <v>1140.46</v>
      </c>
      <c r="J832" s="3">
        <v>0.26190000000000002</v>
      </c>
      <c r="K832">
        <v>6050</v>
      </c>
      <c r="T832" s="2"/>
      <c r="U832" s="2"/>
      <c r="V832" s="2"/>
      <c r="W832" s="2"/>
      <c r="X832" s="3"/>
      <c r="Y832" s="3"/>
      <c r="Z832" s="3"/>
      <c r="AA832" s="3"/>
      <c r="AF832" s="3"/>
      <c r="AG832" s="3"/>
      <c r="AH832" s="3"/>
    </row>
    <row r="833" spans="1:34" x14ac:dyDescent="0.25">
      <c r="A833" t="s">
        <v>685</v>
      </c>
      <c r="B833" t="s">
        <v>1229</v>
      </c>
      <c r="C833" t="s">
        <v>1273</v>
      </c>
      <c r="D833" s="2">
        <v>37008</v>
      </c>
      <c r="E833">
        <v>0.66</v>
      </c>
      <c r="F833" s="2">
        <v>37105</v>
      </c>
      <c r="G833">
        <v>0.64999989999999996</v>
      </c>
      <c r="H833" s="3">
        <v>-1.52E-2</v>
      </c>
      <c r="I833">
        <v>-79.84</v>
      </c>
      <c r="J833" s="3">
        <v>-1.7100000000000001E-2</v>
      </c>
      <c r="K833">
        <v>7059</v>
      </c>
      <c r="T833" s="2"/>
      <c r="U833" s="2"/>
      <c r="V833" s="2"/>
      <c r="W833" s="2"/>
      <c r="X833" s="3"/>
      <c r="Y833" s="3"/>
      <c r="Z833" s="3"/>
      <c r="AA833" s="3"/>
      <c r="AF833" s="3"/>
      <c r="AG833" s="3"/>
      <c r="AH833" s="3"/>
    </row>
    <row r="834" spans="1:34" x14ac:dyDescent="0.25">
      <c r="A834" t="s">
        <v>132</v>
      </c>
      <c r="B834" t="s">
        <v>438</v>
      </c>
      <c r="C834" t="s">
        <v>1273</v>
      </c>
      <c r="D834" s="2">
        <v>36714</v>
      </c>
      <c r="E834">
        <v>1.482299</v>
      </c>
      <c r="F834" s="2">
        <v>37092</v>
      </c>
      <c r="G834">
        <v>2.0196770000000002</v>
      </c>
      <c r="H834" s="3">
        <v>0.36249999999999999</v>
      </c>
      <c r="I834">
        <v>1545.04</v>
      </c>
      <c r="J834" s="3">
        <v>0.36020000000000002</v>
      </c>
      <c r="K834">
        <v>2894</v>
      </c>
      <c r="T834" s="2"/>
      <c r="U834" s="2"/>
      <c r="V834" s="2"/>
      <c r="W834" s="2"/>
      <c r="X834" s="3"/>
      <c r="Y834" s="3"/>
      <c r="Z834" s="3"/>
      <c r="AA834" s="3"/>
      <c r="AF834" s="3"/>
      <c r="AG834" s="3"/>
      <c r="AH834" s="3"/>
    </row>
    <row r="835" spans="1:34" x14ac:dyDescent="0.25">
      <c r="A835" t="s">
        <v>478</v>
      </c>
      <c r="B835" t="s">
        <v>921</v>
      </c>
      <c r="C835" t="s">
        <v>1273</v>
      </c>
      <c r="D835" s="2">
        <v>37008</v>
      </c>
      <c r="E835">
        <v>1.625597</v>
      </c>
      <c r="F835" s="2">
        <v>37085</v>
      </c>
      <c r="G835">
        <v>1.935535</v>
      </c>
      <c r="H835" s="3">
        <v>0.19070000000000001</v>
      </c>
      <c r="I835">
        <v>878.08</v>
      </c>
      <c r="J835" s="3">
        <v>0.1885</v>
      </c>
      <c r="K835">
        <v>2866</v>
      </c>
      <c r="T835" s="2"/>
      <c r="U835" s="2"/>
      <c r="V835" s="2"/>
      <c r="W835" s="2"/>
      <c r="X835" s="3"/>
      <c r="Y835" s="3"/>
      <c r="Z835" s="3"/>
      <c r="AA835" s="3"/>
      <c r="AF835" s="3"/>
      <c r="AG835" s="3"/>
      <c r="AH835" s="3"/>
    </row>
    <row r="836" spans="1:34" x14ac:dyDescent="0.25">
      <c r="A836" t="s">
        <v>686</v>
      </c>
      <c r="B836" t="s">
        <v>1230</v>
      </c>
      <c r="C836" t="s">
        <v>1273</v>
      </c>
      <c r="D836" s="2">
        <v>36916</v>
      </c>
      <c r="E836">
        <v>1.067115</v>
      </c>
      <c r="F836" s="2">
        <v>37085</v>
      </c>
      <c r="G836">
        <v>1.3014600000000001</v>
      </c>
      <c r="H836" s="3">
        <v>0.21959999999999999</v>
      </c>
      <c r="I836">
        <v>1003.3</v>
      </c>
      <c r="J836" s="3">
        <v>0.21740000000000001</v>
      </c>
      <c r="K836">
        <v>4325</v>
      </c>
      <c r="T836" s="2"/>
      <c r="U836" s="2"/>
      <c r="V836" s="2"/>
      <c r="W836" s="2"/>
      <c r="X836" s="3"/>
      <c r="Y836" s="3"/>
      <c r="Z836" s="3"/>
      <c r="AA836" s="3"/>
      <c r="AF836" s="3"/>
      <c r="AG836" s="3"/>
      <c r="AH836" s="3"/>
    </row>
    <row r="837" spans="1:34" x14ac:dyDescent="0.25">
      <c r="A837" t="s">
        <v>687</v>
      </c>
      <c r="B837" t="s">
        <v>1231</v>
      </c>
      <c r="C837" t="s">
        <v>1273</v>
      </c>
      <c r="D837" s="2">
        <v>36721</v>
      </c>
      <c r="E837">
        <v>0.91623310000000002</v>
      </c>
      <c r="F837" s="2">
        <v>37085</v>
      </c>
      <c r="G837">
        <v>1.7408710000000001</v>
      </c>
      <c r="H837" s="3">
        <v>0.9</v>
      </c>
      <c r="I837">
        <v>3894.55</v>
      </c>
      <c r="J837" s="3">
        <v>0.89710000000000001</v>
      </c>
      <c r="K837">
        <v>4738</v>
      </c>
      <c r="T837" s="2"/>
      <c r="U837" s="2"/>
      <c r="V837" s="2"/>
      <c r="W837" s="2"/>
      <c r="X837" s="3"/>
      <c r="Y837" s="3"/>
      <c r="Z837" s="3"/>
      <c r="AA837" s="3"/>
      <c r="AF837" s="3"/>
      <c r="AG837" s="3"/>
      <c r="AH837" s="3"/>
    </row>
    <row r="838" spans="1:34" x14ac:dyDescent="0.25">
      <c r="A838" t="s">
        <v>688</v>
      </c>
      <c r="B838" t="s">
        <v>1232</v>
      </c>
      <c r="C838" t="s">
        <v>1273</v>
      </c>
      <c r="D838" s="2">
        <v>37008</v>
      </c>
      <c r="E838">
        <v>1.6649849999999999</v>
      </c>
      <c r="F838" s="2">
        <v>37085</v>
      </c>
      <c r="G838">
        <v>2.0247809999999999</v>
      </c>
      <c r="H838" s="3">
        <v>0.21609999999999999</v>
      </c>
      <c r="I838">
        <v>996.03</v>
      </c>
      <c r="J838" s="3">
        <v>0.21390000000000001</v>
      </c>
      <c r="K838">
        <v>2797</v>
      </c>
      <c r="T838" s="2"/>
      <c r="U838" s="2"/>
      <c r="V838" s="2"/>
      <c r="W838" s="2"/>
      <c r="X838" s="3"/>
      <c r="Y838" s="3"/>
      <c r="Z838" s="3"/>
      <c r="AA838" s="3"/>
      <c r="AF838" s="3"/>
      <c r="AG838" s="3"/>
      <c r="AH838" s="3"/>
    </row>
    <row r="839" spans="1:34" x14ac:dyDescent="0.25">
      <c r="A839" t="s">
        <v>689</v>
      </c>
      <c r="B839" t="s">
        <v>1233</v>
      </c>
      <c r="C839" t="s">
        <v>1273</v>
      </c>
      <c r="D839" s="2">
        <v>36714</v>
      </c>
      <c r="E839">
        <v>0.92464539999999995</v>
      </c>
      <c r="F839" s="2">
        <v>37029</v>
      </c>
      <c r="G839">
        <v>0.84268609999999999</v>
      </c>
      <c r="H839" s="3">
        <v>-8.8599999999999998E-2</v>
      </c>
      <c r="I839">
        <v>-388.49</v>
      </c>
      <c r="J839" s="3">
        <v>-9.0499999999999997E-2</v>
      </c>
      <c r="K839">
        <v>4640</v>
      </c>
      <c r="T839" s="2"/>
      <c r="U839" s="2"/>
      <c r="V839" s="2"/>
      <c r="W839" s="2"/>
      <c r="X839" s="3"/>
      <c r="Y839" s="3"/>
      <c r="Z839" s="3"/>
      <c r="AA839" s="3"/>
      <c r="AF839" s="3"/>
      <c r="AG839" s="3"/>
      <c r="AH839" s="3"/>
    </row>
    <row r="840" spans="1:34" x14ac:dyDescent="0.25">
      <c r="A840" t="s">
        <v>690</v>
      </c>
      <c r="B840" t="s">
        <v>1234</v>
      </c>
      <c r="C840" t="s">
        <v>1273</v>
      </c>
      <c r="D840" s="2">
        <v>36721</v>
      </c>
      <c r="E840">
        <v>1.2495780000000001</v>
      </c>
      <c r="F840" s="2">
        <v>37008</v>
      </c>
      <c r="G840">
        <v>1.2936879999999999</v>
      </c>
      <c r="H840" s="3">
        <v>3.5299999999999998E-2</v>
      </c>
      <c r="I840">
        <v>144.44</v>
      </c>
      <c r="J840" s="3">
        <v>3.3300000000000003E-2</v>
      </c>
      <c r="K840">
        <v>3475</v>
      </c>
      <c r="T840" s="2"/>
      <c r="U840" s="2"/>
      <c r="V840" s="2"/>
      <c r="W840" s="2"/>
      <c r="X840" s="3"/>
      <c r="Y840" s="3"/>
      <c r="Z840" s="3"/>
      <c r="AA840" s="3"/>
      <c r="AF840" s="3"/>
      <c r="AG840" s="3"/>
      <c r="AH840" s="3"/>
    </row>
    <row r="841" spans="1:34" x14ac:dyDescent="0.25">
      <c r="A841" t="s">
        <v>340</v>
      </c>
      <c r="B841" t="s">
        <v>1235</v>
      </c>
      <c r="C841" t="s">
        <v>1273</v>
      </c>
      <c r="D841" s="2">
        <v>36916</v>
      </c>
      <c r="E841">
        <v>0.99870239999999999</v>
      </c>
      <c r="F841" s="2">
        <v>36987</v>
      </c>
      <c r="G841">
        <v>1.1752689999999999</v>
      </c>
      <c r="H841" s="3">
        <v>0.17680000000000001</v>
      </c>
      <c r="I841">
        <v>806.04</v>
      </c>
      <c r="J841" s="3">
        <v>0.17460000000000001</v>
      </c>
      <c r="K841">
        <v>4622</v>
      </c>
      <c r="T841" s="2"/>
      <c r="U841" s="2"/>
      <c r="V841" s="2"/>
      <c r="W841" s="2"/>
      <c r="X841" s="3"/>
      <c r="Y841" s="3"/>
      <c r="Z841" s="3"/>
      <c r="AA841" s="3"/>
      <c r="AF841" s="3"/>
      <c r="AG841" s="3"/>
      <c r="AH841" s="3"/>
    </row>
    <row r="842" spans="1:34" x14ac:dyDescent="0.25">
      <c r="A842" t="s">
        <v>691</v>
      </c>
      <c r="B842" t="s">
        <v>1236</v>
      </c>
      <c r="C842" t="s">
        <v>1273</v>
      </c>
      <c r="D842" s="2">
        <v>36924</v>
      </c>
      <c r="E842">
        <v>1.55</v>
      </c>
      <c r="F842" s="2">
        <v>36980</v>
      </c>
      <c r="G842">
        <v>1.29</v>
      </c>
      <c r="H842" s="3">
        <v>-0.16769999999999999</v>
      </c>
      <c r="I842">
        <v>-787.21</v>
      </c>
      <c r="J842" s="3">
        <v>-0.1696</v>
      </c>
      <c r="K842">
        <v>2995</v>
      </c>
      <c r="T842" s="2"/>
      <c r="U842" s="2"/>
      <c r="V842" s="2"/>
      <c r="W842" s="2"/>
      <c r="X842" s="3"/>
      <c r="Y842" s="3"/>
      <c r="Z842" s="3"/>
      <c r="AA842" s="3"/>
      <c r="AF842" s="3"/>
      <c r="AG842" s="3"/>
      <c r="AH842" s="3"/>
    </row>
    <row r="843" spans="1:34" x14ac:dyDescent="0.25">
      <c r="A843" t="s">
        <v>669</v>
      </c>
      <c r="B843" t="s">
        <v>1207</v>
      </c>
      <c r="C843" t="s">
        <v>1273</v>
      </c>
      <c r="D843" s="2">
        <v>36749</v>
      </c>
      <c r="E843">
        <v>0.73301159999999999</v>
      </c>
      <c r="F843" s="2">
        <v>36980</v>
      </c>
      <c r="G843">
        <v>0.84001919999999997</v>
      </c>
      <c r="H843" s="3">
        <v>0.14599999999999999</v>
      </c>
      <c r="I843">
        <v>649.69000000000005</v>
      </c>
      <c r="J843" s="3">
        <v>0.14380000000000001</v>
      </c>
      <c r="K843">
        <v>6162</v>
      </c>
      <c r="T843" s="2"/>
      <c r="U843" s="2"/>
      <c r="V843" s="2"/>
      <c r="W843" s="2"/>
      <c r="X843" s="3"/>
      <c r="Y843" s="3"/>
      <c r="Z843" s="3"/>
      <c r="AA843" s="3"/>
      <c r="AF843" s="3"/>
      <c r="AG843" s="3"/>
      <c r="AH843" s="3"/>
    </row>
    <row r="844" spans="1:34" x14ac:dyDescent="0.25">
      <c r="A844" t="s">
        <v>692</v>
      </c>
      <c r="B844" t="s">
        <v>1237</v>
      </c>
      <c r="C844" t="s">
        <v>1273</v>
      </c>
      <c r="D844" s="2">
        <v>36931</v>
      </c>
      <c r="E844">
        <v>0.83090229999999998</v>
      </c>
      <c r="F844" s="2">
        <v>36980</v>
      </c>
      <c r="G844">
        <v>0.77521589999999996</v>
      </c>
      <c r="H844" s="3">
        <v>-6.7000000000000004E-2</v>
      </c>
      <c r="I844">
        <v>-324.10000000000002</v>
      </c>
      <c r="J844" s="3">
        <v>-6.9000000000000006E-2</v>
      </c>
      <c r="K844">
        <v>5657</v>
      </c>
      <c r="T844" s="2"/>
      <c r="U844" s="2"/>
      <c r="V844" s="2"/>
      <c r="W844" s="2"/>
      <c r="X844" s="3"/>
      <c r="Y844" s="3"/>
      <c r="Z844" s="3"/>
      <c r="AA844" s="3"/>
      <c r="AF844" s="3"/>
      <c r="AG844" s="3"/>
      <c r="AH844" s="3"/>
    </row>
    <row r="845" spans="1:34" x14ac:dyDescent="0.25">
      <c r="A845" t="s">
        <v>478</v>
      </c>
      <c r="B845" t="s">
        <v>921</v>
      </c>
      <c r="C845" t="s">
        <v>1273</v>
      </c>
      <c r="D845" s="2">
        <v>36931</v>
      </c>
      <c r="E845">
        <v>1.2934140000000001</v>
      </c>
      <c r="F845" s="2">
        <v>36973</v>
      </c>
      <c r="G845">
        <v>1.3034399999999999</v>
      </c>
      <c r="H845" s="3">
        <v>7.7999999999999996E-3</v>
      </c>
      <c r="I845">
        <v>27</v>
      </c>
      <c r="J845" s="3">
        <v>5.7000000000000002E-3</v>
      </c>
      <c r="K845">
        <v>3635</v>
      </c>
      <c r="T845" s="2"/>
      <c r="U845" s="2"/>
      <c r="V845" s="2"/>
      <c r="W845" s="2"/>
      <c r="X845" s="3"/>
      <c r="Y845" s="3"/>
      <c r="Z845" s="3"/>
      <c r="AA845" s="3"/>
      <c r="AF845" s="3"/>
      <c r="AG845" s="3"/>
      <c r="AH845" s="3"/>
    </row>
    <row r="846" spans="1:34" x14ac:dyDescent="0.25">
      <c r="A846" t="s">
        <v>693</v>
      </c>
      <c r="B846" t="s">
        <v>1238</v>
      </c>
      <c r="C846" t="s">
        <v>1273</v>
      </c>
      <c r="D846" s="2">
        <v>36945</v>
      </c>
      <c r="E846">
        <v>1.932296</v>
      </c>
      <c r="F846" s="2">
        <v>36973</v>
      </c>
      <c r="G846">
        <v>1.3930499999999999</v>
      </c>
      <c r="H846" s="3">
        <v>-0.27910000000000001</v>
      </c>
      <c r="I846">
        <v>-1311.94</v>
      </c>
      <c r="J846" s="3">
        <v>-0.28079999999999999</v>
      </c>
      <c r="K846">
        <v>2418</v>
      </c>
      <c r="T846" s="2"/>
      <c r="U846" s="2"/>
      <c r="V846" s="2"/>
      <c r="W846" s="2"/>
      <c r="X846" s="3"/>
      <c r="Y846" s="3"/>
      <c r="Z846" s="3"/>
      <c r="AA846" s="3"/>
      <c r="AF846" s="3"/>
      <c r="AG846" s="3"/>
      <c r="AH846" s="3"/>
    </row>
    <row r="847" spans="1:34" x14ac:dyDescent="0.25">
      <c r="A847" t="s">
        <v>694</v>
      </c>
      <c r="B847" t="s">
        <v>1239</v>
      </c>
      <c r="C847" t="s">
        <v>1273</v>
      </c>
      <c r="D847" s="2">
        <v>36854</v>
      </c>
      <c r="E847">
        <v>0.57999999999999996</v>
      </c>
      <c r="F847" s="2">
        <v>36945</v>
      </c>
      <c r="G847">
        <v>0.6</v>
      </c>
      <c r="H847" s="3">
        <v>3.4500000000000003E-2</v>
      </c>
      <c r="I847">
        <v>149.47</v>
      </c>
      <c r="J847" s="3">
        <v>3.2399999999999998E-2</v>
      </c>
      <c r="K847">
        <v>7942</v>
      </c>
      <c r="T847" s="2"/>
      <c r="U847" s="2"/>
      <c r="V847" s="2"/>
      <c r="W847" s="2"/>
      <c r="X847" s="3"/>
      <c r="Y847" s="3"/>
      <c r="Z847" s="3"/>
      <c r="AA847" s="3"/>
      <c r="AF847" s="3"/>
      <c r="AG847" s="3"/>
      <c r="AH847" s="3"/>
    </row>
    <row r="848" spans="1:34" x14ac:dyDescent="0.25">
      <c r="A848" t="s">
        <v>695</v>
      </c>
      <c r="B848" t="s">
        <v>1240</v>
      </c>
      <c r="C848" t="s">
        <v>1273</v>
      </c>
      <c r="D848" s="2">
        <v>36931</v>
      </c>
      <c r="E848">
        <v>1.3473679999999999</v>
      </c>
      <c r="F848" s="2">
        <v>36943</v>
      </c>
      <c r="G848">
        <v>1.2</v>
      </c>
      <c r="H848" s="3">
        <v>-0.1094</v>
      </c>
      <c r="I848">
        <v>-523.20000000000005</v>
      </c>
      <c r="J848" s="3">
        <v>-0.1113</v>
      </c>
      <c r="K848">
        <v>3490</v>
      </c>
      <c r="T848" s="2"/>
      <c r="U848" s="2"/>
      <c r="V848" s="2"/>
      <c r="W848" s="2"/>
      <c r="X848" s="3"/>
      <c r="Y848" s="3"/>
      <c r="Z848" s="3"/>
      <c r="AA848" s="3"/>
      <c r="AF848" s="3"/>
      <c r="AG848" s="3"/>
      <c r="AH848" s="3"/>
    </row>
    <row r="849" spans="1:34" x14ac:dyDescent="0.25">
      <c r="A849" t="s">
        <v>695</v>
      </c>
      <c r="B849" t="s">
        <v>1240</v>
      </c>
      <c r="C849" t="s">
        <v>1273</v>
      </c>
      <c r="D849" s="2">
        <v>36854</v>
      </c>
      <c r="E849">
        <v>1.1645110000000001</v>
      </c>
      <c r="F849" s="2">
        <v>36916</v>
      </c>
      <c r="G849">
        <v>1.2318800000000001</v>
      </c>
      <c r="H849" s="3">
        <v>5.79E-2</v>
      </c>
      <c r="I849">
        <v>256.97000000000003</v>
      </c>
      <c r="J849" s="3">
        <v>5.5800000000000002E-2</v>
      </c>
      <c r="K849">
        <v>3955</v>
      </c>
      <c r="T849" s="2"/>
      <c r="U849" s="2"/>
      <c r="V849" s="2"/>
      <c r="W849" s="2"/>
      <c r="X849" s="3"/>
      <c r="Y849" s="3"/>
      <c r="Z849" s="3"/>
      <c r="AA849" s="3"/>
      <c r="AF849" s="3"/>
      <c r="AG849" s="3"/>
      <c r="AH849" s="3"/>
    </row>
    <row r="850" spans="1:34" x14ac:dyDescent="0.25">
      <c r="A850" t="s">
        <v>696</v>
      </c>
      <c r="B850" t="s">
        <v>1241</v>
      </c>
      <c r="C850" t="s">
        <v>1273</v>
      </c>
      <c r="D850" s="2">
        <v>36714</v>
      </c>
      <c r="E850">
        <v>0.69372279999999997</v>
      </c>
      <c r="F850" s="2">
        <v>36910</v>
      </c>
      <c r="G850">
        <v>0.58999480000000004</v>
      </c>
      <c r="H850" s="3">
        <v>-0.14949999999999999</v>
      </c>
      <c r="I850">
        <v>-649.39</v>
      </c>
      <c r="J850" s="3">
        <v>-0.15140000000000001</v>
      </c>
      <c r="K850">
        <v>6184</v>
      </c>
      <c r="T850" s="2"/>
      <c r="U850" s="2"/>
      <c r="V850" s="2"/>
      <c r="W850" s="2"/>
      <c r="X850" s="3"/>
      <c r="Y850" s="3"/>
      <c r="Z850" s="3"/>
      <c r="AA850" s="3"/>
      <c r="AF850" s="3"/>
      <c r="AG850" s="3"/>
      <c r="AH850" s="3"/>
    </row>
    <row r="851" spans="1:34" x14ac:dyDescent="0.25">
      <c r="A851" t="s">
        <v>697</v>
      </c>
      <c r="B851" t="s">
        <v>1242</v>
      </c>
      <c r="C851" t="s">
        <v>1273</v>
      </c>
      <c r="D851" s="2">
        <v>36756</v>
      </c>
      <c r="E851">
        <v>1.197225</v>
      </c>
      <c r="F851" s="2">
        <v>36903</v>
      </c>
      <c r="G851">
        <v>1.1575820000000001</v>
      </c>
      <c r="H851" s="3">
        <v>-3.3099999999999997E-2</v>
      </c>
      <c r="I851">
        <v>-157.87</v>
      </c>
      <c r="J851" s="3">
        <v>-3.5099999999999999E-2</v>
      </c>
      <c r="K851">
        <v>3759</v>
      </c>
      <c r="T851" s="2"/>
      <c r="U851" s="2"/>
      <c r="V851" s="2"/>
      <c r="W851" s="2"/>
      <c r="X851" s="3"/>
      <c r="Y851" s="3"/>
      <c r="Z851" s="3"/>
      <c r="AA851" s="3"/>
      <c r="AF851" s="3"/>
      <c r="AG851" s="3"/>
      <c r="AH851" s="3"/>
    </row>
    <row r="852" spans="1:34" x14ac:dyDescent="0.25">
      <c r="A852" t="s">
        <v>698</v>
      </c>
      <c r="B852" t="s">
        <v>1243</v>
      </c>
      <c r="C852" t="s">
        <v>1273</v>
      </c>
      <c r="D852" s="2">
        <v>36847</v>
      </c>
      <c r="E852">
        <v>0.53688950000000002</v>
      </c>
      <c r="F852" s="2">
        <v>36889</v>
      </c>
      <c r="G852">
        <v>0.41555449999999999</v>
      </c>
      <c r="H852" s="3">
        <v>-0.22600000000000001</v>
      </c>
      <c r="I852">
        <v>-1011.19</v>
      </c>
      <c r="J852" s="3">
        <v>-0.2278</v>
      </c>
      <c r="K852">
        <v>8269</v>
      </c>
      <c r="T852" s="2"/>
      <c r="U852" s="2"/>
      <c r="V852" s="2"/>
      <c r="W852" s="2"/>
      <c r="X852" s="3"/>
      <c r="Y852" s="3"/>
      <c r="Z852" s="3"/>
      <c r="AA852" s="3"/>
      <c r="AF852" s="3"/>
      <c r="AG852" s="3"/>
      <c r="AH852" s="3"/>
    </row>
    <row r="853" spans="1:34" x14ac:dyDescent="0.25">
      <c r="A853" t="s">
        <v>699</v>
      </c>
      <c r="B853" t="s">
        <v>1244</v>
      </c>
      <c r="C853" t="s">
        <v>1273</v>
      </c>
      <c r="D853" s="2">
        <v>36882</v>
      </c>
      <c r="E853">
        <v>0.77442489999999997</v>
      </c>
      <c r="F853" s="2">
        <v>36889</v>
      </c>
      <c r="G853">
        <v>0.72101630000000005</v>
      </c>
      <c r="H853" s="3">
        <v>-6.9000000000000006E-2</v>
      </c>
      <c r="I853">
        <v>-331.07</v>
      </c>
      <c r="J853" s="3">
        <v>-7.0900000000000005E-2</v>
      </c>
      <c r="K853">
        <v>6030</v>
      </c>
      <c r="T853" s="2"/>
      <c r="U853" s="2"/>
      <c r="V853" s="2"/>
      <c r="W853" s="2"/>
      <c r="X853" s="3"/>
      <c r="Y853" s="3"/>
      <c r="Z853" s="3"/>
      <c r="AA853" s="3"/>
      <c r="AF853" s="3"/>
      <c r="AG853" s="3"/>
      <c r="AH853" s="3"/>
    </row>
    <row r="854" spans="1:34" x14ac:dyDescent="0.25">
      <c r="A854" t="s">
        <v>700</v>
      </c>
      <c r="B854" t="s">
        <v>1245</v>
      </c>
      <c r="C854" t="s">
        <v>1273</v>
      </c>
      <c r="D854" s="2">
        <v>36714</v>
      </c>
      <c r="E854">
        <v>1.5983540000000001</v>
      </c>
      <c r="F854" s="2">
        <v>36882</v>
      </c>
      <c r="G854">
        <v>1.963713</v>
      </c>
      <c r="H854" s="3">
        <v>0.2286</v>
      </c>
      <c r="I854">
        <v>971.42</v>
      </c>
      <c r="J854" s="3">
        <v>0.22639999999999999</v>
      </c>
      <c r="K854">
        <v>2685</v>
      </c>
      <c r="T854" s="2"/>
      <c r="U854" s="2"/>
      <c r="V854" s="2"/>
      <c r="W854" s="2"/>
      <c r="X854" s="3"/>
      <c r="Y854" s="3"/>
      <c r="Z854" s="3"/>
      <c r="AA854" s="3"/>
      <c r="AF854" s="3"/>
      <c r="AG854" s="3"/>
      <c r="AH854" s="3"/>
    </row>
    <row r="855" spans="1:34" x14ac:dyDescent="0.25">
      <c r="A855" t="s">
        <v>620</v>
      </c>
      <c r="B855" t="s">
        <v>1145</v>
      </c>
      <c r="C855" t="s">
        <v>1273</v>
      </c>
      <c r="D855" s="2">
        <v>36847</v>
      </c>
      <c r="E855">
        <v>8.9836039999999997</v>
      </c>
      <c r="F855" s="2">
        <v>36875</v>
      </c>
      <c r="G855">
        <v>9.0320769999999992</v>
      </c>
      <c r="H855" s="3">
        <v>5.4000000000000003E-3</v>
      </c>
      <c r="I855">
        <v>15.05</v>
      </c>
      <c r="J855" s="3">
        <v>3.3999999999999998E-3</v>
      </c>
      <c r="K855">
        <v>494</v>
      </c>
      <c r="T855" s="2"/>
      <c r="U855" s="2"/>
      <c r="V855" s="2"/>
      <c r="W855" s="2"/>
      <c r="X855" s="3"/>
      <c r="Y855" s="3"/>
      <c r="Z855" s="3"/>
      <c r="AA855" s="3"/>
      <c r="AF855" s="3"/>
      <c r="AG855" s="3"/>
      <c r="AH855" s="3"/>
    </row>
    <row r="856" spans="1:34" x14ac:dyDescent="0.25">
      <c r="A856" t="s">
        <v>701</v>
      </c>
      <c r="B856" t="s">
        <v>1246</v>
      </c>
      <c r="C856" t="s">
        <v>1273</v>
      </c>
      <c r="D856" s="2">
        <v>36721</v>
      </c>
      <c r="E856">
        <v>0.82405850000000003</v>
      </c>
      <c r="F856" s="2">
        <v>36868</v>
      </c>
      <c r="G856">
        <v>1.3040929999999999</v>
      </c>
      <c r="H856" s="3">
        <v>0.58250000000000002</v>
      </c>
      <c r="I856">
        <v>2518.5700000000002</v>
      </c>
      <c r="J856" s="3">
        <v>0.57989999999999997</v>
      </c>
      <c r="K856">
        <v>5270</v>
      </c>
      <c r="T856" s="2"/>
      <c r="U856" s="2"/>
      <c r="V856" s="2"/>
      <c r="W856" s="2"/>
      <c r="X856" s="3"/>
      <c r="Y856" s="3"/>
      <c r="Z856" s="3"/>
      <c r="AA856" s="3"/>
      <c r="AF856" s="3"/>
      <c r="AG856" s="3"/>
      <c r="AH856" s="3"/>
    </row>
    <row r="857" spans="1:34" x14ac:dyDescent="0.25">
      <c r="A857" t="s">
        <v>602</v>
      </c>
      <c r="B857" t="s">
        <v>1117</v>
      </c>
      <c r="C857" t="s">
        <v>1273</v>
      </c>
      <c r="D857" s="2">
        <v>36847</v>
      </c>
      <c r="E857">
        <v>1.055463</v>
      </c>
      <c r="F857" s="2">
        <v>36868</v>
      </c>
      <c r="G857">
        <v>1.433802</v>
      </c>
      <c r="H857" s="3">
        <v>0.35849999999999999</v>
      </c>
      <c r="I857">
        <v>1581.2</v>
      </c>
      <c r="J857" s="3">
        <v>0.35610000000000003</v>
      </c>
      <c r="K857">
        <v>4207</v>
      </c>
      <c r="T857" s="2"/>
      <c r="U857" s="2"/>
      <c r="V857" s="2"/>
      <c r="W857" s="2"/>
      <c r="X857" s="3"/>
      <c r="Y857" s="3"/>
      <c r="Z857" s="3"/>
      <c r="AA857" s="3"/>
      <c r="AF857" s="3"/>
      <c r="AG857" s="3"/>
      <c r="AH857" s="3"/>
    </row>
    <row r="858" spans="1:34" x14ac:dyDescent="0.25">
      <c r="A858" t="s">
        <v>702</v>
      </c>
      <c r="B858" t="s">
        <v>1247</v>
      </c>
      <c r="C858" t="s">
        <v>1273</v>
      </c>
      <c r="D858" s="2">
        <v>36713</v>
      </c>
      <c r="E858">
        <v>3.305129</v>
      </c>
      <c r="F858" s="2">
        <v>36854</v>
      </c>
      <c r="G858">
        <v>3.4969519999999998</v>
      </c>
      <c r="H858" s="3">
        <v>5.8000000000000003E-2</v>
      </c>
      <c r="I858">
        <v>240.9</v>
      </c>
      <c r="J858" s="3">
        <v>5.6000000000000001E-2</v>
      </c>
      <c r="K858">
        <v>1302</v>
      </c>
      <c r="T858" s="2"/>
      <c r="U858" s="2"/>
      <c r="V858" s="2"/>
      <c r="W858" s="2"/>
      <c r="X858" s="3"/>
      <c r="Y858" s="3"/>
      <c r="Z858" s="3"/>
      <c r="AA858" s="3"/>
      <c r="AF858" s="3"/>
      <c r="AG858" s="3"/>
      <c r="AH858" s="3"/>
    </row>
    <row r="859" spans="1:34" x14ac:dyDescent="0.25">
      <c r="A859" t="s">
        <v>703</v>
      </c>
      <c r="B859" t="s">
        <v>1248</v>
      </c>
      <c r="C859" t="s">
        <v>1273</v>
      </c>
      <c r="D859" s="2">
        <v>36735</v>
      </c>
      <c r="E859">
        <v>1.329334</v>
      </c>
      <c r="F859" s="2">
        <v>36847</v>
      </c>
      <c r="G859">
        <v>1.1990069999999999</v>
      </c>
      <c r="H859" s="3">
        <v>-9.8000000000000004E-2</v>
      </c>
      <c r="I859">
        <v>-461.81</v>
      </c>
      <c r="J859" s="3">
        <v>-9.9900000000000003E-2</v>
      </c>
      <c r="K859">
        <v>3476</v>
      </c>
      <c r="T859" s="2"/>
      <c r="U859" s="2"/>
      <c r="V859" s="2"/>
      <c r="W859" s="2"/>
      <c r="X859" s="3"/>
      <c r="Y859" s="3"/>
      <c r="Z859" s="3"/>
      <c r="AA859" s="3"/>
      <c r="AF859" s="3"/>
      <c r="AG859" s="3"/>
      <c r="AH859" s="3"/>
    </row>
    <row r="860" spans="1:34" x14ac:dyDescent="0.25">
      <c r="A860" t="s">
        <v>672</v>
      </c>
      <c r="B860" t="s">
        <v>1212</v>
      </c>
      <c r="C860" t="s">
        <v>1273</v>
      </c>
      <c r="D860" s="2">
        <v>36721</v>
      </c>
      <c r="E860">
        <v>1.2523299999999999</v>
      </c>
      <c r="F860" s="2">
        <v>36826</v>
      </c>
      <c r="G860">
        <v>1.0317510000000001</v>
      </c>
      <c r="H860" s="3">
        <v>-0.17610000000000001</v>
      </c>
      <c r="I860">
        <v>-772.89</v>
      </c>
      <c r="J860" s="3">
        <v>-0.17799999999999999</v>
      </c>
      <c r="K860">
        <v>3468</v>
      </c>
      <c r="T860" s="2"/>
      <c r="U860" s="2"/>
      <c r="V860" s="2"/>
      <c r="W860" s="2"/>
      <c r="X860" s="3"/>
      <c r="Y860" s="3"/>
      <c r="Z860" s="3"/>
      <c r="AA860" s="3"/>
      <c r="AF860" s="3"/>
      <c r="AG860" s="3"/>
      <c r="AH860" s="3"/>
    </row>
    <row r="861" spans="1:34" x14ac:dyDescent="0.25">
      <c r="A861" t="s">
        <v>704</v>
      </c>
      <c r="B861" t="s">
        <v>1249</v>
      </c>
      <c r="C861" t="s">
        <v>1273</v>
      </c>
      <c r="D861" s="2">
        <v>36763</v>
      </c>
      <c r="E861">
        <v>2.5499999999999998</v>
      </c>
      <c r="F861" s="2">
        <v>36805</v>
      </c>
      <c r="G861">
        <v>2.5303849999999999</v>
      </c>
      <c r="H861" s="3">
        <v>-7.7000000000000002E-3</v>
      </c>
      <c r="I861">
        <v>-43.98</v>
      </c>
      <c r="J861" s="3">
        <v>-9.7000000000000003E-3</v>
      </c>
      <c r="K861">
        <v>1781</v>
      </c>
      <c r="T861" s="2"/>
      <c r="U861" s="2"/>
      <c r="V861" s="2"/>
      <c r="W861" s="2"/>
      <c r="X861" s="3"/>
      <c r="Y861" s="3"/>
      <c r="Z861" s="3"/>
      <c r="AA861" s="3"/>
      <c r="AF861" s="3"/>
      <c r="AG861" s="3"/>
      <c r="AH861" s="3"/>
    </row>
    <row r="862" spans="1:34" x14ac:dyDescent="0.25">
      <c r="A862" t="s">
        <v>705</v>
      </c>
      <c r="B862" t="s">
        <v>1250</v>
      </c>
      <c r="C862" t="s">
        <v>1273</v>
      </c>
      <c r="D862" s="2">
        <v>36707</v>
      </c>
      <c r="E862">
        <v>2.2000000000000002</v>
      </c>
      <c r="F862" s="2">
        <v>36805</v>
      </c>
      <c r="G862">
        <v>1.75</v>
      </c>
      <c r="H862" s="3">
        <v>-0.20449999999999999</v>
      </c>
      <c r="I862">
        <v>-889.29</v>
      </c>
      <c r="J862" s="3">
        <v>-0.20630000000000001</v>
      </c>
      <c r="K862">
        <v>1959</v>
      </c>
      <c r="T862" s="2"/>
      <c r="U862" s="2"/>
      <c r="V862" s="2"/>
      <c r="W862" s="2"/>
      <c r="X862" s="3"/>
      <c r="Y862" s="3"/>
      <c r="Z862" s="3"/>
      <c r="AA862" s="3"/>
      <c r="AF862" s="3"/>
      <c r="AG862" s="3"/>
      <c r="AH862" s="3"/>
    </row>
    <row r="863" spans="1:34" x14ac:dyDescent="0.25">
      <c r="A863" t="s">
        <v>706</v>
      </c>
      <c r="B863" t="s">
        <v>1251</v>
      </c>
      <c r="C863" t="s">
        <v>1273</v>
      </c>
      <c r="D863" s="2">
        <v>36721</v>
      </c>
      <c r="E863">
        <v>0.62127639999999995</v>
      </c>
      <c r="F863" s="2">
        <v>36798</v>
      </c>
      <c r="G863">
        <v>0.62127650000000001</v>
      </c>
      <c r="H863" s="3">
        <v>0</v>
      </c>
      <c r="I863">
        <v>-8.68</v>
      </c>
      <c r="J863" s="3">
        <v>-2E-3</v>
      </c>
      <c r="K863">
        <v>6988</v>
      </c>
      <c r="T863" s="2"/>
      <c r="U863" s="2"/>
      <c r="V863" s="2"/>
      <c r="W863" s="2"/>
      <c r="X863" s="3"/>
      <c r="Y863" s="3"/>
      <c r="Z863" s="3"/>
      <c r="AA863" s="3"/>
      <c r="AF863" s="3"/>
      <c r="AG863" s="3"/>
      <c r="AH863" s="3"/>
    </row>
    <row r="864" spans="1:34" x14ac:dyDescent="0.25">
      <c r="A864" t="s">
        <v>707</v>
      </c>
      <c r="B864" t="s">
        <v>1252</v>
      </c>
      <c r="C864" t="s">
        <v>1273</v>
      </c>
      <c r="D864" s="2">
        <v>36581</v>
      </c>
      <c r="E864">
        <v>0.54042259999999998</v>
      </c>
      <c r="F864" s="2">
        <v>36798</v>
      </c>
      <c r="G864">
        <v>0.92825530000000001</v>
      </c>
      <c r="H864" s="3">
        <v>0.71760000000000002</v>
      </c>
      <c r="I864">
        <v>3367.55</v>
      </c>
      <c r="J864" s="3">
        <v>0.71489999999999998</v>
      </c>
      <c r="K864">
        <v>8716</v>
      </c>
      <c r="T864" s="2"/>
      <c r="U864" s="2"/>
      <c r="V864" s="2"/>
      <c r="W864" s="2"/>
      <c r="X864" s="3"/>
      <c r="Y864" s="3"/>
      <c r="Z864" s="3"/>
      <c r="AA864" s="3"/>
      <c r="AF864" s="3"/>
      <c r="AG864" s="3"/>
      <c r="AH864" s="3"/>
    </row>
    <row r="865" spans="1:34" x14ac:dyDescent="0.25">
      <c r="A865" t="s">
        <v>708</v>
      </c>
      <c r="B865" t="s">
        <v>1253</v>
      </c>
      <c r="C865" t="s">
        <v>1273</v>
      </c>
      <c r="D865" s="2">
        <v>36728</v>
      </c>
      <c r="E865">
        <v>0.80684480000000003</v>
      </c>
      <c r="F865" s="2">
        <v>36798</v>
      </c>
      <c r="G865">
        <v>0.67764120000000005</v>
      </c>
      <c r="H865" s="3">
        <v>-0.16009999999999999</v>
      </c>
      <c r="I865">
        <v>-708.72</v>
      </c>
      <c r="J865" s="3">
        <v>-0.16200000000000001</v>
      </c>
      <c r="K865">
        <v>5423</v>
      </c>
      <c r="T865" s="2"/>
      <c r="U865" s="2"/>
      <c r="V865" s="2"/>
      <c r="W865" s="2"/>
      <c r="X865" s="3"/>
      <c r="Y865" s="3"/>
      <c r="Z865" s="3"/>
      <c r="AA865" s="3"/>
      <c r="AF865" s="3"/>
      <c r="AG865" s="3"/>
      <c r="AH865" s="3"/>
    </row>
    <row r="866" spans="1:34" x14ac:dyDescent="0.25">
      <c r="A866" t="s">
        <v>709</v>
      </c>
      <c r="B866" t="s">
        <v>1254</v>
      </c>
      <c r="C866" t="s">
        <v>1273</v>
      </c>
      <c r="D866" s="2">
        <v>36721</v>
      </c>
      <c r="E866">
        <v>0.85748829999999998</v>
      </c>
      <c r="F866" s="2">
        <v>36759</v>
      </c>
      <c r="G866">
        <v>0.86</v>
      </c>
      <c r="H866" s="3">
        <v>2.8999999999999998E-3</v>
      </c>
      <c r="I866">
        <v>4.0199999999999996</v>
      </c>
      <c r="J866" s="3">
        <v>8.9999999999999998E-4</v>
      </c>
      <c r="K866">
        <v>5065</v>
      </c>
      <c r="T866" s="2"/>
      <c r="U866" s="2"/>
      <c r="V866" s="2"/>
      <c r="W866" s="2"/>
      <c r="X866" s="3"/>
      <c r="Y866" s="3"/>
      <c r="Z866" s="3"/>
      <c r="AA866" s="3"/>
      <c r="AF866" s="3"/>
      <c r="AG866" s="3"/>
      <c r="AH866" s="3"/>
    </row>
    <row r="867" spans="1:34" x14ac:dyDescent="0.25">
      <c r="A867" t="s">
        <v>710</v>
      </c>
      <c r="B867" t="s">
        <v>1255</v>
      </c>
      <c r="C867" t="s">
        <v>1273</v>
      </c>
      <c r="D867" s="2">
        <v>36581</v>
      </c>
      <c r="E867">
        <v>0.78500000000000003</v>
      </c>
      <c r="F867" s="2">
        <v>36749</v>
      </c>
      <c r="G867">
        <v>0.6</v>
      </c>
      <c r="H867" s="3">
        <v>-0.23569999999999999</v>
      </c>
      <c r="I867">
        <v>-1118.5</v>
      </c>
      <c r="J867" s="3">
        <v>-0.2374</v>
      </c>
      <c r="K867">
        <v>6001</v>
      </c>
      <c r="T867" s="2"/>
      <c r="U867" s="2"/>
      <c r="V867" s="2"/>
      <c r="W867" s="2"/>
      <c r="X867" s="3"/>
      <c r="Y867" s="3"/>
      <c r="Z867" s="3"/>
      <c r="AA867" s="3"/>
      <c r="AF867" s="3"/>
      <c r="AG867" s="3"/>
      <c r="AH867" s="3"/>
    </row>
    <row r="868" spans="1:34" x14ac:dyDescent="0.25">
      <c r="A868" t="s">
        <v>711</v>
      </c>
      <c r="B868" t="s">
        <v>1256</v>
      </c>
      <c r="C868" t="s">
        <v>1273</v>
      </c>
      <c r="D868" s="2">
        <v>36553</v>
      </c>
      <c r="E868">
        <v>1.2967219999999999</v>
      </c>
      <c r="F868" s="2">
        <v>36749</v>
      </c>
      <c r="G868">
        <v>1.6</v>
      </c>
      <c r="H868" s="3">
        <v>0.2339</v>
      </c>
      <c r="I868">
        <v>1086.48</v>
      </c>
      <c r="J868" s="3">
        <v>0.2316</v>
      </c>
      <c r="K868">
        <v>3617</v>
      </c>
      <c r="T868" s="2"/>
      <c r="U868" s="2"/>
      <c r="V868" s="2"/>
      <c r="W868" s="2"/>
      <c r="X868" s="3"/>
      <c r="Y868" s="3"/>
      <c r="Z868" s="3"/>
      <c r="AA868" s="3"/>
      <c r="AF868" s="3"/>
      <c r="AG868" s="3"/>
      <c r="AH868" s="3"/>
    </row>
    <row r="869" spans="1:34" x14ac:dyDescent="0.25">
      <c r="A869" t="s">
        <v>54</v>
      </c>
      <c r="B869" t="s">
        <v>936</v>
      </c>
      <c r="C869" t="s">
        <v>1273</v>
      </c>
      <c r="D869" s="2">
        <v>36630</v>
      </c>
      <c r="E869">
        <v>1.817822</v>
      </c>
      <c r="F869" s="2">
        <v>36735</v>
      </c>
      <c r="G869">
        <v>1.5414049999999999</v>
      </c>
      <c r="H869" s="3">
        <v>-0.15210000000000001</v>
      </c>
      <c r="I869">
        <v>-740.29</v>
      </c>
      <c r="J869" s="3">
        <v>-0.15390000000000001</v>
      </c>
      <c r="K869">
        <v>2646</v>
      </c>
      <c r="T869" s="2"/>
      <c r="U869" s="2"/>
      <c r="V869" s="2"/>
      <c r="W869" s="2"/>
      <c r="X869" s="3"/>
      <c r="Y869" s="3"/>
      <c r="Z869" s="3"/>
      <c r="AA869" s="3"/>
      <c r="AF869" s="3"/>
      <c r="AG869" s="3"/>
      <c r="AH869" s="3"/>
    </row>
    <row r="870" spans="1:34" x14ac:dyDescent="0.25">
      <c r="A870" t="s">
        <v>66</v>
      </c>
      <c r="B870" t="s">
        <v>1257</v>
      </c>
      <c r="C870" t="s">
        <v>1273</v>
      </c>
      <c r="D870" s="2">
        <v>36728</v>
      </c>
      <c r="E870">
        <v>0.62832589999999999</v>
      </c>
      <c r="F870" s="2">
        <v>36735</v>
      </c>
      <c r="G870">
        <v>0.60738179999999997</v>
      </c>
      <c r="H870" s="3">
        <v>-3.3300000000000003E-2</v>
      </c>
      <c r="I870">
        <v>-154.44</v>
      </c>
      <c r="J870" s="3">
        <v>-3.5299999999999998E-2</v>
      </c>
      <c r="K870">
        <v>6963</v>
      </c>
      <c r="T870" s="2"/>
      <c r="U870" s="2"/>
      <c r="V870" s="2"/>
      <c r="W870" s="2"/>
      <c r="X870" s="3"/>
      <c r="Y870" s="3"/>
      <c r="Z870" s="3"/>
      <c r="AA870" s="3"/>
      <c r="AF870" s="3"/>
      <c r="AG870" s="3"/>
      <c r="AH870" s="3"/>
    </row>
    <row r="871" spans="1:34" x14ac:dyDescent="0.25">
      <c r="A871" t="s">
        <v>712</v>
      </c>
      <c r="B871" t="s">
        <v>1258</v>
      </c>
      <c r="C871" t="s">
        <v>1273</v>
      </c>
      <c r="D871" s="2">
        <v>36661</v>
      </c>
      <c r="E871">
        <v>0.47631570000000001</v>
      </c>
      <c r="F871" s="2">
        <v>36700</v>
      </c>
      <c r="G871">
        <v>0.47631570000000001</v>
      </c>
      <c r="H871" s="3">
        <v>0</v>
      </c>
      <c r="I871">
        <v>-8.61</v>
      </c>
      <c r="J871" s="3">
        <v>-2E-3</v>
      </c>
      <c r="K871">
        <v>9041</v>
      </c>
      <c r="T871" s="2"/>
      <c r="U871" s="2"/>
      <c r="V871" s="2"/>
      <c r="W871" s="2"/>
      <c r="X871" s="3"/>
      <c r="Y871" s="3"/>
      <c r="Z871" s="3"/>
      <c r="AA871" s="3"/>
      <c r="AF871" s="3"/>
      <c r="AG871" s="3"/>
      <c r="AH871" s="3"/>
    </row>
    <row r="872" spans="1:34" x14ac:dyDescent="0.25">
      <c r="A872" t="s">
        <v>713</v>
      </c>
      <c r="B872" t="s">
        <v>1259</v>
      </c>
      <c r="C872" t="s">
        <v>1273</v>
      </c>
      <c r="D872" s="2">
        <v>36581</v>
      </c>
      <c r="E872">
        <v>0.72558</v>
      </c>
      <c r="F872" s="2">
        <v>36671</v>
      </c>
      <c r="G872">
        <v>0.62599660000000001</v>
      </c>
      <c r="H872" s="3">
        <v>-0.13719999999999999</v>
      </c>
      <c r="I872">
        <v>-655.57</v>
      </c>
      <c r="J872" s="3">
        <v>-0.1391</v>
      </c>
      <c r="K872">
        <v>6495</v>
      </c>
      <c r="T872" s="2"/>
      <c r="U872" s="2"/>
      <c r="V872" s="2"/>
      <c r="W872" s="2"/>
      <c r="X872" s="3"/>
      <c r="Y872" s="3"/>
      <c r="Z872" s="3"/>
      <c r="AA872" s="3"/>
      <c r="AF872" s="3"/>
      <c r="AG872" s="3"/>
      <c r="AH872" s="3"/>
    </row>
    <row r="873" spans="1:34" x14ac:dyDescent="0.25">
      <c r="A873" t="s">
        <v>686</v>
      </c>
      <c r="B873" t="s">
        <v>1230</v>
      </c>
      <c r="C873" t="s">
        <v>1273</v>
      </c>
      <c r="D873" s="2">
        <v>36567</v>
      </c>
      <c r="E873">
        <v>0.58618349999999997</v>
      </c>
      <c r="F873" s="2">
        <v>36644</v>
      </c>
      <c r="G873">
        <v>0.53147310000000003</v>
      </c>
      <c r="H873" s="3">
        <v>-9.3299999999999994E-2</v>
      </c>
      <c r="I873">
        <v>-448.3</v>
      </c>
      <c r="J873" s="3">
        <v>-9.5200000000000007E-2</v>
      </c>
      <c r="K873">
        <v>8030</v>
      </c>
      <c r="T873" s="2"/>
      <c r="U873" s="2"/>
      <c r="V873" s="2"/>
      <c r="W873" s="2"/>
      <c r="X873" s="3"/>
      <c r="Y873" s="3"/>
      <c r="Z873" s="3"/>
      <c r="AA873" s="3"/>
      <c r="AF873" s="3"/>
      <c r="AG873" s="3"/>
      <c r="AH873" s="3"/>
    </row>
    <row r="874" spans="1:34" x14ac:dyDescent="0.25">
      <c r="A874" t="s">
        <v>714</v>
      </c>
      <c r="B874" t="s">
        <v>1260</v>
      </c>
      <c r="C874" t="s">
        <v>1273</v>
      </c>
      <c r="D874" s="2">
        <v>36593</v>
      </c>
      <c r="E874">
        <v>0.53202720000000003</v>
      </c>
      <c r="F874" s="2">
        <v>36643</v>
      </c>
      <c r="G874">
        <v>0.384598</v>
      </c>
      <c r="H874" s="3">
        <v>-0.27710000000000001</v>
      </c>
      <c r="I874">
        <v>-1260.49</v>
      </c>
      <c r="J874" s="3">
        <v>-0.27879999999999999</v>
      </c>
      <c r="K874">
        <v>8497</v>
      </c>
      <c r="T874" s="2"/>
      <c r="U874" s="2"/>
      <c r="V874" s="2"/>
      <c r="W874" s="2"/>
      <c r="X874" s="3"/>
      <c r="Y874" s="3"/>
      <c r="Z874" s="3"/>
      <c r="AA874" s="3"/>
      <c r="AF874" s="3"/>
      <c r="AG874" s="3"/>
      <c r="AH874" s="3"/>
    </row>
    <row r="875" spans="1:34" x14ac:dyDescent="0.25">
      <c r="A875" t="s">
        <v>548</v>
      </c>
      <c r="B875" t="s">
        <v>1041</v>
      </c>
      <c r="C875" t="s">
        <v>1273</v>
      </c>
      <c r="D875" s="2">
        <v>36581</v>
      </c>
      <c r="E875">
        <v>2.8115739999999998</v>
      </c>
      <c r="F875" s="2">
        <v>36636</v>
      </c>
      <c r="G875">
        <v>2.104562</v>
      </c>
      <c r="H875" s="3">
        <v>-0.2515</v>
      </c>
      <c r="I875">
        <v>-1192.48</v>
      </c>
      <c r="J875" s="3">
        <v>-0.25319999999999998</v>
      </c>
      <c r="K875">
        <v>1675</v>
      </c>
      <c r="T875" s="2"/>
      <c r="U875" s="2"/>
      <c r="V875" s="2"/>
      <c r="W875" s="2"/>
      <c r="X875" s="3"/>
      <c r="Y875" s="3"/>
      <c r="Z875" s="3"/>
      <c r="AA875" s="3"/>
      <c r="AF875" s="3"/>
      <c r="AG875" s="3"/>
      <c r="AH875" s="3"/>
    </row>
    <row r="876" spans="1:34" x14ac:dyDescent="0.25">
      <c r="A876" t="s">
        <v>641</v>
      </c>
      <c r="B876" t="s">
        <v>1172</v>
      </c>
      <c r="C876" t="s">
        <v>1273</v>
      </c>
      <c r="D876" s="2">
        <v>36581</v>
      </c>
      <c r="E876">
        <v>1.139686</v>
      </c>
      <c r="F876" s="2">
        <v>36636</v>
      </c>
      <c r="G876">
        <v>0.8683322</v>
      </c>
      <c r="H876" s="3">
        <v>-0.23810000000000001</v>
      </c>
      <c r="I876">
        <v>-1130.08</v>
      </c>
      <c r="J876" s="3">
        <v>-0.2399</v>
      </c>
      <c r="K876">
        <v>4134</v>
      </c>
      <c r="T876" s="2"/>
      <c r="U876" s="2"/>
      <c r="V876" s="2"/>
      <c r="W876" s="2"/>
      <c r="X876" s="3"/>
      <c r="Y876" s="3"/>
      <c r="Z876" s="3"/>
      <c r="AA876" s="3"/>
      <c r="AF876" s="3"/>
      <c r="AG876" s="3"/>
      <c r="AH876" s="3"/>
    </row>
    <row r="877" spans="1:34" x14ac:dyDescent="0.25">
      <c r="A877" t="s">
        <v>539</v>
      </c>
      <c r="B877" t="s">
        <v>1029</v>
      </c>
      <c r="C877" t="s">
        <v>1273</v>
      </c>
      <c r="D877" s="2">
        <v>36581</v>
      </c>
      <c r="E877">
        <v>0.98695860000000002</v>
      </c>
      <c r="F877" s="2">
        <v>36636</v>
      </c>
      <c r="G877">
        <v>0.59046359999999998</v>
      </c>
      <c r="H877" s="3">
        <v>-0.4017</v>
      </c>
      <c r="I877">
        <v>-1900.4</v>
      </c>
      <c r="J877" s="3">
        <v>-0.40329999999999999</v>
      </c>
      <c r="K877">
        <v>4774</v>
      </c>
      <c r="T877" s="2"/>
      <c r="U877" s="2"/>
      <c r="V877" s="2"/>
      <c r="W877" s="2"/>
      <c r="X877" s="3"/>
      <c r="Y877" s="3"/>
      <c r="Z877" s="3"/>
      <c r="AA877" s="3"/>
      <c r="AF877" s="3"/>
      <c r="AG877" s="3"/>
      <c r="AH877" s="3"/>
    </row>
    <row r="878" spans="1:34" x14ac:dyDescent="0.25">
      <c r="A878" t="s">
        <v>715</v>
      </c>
      <c r="B878" t="s">
        <v>1261</v>
      </c>
      <c r="C878" t="s">
        <v>1273</v>
      </c>
      <c r="D878" s="2">
        <v>36574</v>
      </c>
      <c r="E878">
        <v>6.4</v>
      </c>
      <c r="F878" s="2">
        <v>36636</v>
      </c>
      <c r="G878">
        <v>4.7190000000000003</v>
      </c>
      <c r="H878" s="3">
        <v>-0.26269999999999999</v>
      </c>
      <c r="I878">
        <v>-1284.32</v>
      </c>
      <c r="J878" s="3">
        <v>-0.26440000000000002</v>
      </c>
      <c r="K878">
        <v>759</v>
      </c>
      <c r="T878" s="2"/>
      <c r="U878" s="2"/>
      <c r="V878" s="2"/>
      <c r="W878" s="2"/>
      <c r="X878" s="3"/>
      <c r="Y878" s="3"/>
      <c r="Z878" s="3"/>
      <c r="AA878" s="3"/>
      <c r="AF878" s="3"/>
      <c r="AG878" s="3"/>
      <c r="AH878" s="3"/>
    </row>
    <row r="879" spans="1:34" x14ac:dyDescent="0.25">
      <c r="A879" t="s">
        <v>716</v>
      </c>
      <c r="B879" t="s">
        <v>1262</v>
      </c>
      <c r="C879" t="s">
        <v>1273</v>
      </c>
      <c r="D879" s="2">
        <v>36567</v>
      </c>
      <c r="E879">
        <v>5.1768840000000003</v>
      </c>
      <c r="F879" s="2">
        <v>36636</v>
      </c>
      <c r="G879">
        <v>3.4836589999999998</v>
      </c>
      <c r="H879" s="3">
        <v>-0.3271</v>
      </c>
      <c r="I879">
        <v>-1547.01</v>
      </c>
      <c r="J879" s="3">
        <v>-0.32869999999999999</v>
      </c>
      <c r="K879">
        <v>909</v>
      </c>
      <c r="T879" s="2"/>
      <c r="U879" s="2"/>
      <c r="V879" s="2"/>
      <c r="W879" s="2"/>
      <c r="X879" s="3"/>
      <c r="Y879" s="3"/>
      <c r="Z879" s="3"/>
      <c r="AA879" s="3"/>
      <c r="AF879" s="3"/>
      <c r="AG879" s="3"/>
      <c r="AH879" s="3"/>
    </row>
    <row r="880" spans="1:34" x14ac:dyDescent="0.25">
      <c r="A880" t="s">
        <v>717</v>
      </c>
      <c r="B880" t="s">
        <v>1263</v>
      </c>
      <c r="C880" t="s">
        <v>1273</v>
      </c>
      <c r="D880" s="2">
        <v>36567</v>
      </c>
      <c r="E880">
        <v>0.74788829999999995</v>
      </c>
      <c r="F880" s="2">
        <v>36636</v>
      </c>
      <c r="G880">
        <v>0.44037150000000003</v>
      </c>
      <c r="H880" s="3">
        <v>-0.41120000000000001</v>
      </c>
      <c r="I880">
        <v>-1943.3</v>
      </c>
      <c r="J880" s="3">
        <v>-0.4128</v>
      </c>
      <c r="K880">
        <v>6295</v>
      </c>
      <c r="T880" s="2"/>
      <c r="U880" s="2"/>
      <c r="V880" s="2"/>
      <c r="W880" s="2"/>
      <c r="X880" s="3"/>
      <c r="Y880" s="3"/>
      <c r="Z880" s="3"/>
      <c r="AA880" s="3"/>
      <c r="AF880" s="3"/>
      <c r="AG880" s="3"/>
      <c r="AH880" s="3"/>
    </row>
    <row r="881" spans="1:34" x14ac:dyDescent="0.25">
      <c r="A881" t="s">
        <v>718</v>
      </c>
      <c r="B881" t="s">
        <v>1264</v>
      </c>
      <c r="C881" t="s">
        <v>1273</v>
      </c>
      <c r="D881" s="2">
        <v>36532</v>
      </c>
      <c r="E881">
        <v>0.77925469999999997</v>
      </c>
      <c r="F881" s="2">
        <v>36636</v>
      </c>
      <c r="G881">
        <v>0.66055419999999998</v>
      </c>
      <c r="H881" s="3">
        <v>-0.15229999999999999</v>
      </c>
      <c r="I881">
        <v>-733.94</v>
      </c>
      <c r="J881" s="3">
        <v>-0.1542</v>
      </c>
      <c r="K881">
        <v>6109</v>
      </c>
      <c r="T881" s="2"/>
      <c r="U881" s="2"/>
      <c r="V881" s="2"/>
      <c r="W881" s="2"/>
      <c r="X881" s="3"/>
      <c r="Y881" s="3"/>
      <c r="Z881" s="3"/>
      <c r="AA881" s="3"/>
      <c r="AF881" s="3"/>
      <c r="AG881" s="3"/>
      <c r="AH881" s="3"/>
    </row>
    <row r="882" spans="1:34" x14ac:dyDescent="0.25">
      <c r="A882" t="s">
        <v>339</v>
      </c>
      <c r="B882" t="s">
        <v>1227</v>
      </c>
      <c r="C882" t="s">
        <v>1273</v>
      </c>
      <c r="D882" s="2">
        <v>36630</v>
      </c>
      <c r="E882">
        <v>2.1738300000000002</v>
      </c>
      <c r="F882" s="2">
        <v>36635</v>
      </c>
      <c r="G882">
        <v>1.8205830000000001</v>
      </c>
      <c r="H882" s="3">
        <v>-0.16250000000000001</v>
      </c>
      <c r="I882">
        <v>-790.58</v>
      </c>
      <c r="J882" s="3">
        <v>-0.1643</v>
      </c>
      <c r="K882">
        <v>2213</v>
      </c>
      <c r="T882" s="2"/>
      <c r="U882" s="2"/>
      <c r="V882" s="2"/>
      <c r="W882" s="2"/>
      <c r="X882" s="3"/>
      <c r="Y882" s="3"/>
      <c r="Z882" s="3"/>
      <c r="AA882" s="3"/>
      <c r="AF882" s="3"/>
      <c r="AG882" s="3"/>
      <c r="AH882" s="3"/>
    </row>
    <row r="883" spans="1:34" x14ac:dyDescent="0.25">
      <c r="A883" t="s">
        <v>719</v>
      </c>
      <c r="B883" t="s">
        <v>1265</v>
      </c>
      <c r="C883" t="s">
        <v>1273</v>
      </c>
      <c r="D883" s="2">
        <v>36567</v>
      </c>
      <c r="E883">
        <v>6.1324740000000002</v>
      </c>
      <c r="F883" s="2">
        <v>36630</v>
      </c>
      <c r="G883">
        <v>9.2468889999999995</v>
      </c>
      <c r="H883" s="3">
        <v>0.50790000000000002</v>
      </c>
      <c r="I883">
        <v>2376.96</v>
      </c>
      <c r="J883" s="3">
        <v>0.50529999999999997</v>
      </c>
      <c r="K883">
        <v>767</v>
      </c>
      <c r="T883" s="2"/>
      <c r="U883" s="2"/>
      <c r="V883" s="2"/>
      <c r="W883" s="2"/>
      <c r="X883" s="3"/>
      <c r="Y883" s="3"/>
      <c r="Z883" s="3"/>
      <c r="AA883" s="3"/>
      <c r="AF883" s="3"/>
      <c r="AG883" s="3"/>
      <c r="AH883" s="3"/>
    </row>
    <row r="884" spans="1:34" x14ac:dyDescent="0.25">
      <c r="A884" t="s">
        <v>720</v>
      </c>
      <c r="B884" t="s">
        <v>1266</v>
      </c>
      <c r="C884" t="s">
        <v>1273</v>
      </c>
      <c r="D884" s="2">
        <v>36546</v>
      </c>
      <c r="E884">
        <v>0.57976159999999999</v>
      </c>
      <c r="F884" s="2">
        <v>36630</v>
      </c>
      <c r="G884">
        <v>0.3681026</v>
      </c>
      <c r="H884" s="3">
        <v>-0.36509999999999998</v>
      </c>
      <c r="I884">
        <v>-1721.48</v>
      </c>
      <c r="J884" s="3">
        <v>-0.36670000000000003</v>
      </c>
      <c r="K884">
        <v>8097</v>
      </c>
      <c r="T884" s="2"/>
      <c r="U884" s="2"/>
      <c r="V884" s="2"/>
      <c r="W884" s="2"/>
      <c r="X884" s="3"/>
      <c r="Y884" s="3"/>
      <c r="Z884" s="3"/>
      <c r="AA884" s="3"/>
      <c r="AF884" s="3"/>
      <c r="AG884" s="3"/>
      <c r="AH884" s="3"/>
    </row>
    <row r="885" spans="1:34" x14ac:dyDescent="0.25">
      <c r="A885" t="s">
        <v>341</v>
      </c>
      <c r="B885" t="s">
        <v>1267</v>
      </c>
      <c r="C885" t="s">
        <v>1273</v>
      </c>
      <c r="D885" s="2">
        <v>36532</v>
      </c>
      <c r="E885">
        <v>0.80354099999999995</v>
      </c>
      <c r="F885" s="2">
        <v>36630</v>
      </c>
      <c r="G885">
        <v>0.62015140000000002</v>
      </c>
      <c r="H885" s="3">
        <v>-0.22819999999999999</v>
      </c>
      <c r="I885">
        <v>-1095.2</v>
      </c>
      <c r="J885" s="3">
        <v>-0.23</v>
      </c>
      <c r="K885">
        <v>5926</v>
      </c>
      <c r="T885" s="2"/>
      <c r="U885" s="2"/>
      <c r="V885" s="2"/>
      <c r="W885" s="2"/>
      <c r="X885" s="3"/>
      <c r="Y885" s="3"/>
      <c r="Z885" s="3"/>
      <c r="AA885" s="3"/>
      <c r="AF885" s="3"/>
      <c r="AG885" s="3"/>
      <c r="AH885" s="3"/>
    </row>
    <row r="886" spans="1:34" x14ac:dyDescent="0.25">
      <c r="A886" t="s">
        <v>721</v>
      </c>
      <c r="B886" t="s">
        <v>1268</v>
      </c>
      <c r="C886" t="s">
        <v>1273</v>
      </c>
      <c r="D886" s="2">
        <v>36602</v>
      </c>
      <c r="E886">
        <v>1.35</v>
      </c>
      <c r="F886" s="2">
        <v>36623</v>
      </c>
      <c r="G886">
        <v>1.07</v>
      </c>
      <c r="H886" s="3">
        <v>-0.2074</v>
      </c>
      <c r="I886">
        <v>-1005.13</v>
      </c>
      <c r="J886" s="3">
        <v>-0.2092</v>
      </c>
      <c r="K886">
        <v>3559</v>
      </c>
      <c r="T886" s="2"/>
      <c r="U886" s="2"/>
      <c r="V886" s="2"/>
      <c r="W886" s="2"/>
      <c r="X886" s="3"/>
      <c r="Y886" s="3"/>
      <c r="Z886" s="3"/>
      <c r="AA886" s="3"/>
      <c r="AF886" s="3"/>
      <c r="AG886" s="3"/>
      <c r="AH886" s="3"/>
    </row>
    <row r="887" spans="1:34" x14ac:dyDescent="0.25">
      <c r="A887" t="s">
        <v>722</v>
      </c>
      <c r="B887" t="s">
        <v>1269</v>
      </c>
      <c r="C887" t="s">
        <v>1273</v>
      </c>
      <c r="D887" s="2">
        <v>36602</v>
      </c>
      <c r="E887">
        <v>0.90836399999999995</v>
      </c>
      <c r="F887" s="2">
        <v>36623</v>
      </c>
      <c r="G887">
        <v>1.033072</v>
      </c>
      <c r="H887" s="3">
        <v>0.13730000000000001</v>
      </c>
      <c r="I887">
        <v>649.55999999999995</v>
      </c>
      <c r="J887" s="3">
        <v>0.13519999999999999</v>
      </c>
      <c r="K887">
        <v>5291</v>
      </c>
      <c r="T887" s="2"/>
      <c r="U887" s="2"/>
      <c r="V887" s="2"/>
      <c r="W887" s="2"/>
      <c r="X887" s="3"/>
      <c r="Y887" s="3"/>
      <c r="Z887" s="3"/>
      <c r="AA887" s="3"/>
      <c r="AF887" s="3"/>
      <c r="AG887" s="3"/>
      <c r="AH887" s="3"/>
    </row>
    <row r="888" spans="1:34" x14ac:dyDescent="0.25">
      <c r="A888" t="s">
        <v>723</v>
      </c>
      <c r="B888" t="s">
        <v>1270</v>
      </c>
      <c r="C888" t="s">
        <v>1273</v>
      </c>
      <c r="D888" s="2">
        <v>36595</v>
      </c>
      <c r="E888">
        <v>8.045147</v>
      </c>
      <c r="F888" s="2">
        <v>36623</v>
      </c>
      <c r="G888">
        <v>7.7787509999999997</v>
      </c>
      <c r="H888" s="3">
        <v>-3.3099999999999997E-2</v>
      </c>
      <c r="I888">
        <v>-161.15</v>
      </c>
      <c r="J888" s="3">
        <v>-3.5099999999999999E-2</v>
      </c>
      <c r="K888">
        <v>571</v>
      </c>
      <c r="T888" s="2"/>
      <c r="U888" s="2"/>
      <c r="V888" s="2"/>
      <c r="W888" s="2"/>
      <c r="X888" s="3"/>
      <c r="Y888" s="3"/>
      <c r="Z888" s="3"/>
      <c r="AA888" s="3"/>
      <c r="AF888" s="3"/>
      <c r="AG888" s="3"/>
      <c r="AH888" s="3"/>
    </row>
    <row r="889" spans="1:34" x14ac:dyDescent="0.25">
      <c r="A889" t="s">
        <v>516</v>
      </c>
      <c r="B889" t="s">
        <v>989</v>
      </c>
      <c r="C889" t="s">
        <v>1273</v>
      </c>
      <c r="D889" s="2">
        <v>36581</v>
      </c>
      <c r="E889">
        <v>1.248162</v>
      </c>
      <c r="F889" s="2">
        <v>36623</v>
      </c>
      <c r="G889">
        <v>2.0530460000000001</v>
      </c>
      <c r="H889" s="3">
        <v>0.64490000000000003</v>
      </c>
      <c r="I889">
        <v>3026.78</v>
      </c>
      <c r="J889" s="3">
        <v>0.64219999999999999</v>
      </c>
      <c r="K889">
        <v>3776</v>
      </c>
      <c r="T889" s="2"/>
      <c r="U889" s="2"/>
      <c r="V889" s="2"/>
      <c r="W889" s="2"/>
      <c r="X889" s="3"/>
      <c r="Y889" s="3"/>
      <c r="Z889" s="3"/>
      <c r="AA889" s="3"/>
      <c r="AF889" s="3"/>
      <c r="AG889" s="3"/>
      <c r="AH889" s="3"/>
    </row>
    <row r="890" spans="1:34" x14ac:dyDescent="0.25">
      <c r="A890" t="s">
        <v>724</v>
      </c>
      <c r="B890" t="s">
        <v>1271</v>
      </c>
      <c r="C890" t="s">
        <v>1273</v>
      </c>
      <c r="D890" s="2">
        <v>36532</v>
      </c>
      <c r="E890">
        <v>0.56999999999999995</v>
      </c>
      <c r="F890" s="2">
        <v>36623</v>
      </c>
      <c r="G890">
        <v>0.55000000000000004</v>
      </c>
      <c r="H890" s="3">
        <v>-3.5099999999999999E-2</v>
      </c>
      <c r="I890">
        <v>-176.42</v>
      </c>
      <c r="J890" s="3">
        <v>-3.7100000000000001E-2</v>
      </c>
      <c r="K890">
        <v>8353</v>
      </c>
      <c r="T890" s="2"/>
      <c r="U890" s="2"/>
      <c r="V890" s="2"/>
      <c r="W890" s="2"/>
      <c r="X890" s="3"/>
      <c r="Y890" s="3"/>
      <c r="Z890" s="3"/>
      <c r="AA890" s="3"/>
      <c r="AF890" s="3"/>
      <c r="AG890" s="3"/>
      <c r="AH890" s="3"/>
    </row>
    <row r="891" spans="1:34" x14ac:dyDescent="0.25">
      <c r="A891" t="s">
        <v>72</v>
      </c>
      <c r="B891" t="s">
        <v>1209</v>
      </c>
      <c r="C891" t="s">
        <v>1273</v>
      </c>
      <c r="D891" s="2">
        <v>36539</v>
      </c>
      <c r="E891">
        <v>1.393167</v>
      </c>
      <c r="F891" s="2">
        <v>36602</v>
      </c>
      <c r="G891">
        <v>1.2568790000000001</v>
      </c>
      <c r="H891" s="3">
        <v>-9.7799999999999998E-2</v>
      </c>
      <c r="I891">
        <v>-469.05</v>
      </c>
      <c r="J891" s="3">
        <v>-9.9699999999999997E-2</v>
      </c>
      <c r="K891">
        <v>3376</v>
      </c>
      <c r="T891" s="2"/>
      <c r="U891" s="2"/>
      <c r="V891" s="2"/>
      <c r="W891" s="2"/>
      <c r="X891" s="3"/>
      <c r="Y891" s="3"/>
      <c r="Z891" s="3"/>
      <c r="AA891" s="3"/>
      <c r="AF891" s="3"/>
      <c r="AG891" s="3"/>
      <c r="AH891" s="3"/>
    </row>
    <row r="892" spans="1:34" x14ac:dyDescent="0.25">
      <c r="T892" s="2"/>
      <c r="V892" s="2"/>
      <c r="X892" s="3"/>
      <c r="Z892" s="3"/>
      <c r="AF892" s="3"/>
      <c r="AG892" s="3"/>
    </row>
    <row r="893" spans="1:34" x14ac:dyDescent="0.25">
      <c r="T893" s="2"/>
      <c r="V893" s="2"/>
      <c r="X893" s="3"/>
      <c r="Z893" s="3"/>
      <c r="AF893" s="3"/>
      <c r="AG893" s="3"/>
    </row>
    <row r="894" spans="1:34" x14ac:dyDescent="0.25">
      <c r="T894" s="2"/>
      <c r="V894" s="2"/>
      <c r="X894" s="3"/>
      <c r="Z894" s="3"/>
      <c r="AF894" s="3"/>
      <c r="AG894" s="3"/>
    </row>
    <row r="895" spans="1:34" x14ac:dyDescent="0.25">
      <c r="T895" s="2"/>
      <c r="V895" s="2"/>
      <c r="X895" s="3"/>
      <c r="Z895" s="3"/>
      <c r="AF895" s="3"/>
      <c r="AG895" s="3"/>
    </row>
    <row r="896" spans="1:34" x14ac:dyDescent="0.25">
      <c r="T896" s="2"/>
      <c r="V896" s="2"/>
      <c r="X896" s="3"/>
      <c r="Z896" s="3"/>
      <c r="AF896" s="3"/>
      <c r="AG896" s="3"/>
    </row>
    <row r="897" spans="20:33" x14ac:dyDescent="0.25">
      <c r="T897" s="2"/>
      <c r="V897" s="2"/>
      <c r="X897" s="3"/>
      <c r="Z897" s="3"/>
      <c r="AF897" s="3"/>
      <c r="AG897" s="3"/>
    </row>
    <row r="898" spans="20:33" x14ac:dyDescent="0.25">
      <c r="T898" s="2"/>
      <c r="V898" s="2"/>
      <c r="X898" s="3"/>
      <c r="Z898" s="3"/>
      <c r="AF898" s="3"/>
      <c r="AG898" s="3"/>
    </row>
    <row r="899" spans="20:33" x14ac:dyDescent="0.25">
      <c r="T899" s="2"/>
      <c r="V899" s="2"/>
      <c r="X899" s="3"/>
      <c r="Z899" s="3"/>
      <c r="AF899" s="3"/>
      <c r="AG899" s="3"/>
    </row>
    <row r="900" spans="20:33" x14ac:dyDescent="0.25">
      <c r="T900" s="2"/>
      <c r="V900" s="2"/>
      <c r="X900" s="3"/>
      <c r="Z900" s="3"/>
      <c r="AF900" s="3"/>
      <c r="AG900" s="3"/>
    </row>
    <row r="901" spans="20:33" x14ac:dyDescent="0.25">
      <c r="T901" s="2"/>
      <c r="V901" s="2"/>
      <c r="X901" s="3"/>
      <c r="Z901" s="3"/>
      <c r="AF901" s="3"/>
      <c r="AG901" s="3"/>
    </row>
    <row r="902" spans="20:33" x14ac:dyDescent="0.25">
      <c r="T902" s="2"/>
      <c r="V902" s="2"/>
      <c r="X902" s="3"/>
      <c r="Z902" s="3"/>
      <c r="AF902" s="3"/>
      <c r="AG902"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O40"/>
  <sheetViews>
    <sheetView workbookViewId="0">
      <selection activeCell="F33" sqref="F33"/>
    </sheetView>
  </sheetViews>
  <sheetFormatPr defaultRowHeight="15" x14ac:dyDescent="0.25"/>
  <cols>
    <col min="3" max="3" width="11.140625" bestFit="1" customWidth="1"/>
    <col min="4" max="4" width="15.42578125" bestFit="1" customWidth="1"/>
    <col min="5" max="5" width="12.140625" bestFit="1" customWidth="1"/>
    <col min="6" max="6" width="21.140625" bestFit="1" customWidth="1"/>
    <col min="7" max="13" width="12.140625" bestFit="1" customWidth="1"/>
    <col min="14" max="14" width="20.42578125" bestFit="1" customWidth="1"/>
  </cols>
  <sheetData>
    <row r="1" spans="1:14" x14ac:dyDescent="0.25">
      <c r="A1" t="s">
        <v>1274</v>
      </c>
      <c r="B1" t="s">
        <v>1275</v>
      </c>
      <c r="C1" t="s">
        <v>1276</v>
      </c>
      <c r="D1" t="s">
        <v>1277</v>
      </c>
      <c r="E1" t="s">
        <v>1278</v>
      </c>
      <c r="F1" t="s">
        <v>1279</v>
      </c>
      <c r="G1" t="s">
        <v>1280</v>
      </c>
      <c r="H1" t="s">
        <v>1281</v>
      </c>
      <c r="I1" t="s">
        <v>1282</v>
      </c>
      <c r="J1" t="s">
        <v>1283</v>
      </c>
      <c r="K1" t="s">
        <v>1284</v>
      </c>
      <c r="L1" t="s">
        <v>1285</v>
      </c>
      <c r="M1" t="s">
        <v>1286</v>
      </c>
      <c r="N1" t="s">
        <v>1287</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5"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5"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5"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5"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5"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5"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5"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5"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5"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5"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c r="O26" s="3"/>
    </row>
    <row r="27" spans="1:15" x14ac:dyDescent="0.25">
      <c r="A27">
        <v>2025</v>
      </c>
      <c r="B27" s="3">
        <v>-2.5000000000000001E-2</v>
      </c>
      <c r="C27" s="3">
        <v>-3.5999999999999997E-2</v>
      </c>
      <c r="D27" s="3">
        <v>-1E-3</v>
      </c>
      <c r="E27" s="3">
        <v>-0.04</v>
      </c>
      <c r="F27" s="3">
        <v>2.9000000000000001E-2</v>
      </c>
      <c r="G27" s="3">
        <v>6.5000000000000002E-2</v>
      </c>
      <c r="H27" s="3">
        <v>2.8000000000000001E-2</v>
      </c>
      <c r="I27" t="s">
        <v>1288</v>
      </c>
      <c r="J27" t="s">
        <v>1288</v>
      </c>
      <c r="K27" t="s">
        <v>1288</v>
      </c>
      <c r="L27" t="s">
        <v>1288</v>
      </c>
      <c r="M27" t="s">
        <v>1288</v>
      </c>
      <c r="N27" s="3">
        <v>8.9999999999999993E-3</v>
      </c>
    </row>
    <row r="28" spans="1:15" x14ac:dyDescent="0.25">
      <c r="A28" t="s">
        <v>1289</v>
      </c>
      <c r="B28" s="3">
        <v>-2E-3</v>
      </c>
      <c r="C28" s="3">
        <v>1.2999999999999999E-2</v>
      </c>
      <c r="D28" s="3">
        <v>0.01</v>
      </c>
      <c r="E28" s="3">
        <v>7.0000000000000001E-3</v>
      </c>
      <c r="F28" s="3">
        <v>1.6E-2</v>
      </c>
      <c r="G28" s="3">
        <v>8.9999999999999993E-3</v>
      </c>
      <c r="H28" s="3">
        <v>2.3E-2</v>
      </c>
      <c r="I28" s="3">
        <v>2.5000000000000001E-2</v>
      </c>
      <c r="J28" s="3">
        <v>2.5000000000000001E-2</v>
      </c>
      <c r="K28" s="3">
        <v>1.7000000000000001E-2</v>
      </c>
      <c r="L28" s="3">
        <v>0.01</v>
      </c>
      <c r="M28" s="3">
        <v>2.1000000000000001E-2</v>
      </c>
    </row>
    <row r="29" spans="1:15" x14ac:dyDescent="0.25">
      <c r="G29" s="3"/>
    </row>
    <row r="30" spans="1:15" x14ac:dyDescent="0.25">
      <c r="B30" s="3"/>
      <c r="C30" s="3"/>
      <c r="D30" s="3"/>
      <c r="E30" s="3"/>
      <c r="F30" s="3"/>
      <c r="G30" s="3"/>
      <c r="H30" s="3"/>
      <c r="I30" s="3"/>
      <c r="J30" s="3"/>
      <c r="K30" s="3"/>
      <c r="L30" s="3"/>
      <c r="M30" s="3"/>
    </row>
    <row r="31" spans="1:15" x14ac:dyDescent="0.25">
      <c r="B31" s="3"/>
      <c r="C31" s="9"/>
      <c r="D31" s="10"/>
      <c r="E31" s="9"/>
      <c r="F31" s="9"/>
      <c r="G31" s="9"/>
      <c r="H31" s="9"/>
      <c r="I31" s="9"/>
      <c r="J31" s="9"/>
      <c r="K31" s="9"/>
      <c r="L31" s="9"/>
      <c r="M31" s="9"/>
      <c r="N31" s="9"/>
    </row>
    <row r="32" spans="1:15" x14ac:dyDescent="0.25">
      <c r="F32" s="11"/>
    </row>
    <row r="33" spans="2:14" x14ac:dyDescent="0.25">
      <c r="C33" s="12"/>
      <c r="D33" s="13"/>
      <c r="E33" s="13"/>
      <c r="F33" s="13"/>
      <c r="G33" s="13"/>
      <c r="I33" s="13"/>
    </row>
    <row r="34" spans="2:14" x14ac:dyDescent="0.25">
      <c r="B34" s="3"/>
      <c r="C34" s="3"/>
      <c r="D34" s="3"/>
      <c r="E34" s="3"/>
      <c r="F34" s="3"/>
      <c r="G34" s="3"/>
      <c r="H34" s="3"/>
      <c r="I34" s="3"/>
      <c r="J34" s="3"/>
      <c r="K34" s="3"/>
      <c r="L34" s="3"/>
      <c r="M34" s="3"/>
      <c r="N34" s="14"/>
    </row>
    <row r="35" spans="2:14" x14ac:dyDescent="0.25">
      <c r="B35" s="3"/>
      <c r="C35" s="3"/>
      <c r="D35" s="3"/>
      <c r="E35" s="3"/>
      <c r="F35" s="3"/>
      <c r="G35" s="3"/>
      <c r="H35" s="3"/>
      <c r="I35" s="3"/>
      <c r="J35" s="3"/>
      <c r="K35" s="3"/>
      <c r="L35" s="3"/>
      <c r="M35" s="3"/>
      <c r="N35" s="14"/>
    </row>
    <row r="36" spans="2:14" x14ac:dyDescent="0.25">
      <c r="B36" s="3"/>
      <c r="C36" s="3"/>
      <c r="D36" s="3"/>
      <c r="E36" s="3"/>
      <c r="F36" s="3"/>
      <c r="G36" s="3"/>
      <c r="H36" s="3"/>
      <c r="I36" s="3"/>
      <c r="J36" s="3"/>
      <c r="K36" s="3"/>
      <c r="L36" s="3"/>
      <c r="M36" s="3"/>
      <c r="N36" s="14"/>
    </row>
    <row r="37" spans="2:14" x14ac:dyDescent="0.25">
      <c r="B37" s="3"/>
      <c r="C37" s="3"/>
      <c r="D37" s="3"/>
      <c r="E37" s="3"/>
      <c r="F37" s="3"/>
      <c r="G37" s="3"/>
      <c r="H37" s="3"/>
      <c r="I37" s="3"/>
      <c r="J37" s="3"/>
      <c r="K37" s="3"/>
      <c r="L37" s="3"/>
      <c r="M37" s="3"/>
      <c r="N37" s="14"/>
    </row>
    <row r="38" spans="2:14" x14ac:dyDescent="0.25">
      <c r="B38" s="3"/>
      <c r="C38" s="3"/>
      <c r="D38" s="3"/>
      <c r="E38" s="3"/>
      <c r="F38" s="3"/>
      <c r="G38" s="3"/>
      <c r="H38" s="3"/>
      <c r="I38" s="3"/>
      <c r="J38" s="3"/>
      <c r="K38" s="3"/>
      <c r="L38" s="3"/>
      <c r="M38" s="3"/>
      <c r="N38" s="14"/>
    </row>
    <row r="39" spans="2:14" x14ac:dyDescent="0.25">
      <c r="B39" s="3"/>
      <c r="C39" s="3"/>
      <c r="D39" s="3"/>
      <c r="E39" s="3"/>
      <c r="F39" s="3"/>
      <c r="G39" s="3"/>
      <c r="H39" s="3"/>
      <c r="I39" s="3"/>
      <c r="J39" s="3"/>
      <c r="K39" s="3"/>
      <c r="L39" s="3"/>
      <c r="M39" s="3"/>
      <c r="N39" s="14"/>
    </row>
    <row r="40" spans="2:14" x14ac:dyDescent="0.25">
      <c r="B40" s="3"/>
      <c r="C40" s="3"/>
      <c r="D40" s="3"/>
      <c r="E40" s="3"/>
      <c r="F40" s="3"/>
      <c r="G40" s="3"/>
      <c r="H40" s="3"/>
      <c r="I40" s="3"/>
      <c r="J40" s="3"/>
      <c r="K40" s="3"/>
      <c r="L40" s="3"/>
      <c r="M40" s="3"/>
      <c r="N4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6"/>
  <sheetViews>
    <sheetView topLeftCell="A1289" workbookViewId="0">
      <selection activeCell="D1336" sqref="D1336"/>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7" t="s">
        <v>1296</v>
      </c>
      <c r="B1" s="6" t="s">
        <v>1272</v>
      </c>
      <c r="C1" s="6" t="s">
        <v>1298</v>
      </c>
      <c r="D1" s="6" t="s">
        <v>1299</v>
      </c>
      <c r="E1" s="6" t="s">
        <v>1300</v>
      </c>
      <c r="F1" s="6" t="s">
        <v>1301</v>
      </c>
      <c r="G1" s="6" t="s">
        <v>1302</v>
      </c>
    </row>
    <row r="2" spans="1:7" x14ac:dyDescent="0.25">
      <c r="A2" s="7">
        <v>36532</v>
      </c>
      <c r="B2" s="6">
        <v>3093.7</v>
      </c>
      <c r="C2" s="6">
        <v>3093.7</v>
      </c>
      <c r="D2" s="6">
        <v>2999.3</v>
      </c>
      <c r="E2" s="6">
        <v>3023.4</v>
      </c>
      <c r="F2" s="8">
        <v>711200000</v>
      </c>
      <c r="G2" s="8">
        <v>4204600000</v>
      </c>
    </row>
    <row r="3" spans="1:7" x14ac:dyDescent="0.25">
      <c r="A3" s="7">
        <v>36539</v>
      </c>
      <c r="B3" s="6">
        <v>3084</v>
      </c>
      <c r="C3" s="6">
        <v>3160.8</v>
      </c>
      <c r="D3" s="6">
        <v>3078.9</v>
      </c>
      <c r="E3" s="6">
        <v>3115.4</v>
      </c>
      <c r="F3" s="8">
        <v>1223300000</v>
      </c>
      <c r="G3" s="8">
        <v>7383500000</v>
      </c>
    </row>
    <row r="4" spans="1:7" x14ac:dyDescent="0.25">
      <c r="A4" s="7">
        <v>36546</v>
      </c>
      <c r="B4" s="6">
        <v>3121.5</v>
      </c>
      <c r="C4" s="6">
        <v>3128</v>
      </c>
      <c r="D4" s="6">
        <v>3073.4</v>
      </c>
      <c r="E4" s="6">
        <v>3073.4</v>
      </c>
      <c r="F4" s="8">
        <v>1453200000</v>
      </c>
      <c r="G4" s="8">
        <v>7874400000</v>
      </c>
    </row>
    <row r="5" spans="1:7" x14ac:dyDescent="0.25">
      <c r="A5" s="7">
        <v>36553</v>
      </c>
      <c r="B5" s="6">
        <v>3069.7</v>
      </c>
      <c r="C5" s="6">
        <v>3069.7</v>
      </c>
      <c r="D5" s="6">
        <v>3048.7</v>
      </c>
      <c r="E5" s="6">
        <v>3064.6</v>
      </c>
      <c r="F5" s="8">
        <v>963500000</v>
      </c>
      <c r="G5" s="8">
        <v>5801700000</v>
      </c>
    </row>
    <row r="6" spans="1:7" x14ac:dyDescent="0.25">
      <c r="A6" s="7">
        <v>36560</v>
      </c>
      <c r="B6" s="6">
        <v>3080.2</v>
      </c>
      <c r="C6" s="6">
        <v>3142.4</v>
      </c>
      <c r="D6" s="6">
        <v>3072.3</v>
      </c>
      <c r="E6" s="6">
        <v>3118.7</v>
      </c>
      <c r="F6" s="8">
        <v>1075900000</v>
      </c>
      <c r="G6" s="8">
        <v>6991300000</v>
      </c>
    </row>
    <row r="7" spans="1:7" x14ac:dyDescent="0.25">
      <c r="A7" s="7">
        <v>36567</v>
      </c>
      <c r="B7" s="6">
        <v>3136.9</v>
      </c>
      <c r="C7" s="6">
        <v>3192.3</v>
      </c>
      <c r="D7" s="6">
        <v>3134.6</v>
      </c>
      <c r="E7" s="6">
        <v>3167.3</v>
      </c>
      <c r="F7" s="8">
        <v>1358400000</v>
      </c>
      <c r="G7" s="8">
        <v>8087000000</v>
      </c>
    </row>
    <row r="8" spans="1:7" x14ac:dyDescent="0.25">
      <c r="A8" s="7">
        <v>36574</v>
      </c>
      <c r="B8" s="6">
        <v>3122.2</v>
      </c>
      <c r="C8" s="6">
        <v>3152.3</v>
      </c>
      <c r="D8" s="6">
        <v>3114.9</v>
      </c>
      <c r="E8" s="6">
        <v>3114.9</v>
      </c>
      <c r="F8" s="8">
        <v>1330600000</v>
      </c>
      <c r="G8" s="8">
        <v>7859800000</v>
      </c>
    </row>
    <row r="9" spans="1:7" x14ac:dyDescent="0.25">
      <c r="A9" s="7">
        <v>36581</v>
      </c>
      <c r="B9" s="6">
        <v>3114.9</v>
      </c>
      <c r="C9" s="6">
        <v>3114.9</v>
      </c>
      <c r="D9" s="6">
        <v>3097</v>
      </c>
      <c r="E9" s="6">
        <v>3111.2</v>
      </c>
      <c r="F9" s="8">
        <v>1358800000</v>
      </c>
      <c r="G9" s="8">
        <v>7872300000</v>
      </c>
    </row>
    <row r="10" spans="1:7" x14ac:dyDescent="0.25">
      <c r="A10" s="7">
        <v>36588</v>
      </c>
      <c r="B10" s="6">
        <v>3106.7</v>
      </c>
      <c r="C10" s="6">
        <v>3232.6</v>
      </c>
      <c r="D10" s="6">
        <v>3106.7</v>
      </c>
      <c r="E10" s="6">
        <v>3232.6</v>
      </c>
      <c r="F10" s="8">
        <v>1134200000</v>
      </c>
      <c r="G10" s="8">
        <v>6853200000</v>
      </c>
    </row>
    <row r="11" spans="1:7" x14ac:dyDescent="0.25">
      <c r="A11" s="7">
        <v>36595</v>
      </c>
      <c r="B11" s="6">
        <v>3214</v>
      </c>
      <c r="C11" s="6">
        <v>3232.5</v>
      </c>
      <c r="D11" s="6">
        <v>3188</v>
      </c>
      <c r="E11" s="6">
        <v>3189.3</v>
      </c>
      <c r="F11" s="8">
        <v>1170400000</v>
      </c>
      <c r="G11" s="8">
        <v>7782600000</v>
      </c>
    </row>
    <row r="12" spans="1:7" x14ac:dyDescent="0.25">
      <c r="A12" s="7">
        <v>36602</v>
      </c>
      <c r="B12" s="6">
        <v>3185.9</v>
      </c>
      <c r="C12" s="6">
        <v>3200.4</v>
      </c>
      <c r="D12" s="6">
        <v>3159.7</v>
      </c>
      <c r="E12" s="6">
        <v>3200.4</v>
      </c>
      <c r="F12" s="8">
        <v>1171400000</v>
      </c>
      <c r="G12" s="8">
        <v>6746500000</v>
      </c>
    </row>
    <row r="13" spans="1:7" x14ac:dyDescent="0.25">
      <c r="A13" s="7">
        <v>36609</v>
      </c>
      <c r="B13" s="6">
        <v>3237.7</v>
      </c>
      <c r="C13" s="6">
        <v>3276.4</v>
      </c>
      <c r="D13" s="6">
        <v>3237.7</v>
      </c>
      <c r="E13" s="6">
        <v>3251.5</v>
      </c>
      <c r="F13" s="8">
        <v>969600000</v>
      </c>
      <c r="G13" s="8">
        <v>5755800000</v>
      </c>
    </row>
    <row r="14" spans="1:7" x14ac:dyDescent="0.25">
      <c r="A14" s="7">
        <v>36616</v>
      </c>
      <c r="B14" s="6">
        <v>3227.9</v>
      </c>
      <c r="C14" s="6">
        <v>3230.2</v>
      </c>
      <c r="D14" s="6">
        <v>3133.3</v>
      </c>
      <c r="E14" s="6">
        <v>3133.3</v>
      </c>
      <c r="F14" s="8">
        <v>1210600000</v>
      </c>
      <c r="G14" s="8">
        <v>7463900000</v>
      </c>
    </row>
    <row r="15" spans="1:7" x14ac:dyDescent="0.25">
      <c r="A15" s="7">
        <v>36623</v>
      </c>
      <c r="B15" s="6">
        <v>3133.3</v>
      </c>
      <c r="C15" s="6">
        <v>3201.9</v>
      </c>
      <c r="D15" s="6">
        <v>3133.1</v>
      </c>
      <c r="E15" s="6">
        <v>3182</v>
      </c>
      <c r="F15" s="8">
        <v>1067100000</v>
      </c>
      <c r="G15" s="8">
        <v>6511200000</v>
      </c>
    </row>
    <row r="16" spans="1:7" x14ac:dyDescent="0.25">
      <c r="A16" s="7">
        <v>36630</v>
      </c>
      <c r="B16" s="6">
        <v>3182</v>
      </c>
      <c r="C16" s="6">
        <v>3201.8</v>
      </c>
      <c r="D16" s="6">
        <v>3073.7</v>
      </c>
      <c r="E16" s="6">
        <v>3111.8</v>
      </c>
      <c r="F16" s="8">
        <v>977400000</v>
      </c>
      <c r="G16" s="8">
        <v>6452200000</v>
      </c>
    </row>
    <row r="17" spans="1:7" x14ac:dyDescent="0.25">
      <c r="A17" s="7">
        <v>36636</v>
      </c>
      <c r="B17" s="6">
        <v>3111.9</v>
      </c>
      <c r="C17" s="6">
        <v>3111.9</v>
      </c>
      <c r="D17" s="6">
        <v>2901.8</v>
      </c>
      <c r="E17" s="6">
        <v>3069.7</v>
      </c>
      <c r="F17" s="8">
        <v>930799900</v>
      </c>
      <c r="G17" s="8">
        <v>5178800000</v>
      </c>
    </row>
    <row r="18" spans="1:7" x14ac:dyDescent="0.25">
      <c r="A18" s="7">
        <v>36644</v>
      </c>
      <c r="B18" s="6">
        <v>3069.7</v>
      </c>
      <c r="C18" s="6">
        <v>3127.3</v>
      </c>
      <c r="D18" s="6">
        <v>3069.7</v>
      </c>
      <c r="E18" s="6">
        <v>3115.8</v>
      </c>
      <c r="F18" s="8">
        <v>812200000</v>
      </c>
      <c r="G18" s="8">
        <v>4903900000</v>
      </c>
    </row>
    <row r="19" spans="1:7" x14ac:dyDescent="0.25">
      <c r="A19" s="7">
        <v>36651</v>
      </c>
      <c r="B19" s="6">
        <v>3115.8</v>
      </c>
      <c r="C19" s="6">
        <v>3132</v>
      </c>
      <c r="D19" s="6">
        <v>3049.6</v>
      </c>
      <c r="E19" s="6">
        <v>3107.2</v>
      </c>
      <c r="F19" s="8">
        <v>991399900</v>
      </c>
      <c r="G19" s="8">
        <v>5128800000</v>
      </c>
    </row>
    <row r="20" spans="1:7" x14ac:dyDescent="0.25">
      <c r="A20" s="7">
        <v>36658</v>
      </c>
      <c r="B20" s="6">
        <v>3107.2</v>
      </c>
      <c r="C20" s="6">
        <v>3124</v>
      </c>
      <c r="D20" s="6">
        <v>2988.3</v>
      </c>
      <c r="E20" s="6">
        <v>3034.8</v>
      </c>
      <c r="F20" s="8">
        <v>1106100000</v>
      </c>
      <c r="G20" s="8">
        <v>5660600000</v>
      </c>
    </row>
    <row r="21" spans="1:7" x14ac:dyDescent="0.25">
      <c r="A21" s="7">
        <v>36665</v>
      </c>
      <c r="B21" s="6">
        <v>3034.8</v>
      </c>
      <c r="C21" s="6">
        <v>3091.9</v>
      </c>
      <c r="D21" s="6">
        <v>3033.2</v>
      </c>
      <c r="E21" s="6">
        <v>3039.1</v>
      </c>
      <c r="F21" s="8">
        <v>1137500000</v>
      </c>
      <c r="G21" s="8">
        <v>6054600000</v>
      </c>
    </row>
    <row r="22" spans="1:7" x14ac:dyDescent="0.25">
      <c r="A22" s="7">
        <v>36672</v>
      </c>
      <c r="B22" s="6">
        <v>3039.1</v>
      </c>
      <c r="C22" s="6">
        <v>3039.1</v>
      </c>
      <c r="D22" s="6">
        <v>2985.5</v>
      </c>
      <c r="E22" s="6">
        <v>3000.7</v>
      </c>
      <c r="F22" s="8">
        <v>1184000000</v>
      </c>
      <c r="G22" s="8">
        <v>6901000000</v>
      </c>
    </row>
    <row r="23" spans="1:7" x14ac:dyDescent="0.25">
      <c r="A23" s="7">
        <v>36679</v>
      </c>
      <c r="B23" s="6">
        <v>3000.7</v>
      </c>
      <c r="C23" s="6">
        <v>3143.9</v>
      </c>
      <c r="D23" s="6">
        <v>2999.2</v>
      </c>
      <c r="E23" s="6">
        <v>3140.9</v>
      </c>
      <c r="F23" s="8">
        <v>1141600000</v>
      </c>
      <c r="G23" s="8">
        <v>7040400000</v>
      </c>
    </row>
    <row r="24" spans="1:7" x14ac:dyDescent="0.25">
      <c r="A24" s="7">
        <v>36686</v>
      </c>
      <c r="B24" s="6">
        <v>3140.9</v>
      </c>
      <c r="C24" s="6">
        <v>3170</v>
      </c>
      <c r="D24" s="6">
        <v>3109.6</v>
      </c>
      <c r="E24" s="6">
        <v>3146.5</v>
      </c>
      <c r="F24" s="8">
        <v>1119900000</v>
      </c>
      <c r="G24" s="8">
        <v>6052800000</v>
      </c>
    </row>
    <row r="25" spans="1:7" x14ac:dyDescent="0.25">
      <c r="A25" s="7">
        <v>36693</v>
      </c>
      <c r="B25" s="6">
        <v>3146.5</v>
      </c>
      <c r="C25" s="6">
        <v>3147.8</v>
      </c>
      <c r="D25" s="6">
        <v>3103.7</v>
      </c>
      <c r="E25" s="6">
        <v>3140.8</v>
      </c>
      <c r="F25" s="8">
        <v>963100000</v>
      </c>
      <c r="G25" s="8">
        <v>5366500000</v>
      </c>
    </row>
    <row r="26" spans="1:7" x14ac:dyDescent="0.25">
      <c r="A26" s="7">
        <v>36700</v>
      </c>
      <c r="B26" s="6">
        <v>3140.8</v>
      </c>
      <c r="C26" s="6">
        <v>3186.2</v>
      </c>
      <c r="D26" s="6">
        <v>3119.8</v>
      </c>
      <c r="E26" s="6">
        <v>3177.1</v>
      </c>
      <c r="F26" s="8">
        <v>1433500000</v>
      </c>
      <c r="G26" s="8">
        <v>7512100000</v>
      </c>
    </row>
    <row r="27" spans="1:7" x14ac:dyDescent="0.25">
      <c r="A27" s="7">
        <v>36707</v>
      </c>
      <c r="B27" s="6">
        <v>3177.1</v>
      </c>
      <c r="C27" s="6">
        <v>3313.9</v>
      </c>
      <c r="D27" s="6">
        <v>3162.8</v>
      </c>
      <c r="E27" s="6">
        <v>3311.2</v>
      </c>
      <c r="F27" s="8">
        <v>1921100000</v>
      </c>
      <c r="G27" s="8">
        <v>11101800000</v>
      </c>
    </row>
    <row r="28" spans="1:7" x14ac:dyDescent="0.25">
      <c r="A28" s="7">
        <v>36714</v>
      </c>
      <c r="B28" s="6">
        <v>3311.2</v>
      </c>
      <c r="C28" s="6">
        <v>3327.2</v>
      </c>
      <c r="D28" s="6">
        <v>3279.8</v>
      </c>
      <c r="E28" s="6">
        <v>3305.3</v>
      </c>
      <c r="F28" s="8">
        <v>1377700000</v>
      </c>
      <c r="G28" s="8">
        <v>7109200000</v>
      </c>
    </row>
    <row r="29" spans="1:7" x14ac:dyDescent="0.25">
      <c r="A29" s="7">
        <v>36721</v>
      </c>
      <c r="B29" s="6">
        <v>3305.3</v>
      </c>
      <c r="C29" s="6">
        <v>3337.4</v>
      </c>
      <c r="D29" s="6">
        <v>3295.6</v>
      </c>
      <c r="E29" s="6">
        <v>3303.5</v>
      </c>
      <c r="F29" s="8">
        <v>1233500000</v>
      </c>
      <c r="G29" s="8">
        <v>6661800000</v>
      </c>
    </row>
    <row r="30" spans="1:7" x14ac:dyDescent="0.25">
      <c r="A30" s="7">
        <v>36728</v>
      </c>
      <c r="B30" s="6">
        <v>3303.5</v>
      </c>
      <c r="C30" s="6">
        <v>3335.7</v>
      </c>
      <c r="D30" s="6">
        <v>3283</v>
      </c>
      <c r="E30" s="6">
        <v>3332.3</v>
      </c>
      <c r="F30" s="8">
        <v>1069700000</v>
      </c>
      <c r="G30" s="8">
        <v>5654700000</v>
      </c>
    </row>
    <row r="31" spans="1:7" x14ac:dyDescent="0.25">
      <c r="A31" s="7">
        <v>36735</v>
      </c>
      <c r="B31" s="6">
        <v>3332.3</v>
      </c>
      <c r="C31" s="6">
        <v>3332.3</v>
      </c>
      <c r="D31" s="6">
        <v>3248.6</v>
      </c>
      <c r="E31" s="6">
        <v>3255</v>
      </c>
      <c r="F31" s="8">
        <v>1091700000</v>
      </c>
      <c r="G31" s="8">
        <v>6357700000</v>
      </c>
    </row>
    <row r="32" spans="1:7" x14ac:dyDescent="0.25">
      <c r="A32" s="7">
        <v>36742</v>
      </c>
      <c r="B32" s="6">
        <v>3255</v>
      </c>
      <c r="C32" s="6">
        <v>3284.2</v>
      </c>
      <c r="D32" s="6">
        <v>3226.9</v>
      </c>
      <c r="E32" s="6">
        <v>3277.2</v>
      </c>
      <c r="F32" s="8">
        <v>1280000000</v>
      </c>
      <c r="G32" s="8">
        <v>6128600000</v>
      </c>
    </row>
    <row r="33" spans="1:7" x14ac:dyDescent="0.25">
      <c r="A33" s="7">
        <v>36749</v>
      </c>
      <c r="B33" s="6">
        <v>3277.2</v>
      </c>
      <c r="C33" s="6">
        <v>3317.9</v>
      </c>
      <c r="D33" s="6">
        <v>3276.9</v>
      </c>
      <c r="E33" s="6">
        <v>3309.1</v>
      </c>
      <c r="F33" s="8">
        <v>1068400000</v>
      </c>
      <c r="G33" s="8">
        <v>5899300000</v>
      </c>
    </row>
    <row r="34" spans="1:7" x14ac:dyDescent="0.25">
      <c r="A34" s="7">
        <v>36756</v>
      </c>
      <c r="B34" s="6">
        <v>3309.1</v>
      </c>
      <c r="C34" s="6">
        <v>3350.3</v>
      </c>
      <c r="D34" s="6">
        <v>3308</v>
      </c>
      <c r="E34" s="6">
        <v>3344.2</v>
      </c>
      <c r="F34" s="8">
        <v>1086700000</v>
      </c>
      <c r="G34" s="8">
        <v>5554400000</v>
      </c>
    </row>
    <row r="35" spans="1:7" x14ac:dyDescent="0.25">
      <c r="A35" s="7">
        <v>36763</v>
      </c>
      <c r="B35" s="6">
        <v>3344.2</v>
      </c>
      <c r="C35" s="6">
        <v>3386.9</v>
      </c>
      <c r="D35" s="6">
        <v>3333.5</v>
      </c>
      <c r="E35" s="6">
        <v>3367.4</v>
      </c>
      <c r="F35" s="8">
        <v>1347200000</v>
      </c>
      <c r="G35" s="8">
        <v>7858000000</v>
      </c>
    </row>
    <row r="36" spans="1:7" x14ac:dyDescent="0.25">
      <c r="A36" s="7">
        <v>36770</v>
      </c>
      <c r="B36" s="6">
        <v>3367.4</v>
      </c>
      <c r="C36" s="6">
        <v>3383.3</v>
      </c>
      <c r="D36" s="6">
        <v>3297.5</v>
      </c>
      <c r="E36" s="6">
        <v>3331.7</v>
      </c>
      <c r="F36" s="8">
        <v>1205700000</v>
      </c>
      <c r="G36" s="8">
        <v>6278900000</v>
      </c>
    </row>
    <row r="37" spans="1:7" x14ac:dyDescent="0.25">
      <c r="A37" s="7">
        <v>36777</v>
      </c>
      <c r="B37" s="6">
        <v>3331.7</v>
      </c>
      <c r="C37" s="6">
        <v>3356</v>
      </c>
      <c r="D37" s="6">
        <v>3295.4</v>
      </c>
      <c r="E37" s="6">
        <v>3320.3</v>
      </c>
      <c r="F37" s="8">
        <v>1129700000</v>
      </c>
      <c r="G37" s="8">
        <v>5748300000</v>
      </c>
    </row>
    <row r="38" spans="1:7" x14ac:dyDescent="0.25">
      <c r="A38" s="7">
        <v>36784</v>
      </c>
      <c r="B38" s="6">
        <v>3320.3</v>
      </c>
      <c r="C38" s="6">
        <v>3356.5</v>
      </c>
      <c r="D38" s="6">
        <v>3296.3</v>
      </c>
      <c r="E38" s="6">
        <v>3329.8</v>
      </c>
      <c r="F38" s="8">
        <v>1171800000</v>
      </c>
      <c r="G38" s="8">
        <v>6968301000</v>
      </c>
    </row>
    <row r="39" spans="1:7" x14ac:dyDescent="0.25">
      <c r="A39" s="7">
        <v>36791</v>
      </c>
      <c r="B39" s="6">
        <v>3329.8</v>
      </c>
      <c r="C39" s="6">
        <v>3329.8</v>
      </c>
      <c r="D39" s="6">
        <v>3176.1</v>
      </c>
      <c r="E39" s="6">
        <v>3188.6</v>
      </c>
      <c r="F39" s="8">
        <v>959300000</v>
      </c>
      <c r="G39" s="8">
        <v>5416000000</v>
      </c>
    </row>
    <row r="40" spans="1:7" x14ac:dyDescent="0.25">
      <c r="A40" s="7">
        <v>36798</v>
      </c>
      <c r="B40" s="6">
        <v>3188.6</v>
      </c>
      <c r="C40" s="6">
        <v>3302.5</v>
      </c>
      <c r="D40" s="6">
        <v>3186.7</v>
      </c>
      <c r="E40" s="6">
        <v>3298.8</v>
      </c>
      <c r="F40" s="8">
        <v>981000000</v>
      </c>
      <c r="G40" s="8">
        <v>6537700000</v>
      </c>
    </row>
    <row r="41" spans="1:7" x14ac:dyDescent="0.25">
      <c r="A41" s="7">
        <v>36805</v>
      </c>
      <c r="B41" s="6">
        <v>3298.8</v>
      </c>
      <c r="C41" s="6">
        <v>3330.7</v>
      </c>
      <c r="D41" s="6">
        <v>3277.9</v>
      </c>
      <c r="E41" s="6">
        <v>3293.5</v>
      </c>
      <c r="F41" s="8">
        <v>994000000</v>
      </c>
      <c r="G41" s="8">
        <v>6123000000</v>
      </c>
    </row>
    <row r="42" spans="1:7" x14ac:dyDescent="0.25">
      <c r="A42" s="7">
        <v>36812</v>
      </c>
      <c r="B42" s="6">
        <v>3293.5</v>
      </c>
      <c r="C42" s="6">
        <v>3293.5</v>
      </c>
      <c r="D42" s="6">
        <v>3186</v>
      </c>
      <c r="E42" s="6">
        <v>3201.9</v>
      </c>
      <c r="F42" s="8">
        <v>1331900000</v>
      </c>
      <c r="G42" s="8">
        <v>6580900000</v>
      </c>
    </row>
    <row r="43" spans="1:7" x14ac:dyDescent="0.25">
      <c r="A43" s="7">
        <v>36819</v>
      </c>
      <c r="B43" s="6">
        <v>3201.9</v>
      </c>
      <c r="C43" s="6">
        <v>3271.2</v>
      </c>
      <c r="D43" s="6">
        <v>3180.3</v>
      </c>
      <c r="E43" s="6">
        <v>3235.8</v>
      </c>
      <c r="F43" s="8">
        <v>1311100000</v>
      </c>
      <c r="G43" s="8">
        <v>7150000000</v>
      </c>
    </row>
    <row r="44" spans="1:7" x14ac:dyDescent="0.25">
      <c r="A44" s="7">
        <v>36826</v>
      </c>
      <c r="B44" s="6">
        <v>3235.8</v>
      </c>
      <c r="C44" s="6">
        <v>3272.8</v>
      </c>
      <c r="D44" s="6">
        <v>3231.2</v>
      </c>
      <c r="E44" s="6">
        <v>3244.7</v>
      </c>
      <c r="F44" s="8">
        <v>1392300000</v>
      </c>
      <c r="G44" s="8">
        <v>7283700000</v>
      </c>
    </row>
    <row r="45" spans="1:7" x14ac:dyDescent="0.25">
      <c r="A45" s="7">
        <v>36833</v>
      </c>
      <c r="B45" s="6">
        <v>3244.7</v>
      </c>
      <c r="C45" s="6">
        <v>3327.6</v>
      </c>
      <c r="D45" s="6">
        <v>3244.6</v>
      </c>
      <c r="E45" s="6">
        <v>3321.9</v>
      </c>
      <c r="F45" s="8">
        <v>1178100000</v>
      </c>
      <c r="G45" s="8">
        <v>6120300000</v>
      </c>
    </row>
    <row r="46" spans="1:7" x14ac:dyDescent="0.25">
      <c r="A46" s="7">
        <v>36840</v>
      </c>
      <c r="B46" s="6">
        <v>3321.9</v>
      </c>
      <c r="C46" s="6">
        <v>3381.5</v>
      </c>
      <c r="D46" s="6">
        <v>3291.7</v>
      </c>
      <c r="E46" s="6">
        <v>3300.9</v>
      </c>
      <c r="F46" s="8">
        <v>1233100000</v>
      </c>
      <c r="G46" s="8">
        <v>7106100000</v>
      </c>
    </row>
    <row r="47" spans="1:7" x14ac:dyDescent="0.25">
      <c r="A47" s="7">
        <v>36847</v>
      </c>
      <c r="B47" s="6">
        <v>3300.9</v>
      </c>
      <c r="C47" s="6">
        <v>3332.2</v>
      </c>
      <c r="D47" s="6">
        <v>3273.4</v>
      </c>
      <c r="E47" s="6">
        <v>3329.1</v>
      </c>
      <c r="F47" s="8">
        <v>1243800000</v>
      </c>
      <c r="G47" s="8">
        <v>7162100000</v>
      </c>
    </row>
    <row r="48" spans="1:7" x14ac:dyDescent="0.25">
      <c r="A48" s="7">
        <v>36854</v>
      </c>
      <c r="B48" s="6">
        <v>3329.1</v>
      </c>
      <c r="C48" s="6">
        <v>3331.5</v>
      </c>
      <c r="D48" s="6">
        <v>3265.2</v>
      </c>
      <c r="E48" s="6">
        <v>3280.6</v>
      </c>
      <c r="F48" s="8">
        <v>1140000000</v>
      </c>
      <c r="G48" s="8">
        <v>7135400000</v>
      </c>
    </row>
    <row r="49" spans="1:7" x14ac:dyDescent="0.25">
      <c r="A49" s="7">
        <v>36861</v>
      </c>
      <c r="B49" s="6">
        <v>3280.6</v>
      </c>
      <c r="C49" s="6">
        <v>3311.9</v>
      </c>
      <c r="D49" s="6">
        <v>3254</v>
      </c>
      <c r="E49" s="6">
        <v>3284.1</v>
      </c>
      <c r="F49" s="8">
        <v>1154500000</v>
      </c>
      <c r="G49" s="8">
        <v>6772600000</v>
      </c>
    </row>
    <row r="50" spans="1:7" x14ac:dyDescent="0.25">
      <c r="A50" s="7">
        <v>36868</v>
      </c>
      <c r="B50" s="6">
        <v>3284.1</v>
      </c>
      <c r="C50" s="6">
        <v>3349</v>
      </c>
      <c r="D50" s="6">
        <v>3278</v>
      </c>
      <c r="E50" s="6">
        <v>3287.6</v>
      </c>
      <c r="F50" s="8">
        <v>1290600000</v>
      </c>
      <c r="G50" s="8">
        <v>6655100000</v>
      </c>
    </row>
    <row r="51" spans="1:7" x14ac:dyDescent="0.25">
      <c r="A51" s="7">
        <v>36875</v>
      </c>
      <c r="B51" s="6">
        <v>3287.6</v>
      </c>
      <c r="C51" s="6">
        <v>3321.1</v>
      </c>
      <c r="D51" s="6">
        <v>3222.4</v>
      </c>
      <c r="E51" s="6">
        <v>3229.2</v>
      </c>
      <c r="F51" s="8">
        <v>1281500000</v>
      </c>
      <c r="G51" s="8">
        <v>7243000000</v>
      </c>
    </row>
    <row r="52" spans="1:7" x14ac:dyDescent="0.25">
      <c r="A52" s="7">
        <v>36882</v>
      </c>
      <c r="B52" s="6">
        <v>3229.2</v>
      </c>
      <c r="C52" s="6">
        <v>3260</v>
      </c>
      <c r="D52" s="6">
        <v>3171.7</v>
      </c>
      <c r="E52" s="6">
        <v>3196</v>
      </c>
      <c r="F52" s="8">
        <v>1185000000</v>
      </c>
      <c r="G52" s="8">
        <v>7097500000</v>
      </c>
    </row>
    <row r="53" spans="1:7" x14ac:dyDescent="0.25">
      <c r="A53" s="7">
        <v>36889</v>
      </c>
      <c r="B53" s="6">
        <v>3196</v>
      </c>
      <c r="C53" s="6">
        <v>3279.8</v>
      </c>
      <c r="D53" s="6">
        <v>3194.9</v>
      </c>
      <c r="E53" s="6">
        <v>3206.2</v>
      </c>
      <c r="F53" s="8">
        <v>481000000</v>
      </c>
      <c r="G53" s="8">
        <v>2611500000</v>
      </c>
    </row>
    <row r="54" spans="1:7" x14ac:dyDescent="0.25">
      <c r="A54" s="7">
        <v>36896</v>
      </c>
      <c r="B54" s="6">
        <v>3206.2</v>
      </c>
      <c r="C54" s="6">
        <v>3308.5</v>
      </c>
      <c r="D54" s="6">
        <v>3206.2</v>
      </c>
      <c r="E54" s="6">
        <v>3300.4</v>
      </c>
      <c r="F54" s="8">
        <v>709800000</v>
      </c>
      <c r="G54" s="8">
        <v>4217600000</v>
      </c>
    </row>
    <row r="55" spans="1:7" x14ac:dyDescent="0.25">
      <c r="A55" s="7">
        <v>36903</v>
      </c>
      <c r="B55" s="6">
        <v>3300.4</v>
      </c>
      <c r="C55" s="6">
        <v>3300.4</v>
      </c>
      <c r="D55" s="6">
        <v>3222.6</v>
      </c>
      <c r="E55" s="6">
        <v>3243.2</v>
      </c>
      <c r="F55" s="8">
        <v>1262900000</v>
      </c>
      <c r="G55" s="8">
        <v>6631999000</v>
      </c>
    </row>
    <row r="56" spans="1:7" x14ac:dyDescent="0.25">
      <c r="A56" s="7">
        <v>36910</v>
      </c>
      <c r="B56" s="6">
        <v>3243.2</v>
      </c>
      <c r="C56" s="6">
        <v>3319.2</v>
      </c>
      <c r="D56" s="6">
        <v>3232.3</v>
      </c>
      <c r="E56" s="6">
        <v>3311.6</v>
      </c>
      <c r="F56" s="8">
        <v>1376700000</v>
      </c>
      <c r="G56" s="8">
        <v>7929100000</v>
      </c>
    </row>
    <row r="57" spans="1:7" x14ac:dyDescent="0.25">
      <c r="A57" s="7">
        <v>36916</v>
      </c>
      <c r="B57" s="6">
        <v>3311.6</v>
      </c>
      <c r="C57" s="6">
        <v>3327.4</v>
      </c>
      <c r="D57" s="6">
        <v>3284.6</v>
      </c>
      <c r="E57" s="6">
        <v>3321.4</v>
      </c>
      <c r="F57" s="8">
        <v>997500000</v>
      </c>
      <c r="G57" s="8">
        <v>5341600000</v>
      </c>
    </row>
    <row r="58" spans="1:7" x14ac:dyDescent="0.25">
      <c r="A58" s="7">
        <v>36924</v>
      </c>
      <c r="B58" s="6">
        <v>3321.4</v>
      </c>
      <c r="C58" s="6">
        <v>3364.6</v>
      </c>
      <c r="D58" s="6">
        <v>3300.5</v>
      </c>
      <c r="E58" s="6">
        <v>3355.3</v>
      </c>
      <c r="F58" s="8">
        <v>1376200000</v>
      </c>
      <c r="G58" s="8">
        <v>8415900000</v>
      </c>
    </row>
    <row r="59" spans="1:7" x14ac:dyDescent="0.25">
      <c r="A59" s="7">
        <v>36931</v>
      </c>
      <c r="B59" s="6">
        <v>3355.3</v>
      </c>
      <c r="C59" s="6">
        <v>3355.3</v>
      </c>
      <c r="D59" s="6">
        <v>3300.2</v>
      </c>
      <c r="E59" s="6">
        <v>3312.4</v>
      </c>
      <c r="F59" s="8">
        <v>1250200000</v>
      </c>
      <c r="G59" s="8">
        <v>7221000000</v>
      </c>
    </row>
    <row r="60" spans="1:7" x14ac:dyDescent="0.25">
      <c r="A60" s="7">
        <v>36938</v>
      </c>
      <c r="B60" s="6">
        <v>3312.4</v>
      </c>
      <c r="C60" s="6">
        <v>3354.5</v>
      </c>
      <c r="D60" s="6">
        <v>3300.6</v>
      </c>
      <c r="E60" s="6">
        <v>3320.1</v>
      </c>
      <c r="F60" s="8">
        <v>1283600000</v>
      </c>
      <c r="G60" s="8">
        <v>7971200000</v>
      </c>
    </row>
    <row r="61" spans="1:7" x14ac:dyDescent="0.25">
      <c r="A61" s="7">
        <v>36945</v>
      </c>
      <c r="B61" s="6">
        <v>3320.1</v>
      </c>
      <c r="C61" s="6">
        <v>3320.1</v>
      </c>
      <c r="D61" s="6">
        <v>3278.2</v>
      </c>
      <c r="E61" s="6">
        <v>3292</v>
      </c>
      <c r="F61" s="8">
        <v>1318000000</v>
      </c>
      <c r="G61" s="8">
        <v>8216100000</v>
      </c>
    </row>
    <row r="62" spans="1:7" x14ac:dyDescent="0.25">
      <c r="A62" s="7">
        <v>36952</v>
      </c>
      <c r="B62" s="6">
        <v>3292</v>
      </c>
      <c r="C62" s="6">
        <v>3351.3</v>
      </c>
      <c r="D62" s="6">
        <v>3283.7</v>
      </c>
      <c r="E62" s="6">
        <v>3333.4</v>
      </c>
      <c r="F62" s="8">
        <v>1342400000</v>
      </c>
      <c r="G62" s="8">
        <v>8046700000</v>
      </c>
    </row>
    <row r="63" spans="1:7" x14ac:dyDescent="0.25">
      <c r="A63" s="7">
        <v>36959</v>
      </c>
      <c r="B63" s="6">
        <v>3333.4</v>
      </c>
      <c r="C63" s="6">
        <v>3370.9</v>
      </c>
      <c r="D63" s="6">
        <v>3321.9</v>
      </c>
      <c r="E63" s="6">
        <v>3331.3</v>
      </c>
      <c r="F63" s="8">
        <v>1483200000</v>
      </c>
      <c r="G63" s="8">
        <v>9239999000</v>
      </c>
    </row>
    <row r="64" spans="1:7" x14ac:dyDescent="0.25">
      <c r="A64" s="7">
        <v>36966</v>
      </c>
      <c r="B64" s="6">
        <v>3331.3</v>
      </c>
      <c r="C64" s="6">
        <v>3332</v>
      </c>
      <c r="D64" s="6">
        <v>3203.7</v>
      </c>
      <c r="E64" s="6">
        <v>3252.4</v>
      </c>
      <c r="F64" s="8">
        <v>1390900000</v>
      </c>
      <c r="G64" s="8">
        <v>8243201000</v>
      </c>
    </row>
    <row r="65" spans="1:7" x14ac:dyDescent="0.25">
      <c r="A65" s="7">
        <v>36973</v>
      </c>
      <c r="B65" s="6">
        <v>3252.4</v>
      </c>
      <c r="C65" s="6">
        <v>3252.4</v>
      </c>
      <c r="D65" s="6">
        <v>3138.2</v>
      </c>
      <c r="E65" s="6">
        <v>3145.3</v>
      </c>
      <c r="F65" s="8">
        <v>1356600000</v>
      </c>
      <c r="G65" s="8">
        <v>9514500000</v>
      </c>
    </row>
    <row r="66" spans="1:7" x14ac:dyDescent="0.25">
      <c r="A66" s="7">
        <v>36980</v>
      </c>
      <c r="B66" s="6">
        <v>3145.3</v>
      </c>
      <c r="C66" s="6">
        <v>3194.3</v>
      </c>
      <c r="D66" s="6">
        <v>3143.3</v>
      </c>
      <c r="E66" s="6">
        <v>3147.2</v>
      </c>
      <c r="F66" s="8">
        <v>1985200000</v>
      </c>
      <c r="G66" s="8">
        <v>11134000000</v>
      </c>
    </row>
    <row r="67" spans="1:7" x14ac:dyDescent="0.25">
      <c r="A67" s="7">
        <v>36987</v>
      </c>
      <c r="B67" s="6">
        <v>3147.2</v>
      </c>
      <c r="C67" s="6">
        <v>3266</v>
      </c>
      <c r="D67" s="6">
        <v>3147.2</v>
      </c>
      <c r="E67" s="6">
        <v>3233.2</v>
      </c>
      <c r="F67" s="8">
        <v>1722800000</v>
      </c>
      <c r="G67" s="8">
        <v>9424500000</v>
      </c>
    </row>
    <row r="68" spans="1:7" x14ac:dyDescent="0.25">
      <c r="A68" s="7">
        <v>36993</v>
      </c>
      <c r="B68" s="6">
        <v>3233.2</v>
      </c>
      <c r="C68" s="6">
        <v>3282.6</v>
      </c>
      <c r="D68" s="6">
        <v>3211.1</v>
      </c>
      <c r="E68" s="6">
        <v>3276.8</v>
      </c>
      <c r="F68" s="8">
        <v>1283100000</v>
      </c>
      <c r="G68" s="8">
        <v>6903699000</v>
      </c>
    </row>
    <row r="69" spans="1:7" x14ac:dyDescent="0.25">
      <c r="A69" s="7">
        <v>37001</v>
      </c>
      <c r="B69" s="6">
        <v>3276.8</v>
      </c>
      <c r="C69" s="6">
        <v>3333.9</v>
      </c>
      <c r="D69" s="6">
        <v>3257</v>
      </c>
      <c r="E69" s="6">
        <v>3303.5</v>
      </c>
      <c r="F69" s="8">
        <v>1337200000</v>
      </c>
      <c r="G69" s="8">
        <v>7673800000</v>
      </c>
    </row>
    <row r="70" spans="1:7" x14ac:dyDescent="0.25">
      <c r="A70" s="7">
        <v>37008</v>
      </c>
      <c r="B70" s="6">
        <v>3303.5</v>
      </c>
      <c r="C70" s="6">
        <v>3313.9</v>
      </c>
      <c r="D70" s="6">
        <v>3286.1</v>
      </c>
      <c r="E70" s="6">
        <v>3293.9</v>
      </c>
      <c r="F70" s="8">
        <v>1255100000</v>
      </c>
      <c r="G70" s="8">
        <v>9059600000</v>
      </c>
    </row>
    <row r="71" spans="1:7" x14ac:dyDescent="0.25">
      <c r="A71" s="7">
        <v>37015</v>
      </c>
      <c r="B71" s="6">
        <v>3293.9</v>
      </c>
      <c r="C71" s="6">
        <v>3357.5</v>
      </c>
      <c r="D71" s="6">
        <v>3293.9</v>
      </c>
      <c r="E71" s="6">
        <v>3340.5</v>
      </c>
      <c r="F71" s="8">
        <v>1644600000</v>
      </c>
      <c r="G71" s="8">
        <v>8988101000</v>
      </c>
    </row>
    <row r="72" spans="1:7" x14ac:dyDescent="0.25">
      <c r="A72" s="7">
        <v>37022</v>
      </c>
      <c r="B72" s="6">
        <v>3340.5</v>
      </c>
      <c r="C72" s="6">
        <v>3392.4</v>
      </c>
      <c r="D72" s="6">
        <v>3327.8</v>
      </c>
      <c r="E72" s="6">
        <v>3389</v>
      </c>
      <c r="F72" s="8">
        <v>1356600000</v>
      </c>
      <c r="G72" s="8">
        <v>8088900000</v>
      </c>
    </row>
    <row r="73" spans="1:7" x14ac:dyDescent="0.25">
      <c r="A73" s="7">
        <v>37029</v>
      </c>
      <c r="B73" s="6">
        <v>3389</v>
      </c>
      <c r="C73" s="6">
        <v>3424.5</v>
      </c>
      <c r="D73" s="6">
        <v>3358.2</v>
      </c>
      <c r="E73" s="6">
        <v>3404.1</v>
      </c>
      <c r="F73" s="8">
        <v>1579100000</v>
      </c>
      <c r="G73" s="8">
        <v>9281601000</v>
      </c>
    </row>
    <row r="74" spans="1:7" x14ac:dyDescent="0.25">
      <c r="A74" s="7">
        <v>37036</v>
      </c>
      <c r="B74" s="6">
        <v>3404.1</v>
      </c>
      <c r="C74" s="6">
        <v>3444.7</v>
      </c>
      <c r="D74" s="6">
        <v>3404.1</v>
      </c>
      <c r="E74" s="6">
        <v>3426.1</v>
      </c>
      <c r="F74" s="8">
        <v>1851600000</v>
      </c>
      <c r="G74" s="8">
        <v>11479900000</v>
      </c>
    </row>
    <row r="75" spans="1:7" x14ac:dyDescent="0.25">
      <c r="A75" s="7">
        <v>37043</v>
      </c>
      <c r="B75" s="6">
        <v>3426.1</v>
      </c>
      <c r="C75" s="6">
        <v>3429</v>
      </c>
      <c r="D75" s="6">
        <v>3375.1</v>
      </c>
      <c r="E75" s="6">
        <v>3391.5</v>
      </c>
      <c r="F75" s="8">
        <v>1405100000</v>
      </c>
      <c r="G75" s="8">
        <v>7626000000</v>
      </c>
    </row>
    <row r="76" spans="1:7" x14ac:dyDescent="0.25">
      <c r="A76" s="7">
        <v>37050</v>
      </c>
      <c r="B76" s="6">
        <v>3391.5</v>
      </c>
      <c r="C76" s="6">
        <v>3442.1</v>
      </c>
      <c r="D76" s="6">
        <v>3388.2</v>
      </c>
      <c r="E76" s="6">
        <v>3434.4</v>
      </c>
      <c r="F76" s="8">
        <v>1701500000</v>
      </c>
      <c r="G76" s="8">
        <v>10013100000</v>
      </c>
    </row>
    <row r="77" spans="1:7" x14ac:dyDescent="0.25">
      <c r="A77" s="7">
        <v>37057</v>
      </c>
      <c r="B77" s="6">
        <v>3434.4</v>
      </c>
      <c r="C77" s="6">
        <v>3434.6</v>
      </c>
      <c r="D77" s="6">
        <v>3378.9</v>
      </c>
      <c r="E77" s="6">
        <v>3415.7</v>
      </c>
      <c r="F77" s="8">
        <v>1780600000</v>
      </c>
      <c r="G77" s="8">
        <v>10865100000</v>
      </c>
    </row>
    <row r="78" spans="1:7" x14ac:dyDescent="0.25">
      <c r="A78" s="7">
        <v>37064</v>
      </c>
      <c r="B78" s="6">
        <v>3415.7</v>
      </c>
      <c r="C78" s="6">
        <v>3434.2</v>
      </c>
      <c r="D78" s="6">
        <v>3383.6</v>
      </c>
      <c r="E78" s="6">
        <v>3428.3</v>
      </c>
      <c r="F78" s="8">
        <v>1751100000</v>
      </c>
      <c r="G78" s="8">
        <v>8860900000</v>
      </c>
    </row>
    <row r="79" spans="1:7" x14ac:dyDescent="0.25">
      <c r="A79" s="7">
        <v>37071</v>
      </c>
      <c r="B79" s="6">
        <v>3428.3</v>
      </c>
      <c r="C79" s="6">
        <v>3490.3</v>
      </c>
      <c r="D79" s="6">
        <v>3408.4</v>
      </c>
      <c r="E79" s="6">
        <v>3490.3</v>
      </c>
      <c r="F79" s="8">
        <v>2163400000</v>
      </c>
      <c r="G79" s="8">
        <v>12532300000</v>
      </c>
    </row>
    <row r="80" spans="1:7" x14ac:dyDescent="0.25">
      <c r="A80" s="7">
        <v>37078</v>
      </c>
      <c r="B80" s="6">
        <v>3490.3</v>
      </c>
      <c r="C80" s="6">
        <v>3490.3</v>
      </c>
      <c r="D80" s="6">
        <v>3344.8</v>
      </c>
      <c r="E80" s="6">
        <v>3353.9</v>
      </c>
      <c r="F80" s="8">
        <v>1704100000</v>
      </c>
      <c r="G80" s="8">
        <v>9602801000</v>
      </c>
    </row>
    <row r="81" spans="1:7" x14ac:dyDescent="0.25">
      <c r="A81" s="7">
        <v>37085</v>
      </c>
      <c r="B81" s="6">
        <v>3353.9</v>
      </c>
      <c r="C81" s="6">
        <v>3410.5</v>
      </c>
      <c r="D81" s="6">
        <v>3316.2</v>
      </c>
      <c r="E81" s="6">
        <v>3396.5</v>
      </c>
      <c r="F81" s="8">
        <v>1656600000</v>
      </c>
      <c r="G81" s="8">
        <v>8762101000</v>
      </c>
    </row>
    <row r="82" spans="1:7" x14ac:dyDescent="0.25">
      <c r="A82" s="7">
        <v>37092</v>
      </c>
      <c r="B82" s="6">
        <v>3396.5</v>
      </c>
      <c r="C82" s="6">
        <v>3423.5</v>
      </c>
      <c r="D82" s="6">
        <v>3380.5</v>
      </c>
      <c r="E82" s="6">
        <v>3380.7</v>
      </c>
      <c r="F82" s="8">
        <v>1798000000</v>
      </c>
      <c r="G82" s="8">
        <v>8186200000</v>
      </c>
    </row>
    <row r="83" spans="1:7" x14ac:dyDescent="0.25">
      <c r="A83" s="7">
        <v>37099</v>
      </c>
      <c r="B83" s="6">
        <v>3384.2</v>
      </c>
      <c r="C83" s="6">
        <v>3389.6</v>
      </c>
      <c r="D83" s="6">
        <v>3282.7</v>
      </c>
      <c r="E83" s="6">
        <v>3292.1</v>
      </c>
      <c r="F83" s="8">
        <v>1606300000</v>
      </c>
      <c r="G83" s="8">
        <v>9934099000</v>
      </c>
    </row>
    <row r="84" spans="1:7" x14ac:dyDescent="0.25">
      <c r="A84" s="7">
        <v>37106</v>
      </c>
      <c r="B84" s="6">
        <v>3292</v>
      </c>
      <c r="C84" s="6">
        <v>3419.3</v>
      </c>
      <c r="D84" s="6">
        <v>3290</v>
      </c>
      <c r="E84" s="6">
        <v>3405.1</v>
      </c>
      <c r="F84" s="8">
        <v>1431500000</v>
      </c>
      <c r="G84" s="8">
        <v>8461600000</v>
      </c>
    </row>
    <row r="85" spans="1:7" x14ac:dyDescent="0.25">
      <c r="A85" s="7">
        <v>37113</v>
      </c>
      <c r="B85" s="6">
        <v>3405.4</v>
      </c>
      <c r="C85" s="6">
        <v>3424.9</v>
      </c>
      <c r="D85" s="6">
        <v>3381.2</v>
      </c>
      <c r="E85" s="6">
        <v>3401.3</v>
      </c>
      <c r="F85" s="8">
        <v>1314900000</v>
      </c>
      <c r="G85" s="8">
        <v>7229800000</v>
      </c>
    </row>
    <row r="86" spans="1:7" x14ac:dyDescent="0.25">
      <c r="A86" s="7">
        <v>37120</v>
      </c>
      <c r="B86" s="6">
        <v>3401.3</v>
      </c>
      <c r="C86" s="6">
        <v>3406.9</v>
      </c>
      <c r="D86" s="6">
        <v>3325.5</v>
      </c>
      <c r="E86" s="6">
        <v>3330.4</v>
      </c>
      <c r="F86" s="8">
        <v>1462100000</v>
      </c>
      <c r="G86" s="8">
        <v>8099900000</v>
      </c>
    </row>
    <row r="87" spans="1:7" x14ac:dyDescent="0.25">
      <c r="A87" s="7">
        <v>37127</v>
      </c>
      <c r="B87" s="6">
        <v>3330.4</v>
      </c>
      <c r="C87" s="6">
        <v>3351.1</v>
      </c>
      <c r="D87" s="6">
        <v>3280.8</v>
      </c>
      <c r="E87" s="6">
        <v>3348</v>
      </c>
      <c r="F87" s="8">
        <v>1499000000</v>
      </c>
      <c r="G87" s="8">
        <v>8006000000</v>
      </c>
    </row>
    <row r="88" spans="1:7" x14ac:dyDescent="0.25">
      <c r="A88" s="7">
        <v>37134</v>
      </c>
      <c r="B88" s="6">
        <v>3348</v>
      </c>
      <c r="C88" s="6">
        <v>3381.4</v>
      </c>
      <c r="D88" s="6">
        <v>3275.4</v>
      </c>
      <c r="E88" s="6">
        <v>3275.7</v>
      </c>
      <c r="F88" s="8">
        <v>1837300000</v>
      </c>
      <c r="G88" s="8">
        <v>10219800000</v>
      </c>
    </row>
    <row r="89" spans="1:7" x14ac:dyDescent="0.25">
      <c r="A89" s="7">
        <v>37141</v>
      </c>
      <c r="B89" s="6">
        <v>3275.6</v>
      </c>
      <c r="C89" s="6">
        <v>3295.1</v>
      </c>
      <c r="D89" s="6">
        <v>3219.9</v>
      </c>
      <c r="E89" s="6">
        <v>3234.5</v>
      </c>
      <c r="F89" s="8">
        <v>1751800000</v>
      </c>
      <c r="G89" s="8">
        <v>10443400000</v>
      </c>
    </row>
    <row r="90" spans="1:7" x14ac:dyDescent="0.25">
      <c r="A90" s="7">
        <v>37148</v>
      </c>
      <c r="B90" s="6">
        <v>3234.3</v>
      </c>
      <c r="C90" s="6">
        <v>3256.6</v>
      </c>
      <c r="D90" s="6">
        <v>3073.6</v>
      </c>
      <c r="E90" s="6">
        <v>3101</v>
      </c>
      <c r="F90" s="8">
        <v>1663900000</v>
      </c>
      <c r="G90" s="8">
        <v>8270700000</v>
      </c>
    </row>
    <row r="91" spans="1:7" x14ac:dyDescent="0.25">
      <c r="A91" s="7">
        <v>37155</v>
      </c>
      <c r="B91" s="6">
        <v>3100.8</v>
      </c>
      <c r="C91" s="6">
        <v>3100.8</v>
      </c>
      <c r="D91" s="6">
        <v>2896.8</v>
      </c>
      <c r="E91" s="6">
        <v>2942.1</v>
      </c>
      <c r="F91" s="8">
        <v>2177800000</v>
      </c>
      <c r="G91" s="8">
        <v>12113200000</v>
      </c>
    </row>
    <row r="92" spans="1:7" x14ac:dyDescent="0.25">
      <c r="A92" s="7">
        <v>37162</v>
      </c>
      <c r="B92" s="6">
        <v>2941.9</v>
      </c>
      <c r="C92" s="6">
        <v>3062.9</v>
      </c>
      <c r="D92" s="6">
        <v>2882.6</v>
      </c>
      <c r="E92" s="6">
        <v>3049.4</v>
      </c>
      <c r="F92" s="8">
        <v>2023600000</v>
      </c>
      <c r="G92" s="8">
        <v>11588100000</v>
      </c>
    </row>
    <row r="93" spans="1:7" x14ac:dyDescent="0.25">
      <c r="A93" s="7">
        <v>37169</v>
      </c>
      <c r="B93" s="6">
        <v>3049.5</v>
      </c>
      <c r="C93" s="6">
        <v>3179.9</v>
      </c>
      <c r="D93" s="6">
        <v>3049.5</v>
      </c>
      <c r="E93" s="6">
        <v>3179.4</v>
      </c>
      <c r="F93" s="8">
        <v>1425800000</v>
      </c>
      <c r="G93" s="8">
        <v>7697200000</v>
      </c>
    </row>
    <row r="94" spans="1:7" x14ac:dyDescent="0.25">
      <c r="A94" s="7">
        <v>37176</v>
      </c>
      <c r="B94" s="6">
        <v>3179.1</v>
      </c>
      <c r="C94" s="6">
        <v>3244.5</v>
      </c>
      <c r="D94" s="6">
        <v>3128</v>
      </c>
      <c r="E94" s="6">
        <v>3224.7</v>
      </c>
      <c r="F94" s="8">
        <v>1568800000</v>
      </c>
      <c r="G94" s="8">
        <v>8636100000</v>
      </c>
    </row>
    <row r="95" spans="1:7" x14ac:dyDescent="0.25">
      <c r="A95" s="7">
        <v>37183</v>
      </c>
      <c r="B95" s="6">
        <v>3225.1</v>
      </c>
      <c r="C95" s="6">
        <v>3238.1</v>
      </c>
      <c r="D95" s="6">
        <v>3172.1</v>
      </c>
      <c r="E95" s="6">
        <v>3175.7</v>
      </c>
      <c r="F95" s="8">
        <v>1513900000</v>
      </c>
      <c r="G95" s="8">
        <v>8344500000</v>
      </c>
    </row>
    <row r="96" spans="1:7" x14ac:dyDescent="0.25">
      <c r="A96" s="7">
        <v>37190</v>
      </c>
      <c r="B96" s="6">
        <v>3175.4</v>
      </c>
      <c r="C96" s="6">
        <v>3286.1</v>
      </c>
      <c r="D96" s="6">
        <v>3172.4</v>
      </c>
      <c r="E96" s="6">
        <v>3276.4</v>
      </c>
      <c r="F96" s="8">
        <v>1615700000</v>
      </c>
      <c r="G96" s="8">
        <v>9646401000</v>
      </c>
    </row>
    <row r="97" spans="1:7" x14ac:dyDescent="0.25">
      <c r="A97" s="7">
        <v>37197</v>
      </c>
      <c r="B97" s="6">
        <v>3276.2</v>
      </c>
      <c r="C97" s="6">
        <v>3284.2</v>
      </c>
      <c r="D97" s="6">
        <v>3228.8</v>
      </c>
      <c r="E97" s="6">
        <v>3239.9</v>
      </c>
      <c r="F97" s="8">
        <v>1550900000</v>
      </c>
      <c r="G97" s="8">
        <v>7967001000</v>
      </c>
    </row>
    <row r="98" spans="1:7" x14ac:dyDescent="0.25">
      <c r="A98" s="7">
        <v>37204</v>
      </c>
      <c r="B98" s="6">
        <v>3239.9</v>
      </c>
      <c r="C98" s="6">
        <v>3290.7</v>
      </c>
      <c r="D98" s="6">
        <v>3222.2</v>
      </c>
      <c r="E98" s="6">
        <v>3286</v>
      </c>
      <c r="F98" s="8">
        <v>1386100000</v>
      </c>
      <c r="G98" s="8">
        <v>7994000000</v>
      </c>
    </row>
    <row r="99" spans="1:7" x14ac:dyDescent="0.25">
      <c r="A99" s="7">
        <v>37211</v>
      </c>
      <c r="B99" s="6">
        <v>3286</v>
      </c>
      <c r="C99" s="6">
        <v>3351.2</v>
      </c>
      <c r="D99" s="6">
        <v>3278.9</v>
      </c>
      <c r="E99" s="6">
        <v>3322.5</v>
      </c>
      <c r="F99" s="8">
        <v>1706200000</v>
      </c>
      <c r="G99" s="8">
        <v>10125200000</v>
      </c>
    </row>
    <row r="100" spans="1:7" x14ac:dyDescent="0.25">
      <c r="A100" s="7">
        <v>37218</v>
      </c>
      <c r="B100" s="6">
        <v>3322.5</v>
      </c>
      <c r="C100" s="6">
        <v>3361.7</v>
      </c>
      <c r="D100" s="6">
        <v>3310.2</v>
      </c>
      <c r="E100" s="6">
        <v>3332.9</v>
      </c>
      <c r="F100" s="8">
        <v>1516500000</v>
      </c>
      <c r="G100" s="8">
        <v>8660601000</v>
      </c>
    </row>
    <row r="101" spans="1:7" x14ac:dyDescent="0.25">
      <c r="A101" s="7">
        <v>37225</v>
      </c>
      <c r="B101" s="6">
        <v>3332.9</v>
      </c>
      <c r="C101" s="6">
        <v>3370.5</v>
      </c>
      <c r="D101" s="6">
        <v>3324.3</v>
      </c>
      <c r="E101" s="6">
        <v>3337.4</v>
      </c>
      <c r="F101" s="8">
        <v>1945900000</v>
      </c>
      <c r="G101" s="8">
        <v>10984100000</v>
      </c>
    </row>
    <row r="102" spans="1:7" x14ac:dyDescent="0.25">
      <c r="A102" s="7">
        <v>37232</v>
      </c>
      <c r="B102" s="6">
        <v>3337.5</v>
      </c>
      <c r="C102" s="6">
        <v>3381.1</v>
      </c>
      <c r="D102" s="6">
        <v>3321.8</v>
      </c>
      <c r="E102" s="6">
        <v>3371.8</v>
      </c>
      <c r="F102" s="8">
        <v>1827300000</v>
      </c>
      <c r="G102" s="8">
        <v>10484800000</v>
      </c>
    </row>
    <row r="103" spans="1:7" x14ac:dyDescent="0.25">
      <c r="A103" s="7">
        <v>37239</v>
      </c>
      <c r="B103" s="6">
        <v>3371.8</v>
      </c>
      <c r="C103" s="6">
        <v>3374</v>
      </c>
      <c r="D103" s="6">
        <v>3288.4</v>
      </c>
      <c r="E103" s="6">
        <v>3290.8</v>
      </c>
      <c r="F103" s="8">
        <v>1655600000</v>
      </c>
      <c r="G103" s="8">
        <v>9116101000</v>
      </c>
    </row>
    <row r="104" spans="1:7" x14ac:dyDescent="0.25">
      <c r="A104" s="7">
        <v>37246</v>
      </c>
      <c r="B104" s="6">
        <v>3290.8</v>
      </c>
      <c r="C104" s="6">
        <v>3379.3</v>
      </c>
      <c r="D104" s="6">
        <v>3289.6</v>
      </c>
      <c r="E104" s="6">
        <v>3374.5</v>
      </c>
      <c r="F104" s="8">
        <v>1570700000</v>
      </c>
      <c r="G104" s="8">
        <v>10600300000</v>
      </c>
    </row>
    <row r="105" spans="1:7" x14ac:dyDescent="0.25">
      <c r="A105" s="7">
        <v>37253</v>
      </c>
      <c r="B105" s="6">
        <v>3374.5</v>
      </c>
      <c r="C105" s="6">
        <v>3440.6</v>
      </c>
      <c r="D105" s="6">
        <v>3374.5</v>
      </c>
      <c r="E105" s="6">
        <v>3427.1</v>
      </c>
      <c r="F105" s="8">
        <v>341700000</v>
      </c>
      <c r="G105" s="8">
        <v>1887600000</v>
      </c>
    </row>
    <row r="106" spans="1:7" x14ac:dyDescent="0.25">
      <c r="A106" s="7">
        <v>37260</v>
      </c>
      <c r="B106" s="6">
        <v>3427.1</v>
      </c>
      <c r="C106" s="6">
        <v>3445.7</v>
      </c>
      <c r="D106" s="6">
        <v>3409</v>
      </c>
      <c r="E106" s="6">
        <v>3435.7</v>
      </c>
      <c r="F106" s="8">
        <v>763900000</v>
      </c>
      <c r="G106" s="8">
        <v>4083500000</v>
      </c>
    </row>
    <row r="107" spans="1:7" x14ac:dyDescent="0.25">
      <c r="A107" s="7">
        <v>37267</v>
      </c>
      <c r="B107" s="6">
        <v>3435.7</v>
      </c>
      <c r="C107" s="6">
        <v>3451.5</v>
      </c>
      <c r="D107" s="6">
        <v>3408.6</v>
      </c>
      <c r="E107" s="6">
        <v>3417.6</v>
      </c>
      <c r="F107" s="8">
        <v>1636600000</v>
      </c>
      <c r="G107" s="8">
        <v>8878800000</v>
      </c>
    </row>
    <row r="108" spans="1:7" x14ac:dyDescent="0.25">
      <c r="A108" s="7">
        <v>37274</v>
      </c>
      <c r="B108" s="6">
        <v>3417.6</v>
      </c>
      <c r="C108" s="6">
        <v>3425.8</v>
      </c>
      <c r="D108" s="6">
        <v>3377.3</v>
      </c>
      <c r="E108" s="6">
        <v>3387</v>
      </c>
      <c r="F108" s="8">
        <v>1621600000</v>
      </c>
      <c r="G108" s="8">
        <v>9409900000</v>
      </c>
    </row>
    <row r="109" spans="1:7" x14ac:dyDescent="0.25">
      <c r="A109" s="7">
        <v>37281</v>
      </c>
      <c r="B109" s="6">
        <v>3387</v>
      </c>
      <c r="C109" s="6">
        <v>3446.1</v>
      </c>
      <c r="D109" s="6">
        <v>3380.1</v>
      </c>
      <c r="E109" s="6">
        <v>3442.3</v>
      </c>
      <c r="F109" s="8">
        <v>1915000000</v>
      </c>
      <c r="G109" s="8">
        <v>11973200000</v>
      </c>
    </row>
    <row r="110" spans="1:7" x14ac:dyDescent="0.25">
      <c r="A110" s="7">
        <v>37288</v>
      </c>
      <c r="B110" s="6">
        <v>3442.3</v>
      </c>
      <c r="C110" s="6">
        <v>3486.3</v>
      </c>
      <c r="D110" s="6">
        <v>3429</v>
      </c>
      <c r="E110" s="6">
        <v>3445.5</v>
      </c>
      <c r="F110" s="8">
        <v>1400600000</v>
      </c>
      <c r="G110" s="8">
        <v>8211800000</v>
      </c>
    </row>
    <row r="111" spans="1:7" x14ac:dyDescent="0.25">
      <c r="A111" s="7">
        <v>37295</v>
      </c>
      <c r="B111" s="6">
        <v>3445.5</v>
      </c>
      <c r="C111" s="6">
        <v>3472.9</v>
      </c>
      <c r="D111" s="6">
        <v>3406.6</v>
      </c>
      <c r="E111" s="6">
        <v>3450.4</v>
      </c>
      <c r="F111" s="8">
        <v>1971700000</v>
      </c>
      <c r="G111" s="8">
        <v>11403400000</v>
      </c>
    </row>
    <row r="112" spans="1:7" x14ac:dyDescent="0.25">
      <c r="A112" s="7">
        <v>37302</v>
      </c>
      <c r="B112" s="6">
        <v>3450.4</v>
      </c>
      <c r="C112" s="6">
        <v>3506.1</v>
      </c>
      <c r="D112" s="6">
        <v>3450.4</v>
      </c>
      <c r="E112" s="6">
        <v>3480.4</v>
      </c>
      <c r="F112" s="8">
        <v>1761300000</v>
      </c>
      <c r="G112" s="8">
        <v>10329900000</v>
      </c>
    </row>
    <row r="113" spans="1:7" x14ac:dyDescent="0.25">
      <c r="A113" s="7">
        <v>37309</v>
      </c>
      <c r="B113" s="6">
        <v>3480.4</v>
      </c>
      <c r="C113" s="6">
        <v>3480.4</v>
      </c>
      <c r="D113" s="6">
        <v>3412.2</v>
      </c>
      <c r="E113" s="6">
        <v>3422.1</v>
      </c>
      <c r="F113" s="8">
        <v>2195000000</v>
      </c>
      <c r="G113" s="8">
        <v>13894600000</v>
      </c>
    </row>
    <row r="114" spans="1:7" x14ac:dyDescent="0.25">
      <c r="A114" s="7">
        <v>37316</v>
      </c>
      <c r="B114" s="6">
        <v>3422.1</v>
      </c>
      <c r="C114" s="6">
        <v>3450.2</v>
      </c>
      <c r="D114" s="6">
        <v>3392.7</v>
      </c>
      <c r="E114" s="6">
        <v>3417.3</v>
      </c>
      <c r="F114" s="8">
        <v>1872100000</v>
      </c>
      <c r="G114" s="8">
        <v>10741900000</v>
      </c>
    </row>
    <row r="115" spans="1:7" x14ac:dyDescent="0.25">
      <c r="A115" s="7">
        <v>37323</v>
      </c>
      <c r="B115" s="6">
        <v>3417.3</v>
      </c>
      <c r="C115" s="6">
        <v>3499.9</v>
      </c>
      <c r="D115" s="6">
        <v>3415.7</v>
      </c>
      <c r="E115" s="6">
        <v>3485.3</v>
      </c>
      <c r="F115" s="8">
        <v>2152700000</v>
      </c>
      <c r="G115" s="8">
        <v>12994200000</v>
      </c>
    </row>
    <row r="116" spans="1:7" x14ac:dyDescent="0.25">
      <c r="A116" s="7">
        <v>37330</v>
      </c>
      <c r="B116" s="6">
        <v>3485.3</v>
      </c>
      <c r="C116" s="6">
        <v>3496.6</v>
      </c>
      <c r="D116" s="6">
        <v>3407.7</v>
      </c>
      <c r="E116" s="6">
        <v>3407.7</v>
      </c>
      <c r="F116" s="8">
        <v>1673200000</v>
      </c>
      <c r="G116" s="8">
        <v>9251800000</v>
      </c>
    </row>
    <row r="117" spans="1:7" x14ac:dyDescent="0.25">
      <c r="A117" s="7">
        <v>37337</v>
      </c>
      <c r="B117" s="6">
        <v>3407.7</v>
      </c>
      <c r="C117" s="6">
        <v>3474.6</v>
      </c>
      <c r="D117" s="6">
        <v>3407.7</v>
      </c>
      <c r="E117" s="6">
        <v>3433.8</v>
      </c>
      <c r="F117" s="8">
        <v>1480900000</v>
      </c>
      <c r="G117" s="8">
        <v>8489800000</v>
      </c>
    </row>
    <row r="118" spans="1:7" x14ac:dyDescent="0.25">
      <c r="A118" s="7">
        <v>37343</v>
      </c>
      <c r="B118" s="6">
        <v>3433.8</v>
      </c>
      <c r="C118" s="6">
        <v>3435.2</v>
      </c>
      <c r="D118" s="6">
        <v>3382.1</v>
      </c>
      <c r="E118" s="6">
        <v>3414.8</v>
      </c>
      <c r="F118" s="8">
        <v>1561800000</v>
      </c>
      <c r="G118" s="8">
        <v>10049500000</v>
      </c>
    </row>
    <row r="119" spans="1:7" x14ac:dyDescent="0.25">
      <c r="A119" s="7">
        <v>37351</v>
      </c>
      <c r="B119" s="6">
        <v>3414.8</v>
      </c>
      <c r="C119" s="6">
        <v>3418</v>
      </c>
      <c r="D119" s="6">
        <v>3365.7</v>
      </c>
      <c r="E119" s="6">
        <v>3390</v>
      </c>
      <c r="F119" s="8">
        <v>1467800000</v>
      </c>
      <c r="G119" s="8">
        <v>7630900000</v>
      </c>
    </row>
    <row r="120" spans="1:7" x14ac:dyDescent="0.25">
      <c r="A120" s="7">
        <v>37358</v>
      </c>
      <c r="B120" s="6">
        <v>3390</v>
      </c>
      <c r="C120" s="6">
        <v>3402.3</v>
      </c>
      <c r="D120" s="6">
        <v>3347.9</v>
      </c>
      <c r="E120" s="6">
        <v>3354.6</v>
      </c>
      <c r="F120" s="8">
        <v>1534100000</v>
      </c>
      <c r="G120" s="8">
        <v>8792800000</v>
      </c>
    </row>
    <row r="121" spans="1:7" x14ac:dyDescent="0.25">
      <c r="A121" s="7">
        <v>37365</v>
      </c>
      <c r="B121" s="6">
        <v>3354.5</v>
      </c>
      <c r="C121" s="6">
        <v>3412.3</v>
      </c>
      <c r="D121" s="6">
        <v>3352.9</v>
      </c>
      <c r="E121" s="6">
        <v>3407.9</v>
      </c>
      <c r="F121" s="8">
        <v>1619100000</v>
      </c>
      <c r="G121" s="8">
        <v>9539000000</v>
      </c>
    </row>
    <row r="122" spans="1:7" x14ac:dyDescent="0.25">
      <c r="A122" s="7">
        <v>37372</v>
      </c>
      <c r="B122" s="6">
        <v>3407.3</v>
      </c>
      <c r="C122" s="6">
        <v>3424.6</v>
      </c>
      <c r="D122" s="6">
        <v>3370.3</v>
      </c>
      <c r="E122" s="6">
        <v>3379.1</v>
      </c>
      <c r="F122" s="8">
        <v>1440200000</v>
      </c>
      <c r="G122" s="8">
        <v>10424700000</v>
      </c>
    </row>
    <row r="123" spans="1:7" x14ac:dyDescent="0.25">
      <c r="A123" s="7">
        <v>37379</v>
      </c>
      <c r="B123" s="6">
        <v>3379.1</v>
      </c>
      <c r="C123" s="6">
        <v>3379.1</v>
      </c>
      <c r="D123" s="6">
        <v>3337.5</v>
      </c>
      <c r="E123" s="6">
        <v>3366</v>
      </c>
      <c r="F123" s="8">
        <v>1863800000</v>
      </c>
      <c r="G123" s="8">
        <v>10367000000</v>
      </c>
    </row>
    <row r="124" spans="1:7" x14ac:dyDescent="0.25">
      <c r="A124" s="7">
        <v>37386</v>
      </c>
      <c r="B124" s="6">
        <v>3366</v>
      </c>
      <c r="C124" s="6">
        <v>3366.9</v>
      </c>
      <c r="D124" s="6">
        <v>3320.5</v>
      </c>
      <c r="E124" s="6">
        <v>3330.9</v>
      </c>
      <c r="F124" s="8">
        <v>1823400000</v>
      </c>
      <c r="G124" s="8">
        <v>10044300000</v>
      </c>
    </row>
    <row r="125" spans="1:7" x14ac:dyDescent="0.25">
      <c r="A125" s="7">
        <v>37393</v>
      </c>
      <c r="B125" s="6">
        <v>3330.9</v>
      </c>
      <c r="C125" s="6">
        <v>3420</v>
      </c>
      <c r="D125" s="6">
        <v>3295.9</v>
      </c>
      <c r="E125" s="6">
        <v>3412.6</v>
      </c>
      <c r="F125" s="8">
        <v>1712400000</v>
      </c>
      <c r="G125" s="8">
        <v>10567300000</v>
      </c>
    </row>
    <row r="126" spans="1:7" x14ac:dyDescent="0.25">
      <c r="A126" s="7">
        <v>37400</v>
      </c>
      <c r="B126" s="6">
        <v>3412.6</v>
      </c>
      <c r="C126" s="6">
        <v>3412.6</v>
      </c>
      <c r="D126" s="6">
        <v>3368.5</v>
      </c>
      <c r="E126" s="6">
        <v>3387.1</v>
      </c>
      <c r="F126" s="8">
        <v>1624700000</v>
      </c>
      <c r="G126" s="8">
        <v>9478400000</v>
      </c>
    </row>
    <row r="127" spans="1:7" x14ac:dyDescent="0.25">
      <c r="A127" s="7">
        <v>37407</v>
      </c>
      <c r="B127" s="6">
        <v>3387.1</v>
      </c>
      <c r="C127" s="6">
        <v>3393.3</v>
      </c>
      <c r="D127" s="6">
        <v>3353.3</v>
      </c>
      <c r="E127" s="6">
        <v>3373.6</v>
      </c>
      <c r="F127" s="8">
        <v>2113500000</v>
      </c>
      <c r="G127" s="8">
        <v>12130700000</v>
      </c>
    </row>
    <row r="128" spans="1:7" x14ac:dyDescent="0.25">
      <c r="A128" s="7">
        <v>37414</v>
      </c>
      <c r="B128" s="6">
        <v>3373.6</v>
      </c>
      <c r="C128" s="6">
        <v>3388.2</v>
      </c>
      <c r="D128" s="6">
        <v>3325</v>
      </c>
      <c r="E128" s="6">
        <v>3342.8</v>
      </c>
      <c r="F128" s="8">
        <v>1826800000</v>
      </c>
      <c r="G128" s="8">
        <v>10314400000</v>
      </c>
    </row>
    <row r="129" spans="1:7" x14ac:dyDescent="0.25">
      <c r="A129" s="7">
        <v>37421</v>
      </c>
      <c r="B129" s="6">
        <v>3342.8</v>
      </c>
      <c r="C129" s="6">
        <v>3349</v>
      </c>
      <c r="D129" s="6">
        <v>3294.1</v>
      </c>
      <c r="E129" s="6">
        <v>3294.1</v>
      </c>
      <c r="F129" s="8">
        <v>1476200000</v>
      </c>
      <c r="G129" s="8">
        <v>8376500000</v>
      </c>
    </row>
    <row r="130" spans="1:7" x14ac:dyDescent="0.25">
      <c r="A130" s="7">
        <v>37428</v>
      </c>
      <c r="B130" s="6">
        <v>3294.1</v>
      </c>
      <c r="C130" s="6">
        <v>3322.6</v>
      </c>
      <c r="D130" s="6">
        <v>3242.9</v>
      </c>
      <c r="E130" s="6">
        <v>3252.2</v>
      </c>
      <c r="F130" s="8">
        <v>1798100000</v>
      </c>
      <c r="G130" s="8">
        <v>9670900000</v>
      </c>
    </row>
    <row r="131" spans="1:7" x14ac:dyDescent="0.25">
      <c r="A131" s="7">
        <v>37435</v>
      </c>
      <c r="B131" s="6">
        <v>3252.2</v>
      </c>
      <c r="C131" s="6">
        <v>3252.2</v>
      </c>
      <c r="D131" s="6">
        <v>3174</v>
      </c>
      <c r="E131" s="6">
        <v>3216</v>
      </c>
      <c r="F131" s="8">
        <v>2626600000</v>
      </c>
      <c r="G131" s="8">
        <v>15470100000</v>
      </c>
    </row>
    <row r="132" spans="1:7" x14ac:dyDescent="0.25">
      <c r="A132" s="7">
        <v>37442</v>
      </c>
      <c r="B132" s="6">
        <v>3216</v>
      </c>
      <c r="C132" s="6">
        <v>3229.9</v>
      </c>
      <c r="D132" s="6">
        <v>3181.3</v>
      </c>
      <c r="E132" s="6">
        <v>3214.8</v>
      </c>
      <c r="F132" s="8">
        <v>1694100000</v>
      </c>
      <c r="G132" s="8">
        <v>9948400000</v>
      </c>
    </row>
    <row r="133" spans="1:7" x14ac:dyDescent="0.25">
      <c r="A133" s="7">
        <v>37449</v>
      </c>
      <c r="B133" s="6">
        <v>3214.8</v>
      </c>
      <c r="C133" s="6">
        <v>3259</v>
      </c>
      <c r="D133" s="6">
        <v>3183</v>
      </c>
      <c r="E133" s="6">
        <v>3196.9</v>
      </c>
      <c r="F133" s="8">
        <v>1547500000</v>
      </c>
      <c r="G133" s="8">
        <v>8777201000</v>
      </c>
    </row>
    <row r="134" spans="1:7" x14ac:dyDescent="0.25">
      <c r="A134" s="7">
        <v>37456</v>
      </c>
      <c r="B134" s="6">
        <v>3197.4</v>
      </c>
      <c r="C134" s="6">
        <v>3197.4</v>
      </c>
      <c r="D134" s="6">
        <v>3104.9</v>
      </c>
      <c r="E134" s="6">
        <v>3109.2</v>
      </c>
      <c r="F134" s="8">
        <v>1835300000</v>
      </c>
      <c r="G134" s="8">
        <v>10579000000</v>
      </c>
    </row>
    <row r="135" spans="1:7" x14ac:dyDescent="0.25">
      <c r="A135" s="7">
        <v>37463</v>
      </c>
      <c r="B135" s="6">
        <v>3109.2</v>
      </c>
      <c r="C135" s="6">
        <v>3109.2</v>
      </c>
      <c r="D135" s="6">
        <v>2982.1</v>
      </c>
      <c r="E135" s="6">
        <v>2989.5</v>
      </c>
      <c r="F135" s="8">
        <v>2261600000</v>
      </c>
      <c r="G135" s="8">
        <v>13778900000</v>
      </c>
    </row>
    <row r="136" spans="1:7" x14ac:dyDescent="0.25">
      <c r="A136" s="7">
        <v>37470</v>
      </c>
      <c r="B136" s="6">
        <v>2989.5</v>
      </c>
      <c r="C136" s="6">
        <v>3100.9</v>
      </c>
      <c r="D136" s="6">
        <v>2989.5</v>
      </c>
      <c r="E136" s="6">
        <v>3053.9</v>
      </c>
      <c r="F136" s="8">
        <v>1839500000</v>
      </c>
      <c r="G136" s="8">
        <v>10469200000</v>
      </c>
    </row>
    <row r="137" spans="1:7" x14ac:dyDescent="0.25">
      <c r="A137" s="7">
        <v>37477</v>
      </c>
      <c r="B137" s="6">
        <v>3053.9</v>
      </c>
      <c r="C137" s="6">
        <v>3122.2</v>
      </c>
      <c r="D137" s="6">
        <v>2955.7</v>
      </c>
      <c r="E137" s="6">
        <v>3106.8</v>
      </c>
      <c r="F137" s="8">
        <v>1526300000</v>
      </c>
      <c r="G137" s="8">
        <v>8189101000</v>
      </c>
    </row>
    <row r="138" spans="1:7" x14ac:dyDescent="0.25">
      <c r="A138" s="7">
        <v>37484</v>
      </c>
      <c r="B138" s="6">
        <v>3106.8</v>
      </c>
      <c r="C138" s="6">
        <v>3147.9</v>
      </c>
      <c r="D138" s="6">
        <v>3086.1</v>
      </c>
      <c r="E138" s="6">
        <v>3133.3</v>
      </c>
      <c r="F138" s="8">
        <v>1592900000</v>
      </c>
      <c r="G138" s="8">
        <v>8411501000</v>
      </c>
    </row>
    <row r="139" spans="1:7" x14ac:dyDescent="0.25">
      <c r="A139" s="7">
        <v>37491</v>
      </c>
      <c r="B139" s="6">
        <v>3133.3</v>
      </c>
      <c r="C139" s="6">
        <v>3202.9</v>
      </c>
      <c r="D139" s="6">
        <v>3132.7</v>
      </c>
      <c r="E139" s="6">
        <v>3184.5</v>
      </c>
      <c r="F139" s="8">
        <v>1605200000</v>
      </c>
      <c r="G139" s="8">
        <v>8382700000</v>
      </c>
    </row>
    <row r="140" spans="1:7" x14ac:dyDescent="0.25">
      <c r="A140" s="7">
        <v>37498</v>
      </c>
      <c r="B140" s="6">
        <v>3184.5</v>
      </c>
      <c r="C140" s="6">
        <v>3191</v>
      </c>
      <c r="D140" s="6">
        <v>3115.5</v>
      </c>
      <c r="E140" s="6">
        <v>3120.1</v>
      </c>
      <c r="F140" s="8">
        <v>2151100000</v>
      </c>
      <c r="G140" s="8">
        <v>12052200000</v>
      </c>
    </row>
    <row r="141" spans="1:7" x14ac:dyDescent="0.25">
      <c r="A141" s="7">
        <v>37505</v>
      </c>
      <c r="B141" s="6">
        <v>3120.1</v>
      </c>
      <c r="C141" s="6">
        <v>3143.2</v>
      </c>
      <c r="D141" s="6">
        <v>3079.9</v>
      </c>
      <c r="E141" s="6">
        <v>3089.5</v>
      </c>
      <c r="F141" s="8">
        <v>1754000000</v>
      </c>
      <c r="G141" s="8">
        <v>9045600000</v>
      </c>
    </row>
    <row r="142" spans="1:7" x14ac:dyDescent="0.25">
      <c r="A142" s="7">
        <v>37512</v>
      </c>
      <c r="B142" s="6">
        <v>3089.5</v>
      </c>
      <c r="C142" s="6">
        <v>3149.2</v>
      </c>
      <c r="D142" s="6">
        <v>3089.5</v>
      </c>
      <c r="E142" s="6">
        <v>3130.6</v>
      </c>
      <c r="F142" s="8">
        <v>1779100000</v>
      </c>
      <c r="G142" s="8">
        <v>8598001000</v>
      </c>
    </row>
    <row r="143" spans="1:7" x14ac:dyDescent="0.25">
      <c r="A143" s="7">
        <v>37519</v>
      </c>
      <c r="B143" s="6">
        <v>3130.6</v>
      </c>
      <c r="C143" s="6">
        <v>3156.7</v>
      </c>
      <c r="D143" s="6">
        <v>3062.3</v>
      </c>
      <c r="E143" s="6">
        <v>3073.6</v>
      </c>
      <c r="F143" s="8">
        <v>1939400000</v>
      </c>
      <c r="G143" s="8">
        <v>10689500000</v>
      </c>
    </row>
    <row r="144" spans="1:7" x14ac:dyDescent="0.25">
      <c r="A144" s="7">
        <v>37526</v>
      </c>
      <c r="B144" s="6">
        <v>3073.6</v>
      </c>
      <c r="C144" s="6">
        <v>3073.6</v>
      </c>
      <c r="D144" s="6">
        <v>2987.2</v>
      </c>
      <c r="E144" s="6">
        <v>3008.9</v>
      </c>
      <c r="F144" s="8">
        <v>1918100000</v>
      </c>
      <c r="G144" s="8">
        <v>11566900000</v>
      </c>
    </row>
    <row r="145" spans="1:7" x14ac:dyDescent="0.25">
      <c r="A145" s="7">
        <v>37533</v>
      </c>
      <c r="B145" s="6">
        <v>3008.9</v>
      </c>
      <c r="C145" s="6">
        <v>3018</v>
      </c>
      <c r="D145" s="6">
        <v>2953.2</v>
      </c>
      <c r="E145" s="6">
        <v>2991.6</v>
      </c>
      <c r="F145" s="8">
        <v>2072100000</v>
      </c>
      <c r="G145" s="8">
        <v>10982200000</v>
      </c>
    </row>
    <row r="146" spans="1:7" x14ac:dyDescent="0.25">
      <c r="A146" s="7">
        <v>37540</v>
      </c>
      <c r="B146" s="6">
        <v>2991.6</v>
      </c>
      <c r="C146" s="6">
        <v>2991.6</v>
      </c>
      <c r="D146" s="6">
        <v>2883.5</v>
      </c>
      <c r="E146" s="6">
        <v>2924.6</v>
      </c>
      <c r="F146" s="8">
        <v>1546800000</v>
      </c>
      <c r="G146" s="8">
        <v>8502401000</v>
      </c>
    </row>
    <row r="147" spans="1:7" x14ac:dyDescent="0.25">
      <c r="A147" s="7">
        <v>37547</v>
      </c>
      <c r="B147" s="6">
        <v>2924.6</v>
      </c>
      <c r="C147" s="6">
        <v>3028.4</v>
      </c>
      <c r="D147" s="6">
        <v>2924.6</v>
      </c>
      <c r="E147" s="6">
        <v>3010.6</v>
      </c>
      <c r="F147" s="8">
        <v>2083500000</v>
      </c>
      <c r="G147" s="8">
        <v>10724600000</v>
      </c>
    </row>
    <row r="148" spans="1:7" x14ac:dyDescent="0.25">
      <c r="A148" s="7">
        <v>37554</v>
      </c>
      <c r="B148" s="6">
        <v>3010.6</v>
      </c>
      <c r="C148" s="6">
        <v>3043</v>
      </c>
      <c r="D148" s="6">
        <v>2986.4</v>
      </c>
      <c r="E148" s="6">
        <v>3009.2</v>
      </c>
      <c r="F148" s="8">
        <v>1747900000</v>
      </c>
      <c r="G148" s="8">
        <v>10361200000</v>
      </c>
    </row>
    <row r="149" spans="1:7" x14ac:dyDescent="0.25">
      <c r="A149" s="7">
        <v>37561</v>
      </c>
      <c r="B149" s="6">
        <v>3009.2</v>
      </c>
      <c r="C149" s="6">
        <v>3042.9</v>
      </c>
      <c r="D149" s="6">
        <v>2994</v>
      </c>
      <c r="E149" s="6">
        <v>3010.3</v>
      </c>
      <c r="F149" s="8">
        <v>1732700000</v>
      </c>
      <c r="G149" s="8">
        <v>9212701000</v>
      </c>
    </row>
    <row r="150" spans="1:7" x14ac:dyDescent="0.25">
      <c r="A150" s="7">
        <v>37568</v>
      </c>
      <c r="B150" s="6">
        <v>3010.3</v>
      </c>
      <c r="C150" s="6">
        <v>3079.7</v>
      </c>
      <c r="D150" s="6">
        <v>3008.6</v>
      </c>
      <c r="E150" s="6">
        <v>3008.8</v>
      </c>
      <c r="F150" s="8">
        <v>1629600000</v>
      </c>
      <c r="G150" s="8">
        <v>10161200000</v>
      </c>
    </row>
    <row r="151" spans="1:7" x14ac:dyDescent="0.25">
      <c r="A151" s="7">
        <v>37575</v>
      </c>
      <c r="B151" s="6">
        <v>3008.8</v>
      </c>
      <c r="C151" s="6">
        <v>3008.8</v>
      </c>
      <c r="D151" s="6">
        <v>2950.7</v>
      </c>
      <c r="E151" s="6">
        <v>3004.9</v>
      </c>
      <c r="F151" s="8">
        <v>1944100000</v>
      </c>
      <c r="G151" s="8">
        <v>10554600000</v>
      </c>
    </row>
    <row r="152" spans="1:7" x14ac:dyDescent="0.25">
      <c r="A152" s="7">
        <v>37582</v>
      </c>
      <c r="B152" s="6">
        <v>3004.9</v>
      </c>
      <c r="C152" s="6">
        <v>3042.2</v>
      </c>
      <c r="D152" s="6">
        <v>2978.6</v>
      </c>
      <c r="E152" s="6">
        <v>3035.8</v>
      </c>
      <c r="F152" s="8">
        <v>2031700000</v>
      </c>
      <c r="G152" s="8">
        <v>10306200000</v>
      </c>
    </row>
    <row r="153" spans="1:7" x14ac:dyDescent="0.25">
      <c r="A153" s="7">
        <v>37589</v>
      </c>
      <c r="B153" s="6">
        <v>3035.8</v>
      </c>
      <c r="C153" s="6">
        <v>3061.4</v>
      </c>
      <c r="D153" s="6">
        <v>2997.4</v>
      </c>
      <c r="E153" s="6">
        <v>3061.4</v>
      </c>
      <c r="F153" s="8">
        <v>2150500000</v>
      </c>
      <c r="G153" s="8">
        <v>12631100000</v>
      </c>
    </row>
    <row r="154" spans="1:7" x14ac:dyDescent="0.25">
      <c r="A154" s="7">
        <v>37596</v>
      </c>
      <c r="B154" s="6">
        <v>3061.4</v>
      </c>
      <c r="C154" s="6">
        <v>3083.8</v>
      </c>
      <c r="D154" s="6">
        <v>3017.2</v>
      </c>
      <c r="E154" s="6">
        <v>3027.3</v>
      </c>
      <c r="F154" s="8">
        <v>1621400000</v>
      </c>
      <c r="G154" s="8">
        <v>8992700000</v>
      </c>
    </row>
    <row r="155" spans="1:7" x14ac:dyDescent="0.25">
      <c r="A155" s="7">
        <v>37603</v>
      </c>
      <c r="B155" s="6">
        <v>3027.3</v>
      </c>
      <c r="C155" s="6">
        <v>3054.4</v>
      </c>
      <c r="D155" s="6">
        <v>2957.9</v>
      </c>
      <c r="E155" s="6">
        <v>2971.3</v>
      </c>
      <c r="F155" s="8">
        <v>1944000000</v>
      </c>
      <c r="G155" s="8">
        <v>9091200000</v>
      </c>
    </row>
    <row r="156" spans="1:7" x14ac:dyDescent="0.25">
      <c r="A156" s="7">
        <v>37610</v>
      </c>
      <c r="B156" s="6">
        <v>2971.3</v>
      </c>
      <c r="C156" s="6">
        <v>3019.6</v>
      </c>
      <c r="D156" s="6">
        <v>2945.9</v>
      </c>
      <c r="E156" s="6">
        <v>3011.4</v>
      </c>
      <c r="F156" s="8">
        <v>2127700000</v>
      </c>
      <c r="G156" s="8">
        <v>10575900000</v>
      </c>
    </row>
    <row r="157" spans="1:7" x14ac:dyDescent="0.25">
      <c r="A157" s="7">
        <v>37617</v>
      </c>
      <c r="B157" s="6">
        <v>3011.4</v>
      </c>
      <c r="C157" s="6">
        <v>3037.8</v>
      </c>
      <c r="D157" s="6">
        <v>3011.4</v>
      </c>
      <c r="E157" s="6">
        <v>3027.2</v>
      </c>
      <c r="F157" s="8">
        <v>349600000</v>
      </c>
      <c r="G157" s="8">
        <v>1637400000</v>
      </c>
    </row>
    <row r="158" spans="1:7" x14ac:dyDescent="0.25">
      <c r="A158" s="7">
        <v>37624</v>
      </c>
      <c r="B158" s="6">
        <v>3027.2</v>
      </c>
      <c r="C158" s="6">
        <v>3055.9</v>
      </c>
      <c r="D158" s="6">
        <v>2987.8</v>
      </c>
      <c r="E158" s="6">
        <v>3055.5</v>
      </c>
      <c r="F158" s="8">
        <v>512400000</v>
      </c>
      <c r="G158" s="8">
        <v>2468900000</v>
      </c>
    </row>
    <row r="159" spans="1:7" x14ac:dyDescent="0.25">
      <c r="A159" s="7">
        <v>37631</v>
      </c>
      <c r="B159" s="6">
        <v>3055.5</v>
      </c>
      <c r="C159" s="6">
        <v>3094.1</v>
      </c>
      <c r="D159" s="6">
        <v>3051.8</v>
      </c>
      <c r="E159" s="6">
        <v>3063.6</v>
      </c>
      <c r="F159" s="8">
        <v>1683200000</v>
      </c>
      <c r="G159" s="8">
        <v>9005700000</v>
      </c>
    </row>
    <row r="160" spans="1:7" x14ac:dyDescent="0.25">
      <c r="A160" s="7">
        <v>37638</v>
      </c>
      <c r="B160" s="6">
        <v>3063.5</v>
      </c>
      <c r="C160" s="6">
        <v>3084.8</v>
      </c>
      <c r="D160" s="6">
        <v>3051.3</v>
      </c>
      <c r="E160" s="6">
        <v>3051.7</v>
      </c>
      <c r="F160" s="8">
        <v>1736600000</v>
      </c>
      <c r="G160" s="8">
        <v>8172799000</v>
      </c>
    </row>
    <row r="161" spans="1:7" x14ac:dyDescent="0.25">
      <c r="A161" s="7">
        <v>37645</v>
      </c>
      <c r="B161" s="6">
        <v>3051.7</v>
      </c>
      <c r="C161" s="6">
        <v>3061.9</v>
      </c>
      <c r="D161" s="6">
        <v>3017.4</v>
      </c>
      <c r="E161" s="6">
        <v>3026.2</v>
      </c>
      <c r="F161" s="8">
        <v>1968400000</v>
      </c>
      <c r="G161" s="8">
        <v>9483400000</v>
      </c>
    </row>
    <row r="162" spans="1:7" x14ac:dyDescent="0.25">
      <c r="A162" s="7">
        <v>37652</v>
      </c>
      <c r="B162" s="6">
        <v>3026.2</v>
      </c>
      <c r="C162" s="6">
        <v>3026.2</v>
      </c>
      <c r="D162" s="6">
        <v>2929.1</v>
      </c>
      <c r="E162" s="6">
        <v>2956.9</v>
      </c>
      <c r="F162" s="8">
        <v>1496300000</v>
      </c>
      <c r="G162" s="8">
        <v>8709200000</v>
      </c>
    </row>
    <row r="163" spans="1:7" x14ac:dyDescent="0.25">
      <c r="A163" s="7">
        <v>37659</v>
      </c>
      <c r="B163" s="6">
        <v>2956.9</v>
      </c>
      <c r="C163" s="6">
        <v>2969.2</v>
      </c>
      <c r="D163" s="6">
        <v>2882.6</v>
      </c>
      <c r="E163" s="6">
        <v>2906</v>
      </c>
      <c r="F163" s="8">
        <v>1792200000</v>
      </c>
      <c r="G163" s="8">
        <v>8883800000</v>
      </c>
    </row>
    <row r="164" spans="1:7" x14ac:dyDescent="0.25">
      <c r="A164" s="7">
        <v>37666</v>
      </c>
      <c r="B164" s="6">
        <v>2906</v>
      </c>
      <c r="C164" s="6">
        <v>2906</v>
      </c>
      <c r="D164" s="6">
        <v>2807.5</v>
      </c>
      <c r="E164" s="6">
        <v>2817.2</v>
      </c>
      <c r="F164" s="8">
        <v>1988400000</v>
      </c>
      <c r="G164" s="8">
        <v>10044200000</v>
      </c>
    </row>
    <row r="165" spans="1:7" x14ac:dyDescent="0.25">
      <c r="A165" s="7">
        <v>37673</v>
      </c>
      <c r="B165" s="6">
        <v>2817.2</v>
      </c>
      <c r="C165" s="6">
        <v>2873.5</v>
      </c>
      <c r="D165" s="6">
        <v>2796.3</v>
      </c>
      <c r="E165" s="6">
        <v>2820.2</v>
      </c>
      <c r="F165" s="8">
        <v>1951500000</v>
      </c>
      <c r="G165" s="8">
        <v>9414200000</v>
      </c>
    </row>
    <row r="166" spans="1:7" x14ac:dyDescent="0.25">
      <c r="A166" s="7">
        <v>37680</v>
      </c>
      <c r="B166" s="6">
        <v>2820.2</v>
      </c>
      <c r="C166" s="6">
        <v>2862.7</v>
      </c>
      <c r="D166" s="6">
        <v>2794.4</v>
      </c>
      <c r="E166" s="6">
        <v>2800.9</v>
      </c>
      <c r="F166" s="8">
        <v>2156900000</v>
      </c>
      <c r="G166" s="8">
        <v>10563800000</v>
      </c>
    </row>
    <row r="167" spans="1:7" x14ac:dyDescent="0.25">
      <c r="A167" s="7">
        <v>37687</v>
      </c>
      <c r="B167" s="6">
        <v>2800.9</v>
      </c>
      <c r="C167" s="6">
        <v>2820</v>
      </c>
      <c r="D167" s="6">
        <v>2740.7</v>
      </c>
      <c r="E167" s="6">
        <v>2744</v>
      </c>
      <c r="F167" s="8">
        <v>1636600000</v>
      </c>
      <c r="G167" s="8">
        <v>8102200000</v>
      </c>
    </row>
    <row r="168" spans="1:7" x14ac:dyDescent="0.25">
      <c r="A168" s="7">
        <v>37694</v>
      </c>
      <c r="B168" s="6">
        <v>2744</v>
      </c>
      <c r="C168" s="6">
        <v>2760.9</v>
      </c>
      <c r="D168" s="6">
        <v>2693.3</v>
      </c>
      <c r="E168" s="6">
        <v>2753.1</v>
      </c>
      <c r="F168" s="8">
        <v>1906700000</v>
      </c>
      <c r="G168" s="8">
        <v>9102000000</v>
      </c>
    </row>
    <row r="169" spans="1:7" x14ac:dyDescent="0.25">
      <c r="A169" s="7">
        <v>37701</v>
      </c>
      <c r="B169" s="6">
        <v>2753.1</v>
      </c>
      <c r="C169" s="6">
        <v>2882.7</v>
      </c>
      <c r="D169" s="6">
        <v>2727.7</v>
      </c>
      <c r="E169" s="6">
        <v>2866.7</v>
      </c>
      <c r="F169" s="8">
        <v>2383200000</v>
      </c>
      <c r="G169" s="8">
        <v>10645100000</v>
      </c>
    </row>
    <row r="170" spans="1:7" x14ac:dyDescent="0.25">
      <c r="A170" s="7">
        <v>37708</v>
      </c>
      <c r="B170" s="6">
        <v>2866.7</v>
      </c>
      <c r="C170" s="6">
        <v>2911.9</v>
      </c>
      <c r="D170" s="6">
        <v>2829</v>
      </c>
      <c r="E170" s="6">
        <v>2897.7</v>
      </c>
      <c r="F170" s="8">
        <v>2597000000</v>
      </c>
      <c r="G170" s="8">
        <v>13043100000</v>
      </c>
    </row>
    <row r="171" spans="1:7" x14ac:dyDescent="0.25">
      <c r="A171" s="7">
        <v>37715</v>
      </c>
      <c r="B171" s="6">
        <v>2897.7</v>
      </c>
      <c r="C171" s="6">
        <v>2933.5</v>
      </c>
      <c r="D171" s="6">
        <v>2865.9</v>
      </c>
      <c r="E171" s="6">
        <v>2933.5</v>
      </c>
      <c r="F171" s="8">
        <v>2818400000</v>
      </c>
      <c r="G171" s="8">
        <v>13653800000</v>
      </c>
    </row>
    <row r="172" spans="1:7" x14ac:dyDescent="0.25">
      <c r="A172" s="7">
        <v>37722</v>
      </c>
      <c r="B172" s="6">
        <v>2933.5</v>
      </c>
      <c r="C172" s="6">
        <v>2984.4</v>
      </c>
      <c r="D172" s="6">
        <v>2924.3</v>
      </c>
      <c r="E172" s="6">
        <v>2949</v>
      </c>
      <c r="F172" s="8">
        <v>2323000000</v>
      </c>
      <c r="G172" s="8">
        <v>10872600000</v>
      </c>
    </row>
    <row r="173" spans="1:7" x14ac:dyDescent="0.25">
      <c r="A173" s="7">
        <v>37728</v>
      </c>
      <c r="B173" s="6">
        <v>2949</v>
      </c>
      <c r="C173" s="6">
        <v>2985.1</v>
      </c>
      <c r="D173" s="6">
        <v>2932.5</v>
      </c>
      <c r="E173" s="6">
        <v>2953.2</v>
      </c>
      <c r="F173" s="8">
        <v>1482200000</v>
      </c>
      <c r="G173" s="8">
        <v>6742000000</v>
      </c>
    </row>
    <row r="174" spans="1:7" x14ac:dyDescent="0.25">
      <c r="A174" s="7">
        <v>37735</v>
      </c>
      <c r="B174" s="6">
        <v>2953.2</v>
      </c>
      <c r="C174" s="6">
        <v>3011.9</v>
      </c>
      <c r="D174" s="6">
        <v>2953.2</v>
      </c>
      <c r="E174" s="6">
        <v>3001.9</v>
      </c>
      <c r="F174" s="8">
        <v>1103700000</v>
      </c>
      <c r="G174" s="8">
        <v>6069200000</v>
      </c>
    </row>
    <row r="175" spans="1:7" x14ac:dyDescent="0.25">
      <c r="A175" s="7">
        <v>37743</v>
      </c>
      <c r="B175" s="6">
        <v>3001.9</v>
      </c>
      <c r="C175" s="6">
        <v>3023.7</v>
      </c>
      <c r="D175" s="6">
        <v>2969.6</v>
      </c>
      <c r="E175" s="6">
        <v>2975.4</v>
      </c>
      <c r="F175" s="8">
        <v>2043000000</v>
      </c>
      <c r="G175" s="8">
        <v>9848700000</v>
      </c>
    </row>
    <row r="176" spans="1:7" x14ac:dyDescent="0.25">
      <c r="A176" s="7">
        <v>37750</v>
      </c>
      <c r="B176" s="6">
        <v>2975.4</v>
      </c>
      <c r="C176" s="6">
        <v>2990.1</v>
      </c>
      <c r="D176" s="6">
        <v>2936.3</v>
      </c>
      <c r="E176" s="6">
        <v>2956</v>
      </c>
      <c r="F176" s="8">
        <v>2201200000</v>
      </c>
      <c r="G176" s="8">
        <v>10971900000</v>
      </c>
    </row>
    <row r="177" spans="1:7" x14ac:dyDescent="0.25">
      <c r="A177" s="7">
        <v>37757</v>
      </c>
      <c r="B177" s="6">
        <v>2956.1</v>
      </c>
      <c r="C177" s="6">
        <v>2994.6</v>
      </c>
      <c r="D177" s="6">
        <v>2942.6</v>
      </c>
      <c r="E177" s="6">
        <v>2951.3</v>
      </c>
      <c r="F177" s="8">
        <v>2207400000</v>
      </c>
      <c r="G177" s="8">
        <v>9786600000</v>
      </c>
    </row>
    <row r="178" spans="1:7" x14ac:dyDescent="0.25">
      <c r="A178" s="7">
        <v>37764</v>
      </c>
      <c r="B178" s="6">
        <v>2951.3</v>
      </c>
      <c r="C178" s="6">
        <v>3004.3</v>
      </c>
      <c r="D178" s="6">
        <v>2917.9</v>
      </c>
      <c r="E178" s="6">
        <v>2997.3</v>
      </c>
      <c r="F178" s="8">
        <v>2298100000</v>
      </c>
      <c r="G178" s="8">
        <v>9616300000</v>
      </c>
    </row>
    <row r="179" spans="1:7" x14ac:dyDescent="0.25">
      <c r="A179" s="7">
        <v>37771</v>
      </c>
      <c r="B179" s="6">
        <v>2997.7</v>
      </c>
      <c r="C179" s="6">
        <v>3026.1</v>
      </c>
      <c r="D179" s="6">
        <v>2981.2</v>
      </c>
      <c r="E179" s="6">
        <v>3011</v>
      </c>
      <c r="F179" s="8">
        <v>2722400000</v>
      </c>
      <c r="G179" s="8">
        <v>11736600000</v>
      </c>
    </row>
    <row r="180" spans="1:7" x14ac:dyDescent="0.25">
      <c r="A180" s="7">
        <v>37778</v>
      </c>
      <c r="B180" s="6">
        <v>3011</v>
      </c>
      <c r="C180" s="6">
        <v>3056.6</v>
      </c>
      <c r="D180" s="6">
        <v>3011</v>
      </c>
      <c r="E180" s="6">
        <v>3048.9</v>
      </c>
      <c r="F180" s="8">
        <v>2226500000</v>
      </c>
      <c r="G180" s="8">
        <v>10543300000</v>
      </c>
    </row>
    <row r="181" spans="1:7" x14ac:dyDescent="0.25">
      <c r="A181" s="7">
        <v>37785</v>
      </c>
      <c r="B181" s="6">
        <v>3048.9</v>
      </c>
      <c r="C181" s="6">
        <v>3092.9</v>
      </c>
      <c r="D181" s="6">
        <v>3040.2</v>
      </c>
      <c r="E181" s="6">
        <v>3087.6</v>
      </c>
      <c r="F181" s="8">
        <v>2506300000</v>
      </c>
      <c r="G181" s="8">
        <v>10053800000</v>
      </c>
    </row>
    <row r="182" spans="1:7" x14ac:dyDescent="0.25">
      <c r="A182" s="7">
        <v>37792</v>
      </c>
      <c r="B182" s="6">
        <v>3087.6</v>
      </c>
      <c r="C182" s="6">
        <v>3124.6</v>
      </c>
      <c r="D182" s="6">
        <v>3070.8</v>
      </c>
      <c r="E182" s="6">
        <v>3089.5</v>
      </c>
      <c r="F182" s="8">
        <v>2785400000</v>
      </c>
      <c r="G182" s="8">
        <v>13673200000</v>
      </c>
    </row>
    <row r="183" spans="1:7" x14ac:dyDescent="0.25">
      <c r="A183" s="7">
        <v>37799</v>
      </c>
      <c r="B183" s="6">
        <v>3089.5</v>
      </c>
      <c r="C183" s="6">
        <v>3107.3</v>
      </c>
      <c r="D183" s="6">
        <v>3022</v>
      </c>
      <c r="E183" s="6">
        <v>3048.8</v>
      </c>
      <c r="F183" s="8">
        <v>2293500000</v>
      </c>
      <c r="G183" s="8">
        <v>11616400000</v>
      </c>
    </row>
    <row r="184" spans="1:7" x14ac:dyDescent="0.25">
      <c r="A184" s="7">
        <v>37806</v>
      </c>
      <c r="B184" s="6">
        <v>3048.8</v>
      </c>
      <c r="C184" s="6">
        <v>3052.1</v>
      </c>
      <c r="D184" s="6">
        <v>3003.8</v>
      </c>
      <c r="E184" s="6">
        <v>3028.4</v>
      </c>
      <c r="F184" s="8">
        <v>1991800000</v>
      </c>
      <c r="G184" s="8">
        <v>9991600000</v>
      </c>
    </row>
    <row r="185" spans="1:7" x14ac:dyDescent="0.25">
      <c r="A185" s="7">
        <v>37813</v>
      </c>
      <c r="B185" s="6">
        <v>3028.4</v>
      </c>
      <c r="C185" s="6">
        <v>3063.7</v>
      </c>
      <c r="D185" s="6">
        <v>3021.5</v>
      </c>
      <c r="E185" s="6">
        <v>3043.8</v>
      </c>
      <c r="F185" s="8">
        <v>2201100000</v>
      </c>
      <c r="G185" s="8">
        <v>10576800000</v>
      </c>
    </row>
    <row r="186" spans="1:7" x14ac:dyDescent="0.25">
      <c r="A186" s="7">
        <v>37820</v>
      </c>
      <c r="B186" s="6">
        <v>3043.8</v>
      </c>
      <c r="C186" s="6">
        <v>3095.3</v>
      </c>
      <c r="D186" s="6">
        <v>3043.7</v>
      </c>
      <c r="E186" s="6">
        <v>3083.6</v>
      </c>
      <c r="F186" s="8">
        <v>1945000000</v>
      </c>
      <c r="G186" s="8">
        <v>9468800000</v>
      </c>
    </row>
    <row r="187" spans="1:7" x14ac:dyDescent="0.25">
      <c r="A187" s="7">
        <v>37827</v>
      </c>
      <c r="B187" s="6">
        <v>3083.6</v>
      </c>
      <c r="C187" s="6">
        <v>3102.6</v>
      </c>
      <c r="D187" s="6">
        <v>3058.9</v>
      </c>
      <c r="E187" s="6">
        <v>3098.6</v>
      </c>
      <c r="F187" s="8">
        <v>1900100000</v>
      </c>
      <c r="G187" s="8">
        <v>10319600000</v>
      </c>
    </row>
    <row r="188" spans="1:7" x14ac:dyDescent="0.25">
      <c r="A188" s="7">
        <v>37834</v>
      </c>
      <c r="B188" s="6">
        <v>3098.6</v>
      </c>
      <c r="C188" s="6">
        <v>3141.6</v>
      </c>
      <c r="D188" s="6">
        <v>3083.5</v>
      </c>
      <c r="E188" s="6">
        <v>3140.3</v>
      </c>
      <c r="F188" s="8">
        <v>2173000000</v>
      </c>
      <c r="G188" s="8">
        <v>10500800000</v>
      </c>
    </row>
    <row r="189" spans="1:7" x14ac:dyDescent="0.25">
      <c r="A189" s="7">
        <v>37841</v>
      </c>
      <c r="B189" s="6">
        <v>3140.3</v>
      </c>
      <c r="C189" s="6">
        <v>3157.7</v>
      </c>
      <c r="D189" s="6">
        <v>3120.1</v>
      </c>
      <c r="E189" s="6">
        <v>3149.4</v>
      </c>
      <c r="F189" s="8">
        <v>1724600000</v>
      </c>
      <c r="G189" s="8">
        <v>8400700000</v>
      </c>
    </row>
    <row r="190" spans="1:7" x14ac:dyDescent="0.25">
      <c r="A190" s="7">
        <v>37848</v>
      </c>
      <c r="B190" s="6">
        <v>3149.4</v>
      </c>
      <c r="C190" s="6">
        <v>3164.4</v>
      </c>
      <c r="D190" s="6">
        <v>3141.6</v>
      </c>
      <c r="E190" s="6">
        <v>3148</v>
      </c>
      <c r="F190" s="8">
        <v>2019800000</v>
      </c>
      <c r="G190" s="8">
        <v>9874900000</v>
      </c>
    </row>
    <row r="191" spans="1:7" x14ac:dyDescent="0.25">
      <c r="A191" s="7">
        <v>37855</v>
      </c>
      <c r="B191" s="6">
        <v>3148</v>
      </c>
      <c r="C191" s="6">
        <v>3185.8</v>
      </c>
      <c r="D191" s="6">
        <v>3148</v>
      </c>
      <c r="E191" s="6">
        <v>3184.4</v>
      </c>
      <c r="F191" s="8">
        <v>2210900000</v>
      </c>
      <c r="G191" s="8">
        <v>11385000000</v>
      </c>
    </row>
    <row r="192" spans="1:7" x14ac:dyDescent="0.25">
      <c r="A192" s="7">
        <v>37862</v>
      </c>
      <c r="B192" s="6">
        <v>3184.4</v>
      </c>
      <c r="C192" s="6">
        <v>3210.7</v>
      </c>
      <c r="D192" s="6">
        <v>3161.8</v>
      </c>
      <c r="E192" s="6">
        <v>3199.7</v>
      </c>
      <c r="F192" s="8">
        <v>2811100000</v>
      </c>
      <c r="G192" s="8">
        <v>15814200000</v>
      </c>
    </row>
    <row r="193" spans="1:7" x14ac:dyDescent="0.25">
      <c r="A193" s="7">
        <v>37869</v>
      </c>
      <c r="B193" s="6">
        <v>3199.7</v>
      </c>
      <c r="C193" s="6">
        <v>3237.4</v>
      </c>
      <c r="D193" s="6">
        <v>3199.7</v>
      </c>
      <c r="E193" s="6">
        <v>3213.8</v>
      </c>
      <c r="F193" s="8">
        <v>2664700000</v>
      </c>
      <c r="G193" s="8">
        <v>12687200000</v>
      </c>
    </row>
    <row r="194" spans="1:7" x14ac:dyDescent="0.25">
      <c r="A194" s="7">
        <v>37876</v>
      </c>
      <c r="B194" s="6">
        <v>3213.8</v>
      </c>
      <c r="C194" s="6">
        <v>3247.4</v>
      </c>
      <c r="D194" s="6">
        <v>3189.2</v>
      </c>
      <c r="E194" s="6">
        <v>3192.5</v>
      </c>
      <c r="F194" s="8">
        <v>2094200000</v>
      </c>
      <c r="G194" s="8">
        <v>9977600000</v>
      </c>
    </row>
    <row r="195" spans="1:7" x14ac:dyDescent="0.25">
      <c r="A195" s="7">
        <v>37883</v>
      </c>
      <c r="B195" s="6">
        <v>3192.5</v>
      </c>
      <c r="C195" s="6">
        <v>3247.1</v>
      </c>
      <c r="D195" s="6">
        <v>3183.2</v>
      </c>
      <c r="E195" s="6">
        <v>3218.1</v>
      </c>
      <c r="F195" s="8">
        <v>2212800000</v>
      </c>
      <c r="G195" s="8">
        <v>11573800000</v>
      </c>
    </row>
    <row r="196" spans="1:7" x14ac:dyDescent="0.25">
      <c r="A196" s="7">
        <v>37890</v>
      </c>
      <c r="B196" s="6">
        <v>3218.1</v>
      </c>
      <c r="C196" s="6">
        <v>3220</v>
      </c>
      <c r="D196" s="6">
        <v>3163.4</v>
      </c>
      <c r="E196" s="6">
        <v>3171.5</v>
      </c>
      <c r="F196" s="8">
        <v>2348300000</v>
      </c>
      <c r="G196" s="8">
        <v>13261500000</v>
      </c>
    </row>
    <row r="197" spans="1:7" x14ac:dyDescent="0.25">
      <c r="A197" s="7">
        <v>37897</v>
      </c>
      <c r="B197" s="6">
        <v>3171.5</v>
      </c>
      <c r="C197" s="6">
        <v>3206.8</v>
      </c>
      <c r="D197" s="6">
        <v>3153</v>
      </c>
      <c r="E197" s="6">
        <v>3203.3</v>
      </c>
      <c r="F197" s="8">
        <v>2258000000</v>
      </c>
      <c r="G197" s="8">
        <v>11282300000</v>
      </c>
    </row>
    <row r="198" spans="1:7" x14ac:dyDescent="0.25">
      <c r="A198" s="7">
        <v>37904</v>
      </c>
      <c r="B198" s="6">
        <v>3203.3</v>
      </c>
      <c r="C198" s="6">
        <v>3267.8</v>
      </c>
      <c r="D198" s="6">
        <v>3203.3</v>
      </c>
      <c r="E198" s="6">
        <v>3260.2</v>
      </c>
      <c r="F198" s="8">
        <v>1686000000</v>
      </c>
      <c r="G198" s="8">
        <v>9359200000</v>
      </c>
    </row>
    <row r="199" spans="1:7" x14ac:dyDescent="0.25">
      <c r="A199" s="7">
        <v>37911</v>
      </c>
      <c r="B199" s="6">
        <v>3260.2</v>
      </c>
      <c r="C199" s="6">
        <v>3299.7</v>
      </c>
      <c r="D199" s="6">
        <v>3260.2</v>
      </c>
      <c r="E199" s="6">
        <v>3294.3</v>
      </c>
      <c r="F199" s="8">
        <v>2003400000</v>
      </c>
      <c r="G199" s="8">
        <v>11211500000</v>
      </c>
    </row>
    <row r="200" spans="1:7" x14ac:dyDescent="0.25">
      <c r="A200" s="7">
        <v>37918</v>
      </c>
      <c r="B200" s="6">
        <v>3294.3</v>
      </c>
      <c r="C200" s="6">
        <v>3311.8</v>
      </c>
      <c r="D200" s="6">
        <v>3254.3</v>
      </c>
      <c r="E200" s="6">
        <v>3256.3</v>
      </c>
      <c r="F200" s="8">
        <v>1889800000</v>
      </c>
      <c r="G200" s="8">
        <v>10051700000</v>
      </c>
    </row>
    <row r="201" spans="1:7" x14ac:dyDescent="0.25">
      <c r="A201" s="7">
        <v>37925</v>
      </c>
      <c r="B201" s="6">
        <v>3256.3</v>
      </c>
      <c r="C201" s="6">
        <v>3286.6</v>
      </c>
      <c r="D201" s="6">
        <v>3240.5</v>
      </c>
      <c r="E201" s="6">
        <v>3272</v>
      </c>
      <c r="F201" s="8">
        <v>1960300000</v>
      </c>
      <c r="G201" s="8">
        <v>12171100000</v>
      </c>
    </row>
    <row r="202" spans="1:7" x14ac:dyDescent="0.25">
      <c r="A202" s="7">
        <v>37932</v>
      </c>
      <c r="B202" s="6">
        <v>3272</v>
      </c>
      <c r="C202" s="6">
        <v>3276.3</v>
      </c>
      <c r="D202" s="6">
        <v>3226.4</v>
      </c>
      <c r="E202" s="6">
        <v>3248.5</v>
      </c>
      <c r="F202" s="8">
        <v>1918400000</v>
      </c>
      <c r="G202" s="8">
        <v>10134300000</v>
      </c>
    </row>
    <row r="203" spans="1:7" x14ac:dyDescent="0.25">
      <c r="A203" s="7">
        <v>37939</v>
      </c>
      <c r="B203" s="6">
        <v>3248.5</v>
      </c>
      <c r="C203" s="6">
        <v>3248.5</v>
      </c>
      <c r="D203" s="6">
        <v>3195</v>
      </c>
      <c r="E203" s="6">
        <v>3201.8</v>
      </c>
      <c r="F203" s="8">
        <v>2217600000</v>
      </c>
      <c r="G203" s="8">
        <v>11729800000</v>
      </c>
    </row>
    <row r="204" spans="1:7" x14ac:dyDescent="0.25">
      <c r="A204" s="7">
        <v>37946</v>
      </c>
      <c r="B204" s="6">
        <v>3201.8</v>
      </c>
      <c r="C204" s="6">
        <v>3201.8</v>
      </c>
      <c r="D204" s="6">
        <v>3158.8</v>
      </c>
      <c r="E204" s="6">
        <v>3169.1</v>
      </c>
      <c r="F204" s="8">
        <v>1964600000</v>
      </c>
      <c r="G204" s="8">
        <v>10409700000</v>
      </c>
    </row>
    <row r="205" spans="1:7" x14ac:dyDescent="0.25">
      <c r="A205" s="7">
        <v>37953</v>
      </c>
      <c r="B205" s="6">
        <v>3169.1</v>
      </c>
      <c r="C205" s="6">
        <v>3201.4</v>
      </c>
      <c r="D205" s="6">
        <v>3167</v>
      </c>
      <c r="E205" s="6">
        <v>3186.4</v>
      </c>
      <c r="F205" s="8">
        <v>1611500000</v>
      </c>
      <c r="G205" s="8">
        <v>9350199000</v>
      </c>
    </row>
    <row r="206" spans="1:7" x14ac:dyDescent="0.25">
      <c r="A206" s="7">
        <v>37960</v>
      </c>
      <c r="B206" s="6">
        <v>3186.4</v>
      </c>
      <c r="C206" s="6">
        <v>3234.7</v>
      </c>
      <c r="D206" s="6">
        <v>3162.5</v>
      </c>
      <c r="E206" s="6">
        <v>3229.8</v>
      </c>
      <c r="F206" s="8">
        <v>1676100000</v>
      </c>
      <c r="G206" s="8">
        <v>9782700000</v>
      </c>
    </row>
    <row r="207" spans="1:7" x14ac:dyDescent="0.25">
      <c r="A207" s="7">
        <v>37967</v>
      </c>
      <c r="B207" s="6">
        <v>3229.8</v>
      </c>
      <c r="C207" s="6">
        <v>3243.9</v>
      </c>
      <c r="D207" s="6">
        <v>3186.2</v>
      </c>
      <c r="E207" s="6">
        <v>3212.7</v>
      </c>
      <c r="F207" s="8">
        <v>1817900000</v>
      </c>
      <c r="G207" s="8">
        <v>9405900000</v>
      </c>
    </row>
    <row r="208" spans="1:7" x14ac:dyDescent="0.25">
      <c r="A208" s="7">
        <v>37974</v>
      </c>
      <c r="B208" s="6">
        <v>3212.7</v>
      </c>
      <c r="C208" s="6">
        <v>3249.7</v>
      </c>
      <c r="D208" s="6">
        <v>3212.7</v>
      </c>
      <c r="E208" s="6">
        <v>3232.8</v>
      </c>
      <c r="F208" s="8">
        <v>2478900000</v>
      </c>
      <c r="G208" s="8">
        <v>14161300000</v>
      </c>
    </row>
    <row r="209" spans="1:7" x14ac:dyDescent="0.25">
      <c r="A209" s="7">
        <v>37979</v>
      </c>
      <c r="B209" s="6">
        <v>3232.8</v>
      </c>
      <c r="C209" s="6">
        <v>3267</v>
      </c>
      <c r="D209" s="6">
        <v>3232.8</v>
      </c>
      <c r="E209" s="6">
        <v>3265.6</v>
      </c>
      <c r="F209" s="8">
        <v>1055000000</v>
      </c>
      <c r="G209" s="8">
        <v>3505800000</v>
      </c>
    </row>
    <row r="210" spans="1:7" x14ac:dyDescent="0.25">
      <c r="A210" s="7">
        <v>37988</v>
      </c>
      <c r="B210" s="6">
        <v>3265.6</v>
      </c>
      <c r="C210" s="6">
        <v>3302.7</v>
      </c>
      <c r="D210" s="6">
        <v>3265.6</v>
      </c>
      <c r="E210" s="6">
        <v>3300.7</v>
      </c>
      <c r="F210" s="8">
        <v>601400000</v>
      </c>
      <c r="G210" s="8">
        <v>2838300000</v>
      </c>
    </row>
    <row r="211" spans="1:7" x14ac:dyDescent="0.25">
      <c r="A211" s="7">
        <v>37995</v>
      </c>
      <c r="B211" s="6">
        <v>3300.7</v>
      </c>
      <c r="C211" s="6">
        <v>3323.2</v>
      </c>
      <c r="D211" s="6">
        <v>3283.2</v>
      </c>
      <c r="E211" s="6">
        <v>3301.6</v>
      </c>
      <c r="F211" s="8">
        <v>1713400000</v>
      </c>
      <c r="G211" s="8">
        <v>9396799000</v>
      </c>
    </row>
    <row r="212" spans="1:7" x14ac:dyDescent="0.25">
      <c r="A212" s="7">
        <v>38002</v>
      </c>
      <c r="B212" s="6">
        <v>3301.6</v>
      </c>
      <c r="C212" s="6">
        <v>3316.9</v>
      </c>
      <c r="D212" s="6">
        <v>3285.5</v>
      </c>
      <c r="E212" s="6">
        <v>3288.8</v>
      </c>
      <c r="F212" s="8">
        <v>2150600000</v>
      </c>
      <c r="G212" s="8">
        <v>12150600000</v>
      </c>
    </row>
    <row r="213" spans="1:7" x14ac:dyDescent="0.25">
      <c r="A213" s="7">
        <v>38009</v>
      </c>
      <c r="B213" s="6">
        <v>3288.8</v>
      </c>
      <c r="C213" s="6">
        <v>3336.6</v>
      </c>
      <c r="D213" s="6">
        <v>3288.8</v>
      </c>
      <c r="E213" s="6">
        <v>3334.7</v>
      </c>
      <c r="F213" s="8">
        <v>1983100000</v>
      </c>
      <c r="G213" s="8">
        <v>10948900000</v>
      </c>
    </row>
    <row r="214" spans="1:7" x14ac:dyDescent="0.25">
      <c r="A214" s="7">
        <v>38016</v>
      </c>
      <c r="B214" s="6">
        <v>3334.7</v>
      </c>
      <c r="C214" s="6">
        <v>3346.2</v>
      </c>
      <c r="D214" s="6">
        <v>3258.3</v>
      </c>
      <c r="E214" s="6">
        <v>3272</v>
      </c>
      <c r="F214" s="8">
        <v>2165800000</v>
      </c>
      <c r="G214" s="8">
        <v>13274300000</v>
      </c>
    </row>
    <row r="215" spans="1:7" x14ac:dyDescent="0.25">
      <c r="A215" s="7">
        <v>38023</v>
      </c>
      <c r="B215" s="6">
        <v>3272</v>
      </c>
      <c r="C215" s="6">
        <v>3285.8</v>
      </c>
      <c r="D215" s="6">
        <v>3252.9</v>
      </c>
      <c r="E215" s="6">
        <v>3272.2</v>
      </c>
      <c r="F215" s="8">
        <v>1922600000</v>
      </c>
      <c r="G215" s="8">
        <v>10329100000</v>
      </c>
    </row>
    <row r="216" spans="1:7" x14ac:dyDescent="0.25">
      <c r="A216" s="7">
        <v>38030</v>
      </c>
      <c r="B216" s="6">
        <v>3272.2</v>
      </c>
      <c r="C216" s="6">
        <v>3337.5</v>
      </c>
      <c r="D216" s="6">
        <v>3272.2</v>
      </c>
      <c r="E216" s="6">
        <v>3333.7</v>
      </c>
      <c r="F216" s="8">
        <v>2141500000</v>
      </c>
      <c r="G216" s="8">
        <v>11595400000</v>
      </c>
    </row>
    <row r="217" spans="1:7" x14ac:dyDescent="0.25">
      <c r="A217" s="7">
        <v>38037</v>
      </c>
      <c r="B217" s="6">
        <v>3333.7</v>
      </c>
      <c r="C217" s="6">
        <v>3357.3</v>
      </c>
      <c r="D217" s="6">
        <v>3316.9</v>
      </c>
      <c r="E217" s="6">
        <v>3344.1</v>
      </c>
      <c r="F217" s="8">
        <v>1876900000</v>
      </c>
      <c r="G217" s="8">
        <v>10252400000</v>
      </c>
    </row>
    <row r="218" spans="1:7" x14ac:dyDescent="0.25">
      <c r="A218" s="7">
        <v>38044</v>
      </c>
      <c r="B218" s="6">
        <v>3344.1</v>
      </c>
      <c r="C218" s="6">
        <v>3360.9</v>
      </c>
      <c r="D218" s="6">
        <v>3320.9</v>
      </c>
      <c r="E218" s="6">
        <v>3360.6</v>
      </c>
      <c r="F218" s="8">
        <v>2329200000</v>
      </c>
      <c r="G218" s="8">
        <v>12293200000</v>
      </c>
    </row>
    <row r="219" spans="1:7" x14ac:dyDescent="0.25">
      <c r="A219" s="7">
        <v>38051</v>
      </c>
      <c r="B219" s="6">
        <v>3360.6</v>
      </c>
      <c r="C219" s="6">
        <v>3407.5</v>
      </c>
      <c r="D219" s="6">
        <v>3360.6</v>
      </c>
      <c r="E219" s="6">
        <v>3407.5</v>
      </c>
      <c r="F219" s="8">
        <v>2325200000</v>
      </c>
      <c r="G219" s="8">
        <v>11726700000</v>
      </c>
    </row>
    <row r="220" spans="1:7" x14ac:dyDescent="0.25">
      <c r="A220" s="7">
        <v>38058</v>
      </c>
      <c r="B220" s="6">
        <v>3407.5</v>
      </c>
      <c r="C220" s="6">
        <v>3429.3</v>
      </c>
      <c r="D220" s="6">
        <v>3391.1</v>
      </c>
      <c r="E220" s="6">
        <v>3402.3</v>
      </c>
      <c r="F220" s="8">
        <v>2381600000</v>
      </c>
      <c r="G220" s="8">
        <v>12869300000</v>
      </c>
    </row>
    <row r="221" spans="1:7" x14ac:dyDescent="0.25">
      <c r="A221" s="7">
        <v>38065</v>
      </c>
      <c r="B221" s="6">
        <v>3402.3</v>
      </c>
      <c r="C221" s="6">
        <v>3456.1</v>
      </c>
      <c r="D221" s="6">
        <v>3395</v>
      </c>
      <c r="E221" s="6">
        <v>3435.3</v>
      </c>
      <c r="F221" s="8">
        <v>2381200000</v>
      </c>
      <c r="G221" s="8">
        <v>12136900000</v>
      </c>
    </row>
    <row r="222" spans="1:7" x14ac:dyDescent="0.25">
      <c r="A222" s="7">
        <v>38072</v>
      </c>
      <c r="B222" s="6">
        <v>3435.3</v>
      </c>
      <c r="C222" s="6">
        <v>3435.7</v>
      </c>
      <c r="D222" s="6">
        <v>3376.3</v>
      </c>
      <c r="E222" s="6">
        <v>3428.5</v>
      </c>
      <c r="F222" s="8">
        <v>2464100000</v>
      </c>
      <c r="G222" s="8">
        <v>13794400000</v>
      </c>
    </row>
    <row r="223" spans="1:7" x14ac:dyDescent="0.25">
      <c r="A223" s="7">
        <v>38079</v>
      </c>
      <c r="B223" s="6">
        <v>3428.5</v>
      </c>
      <c r="C223" s="6">
        <v>3447.6</v>
      </c>
      <c r="D223" s="6">
        <v>3409.5</v>
      </c>
      <c r="E223" s="6">
        <v>3438.6</v>
      </c>
      <c r="F223" s="8">
        <v>2278700000</v>
      </c>
      <c r="G223" s="8">
        <v>11447700000</v>
      </c>
    </row>
    <row r="224" spans="1:7" x14ac:dyDescent="0.25">
      <c r="A224" s="7">
        <v>38085</v>
      </c>
      <c r="B224" s="6">
        <v>3438.6</v>
      </c>
      <c r="C224" s="6">
        <v>3469.2</v>
      </c>
      <c r="D224" s="6">
        <v>3438.6</v>
      </c>
      <c r="E224" s="6">
        <v>3450.6</v>
      </c>
      <c r="F224" s="8">
        <v>1601100000</v>
      </c>
      <c r="G224" s="8">
        <v>9456600000</v>
      </c>
    </row>
    <row r="225" spans="1:7" x14ac:dyDescent="0.25">
      <c r="A225" s="7">
        <v>38093</v>
      </c>
      <c r="B225" s="6">
        <v>3450.6</v>
      </c>
      <c r="C225" s="6">
        <v>3456.4</v>
      </c>
      <c r="D225" s="6">
        <v>3408.5</v>
      </c>
      <c r="E225" s="6">
        <v>3417.3</v>
      </c>
      <c r="F225" s="8">
        <v>1634500000</v>
      </c>
      <c r="G225" s="8">
        <v>8906600000</v>
      </c>
    </row>
    <row r="226" spans="1:7" x14ac:dyDescent="0.25">
      <c r="A226" s="7">
        <v>38100</v>
      </c>
      <c r="B226" s="6">
        <v>3417.3</v>
      </c>
      <c r="C226" s="6">
        <v>3468</v>
      </c>
      <c r="D226" s="6">
        <v>3417.3</v>
      </c>
      <c r="E226" s="6">
        <v>3457</v>
      </c>
      <c r="F226" s="8">
        <v>2241900000</v>
      </c>
      <c r="G226" s="8">
        <v>12512000000</v>
      </c>
    </row>
    <row r="227" spans="1:7" x14ac:dyDescent="0.25">
      <c r="A227" s="7">
        <v>38107</v>
      </c>
      <c r="B227" s="6">
        <v>3457.4</v>
      </c>
      <c r="C227" s="6">
        <v>3460.4</v>
      </c>
      <c r="D227" s="6">
        <v>3378.6</v>
      </c>
      <c r="E227" s="6">
        <v>3400.8</v>
      </c>
      <c r="F227" s="8">
        <v>2293900000</v>
      </c>
      <c r="G227" s="8">
        <v>12873300000</v>
      </c>
    </row>
    <row r="228" spans="1:7" x14ac:dyDescent="0.25">
      <c r="A228" s="7">
        <v>38114</v>
      </c>
      <c r="B228" s="6">
        <v>3400.8</v>
      </c>
      <c r="C228" s="6">
        <v>3412.6</v>
      </c>
      <c r="D228" s="6">
        <v>3376.7</v>
      </c>
      <c r="E228" s="6">
        <v>3393.2</v>
      </c>
      <c r="F228" s="8">
        <v>2365900000</v>
      </c>
      <c r="G228" s="8">
        <v>11792200000</v>
      </c>
    </row>
    <row r="229" spans="1:7" x14ac:dyDescent="0.25">
      <c r="A229" s="7">
        <v>38121</v>
      </c>
      <c r="B229" s="6">
        <v>3393.2</v>
      </c>
      <c r="C229" s="6">
        <v>3393.2</v>
      </c>
      <c r="D229" s="6">
        <v>3341</v>
      </c>
      <c r="E229" s="6">
        <v>3359.5</v>
      </c>
      <c r="F229" s="8">
        <v>2216800000</v>
      </c>
      <c r="G229" s="8">
        <v>12122800000</v>
      </c>
    </row>
    <row r="230" spans="1:7" x14ac:dyDescent="0.25">
      <c r="A230" s="7">
        <v>38128</v>
      </c>
      <c r="B230" s="6">
        <v>3359.5</v>
      </c>
      <c r="C230" s="6">
        <v>3397.9</v>
      </c>
      <c r="D230" s="6">
        <v>3343.4</v>
      </c>
      <c r="E230" s="6">
        <v>3395.4</v>
      </c>
      <c r="F230" s="8">
        <v>2007500000</v>
      </c>
      <c r="G230" s="8">
        <v>10821500000</v>
      </c>
    </row>
    <row r="231" spans="1:7" x14ac:dyDescent="0.25">
      <c r="A231" s="7">
        <v>38135</v>
      </c>
      <c r="B231" s="6">
        <v>3395.4</v>
      </c>
      <c r="C231" s="6">
        <v>3467.6</v>
      </c>
      <c r="D231" s="6">
        <v>3390.8</v>
      </c>
      <c r="E231" s="6">
        <v>3450.4</v>
      </c>
      <c r="F231" s="8">
        <v>2562300000</v>
      </c>
      <c r="G231" s="8">
        <v>14169700000</v>
      </c>
    </row>
    <row r="232" spans="1:7" x14ac:dyDescent="0.25">
      <c r="A232" s="7">
        <v>38142</v>
      </c>
      <c r="B232" s="6">
        <v>3450.4</v>
      </c>
      <c r="C232" s="6">
        <v>3478</v>
      </c>
      <c r="D232" s="6">
        <v>3449.9</v>
      </c>
      <c r="E232" s="6">
        <v>3467.7</v>
      </c>
      <c r="F232" s="8">
        <v>1940800000</v>
      </c>
      <c r="G232" s="8">
        <v>10216900000</v>
      </c>
    </row>
    <row r="233" spans="1:7" x14ac:dyDescent="0.25">
      <c r="A233" s="7">
        <v>38149</v>
      </c>
      <c r="B233" s="6">
        <v>3467.7</v>
      </c>
      <c r="C233" s="6">
        <v>3501.6</v>
      </c>
      <c r="D233" s="6">
        <v>3458.7</v>
      </c>
      <c r="E233" s="6">
        <v>3478.2</v>
      </c>
      <c r="F233" s="8">
        <v>2187900000</v>
      </c>
      <c r="G233" s="8">
        <v>11612800000</v>
      </c>
    </row>
    <row r="234" spans="1:7" x14ac:dyDescent="0.25">
      <c r="A234" s="7">
        <v>38156</v>
      </c>
      <c r="B234" s="6">
        <v>3478.2</v>
      </c>
      <c r="C234" s="6">
        <v>3531.1</v>
      </c>
      <c r="D234" s="6">
        <v>3457.9</v>
      </c>
      <c r="E234" s="6">
        <v>3527.7</v>
      </c>
      <c r="F234" s="8">
        <v>2339200000</v>
      </c>
      <c r="G234" s="8">
        <v>12523500000</v>
      </c>
    </row>
    <row r="235" spans="1:7" x14ac:dyDescent="0.25">
      <c r="A235" s="7">
        <v>38163</v>
      </c>
      <c r="B235" s="6">
        <v>3527.7</v>
      </c>
      <c r="C235" s="6">
        <v>3556.4</v>
      </c>
      <c r="D235" s="6">
        <v>3527.7</v>
      </c>
      <c r="E235" s="6">
        <v>3529.2</v>
      </c>
      <c r="F235" s="8">
        <v>2879500000</v>
      </c>
      <c r="G235" s="8">
        <v>17533500000</v>
      </c>
    </row>
    <row r="236" spans="1:7" x14ac:dyDescent="0.25">
      <c r="A236" s="7">
        <v>38170</v>
      </c>
      <c r="B236" s="6">
        <v>3529.2</v>
      </c>
      <c r="C236" s="6">
        <v>3540.5</v>
      </c>
      <c r="D236" s="6">
        <v>3514.6</v>
      </c>
      <c r="E236" s="6">
        <v>3534.4</v>
      </c>
      <c r="F236" s="8">
        <v>2325700000</v>
      </c>
      <c r="G236" s="8">
        <v>11847800000</v>
      </c>
    </row>
    <row r="237" spans="1:7" x14ac:dyDescent="0.25">
      <c r="A237" s="7">
        <v>38177</v>
      </c>
      <c r="B237" s="6">
        <v>3534.4</v>
      </c>
      <c r="C237" s="6">
        <v>3568.7</v>
      </c>
      <c r="D237" s="6">
        <v>3520.9</v>
      </c>
      <c r="E237" s="6">
        <v>3564</v>
      </c>
      <c r="F237" s="8">
        <v>2361000000</v>
      </c>
      <c r="G237" s="8">
        <v>12012500000</v>
      </c>
    </row>
    <row r="238" spans="1:7" x14ac:dyDescent="0.25">
      <c r="A238" s="7">
        <v>38184</v>
      </c>
      <c r="B238" s="6">
        <v>3564</v>
      </c>
      <c r="C238" s="6">
        <v>3568</v>
      </c>
      <c r="D238" s="6">
        <v>3518.7</v>
      </c>
      <c r="E238" s="6">
        <v>3531</v>
      </c>
      <c r="F238" s="8">
        <v>1804700000</v>
      </c>
      <c r="G238" s="8">
        <v>11843900000</v>
      </c>
    </row>
    <row r="239" spans="1:7" x14ac:dyDescent="0.25">
      <c r="A239" s="7">
        <v>38191</v>
      </c>
      <c r="B239" s="6">
        <v>3531</v>
      </c>
      <c r="C239" s="6">
        <v>3535.8</v>
      </c>
      <c r="D239" s="6">
        <v>3485.2</v>
      </c>
      <c r="E239" s="6">
        <v>3485.2</v>
      </c>
      <c r="F239" s="8">
        <v>2244800000</v>
      </c>
      <c r="G239" s="8">
        <v>13774000000</v>
      </c>
    </row>
    <row r="240" spans="1:7" x14ac:dyDescent="0.25">
      <c r="A240" s="7">
        <v>38198</v>
      </c>
      <c r="B240" s="6">
        <v>3485.2</v>
      </c>
      <c r="C240" s="6">
        <v>3538.6</v>
      </c>
      <c r="D240" s="6">
        <v>3478.2</v>
      </c>
      <c r="E240" s="6">
        <v>3536.1</v>
      </c>
      <c r="F240" s="8">
        <v>2366500000</v>
      </c>
      <c r="G240" s="8">
        <v>14033500000</v>
      </c>
    </row>
    <row r="241" spans="1:7" x14ac:dyDescent="0.25">
      <c r="A241" s="7">
        <v>38205</v>
      </c>
      <c r="B241" s="6">
        <v>3536.1</v>
      </c>
      <c r="C241" s="6">
        <v>3562.6</v>
      </c>
      <c r="D241" s="6">
        <v>3519.3</v>
      </c>
      <c r="E241" s="6">
        <v>3530.6</v>
      </c>
      <c r="F241" s="8">
        <v>1871400000</v>
      </c>
      <c r="G241" s="8">
        <v>10513200000</v>
      </c>
    </row>
    <row r="242" spans="1:7" x14ac:dyDescent="0.25">
      <c r="A242" s="7">
        <v>38212</v>
      </c>
      <c r="B242" s="6">
        <v>3530.6</v>
      </c>
      <c r="C242" s="6">
        <v>3530.6</v>
      </c>
      <c r="D242" s="6">
        <v>3475.5</v>
      </c>
      <c r="E242" s="6">
        <v>3477.8</v>
      </c>
      <c r="F242" s="8">
        <v>2138400000</v>
      </c>
      <c r="G242" s="8">
        <v>11958900000</v>
      </c>
    </row>
    <row r="243" spans="1:7" x14ac:dyDescent="0.25">
      <c r="A243" s="7">
        <v>38219</v>
      </c>
      <c r="B243" s="6">
        <v>3477.8</v>
      </c>
      <c r="C243" s="6">
        <v>3502.2</v>
      </c>
      <c r="D243" s="6">
        <v>3467.1</v>
      </c>
      <c r="E243" s="6">
        <v>3497.7</v>
      </c>
      <c r="F243" s="8">
        <v>1865600000</v>
      </c>
      <c r="G243" s="8">
        <v>11187900000</v>
      </c>
    </row>
    <row r="244" spans="1:7" x14ac:dyDescent="0.25">
      <c r="A244" s="7">
        <v>38226</v>
      </c>
      <c r="B244" s="6">
        <v>3497.7</v>
      </c>
      <c r="C244" s="6">
        <v>3565.3</v>
      </c>
      <c r="D244" s="6">
        <v>3497.7</v>
      </c>
      <c r="E244" s="6">
        <v>3558.9</v>
      </c>
      <c r="F244" s="8">
        <v>2321400000</v>
      </c>
      <c r="G244" s="8">
        <v>13140700000</v>
      </c>
    </row>
    <row r="245" spans="1:7" x14ac:dyDescent="0.25">
      <c r="A245" s="7">
        <v>38233</v>
      </c>
      <c r="B245" s="6">
        <v>3558.9</v>
      </c>
      <c r="C245" s="6">
        <v>3595</v>
      </c>
      <c r="D245" s="6">
        <v>3551.9</v>
      </c>
      <c r="E245" s="6">
        <v>3577.3</v>
      </c>
      <c r="F245" s="8">
        <v>2335800000</v>
      </c>
      <c r="G245" s="8">
        <v>12717400000</v>
      </c>
    </row>
    <row r="246" spans="1:7" x14ac:dyDescent="0.25">
      <c r="A246" s="7">
        <v>38240</v>
      </c>
      <c r="B246" s="6">
        <v>3577.3</v>
      </c>
      <c r="C246" s="6">
        <v>3608.2</v>
      </c>
      <c r="D246" s="6">
        <v>3574.2</v>
      </c>
      <c r="E246" s="6">
        <v>3596</v>
      </c>
      <c r="F246" s="8">
        <v>2118600000</v>
      </c>
      <c r="G246" s="8">
        <v>10028300000</v>
      </c>
    </row>
    <row r="247" spans="1:7" x14ac:dyDescent="0.25">
      <c r="A247" s="7">
        <v>38247</v>
      </c>
      <c r="B247" s="6">
        <v>3596</v>
      </c>
      <c r="C247" s="6">
        <v>3636.4</v>
      </c>
      <c r="D247" s="6">
        <v>3594.6</v>
      </c>
      <c r="E247" s="6">
        <v>3631.6</v>
      </c>
      <c r="F247" s="8">
        <v>2258300000</v>
      </c>
      <c r="G247" s="8">
        <v>13303200000</v>
      </c>
    </row>
    <row r="248" spans="1:7" x14ac:dyDescent="0.25">
      <c r="A248" s="7">
        <v>38254</v>
      </c>
      <c r="B248" s="6">
        <v>3631.6</v>
      </c>
      <c r="C248" s="6">
        <v>3644.3</v>
      </c>
      <c r="D248" s="6">
        <v>3613.9</v>
      </c>
      <c r="E248" s="6">
        <v>3623.9</v>
      </c>
      <c r="F248" s="8">
        <v>2361300000</v>
      </c>
      <c r="G248" s="8">
        <v>13030100000</v>
      </c>
    </row>
    <row r="249" spans="1:7" x14ac:dyDescent="0.25">
      <c r="A249" s="7">
        <v>38261</v>
      </c>
      <c r="B249" s="6">
        <v>3623.9</v>
      </c>
      <c r="C249" s="6">
        <v>3674.2</v>
      </c>
      <c r="D249" s="6">
        <v>3610</v>
      </c>
      <c r="E249" s="6">
        <v>3659.6</v>
      </c>
      <c r="F249" s="8">
        <v>2155600000</v>
      </c>
      <c r="G249" s="8">
        <v>11978300000</v>
      </c>
    </row>
    <row r="250" spans="1:7" x14ac:dyDescent="0.25">
      <c r="A250" s="7">
        <v>38268</v>
      </c>
      <c r="B250" s="6">
        <v>3659.6</v>
      </c>
      <c r="C250" s="6">
        <v>3720.4</v>
      </c>
      <c r="D250" s="6">
        <v>3659.6</v>
      </c>
      <c r="E250" s="6">
        <v>3686.8</v>
      </c>
      <c r="F250" s="8">
        <v>2111600000</v>
      </c>
      <c r="G250" s="8">
        <v>11406200000</v>
      </c>
    </row>
    <row r="251" spans="1:7" x14ac:dyDescent="0.25">
      <c r="A251" s="7">
        <v>38275</v>
      </c>
      <c r="B251" s="6">
        <v>3686.8</v>
      </c>
      <c r="C251" s="6">
        <v>3725.2</v>
      </c>
      <c r="D251" s="6">
        <v>3686.8</v>
      </c>
      <c r="E251" s="6">
        <v>3720.5</v>
      </c>
      <c r="F251" s="8">
        <v>2906300000</v>
      </c>
      <c r="G251" s="8">
        <v>16035100000</v>
      </c>
    </row>
    <row r="252" spans="1:7" x14ac:dyDescent="0.25">
      <c r="A252" s="7">
        <v>38282</v>
      </c>
      <c r="B252" s="6">
        <v>3720.9</v>
      </c>
      <c r="C252" s="6">
        <v>3720.9</v>
      </c>
      <c r="D252" s="6">
        <v>3695.4</v>
      </c>
      <c r="E252" s="6">
        <v>3709.9</v>
      </c>
      <c r="F252" s="8">
        <v>2519800000</v>
      </c>
      <c r="G252" s="8">
        <v>14275500000</v>
      </c>
    </row>
    <row r="253" spans="1:7" x14ac:dyDescent="0.25">
      <c r="A253" s="7">
        <v>38289</v>
      </c>
      <c r="B253" s="6">
        <v>3709.9</v>
      </c>
      <c r="C253" s="6">
        <v>3779.5</v>
      </c>
      <c r="D253" s="6">
        <v>3674.9</v>
      </c>
      <c r="E253" s="6">
        <v>3778.6</v>
      </c>
      <c r="F253" s="8">
        <v>3505600000</v>
      </c>
      <c r="G253" s="8">
        <v>21548900000</v>
      </c>
    </row>
    <row r="254" spans="1:7" x14ac:dyDescent="0.25">
      <c r="A254" s="7">
        <v>38296</v>
      </c>
      <c r="B254" s="6">
        <v>3778.6</v>
      </c>
      <c r="C254" s="6">
        <v>3854.9</v>
      </c>
      <c r="D254" s="6">
        <v>3777.9</v>
      </c>
      <c r="E254" s="6">
        <v>3843.5</v>
      </c>
      <c r="F254" s="8">
        <v>2582800000</v>
      </c>
      <c r="G254" s="8">
        <v>17217900000</v>
      </c>
    </row>
    <row r="255" spans="1:7" x14ac:dyDescent="0.25">
      <c r="A255" s="7">
        <v>38303</v>
      </c>
      <c r="B255" s="6">
        <v>3843.5</v>
      </c>
      <c r="C255" s="6">
        <v>3868.2</v>
      </c>
      <c r="D255" s="6">
        <v>3821.2</v>
      </c>
      <c r="E255" s="6">
        <v>3862.5</v>
      </c>
      <c r="F255" s="8">
        <v>2271100000</v>
      </c>
      <c r="G255" s="8">
        <v>14574500000</v>
      </c>
    </row>
    <row r="256" spans="1:7" x14ac:dyDescent="0.25">
      <c r="A256" s="7">
        <v>38310</v>
      </c>
      <c r="B256" s="6">
        <v>3862.5</v>
      </c>
      <c r="C256" s="6">
        <v>3889</v>
      </c>
      <c r="D256" s="6">
        <v>3862</v>
      </c>
      <c r="E256" s="6">
        <v>3872.7</v>
      </c>
      <c r="F256" s="8">
        <v>2309300000</v>
      </c>
      <c r="G256" s="8">
        <v>14763100000</v>
      </c>
    </row>
    <row r="257" spans="1:7" x14ac:dyDescent="0.25">
      <c r="A257" s="7">
        <v>38317</v>
      </c>
      <c r="B257" s="6">
        <v>3872.7</v>
      </c>
      <c r="C257" s="6">
        <v>3917.8</v>
      </c>
      <c r="D257" s="6">
        <v>3825.1</v>
      </c>
      <c r="E257" s="6">
        <v>3912.1</v>
      </c>
      <c r="F257" s="8">
        <v>2487300000</v>
      </c>
      <c r="G257" s="8">
        <v>16892400000</v>
      </c>
    </row>
    <row r="258" spans="1:7" x14ac:dyDescent="0.25">
      <c r="A258" s="7">
        <v>38324</v>
      </c>
      <c r="B258" s="6">
        <v>3912.1</v>
      </c>
      <c r="C258" s="6">
        <v>3948.7</v>
      </c>
      <c r="D258" s="6">
        <v>3899.3</v>
      </c>
      <c r="E258" s="6">
        <v>3939.5</v>
      </c>
      <c r="F258" s="8">
        <v>2246400000</v>
      </c>
      <c r="G258" s="8">
        <v>14755700000</v>
      </c>
    </row>
    <row r="259" spans="1:7" x14ac:dyDescent="0.25">
      <c r="A259" s="7">
        <v>38331</v>
      </c>
      <c r="B259" s="6">
        <v>3939.5</v>
      </c>
      <c r="C259" s="6">
        <v>3964.8</v>
      </c>
      <c r="D259" s="6">
        <v>3877.1</v>
      </c>
      <c r="E259" s="6">
        <v>3898.5</v>
      </c>
      <c r="F259" s="8">
        <v>2405000000</v>
      </c>
      <c r="G259" s="8">
        <v>14719200000</v>
      </c>
    </row>
    <row r="260" spans="1:7" x14ac:dyDescent="0.25">
      <c r="A260" s="7">
        <v>38338</v>
      </c>
      <c r="B260" s="6">
        <v>3886.9</v>
      </c>
      <c r="C260" s="6">
        <v>3997.6</v>
      </c>
      <c r="D260" s="6">
        <v>3886.9</v>
      </c>
      <c r="E260" s="6">
        <v>3988</v>
      </c>
      <c r="F260" s="8">
        <v>2264200000</v>
      </c>
      <c r="G260" s="8">
        <v>17029300000</v>
      </c>
    </row>
    <row r="261" spans="1:7" x14ac:dyDescent="0.25">
      <c r="A261" s="7">
        <v>38345</v>
      </c>
      <c r="B261" s="6">
        <v>3988</v>
      </c>
      <c r="C261" s="6">
        <v>4048.6</v>
      </c>
      <c r="D261" s="6">
        <v>3980.6</v>
      </c>
      <c r="E261" s="6">
        <v>4048.6</v>
      </c>
      <c r="F261" s="8">
        <v>1848400000</v>
      </c>
      <c r="G261" s="8">
        <v>14828600000</v>
      </c>
    </row>
    <row r="262" spans="1:7" x14ac:dyDescent="0.25">
      <c r="A262" s="7">
        <v>38352</v>
      </c>
      <c r="B262" s="6">
        <v>4048.6</v>
      </c>
      <c r="C262" s="6">
        <v>4055</v>
      </c>
      <c r="D262" s="6">
        <v>4036.5</v>
      </c>
      <c r="E262" s="6">
        <v>4050.6</v>
      </c>
      <c r="F262" s="8">
        <v>376500000</v>
      </c>
      <c r="G262" s="8">
        <v>2268700000</v>
      </c>
    </row>
    <row r="263" spans="1:7" x14ac:dyDescent="0.25">
      <c r="A263" s="7">
        <v>38359</v>
      </c>
      <c r="B263" s="6">
        <v>4050.6</v>
      </c>
      <c r="C263" s="6">
        <v>4069.7</v>
      </c>
      <c r="D263" s="6">
        <v>4026.1</v>
      </c>
      <c r="E263" s="6">
        <v>4063.2</v>
      </c>
      <c r="F263" s="8">
        <v>1234700000</v>
      </c>
      <c r="G263" s="8">
        <v>7754100000</v>
      </c>
    </row>
    <row r="264" spans="1:7" x14ac:dyDescent="0.25">
      <c r="A264" s="7">
        <v>38366</v>
      </c>
      <c r="B264" s="6">
        <v>4063.2</v>
      </c>
      <c r="C264" s="6">
        <v>4089.8</v>
      </c>
      <c r="D264" s="6">
        <v>4056.8</v>
      </c>
      <c r="E264" s="6">
        <v>4061.6</v>
      </c>
      <c r="F264" s="8">
        <v>1892600000</v>
      </c>
      <c r="G264" s="8">
        <v>12515500000</v>
      </c>
    </row>
    <row r="265" spans="1:7" x14ac:dyDescent="0.25">
      <c r="A265" s="7">
        <v>38373</v>
      </c>
      <c r="B265" s="6">
        <v>4061.6</v>
      </c>
      <c r="C265" s="6">
        <v>4094.3</v>
      </c>
      <c r="D265" s="6">
        <v>4027.3</v>
      </c>
      <c r="E265" s="6">
        <v>4043.9</v>
      </c>
      <c r="F265" s="8">
        <v>1915000000</v>
      </c>
      <c r="G265" s="8">
        <v>12969500000</v>
      </c>
    </row>
    <row r="266" spans="1:7" x14ac:dyDescent="0.25">
      <c r="A266" s="7">
        <v>38380</v>
      </c>
      <c r="B266" s="6">
        <v>4043.9</v>
      </c>
      <c r="C266" s="6">
        <v>4121</v>
      </c>
      <c r="D266" s="6">
        <v>4041.7</v>
      </c>
      <c r="E266" s="6">
        <v>4098.8999999999996</v>
      </c>
      <c r="F266" s="8">
        <v>1787200000</v>
      </c>
      <c r="G266" s="8">
        <v>13182800000</v>
      </c>
    </row>
    <row r="267" spans="1:7" x14ac:dyDescent="0.25">
      <c r="A267" s="7">
        <v>38387</v>
      </c>
      <c r="B267" s="6">
        <v>4098.8999999999996</v>
      </c>
      <c r="C267" s="6">
        <v>4165.3999999999996</v>
      </c>
      <c r="D267" s="6">
        <v>4095.4</v>
      </c>
      <c r="E267" s="6">
        <v>4161.8</v>
      </c>
      <c r="F267" s="8">
        <v>2518400000</v>
      </c>
      <c r="G267" s="8">
        <v>16837200000</v>
      </c>
    </row>
    <row r="268" spans="1:7" x14ac:dyDescent="0.25">
      <c r="A268" s="7">
        <v>38394</v>
      </c>
      <c r="B268" s="6">
        <v>4161.8</v>
      </c>
      <c r="C268" s="6">
        <v>4195.6000000000004</v>
      </c>
      <c r="D268" s="6">
        <v>4160</v>
      </c>
      <c r="E268" s="6">
        <v>4174.3</v>
      </c>
      <c r="F268" s="8">
        <v>2215300000</v>
      </c>
      <c r="G268" s="8">
        <v>15488500000</v>
      </c>
    </row>
    <row r="269" spans="1:7" x14ac:dyDescent="0.25">
      <c r="A269" s="7">
        <v>38401</v>
      </c>
      <c r="B269" s="6">
        <v>4174.3</v>
      </c>
      <c r="C269" s="6">
        <v>4190.5</v>
      </c>
      <c r="D269" s="6">
        <v>4140.7</v>
      </c>
      <c r="E269" s="6">
        <v>4163.6000000000004</v>
      </c>
      <c r="F269" s="8">
        <v>2559200000</v>
      </c>
      <c r="G269" s="8">
        <v>17267200000</v>
      </c>
    </row>
    <row r="270" spans="1:7" x14ac:dyDescent="0.25">
      <c r="A270" s="7">
        <v>38408</v>
      </c>
      <c r="B270" s="6">
        <v>4163.6000000000004</v>
      </c>
      <c r="C270" s="6">
        <v>4175.2</v>
      </c>
      <c r="D270" s="6">
        <v>4096.8999999999996</v>
      </c>
      <c r="E270" s="6">
        <v>4130.5</v>
      </c>
      <c r="F270" s="8">
        <v>2578800000</v>
      </c>
      <c r="G270" s="8">
        <v>19132200000</v>
      </c>
    </row>
    <row r="271" spans="1:7" x14ac:dyDescent="0.25">
      <c r="A271" s="7">
        <v>38415</v>
      </c>
      <c r="B271" s="6">
        <v>4130.5</v>
      </c>
      <c r="C271" s="6">
        <v>4228.7</v>
      </c>
      <c r="D271" s="6">
        <v>4130.5</v>
      </c>
      <c r="E271" s="6">
        <v>4220.3999999999996</v>
      </c>
      <c r="F271" s="8">
        <v>2304300000</v>
      </c>
      <c r="G271" s="8">
        <v>16572900000</v>
      </c>
    </row>
    <row r="272" spans="1:7" x14ac:dyDescent="0.25">
      <c r="A272" s="7">
        <v>38422</v>
      </c>
      <c r="B272" s="6">
        <v>4220.3999999999996</v>
      </c>
      <c r="C272" s="6">
        <v>4255</v>
      </c>
      <c r="D272" s="6">
        <v>4195.5</v>
      </c>
      <c r="E272" s="6">
        <v>4203.8</v>
      </c>
      <c r="F272" s="8">
        <v>2329000000</v>
      </c>
      <c r="G272" s="8">
        <v>16012400000</v>
      </c>
    </row>
    <row r="273" spans="1:7" x14ac:dyDescent="0.25">
      <c r="A273" s="7">
        <v>38429</v>
      </c>
      <c r="B273" s="6">
        <v>4203.8</v>
      </c>
      <c r="C273" s="6">
        <v>4258.1000000000004</v>
      </c>
      <c r="D273" s="6">
        <v>4195.3</v>
      </c>
      <c r="E273" s="6">
        <v>4249.1000000000004</v>
      </c>
      <c r="F273" s="8">
        <v>2280700000</v>
      </c>
      <c r="G273" s="8">
        <v>16816400000</v>
      </c>
    </row>
    <row r="274" spans="1:7" x14ac:dyDescent="0.25">
      <c r="A274" s="7">
        <v>38435</v>
      </c>
      <c r="B274" s="6">
        <v>4249.1000000000004</v>
      </c>
      <c r="C274" s="6">
        <v>4266.8999999999996</v>
      </c>
      <c r="D274" s="6">
        <v>4123.8</v>
      </c>
      <c r="E274" s="6">
        <v>4136.3999999999996</v>
      </c>
      <c r="F274" s="8">
        <v>1974600000</v>
      </c>
      <c r="G274" s="8">
        <v>14622100000</v>
      </c>
    </row>
    <row r="275" spans="1:7" x14ac:dyDescent="0.25">
      <c r="A275" s="7">
        <v>38443</v>
      </c>
      <c r="B275" s="6">
        <v>4136.3999999999996</v>
      </c>
      <c r="C275" s="6">
        <v>4151.2</v>
      </c>
      <c r="D275" s="6">
        <v>4059.5</v>
      </c>
      <c r="E275" s="6">
        <v>4138.3</v>
      </c>
      <c r="F275" s="8">
        <v>1887500000</v>
      </c>
      <c r="G275" s="8">
        <v>12286500000</v>
      </c>
    </row>
    <row r="276" spans="1:7" x14ac:dyDescent="0.25">
      <c r="A276" s="7">
        <v>38450</v>
      </c>
      <c r="B276" s="6">
        <v>4109.8</v>
      </c>
      <c r="C276" s="6">
        <v>4165.6000000000004</v>
      </c>
      <c r="D276" s="6">
        <v>4109.8</v>
      </c>
      <c r="E276" s="6">
        <v>4165.6000000000004</v>
      </c>
      <c r="F276" s="8">
        <v>2068800000</v>
      </c>
      <c r="G276" s="8">
        <v>13086700000</v>
      </c>
    </row>
    <row r="277" spans="1:7" x14ac:dyDescent="0.25">
      <c r="A277" s="7">
        <v>38457</v>
      </c>
      <c r="B277" s="6">
        <v>4165.6000000000004</v>
      </c>
      <c r="C277" s="6">
        <v>4165.6000000000004</v>
      </c>
      <c r="D277" s="6">
        <v>4010.8</v>
      </c>
      <c r="E277" s="6">
        <v>4014.3</v>
      </c>
      <c r="F277" s="8">
        <v>2156100000</v>
      </c>
      <c r="G277" s="8">
        <v>15330300000</v>
      </c>
    </row>
    <row r="278" spans="1:7" x14ac:dyDescent="0.25">
      <c r="A278" s="7">
        <v>38464</v>
      </c>
      <c r="B278" s="6">
        <v>4014.3</v>
      </c>
      <c r="C278" s="6">
        <v>4057.2</v>
      </c>
      <c r="D278" s="6">
        <v>3958.3</v>
      </c>
      <c r="E278" s="6">
        <v>4034.1</v>
      </c>
      <c r="F278" s="8">
        <v>2524000000</v>
      </c>
      <c r="G278" s="8">
        <v>17302500000</v>
      </c>
    </row>
    <row r="279" spans="1:7" x14ac:dyDescent="0.25">
      <c r="A279" s="7">
        <v>38471</v>
      </c>
      <c r="B279" s="6">
        <v>4034.1</v>
      </c>
      <c r="C279" s="6">
        <v>4050.6</v>
      </c>
      <c r="D279" s="6">
        <v>3969.1</v>
      </c>
      <c r="E279" s="6">
        <v>3983.2</v>
      </c>
      <c r="F279" s="8">
        <v>1947400000</v>
      </c>
      <c r="G279" s="8">
        <v>15463900000</v>
      </c>
    </row>
    <row r="280" spans="1:7" x14ac:dyDescent="0.25">
      <c r="A280" s="7">
        <v>38478</v>
      </c>
      <c r="B280" s="6">
        <v>3983.2</v>
      </c>
      <c r="C280" s="6">
        <v>4031.1</v>
      </c>
      <c r="D280" s="6">
        <v>3926.6</v>
      </c>
      <c r="E280" s="6">
        <v>3983.3</v>
      </c>
      <c r="F280" s="8">
        <v>2249300000</v>
      </c>
      <c r="G280" s="8">
        <v>14095100000</v>
      </c>
    </row>
    <row r="281" spans="1:7" x14ac:dyDescent="0.25">
      <c r="A281" s="7">
        <v>38485</v>
      </c>
      <c r="B281" s="6">
        <v>3983.3</v>
      </c>
      <c r="C281" s="6">
        <v>4028.9</v>
      </c>
      <c r="D281" s="6">
        <v>3974.6</v>
      </c>
      <c r="E281" s="6">
        <v>4012.1</v>
      </c>
      <c r="F281" s="8">
        <v>2234900000</v>
      </c>
      <c r="G281" s="8">
        <v>15974400000</v>
      </c>
    </row>
    <row r="282" spans="1:7" x14ac:dyDescent="0.25">
      <c r="A282" s="7">
        <v>38492</v>
      </c>
      <c r="B282" s="6">
        <v>4012.1</v>
      </c>
      <c r="C282" s="6">
        <v>4057.6</v>
      </c>
      <c r="D282" s="6">
        <v>3943.8</v>
      </c>
      <c r="E282" s="6">
        <v>4041.2</v>
      </c>
      <c r="F282" s="8">
        <v>2243500000</v>
      </c>
      <c r="G282" s="8">
        <v>15572900000</v>
      </c>
    </row>
    <row r="283" spans="1:7" x14ac:dyDescent="0.25">
      <c r="A283" s="7">
        <v>38499</v>
      </c>
      <c r="B283" s="6">
        <v>4041.3</v>
      </c>
      <c r="C283" s="6">
        <v>4120.2</v>
      </c>
      <c r="D283" s="6">
        <v>4041</v>
      </c>
      <c r="E283" s="6">
        <v>4116.3999999999996</v>
      </c>
      <c r="F283" s="8">
        <v>2411700000</v>
      </c>
      <c r="G283" s="8">
        <v>17896200000</v>
      </c>
    </row>
    <row r="284" spans="1:7" x14ac:dyDescent="0.25">
      <c r="A284" s="7">
        <v>38506</v>
      </c>
      <c r="B284" s="6">
        <v>4116.3999999999996</v>
      </c>
      <c r="C284" s="6">
        <v>4194.2</v>
      </c>
      <c r="D284" s="6">
        <v>4098.8</v>
      </c>
      <c r="E284" s="6">
        <v>4194</v>
      </c>
      <c r="F284" s="8">
        <v>2874200000</v>
      </c>
      <c r="G284" s="8">
        <v>19035000000</v>
      </c>
    </row>
    <row r="285" spans="1:7" x14ac:dyDescent="0.25">
      <c r="A285" s="7">
        <v>38513</v>
      </c>
      <c r="B285" s="6">
        <v>4194</v>
      </c>
      <c r="C285" s="6">
        <v>4231.8999999999996</v>
      </c>
      <c r="D285" s="6">
        <v>4179.3</v>
      </c>
      <c r="E285" s="6">
        <v>4221.7</v>
      </c>
      <c r="F285" s="8">
        <v>2124800000</v>
      </c>
      <c r="G285" s="8">
        <v>14147100000</v>
      </c>
    </row>
    <row r="286" spans="1:7" x14ac:dyDescent="0.25">
      <c r="A286" s="7">
        <v>38520</v>
      </c>
      <c r="B286" s="6">
        <v>4221.7</v>
      </c>
      <c r="C286" s="6">
        <v>4312.2</v>
      </c>
      <c r="D286" s="6">
        <v>4219.6000000000004</v>
      </c>
      <c r="E286" s="6">
        <v>4312.2</v>
      </c>
      <c r="F286" s="8">
        <v>2169700000</v>
      </c>
      <c r="G286" s="8">
        <v>15816000000</v>
      </c>
    </row>
    <row r="287" spans="1:7" x14ac:dyDescent="0.25">
      <c r="A287" s="7">
        <v>38527</v>
      </c>
      <c r="B287" s="6">
        <v>4312.2</v>
      </c>
      <c r="C287" s="6">
        <v>4321.7</v>
      </c>
      <c r="D287" s="6">
        <v>4224.2</v>
      </c>
      <c r="E287" s="6">
        <v>4245.6000000000004</v>
      </c>
      <c r="F287" s="8">
        <v>2488100000</v>
      </c>
      <c r="G287" s="8">
        <v>19121500000</v>
      </c>
    </row>
    <row r="288" spans="1:7" x14ac:dyDescent="0.25">
      <c r="A288" s="7">
        <v>38534</v>
      </c>
      <c r="B288" s="6">
        <v>4245.6000000000004</v>
      </c>
      <c r="C288" s="6">
        <v>4294.8999999999996</v>
      </c>
      <c r="D288" s="6">
        <v>4221.5</v>
      </c>
      <c r="E288" s="6">
        <v>4272.6000000000004</v>
      </c>
      <c r="F288" s="8">
        <v>2376700000</v>
      </c>
      <c r="G288" s="8">
        <v>15895600000</v>
      </c>
    </row>
    <row r="289" spans="1:7" x14ac:dyDescent="0.25">
      <c r="A289" s="7">
        <v>38541</v>
      </c>
      <c r="B289" s="6">
        <v>4272.6000000000004</v>
      </c>
      <c r="C289" s="6">
        <v>4316.3</v>
      </c>
      <c r="D289" s="6">
        <v>4213.6000000000004</v>
      </c>
      <c r="E289" s="6">
        <v>4229.2</v>
      </c>
      <c r="F289" s="8">
        <v>2030400000</v>
      </c>
      <c r="G289" s="8">
        <v>13158100000</v>
      </c>
    </row>
    <row r="290" spans="1:7" x14ac:dyDescent="0.25">
      <c r="A290" s="7">
        <v>38548</v>
      </c>
      <c r="B290" s="6">
        <v>4229.2</v>
      </c>
      <c r="C290" s="6">
        <v>4301.5</v>
      </c>
      <c r="D290" s="6">
        <v>4229.2</v>
      </c>
      <c r="E290" s="6">
        <v>4292.3999999999996</v>
      </c>
      <c r="F290" s="8">
        <v>2079200000</v>
      </c>
      <c r="G290" s="8">
        <v>12785500000</v>
      </c>
    </row>
    <row r="291" spans="1:7" x14ac:dyDescent="0.25">
      <c r="A291" s="7">
        <v>38555</v>
      </c>
      <c r="B291" s="6">
        <v>4292.3999999999996</v>
      </c>
      <c r="C291" s="6">
        <v>4371.2</v>
      </c>
      <c r="D291" s="6">
        <v>4273.1000000000004</v>
      </c>
      <c r="E291" s="6">
        <v>4371.1000000000004</v>
      </c>
      <c r="F291" s="8">
        <v>2110300000</v>
      </c>
      <c r="G291" s="8">
        <v>15825400000</v>
      </c>
    </row>
    <row r="292" spans="1:7" x14ac:dyDescent="0.25">
      <c r="A292" s="7">
        <v>38562</v>
      </c>
      <c r="B292" s="6">
        <v>4371.1000000000004</v>
      </c>
      <c r="C292" s="6">
        <v>4398.8</v>
      </c>
      <c r="D292" s="6">
        <v>4365.3</v>
      </c>
      <c r="E292" s="6">
        <v>4388.8</v>
      </c>
      <c r="F292" s="8">
        <v>2153500000</v>
      </c>
      <c r="G292" s="8">
        <v>16430200000</v>
      </c>
    </row>
    <row r="293" spans="1:7" x14ac:dyDescent="0.25">
      <c r="A293" s="7">
        <v>38569</v>
      </c>
      <c r="B293" s="6">
        <v>4388.8</v>
      </c>
      <c r="C293" s="6">
        <v>4399.2</v>
      </c>
      <c r="D293" s="6">
        <v>4361.3999999999996</v>
      </c>
      <c r="E293" s="6">
        <v>4377.3</v>
      </c>
      <c r="F293" s="8">
        <v>2211400000</v>
      </c>
      <c r="G293" s="8">
        <v>14697900000</v>
      </c>
    </row>
    <row r="294" spans="1:7" x14ac:dyDescent="0.25">
      <c r="A294" s="7">
        <v>38576</v>
      </c>
      <c r="B294" s="6">
        <v>4377.3</v>
      </c>
      <c r="C294" s="6">
        <v>4472</v>
      </c>
      <c r="D294" s="6">
        <v>4374.2</v>
      </c>
      <c r="E294" s="6">
        <v>4469.2</v>
      </c>
      <c r="F294" s="8">
        <v>2533400000</v>
      </c>
      <c r="G294" s="8">
        <v>18659600000</v>
      </c>
    </row>
    <row r="295" spans="1:7" x14ac:dyDescent="0.25">
      <c r="A295" s="7">
        <v>38583</v>
      </c>
      <c r="B295" s="6">
        <v>4469.2</v>
      </c>
      <c r="C295" s="6">
        <v>4484.8999999999996</v>
      </c>
      <c r="D295" s="6">
        <v>4434.7</v>
      </c>
      <c r="E295" s="6">
        <v>4461.6000000000004</v>
      </c>
      <c r="F295" s="8">
        <v>2340300000</v>
      </c>
      <c r="G295" s="8">
        <v>16886500000</v>
      </c>
    </row>
    <row r="296" spans="1:7" x14ac:dyDescent="0.25">
      <c r="A296" s="7">
        <v>38590</v>
      </c>
      <c r="B296" s="6">
        <v>4461.6000000000004</v>
      </c>
      <c r="C296" s="6">
        <v>4502.2</v>
      </c>
      <c r="D296" s="6">
        <v>4416.3999999999996</v>
      </c>
      <c r="E296" s="6">
        <v>4452.3999999999996</v>
      </c>
      <c r="F296" s="8">
        <v>2718700000</v>
      </c>
      <c r="G296" s="8">
        <v>20694200000</v>
      </c>
    </row>
    <row r="297" spans="1:7" x14ac:dyDescent="0.25">
      <c r="A297" s="7">
        <v>38597</v>
      </c>
      <c r="B297" s="6">
        <v>4452.5</v>
      </c>
      <c r="C297" s="6">
        <v>4514.3</v>
      </c>
      <c r="D297" s="6">
        <v>4392</v>
      </c>
      <c r="E297" s="6">
        <v>4473.7</v>
      </c>
      <c r="F297" s="8">
        <v>2357100000</v>
      </c>
      <c r="G297" s="8">
        <v>17429900000</v>
      </c>
    </row>
    <row r="298" spans="1:7" x14ac:dyDescent="0.25">
      <c r="A298" s="7">
        <v>38604</v>
      </c>
      <c r="B298" s="6">
        <v>4473.7</v>
      </c>
      <c r="C298" s="6">
        <v>4502.8999999999996</v>
      </c>
      <c r="D298" s="6">
        <v>4440.8999999999996</v>
      </c>
      <c r="E298" s="6">
        <v>4468.1000000000004</v>
      </c>
      <c r="F298" s="8">
        <v>2408700000</v>
      </c>
      <c r="G298" s="8">
        <v>16099800000</v>
      </c>
    </row>
    <row r="299" spans="1:7" x14ac:dyDescent="0.25">
      <c r="A299" s="7">
        <v>38611</v>
      </c>
      <c r="B299" s="6">
        <v>4468.1000000000004</v>
      </c>
      <c r="C299" s="6">
        <v>4560.8999999999996</v>
      </c>
      <c r="D299" s="6">
        <v>4465</v>
      </c>
      <c r="E299" s="6">
        <v>4553.6000000000004</v>
      </c>
      <c r="F299" s="8">
        <v>2706800000</v>
      </c>
      <c r="G299" s="8">
        <v>20529200000</v>
      </c>
    </row>
    <row r="300" spans="1:7" x14ac:dyDescent="0.25">
      <c r="A300" s="7">
        <v>38618</v>
      </c>
      <c r="B300" s="6">
        <v>4553.6000000000004</v>
      </c>
      <c r="C300" s="6">
        <v>4584.8</v>
      </c>
      <c r="D300" s="6">
        <v>4537.5</v>
      </c>
      <c r="E300" s="6">
        <v>4562.3999999999996</v>
      </c>
      <c r="F300" s="8">
        <v>2236800000</v>
      </c>
      <c r="G300" s="8">
        <v>16089700000</v>
      </c>
    </row>
    <row r="301" spans="1:7" x14ac:dyDescent="0.25">
      <c r="A301" s="7">
        <v>38625</v>
      </c>
      <c r="B301" s="6">
        <v>4562.3999999999996</v>
      </c>
      <c r="C301" s="6">
        <v>4679.1000000000004</v>
      </c>
      <c r="D301" s="6">
        <v>4562.3999999999996</v>
      </c>
      <c r="E301" s="6">
        <v>4641.2</v>
      </c>
      <c r="F301" s="8">
        <v>2826700000</v>
      </c>
      <c r="G301" s="8">
        <v>22714400000</v>
      </c>
    </row>
    <row r="302" spans="1:7" x14ac:dyDescent="0.25">
      <c r="A302" s="7">
        <v>38632</v>
      </c>
      <c r="B302" s="6">
        <v>4641.2</v>
      </c>
      <c r="C302" s="6">
        <v>4654.3</v>
      </c>
      <c r="D302" s="6">
        <v>4421.5</v>
      </c>
      <c r="E302" s="6">
        <v>4440.6000000000004</v>
      </c>
      <c r="F302" s="8">
        <v>2212200000</v>
      </c>
      <c r="G302" s="8">
        <v>15990300000</v>
      </c>
    </row>
    <row r="303" spans="1:7" x14ac:dyDescent="0.25">
      <c r="A303" s="7">
        <v>38639</v>
      </c>
      <c r="B303" s="6">
        <v>4440.6000000000004</v>
      </c>
      <c r="C303" s="6">
        <v>4479.8</v>
      </c>
      <c r="D303" s="6">
        <v>4393.2</v>
      </c>
      <c r="E303" s="6">
        <v>4406.1000000000004</v>
      </c>
      <c r="F303" s="8">
        <v>2168300000</v>
      </c>
      <c r="G303" s="8">
        <v>14912800000</v>
      </c>
    </row>
    <row r="304" spans="1:7" x14ac:dyDescent="0.25">
      <c r="A304" s="7">
        <v>38646</v>
      </c>
      <c r="B304" s="6">
        <v>4406.1000000000004</v>
      </c>
      <c r="C304" s="6">
        <v>4461.3</v>
      </c>
      <c r="D304" s="6">
        <v>4311.1000000000004</v>
      </c>
      <c r="E304" s="6">
        <v>4364.3</v>
      </c>
      <c r="F304" s="8">
        <v>2334000000</v>
      </c>
      <c r="G304" s="8">
        <v>16420500000</v>
      </c>
    </row>
    <row r="305" spans="1:7" x14ac:dyDescent="0.25">
      <c r="A305" s="7">
        <v>38653</v>
      </c>
      <c r="B305" s="6">
        <v>4364.3</v>
      </c>
      <c r="C305" s="6">
        <v>4453.8</v>
      </c>
      <c r="D305" s="6">
        <v>4337.7</v>
      </c>
      <c r="E305" s="6">
        <v>4383</v>
      </c>
      <c r="F305" s="8">
        <v>2467700000</v>
      </c>
      <c r="G305" s="8">
        <v>20156800000</v>
      </c>
    </row>
    <row r="306" spans="1:7" x14ac:dyDescent="0.25">
      <c r="A306" s="7">
        <v>38660</v>
      </c>
      <c r="B306" s="6">
        <v>4383</v>
      </c>
      <c r="C306" s="6">
        <v>4533.5</v>
      </c>
      <c r="D306" s="6">
        <v>4383</v>
      </c>
      <c r="E306" s="6">
        <v>4519.5</v>
      </c>
      <c r="F306" s="8">
        <v>1919400000</v>
      </c>
      <c r="G306" s="8">
        <v>14668200000</v>
      </c>
    </row>
    <row r="307" spans="1:7" x14ac:dyDescent="0.25">
      <c r="A307" s="7">
        <v>38667</v>
      </c>
      <c r="B307" s="6">
        <v>4519.5</v>
      </c>
      <c r="C307" s="6">
        <v>4583.1000000000004</v>
      </c>
      <c r="D307" s="6">
        <v>4497.3999999999996</v>
      </c>
      <c r="E307" s="6">
        <v>4574.3</v>
      </c>
      <c r="F307" s="8">
        <v>2132200000</v>
      </c>
      <c r="G307" s="8">
        <v>15818900000</v>
      </c>
    </row>
    <row r="308" spans="1:7" x14ac:dyDescent="0.25">
      <c r="A308" s="7">
        <v>38674</v>
      </c>
      <c r="B308" s="6">
        <v>4574.3</v>
      </c>
      <c r="C308" s="6">
        <v>4671.1000000000004</v>
      </c>
      <c r="D308" s="6">
        <v>4574.3</v>
      </c>
      <c r="E308" s="6">
        <v>4671.1000000000004</v>
      </c>
      <c r="F308" s="8">
        <v>2420000000</v>
      </c>
      <c r="G308" s="8">
        <v>16346900000</v>
      </c>
    </row>
    <row r="309" spans="1:7" x14ac:dyDescent="0.25">
      <c r="A309" s="7">
        <v>38681</v>
      </c>
      <c r="B309" s="6">
        <v>4671.1000000000004</v>
      </c>
      <c r="C309" s="6">
        <v>4680.1000000000004</v>
      </c>
      <c r="D309" s="6">
        <v>4614</v>
      </c>
      <c r="E309" s="6">
        <v>4648.8</v>
      </c>
      <c r="F309" s="8">
        <v>2614800000</v>
      </c>
      <c r="G309" s="8">
        <v>18986300000</v>
      </c>
    </row>
    <row r="310" spans="1:7" x14ac:dyDescent="0.25">
      <c r="A310" s="7">
        <v>38688</v>
      </c>
      <c r="B310" s="6">
        <v>4648.8</v>
      </c>
      <c r="C310" s="6">
        <v>4677.6000000000004</v>
      </c>
      <c r="D310" s="6">
        <v>4577.3999999999996</v>
      </c>
      <c r="E310" s="6">
        <v>4623.5</v>
      </c>
      <c r="F310" s="8">
        <v>2945500000</v>
      </c>
      <c r="G310" s="8">
        <v>18888300000</v>
      </c>
    </row>
    <row r="311" spans="1:7" x14ac:dyDescent="0.25">
      <c r="A311" s="7">
        <v>38695</v>
      </c>
      <c r="B311" s="6">
        <v>4623.5</v>
      </c>
      <c r="C311" s="6">
        <v>4636.2</v>
      </c>
      <c r="D311" s="6">
        <v>4549.3</v>
      </c>
      <c r="E311" s="6">
        <v>4580.1000000000004</v>
      </c>
      <c r="F311" s="8">
        <v>2041200000</v>
      </c>
      <c r="G311" s="8">
        <v>14372500000</v>
      </c>
    </row>
    <row r="312" spans="1:7" x14ac:dyDescent="0.25">
      <c r="A312" s="7">
        <v>38702</v>
      </c>
      <c r="B312" s="6">
        <v>4580.1000000000004</v>
      </c>
      <c r="C312" s="6">
        <v>4645.6000000000004</v>
      </c>
      <c r="D312" s="6">
        <v>4580.1000000000004</v>
      </c>
      <c r="E312" s="6">
        <v>4644</v>
      </c>
      <c r="F312" s="8">
        <v>2038900000</v>
      </c>
      <c r="G312" s="8">
        <v>14876300000</v>
      </c>
    </row>
    <row r="313" spans="1:7" x14ac:dyDescent="0.25">
      <c r="A313" s="7">
        <v>38709</v>
      </c>
      <c r="B313" s="6">
        <v>4644</v>
      </c>
      <c r="C313" s="6">
        <v>4732.8999999999996</v>
      </c>
      <c r="D313" s="6">
        <v>4638.2</v>
      </c>
      <c r="E313" s="6">
        <v>4727.7</v>
      </c>
      <c r="F313" s="8">
        <v>1874800000</v>
      </c>
      <c r="G313" s="8">
        <v>17007000000</v>
      </c>
    </row>
    <row r="314" spans="1:7" x14ac:dyDescent="0.25">
      <c r="A314" s="7">
        <v>38716</v>
      </c>
      <c r="B314" s="6">
        <v>4727.7</v>
      </c>
      <c r="C314" s="6">
        <v>4775.8</v>
      </c>
      <c r="D314" s="6">
        <v>4723.1000000000004</v>
      </c>
      <c r="E314" s="6">
        <v>4763.3999999999996</v>
      </c>
      <c r="F314" s="8">
        <v>546600000</v>
      </c>
      <c r="G314" s="8">
        <v>3747600000</v>
      </c>
    </row>
    <row r="315" spans="1:7" x14ac:dyDescent="0.25">
      <c r="A315" s="7">
        <v>38723</v>
      </c>
      <c r="B315" s="6">
        <v>4763.3999999999996</v>
      </c>
      <c r="C315" s="6">
        <v>4831</v>
      </c>
      <c r="D315" s="6">
        <v>4751.1000000000004</v>
      </c>
      <c r="E315" s="6">
        <v>4791.1000000000004</v>
      </c>
      <c r="F315" s="8">
        <v>1172600000</v>
      </c>
      <c r="G315" s="8">
        <v>8720900000</v>
      </c>
    </row>
    <row r="316" spans="1:7" x14ac:dyDescent="0.25">
      <c r="A316" s="7">
        <v>38730</v>
      </c>
      <c r="B316" s="6">
        <v>4791.1000000000004</v>
      </c>
      <c r="C316" s="6">
        <v>4857.8</v>
      </c>
      <c r="D316" s="6">
        <v>4791.1000000000004</v>
      </c>
      <c r="E316" s="6">
        <v>4836.7</v>
      </c>
      <c r="F316" s="8">
        <v>1891800000</v>
      </c>
      <c r="G316" s="8">
        <v>14192600000</v>
      </c>
    </row>
    <row r="317" spans="1:7" x14ac:dyDescent="0.25">
      <c r="A317" s="7">
        <v>38737</v>
      </c>
      <c r="B317" s="6">
        <v>4836.7</v>
      </c>
      <c r="C317" s="6">
        <v>4869.3</v>
      </c>
      <c r="D317" s="6">
        <v>4778</v>
      </c>
      <c r="E317" s="6">
        <v>4854.3999999999996</v>
      </c>
      <c r="F317" s="8">
        <v>2335700000</v>
      </c>
      <c r="G317" s="8">
        <v>17252600000</v>
      </c>
    </row>
    <row r="318" spans="1:7" x14ac:dyDescent="0.25">
      <c r="A318" s="7">
        <v>38744</v>
      </c>
      <c r="B318" s="6">
        <v>4854.3999999999996</v>
      </c>
      <c r="C318" s="6">
        <v>4923.1000000000004</v>
      </c>
      <c r="D318" s="6">
        <v>4773</v>
      </c>
      <c r="E318" s="6">
        <v>4919.3</v>
      </c>
      <c r="F318" s="8">
        <v>1864100000</v>
      </c>
      <c r="G318" s="8">
        <v>16355800000</v>
      </c>
    </row>
    <row r="319" spans="1:7" x14ac:dyDescent="0.25">
      <c r="A319" s="7">
        <v>38751</v>
      </c>
      <c r="B319" s="6">
        <v>4919.3</v>
      </c>
      <c r="C319" s="6">
        <v>4982.6000000000004</v>
      </c>
      <c r="D319" s="6">
        <v>4844.8999999999996</v>
      </c>
      <c r="E319" s="6">
        <v>4883.8</v>
      </c>
      <c r="F319" s="8">
        <v>2495400000</v>
      </c>
      <c r="G319" s="8">
        <v>20304600000</v>
      </c>
    </row>
    <row r="320" spans="1:7" x14ac:dyDescent="0.25">
      <c r="A320" s="7">
        <v>38758</v>
      </c>
      <c r="B320" s="6">
        <v>4883.8</v>
      </c>
      <c r="C320" s="6">
        <v>4923.7</v>
      </c>
      <c r="D320" s="6">
        <v>4824.8999999999996</v>
      </c>
      <c r="E320" s="6">
        <v>4871.5</v>
      </c>
      <c r="F320" s="8">
        <v>2399100000</v>
      </c>
      <c r="G320" s="8">
        <v>19105700000</v>
      </c>
    </row>
    <row r="321" spans="1:7" x14ac:dyDescent="0.25">
      <c r="A321" s="7">
        <v>38765</v>
      </c>
      <c r="B321" s="6">
        <v>4871.5</v>
      </c>
      <c r="C321" s="6">
        <v>4895.6000000000004</v>
      </c>
      <c r="D321" s="6">
        <v>4790.8</v>
      </c>
      <c r="E321" s="6">
        <v>4799.8999999999996</v>
      </c>
      <c r="F321" s="8">
        <v>2503800000</v>
      </c>
      <c r="G321" s="8">
        <v>19997200000</v>
      </c>
    </row>
    <row r="322" spans="1:7" x14ac:dyDescent="0.25">
      <c r="A322" s="7">
        <v>38772</v>
      </c>
      <c r="B322" s="6">
        <v>4799.8999999999996</v>
      </c>
      <c r="C322" s="6">
        <v>4929.2</v>
      </c>
      <c r="D322" s="6">
        <v>4799.8999999999996</v>
      </c>
      <c r="E322" s="6">
        <v>4893.3999999999996</v>
      </c>
      <c r="F322" s="8">
        <v>2836200000</v>
      </c>
      <c r="G322" s="8">
        <v>25517800000</v>
      </c>
    </row>
    <row r="323" spans="1:7" x14ac:dyDescent="0.25">
      <c r="A323" s="7">
        <v>38779</v>
      </c>
      <c r="B323" s="6">
        <v>4893.3999999999996</v>
      </c>
      <c r="C323" s="6">
        <v>4939.5</v>
      </c>
      <c r="D323" s="6">
        <v>4849.1000000000004</v>
      </c>
      <c r="E323" s="6">
        <v>4898.5</v>
      </c>
      <c r="F323" s="8">
        <v>2694600000</v>
      </c>
      <c r="G323" s="8">
        <v>20206000000</v>
      </c>
    </row>
    <row r="324" spans="1:7" x14ac:dyDescent="0.25">
      <c r="A324" s="7">
        <v>38786</v>
      </c>
      <c r="B324" s="6">
        <v>4898.5</v>
      </c>
      <c r="C324" s="6">
        <v>4904.8</v>
      </c>
      <c r="D324" s="6">
        <v>4844.8</v>
      </c>
      <c r="E324" s="6">
        <v>4888.1000000000004</v>
      </c>
      <c r="F324" s="8">
        <v>2293200000</v>
      </c>
      <c r="G324" s="8">
        <v>16977300000</v>
      </c>
    </row>
    <row r="325" spans="1:7" x14ac:dyDescent="0.25">
      <c r="A325" s="7">
        <v>38793</v>
      </c>
      <c r="B325" s="6">
        <v>4888.1000000000004</v>
      </c>
      <c r="C325" s="6">
        <v>4997.8</v>
      </c>
      <c r="D325" s="6">
        <v>4888.1000000000004</v>
      </c>
      <c r="E325" s="6">
        <v>4971.7</v>
      </c>
      <c r="F325" s="8">
        <v>2738700000</v>
      </c>
      <c r="G325" s="8">
        <v>20888100000</v>
      </c>
    </row>
    <row r="326" spans="1:7" x14ac:dyDescent="0.25">
      <c r="A326" s="7">
        <v>38800</v>
      </c>
      <c r="B326" s="6">
        <v>4971.7</v>
      </c>
      <c r="C326" s="6">
        <v>5051.8999999999996</v>
      </c>
      <c r="D326" s="6">
        <v>4971.7</v>
      </c>
      <c r="E326" s="6">
        <v>5040.1000000000004</v>
      </c>
      <c r="F326" s="8">
        <v>2541800000</v>
      </c>
      <c r="G326" s="8">
        <v>17580000000</v>
      </c>
    </row>
    <row r="327" spans="1:7" x14ac:dyDescent="0.25">
      <c r="A327" s="7">
        <v>38807</v>
      </c>
      <c r="B327" s="6">
        <v>5040.1000000000004</v>
      </c>
      <c r="C327" s="6">
        <v>5139.5</v>
      </c>
      <c r="D327" s="6">
        <v>5040.1000000000004</v>
      </c>
      <c r="E327" s="6">
        <v>5129.7</v>
      </c>
      <c r="F327" s="8">
        <v>3236100000</v>
      </c>
      <c r="G327" s="8">
        <v>25623900000</v>
      </c>
    </row>
    <row r="328" spans="1:7" x14ac:dyDescent="0.25">
      <c r="A328" s="7">
        <v>38814</v>
      </c>
      <c r="B328" s="6">
        <v>5129.7</v>
      </c>
      <c r="C328" s="6">
        <v>5248.8</v>
      </c>
      <c r="D328" s="6">
        <v>5122.1000000000004</v>
      </c>
      <c r="E328" s="6">
        <v>5232.8999999999996</v>
      </c>
      <c r="F328" s="8">
        <v>2533800000</v>
      </c>
      <c r="G328" s="8">
        <v>21342300000</v>
      </c>
    </row>
    <row r="329" spans="1:7" x14ac:dyDescent="0.25">
      <c r="A329" s="7">
        <v>38820</v>
      </c>
      <c r="B329" s="6">
        <v>5232.8999999999996</v>
      </c>
      <c r="C329" s="6">
        <v>5239.8</v>
      </c>
      <c r="D329" s="6">
        <v>5158.8999999999996</v>
      </c>
      <c r="E329" s="6">
        <v>5175.7</v>
      </c>
      <c r="F329" s="8">
        <v>1658700000</v>
      </c>
      <c r="G329" s="8">
        <v>13390300000</v>
      </c>
    </row>
    <row r="330" spans="1:7" x14ac:dyDescent="0.25">
      <c r="A330" s="7">
        <v>38828</v>
      </c>
      <c r="B330" s="6">
        <v>5175.7</v>
      </c>
      <c r="C330" s="6">
        <v>5301.8</v>
      </c>
      <c r="D330" s="6">
        <v>5175.7</v>
      </c>
      <c r="E330" s="6">
        <v>5250.1</v>
      </c>
      <c r="F330" s="8">
        <v>2347400000</v>
      </c>
      <c r="G330" s="8">
        <v>18679200000</v>
      </c>
    </row>
    <row r="331" spans="1:7" x14ac:dyDescent="0.25">
      <c r="A331" s="7">
        <v>38835</v>
      </c>
      <c r="B331" s="6">
        <v>5250.1</v>
      </c>
      <c r="C331" s="6">
        <v>5336.6</v>
      </c>
      <c r="D331" s="6">
        <v>5246.6</v>
      </c>
      <c r="E331" s="6">
        <v>5258.8</v>
      </c>
      <c r="F331" s="8">
        <v>2325200000</v>
      </c>
      <c r="G331" s="8">
        <v>19943700000</v>
      </c>
    </row>
    <row r="332" spans="1:7" x14ac:dyDescent="0.25">
      <c r="A332" s="7">
        <v>38842</v>
      </c>
      <c r="B332" s="6">
        <v>5258.8</v>
      </c>
      <c r="C332" s="6">
        <v>5315.7</v>
      </c>
      <c r="D332" s="6">
        <v>5189.2</v>
      </c>
      <c r="E332" s="6">
        <v>5255.4</v>
      </c>
      <c r="F332" s="8">
        <v>2473500000</v>
      </c>
      <c r="G332" s="8">
        <v>19073300000</v>
      </c>
    </row>
    <row r="333" spans="1:7" x14ac:dyDescent="0.25">
      <c r="A333" s="7">
        <v>38849</v>
      </c>
      <c r="B333" s="6">
        <v>5255.4</v>
      </c>
      <c r="C333" s="6">
        <v>5406.7</v>
      </c>
      <c r="D333" s="6">
        <v>5255.4</v>
      </c>
      <c r="E333" s="6">
        <v>5329.5</v>
      </c>
      <c r="F333" s="8">
        <v>2529000000</v>
      </c>
      <c r="G333" s="8">
        <v>19976200000</v>
      </c>
    </row>
    <row r="334" spans="1:7" x14ac:dyDescent="0.25">
      <c r="A334" s="7">
        <v>38856</v>
      </c>
      <c r="B334" s="6">
        <v>5329.5</v>
      </c>
      <c r="C334" s="6">
        <v>5329.5</v>
      </c>
      <c r="D334" s="6">
        <v>5096</v>
      </c>
      <c r="E334" s="6">
        <v>5100.8999999999996</v>
      </c>
      <c r="F334" s="8">
        <v>2875600000</v>
      </c>
      <c r="G334" s="8">
        <v>22764100000</v>
      </c>
    </row>
    <row r="335" spans="1:7" x14ac:dyDescent="0.25">
      <c r="A335" s="7">
        <v>38863</v>
      </c>
      <c r="B335" s="6">
        <v>5100.8999999999996</v>
      </c>
      <c r="C335" s="6">
        <v>5105.3999999999996</v>
      </c>
      <c r="D335" s="6">
        <v>4976.8</v>
      </c>
      <c r="E335" s="6">
        <v>5053.7</v>
      </c>
      <c r="F335" s="8">
        <v>2925000000</v>
      </c>
      <c r="G335" s="8">
        <v>25150900000</v>
      </c>
    </row>
    <row r="336" spans="1:7" x14ac:dyDescent="0.25">
      <c r="A336" s="7">
        <v>38870</v>
      </c>
      <c r="B336" s="6">
        <v>5053.7</v>
      </c>
      <c r="C336" s="6">
        <v>5110.7</v>
      </c>
      <c r="D336" s="6">
        <v>5001.7</v>
      </c>
      <c r="E336" s="6">
        <v>5077.2</v>
      </c>
      <c r="F336" s="8">
        <v>2430100000</v>
      </c>
      <c r="G336" s="8">
        <v>18821900000</v>
      </c>
    </row>
    <row r="337" spans="1:7" x14ac:dyDescent="0.25">
      <c r="A337" s="7">
        <v>38877</v>
      </c>
      <c r="B337" s="6">
        <v>5077.2</v>
      </c>
      <c r="C337" s="6">
        <v>5120</v>
      </c>
      <c r="D337" s="6">
        <v>4903.8999999999996</v>
      </c>
      <c r="E337" s="6">
        <v>4966</v>
      </c>
      <c r="F337" s="8">
        <v>2812200000</v>
      </c>
      <c r="G337" s="8">
        <v>22049000000</v>
      </c>
    </row>
    <row r="338" spans="1:7" x14ac:dyDescent="0.25">
      <c r="A338" s="7">
        <v>38884</v>
      </c>
      <c r="B338" s="6">
        <v>4966</v>
      </c>
      <c r="C338" s="6">
        <v>4976.6000000000004</v>
      </c>
      <c r="D338" s="6">
        <v>4758.3</v>
      </c>
      <c r="E338" s="6">
        <v>4969</v>
      </c>
      <c r="F338" s="8">
        <v>2763800000</v>
      </c>
      <c r="G338" s="8">
        <v>20903800000</v>
      </c>
    </row>
    <row r="339" spans="1:7" x14ac:dyDescent="0.25">
      <c r="A339" s="7">
        <v>38891</v>
      </c>
      <c r="B339" s="6">
        <v>4969</v>
      </c>
      <c r="C339" s="6">
        <v>5011.8</v>
      </c>
      <c r="D339" s="6">
        <v>4843</v>
      </c>
      <c r="E339" s="6">
        <v>4964.8999999999996</v>
      </c>
      <c r="F339" s="8">
        <v>2487100000</v>
      </c>
      <c r="G339" s="8">
        <v>17313200000</v>
      </c>
    </row>
    <row r="340" spans="1:7" x14ac:dyDescent="0.25">
      <c r="A340" s="7">
        <v>38898</v>
      </c>
      <c r="B340" s="6">
        <v>4964.8999999999996</v>
      </c>
      <c r="C340" s="6">
        <v>5113.1000000000004</v>
      </c>
      <c r="D340" s="6">
        <v>4922.6000000000004</v>
      </c>
      <c r="E340" s="6">
        <v>5073.8999999999996</v>
      </c>
      <c r="F340" s="8">
        <v>2767200000</v>
      </c>
      <c r="G340" s="8">
        <v>23771500000</v>
      </c>
    </row>
    <row r="341" spans="1:7" x14ac:dyDescent="0.25">
      <c r="A341" s="7">
        <v>38905</v>
      </c>
      <c r="B341" s="6">
        <v>5073.8999999999996</v>
      </c>
      <c r="C341" s="6">
        <v>5146.6000000000004</v>
      </c>
      <c r="D341" s="6">
        <v>5053.5</v>
      </c>
      <c r="E341" s="6">
        <v>5135.3</v>
      </c>
      <c r="F341" s="8">
        <v>2418000000</v>
      </c>
      <c r="G341" s="8">
        <v>17117500000</v>
      </c>
    </row>
    <row r="342" spans="1:7" x14ac:dyDescent="0.25">
      <c r="A342" s="7">
        <v>38912</v>
      </c>
      <c r="B342" s="6">
        <v>5135.3</v>
      </c>
      <c r="C342" s="6">
        <v>5142.8</v>
      </c>
      <c r="D342" s="6">
        <v>4966.1000000000004</v>
      </c>
      <c r="E342" s="6">
        <v>4966.1000000000004</v>
      </c>
      <c r="F342" s="8">
        <v>2300000000</v>
      </c>
      <c r="G342" s="8">
        <v>17388000000</v>
      </c>
    </row>
    <row r="343" spans="1:7" x14ac:dyDescent="0.25">
      <c r="A343" s="7">
        <v>38919</v>
      </c>
      <c r="B343" s="6">
        <v>4966.1000000000004</v>
      </c>
      <c r="C343" s="6">
        <v>4996.5</v>
      </c>
      <c r="D343" s="6">
        <v>4899.8999999999996</v>
      </c>
      <c r="E343" s="6">
        <v>4960.6000000000004</v>
      </c>
      <c r="F343" s="8">
        <v>2203400000</v>
      </c>
      <c r="G343" s="8">
        <v>16715000000</v>
      </c>
    </row>
    <row r="344" spans="1:7" x14ac:dyDescent="0.25">
      <c r="A344" s="7">
        <v>38926</v>
      </c>
      <c r="B344" s="6">
        <v>4960.6000000000004</v>
      </c>
      <c r="C344" s="6">
        <v>5015.8999999999996</v>
      </c>
      <c r="D344" s="6">
        <v>4901.7</v>
      </c>
      <c r="E344" s="6">
        <v>4958.3</v>
      </c>
      <c r="F344" s="8">
        <v>2529600000</v>
      </c>
      <c r="G344" s="8">
        <v>19522600000</v>
      </c>
    </row>
    <row r="345" spans="1:7" x14ac:dyDescent="0.25">
      <c r="A345" s="7">
        <v>38933</v>
      </c>
      <c r="B345" s="6">
        <v>4958.3</v>
      </c>
      <c r="C345" s="6">
        <v>5027.1000000000004</v>
      </c>
      <c r="D345" s="6">
        <v>4919.5</v>
      </c>
      <c r="E345" s="6">
        <v>4956.1000000000004</v>
      </c>
      <c r="F345" s="8">
        <v>2463900000</v>
      </c>
      <c r="G345" s="8">
        <v>17928300000</v>
      </c>
    </row>
    <row r="346" spans="1:7" x14ac:dyDescent="0.25">
      <c r="A346" s="7">
        <v>38940</v>
      </c>
      <c r="B346" s="6">
        <v>4956.1000000000004</v>
      </c>
      <c r="C346" s="6">
        <v>5024.8</v>
      </c>
      <c r="D346" s="6">
        <v>4926.3</v>
      </c>
      <c r="E346" s="6">
        <v>4949.2</v>
      </c>
      <c r="F346" s="8">
        <v>2256100000</v>
      </c>
      <c r="G346" s="8">
        <v>17224100000</v>
      </c>
    </row>
    <row r="347" spans="1:7" x14ac:dyDescent="0.25">
      <c r="A347" s="7">
        <v>38947</v>
      </c>
      <c r="B347" s="6">
        <v>4949.2</v>
      </c>
      <c r="C347" s="6">
        <v>5059.1000000000004</v>
      </c>
      <c r="D347" s="6">
        <v>4927.3999999999996</v>
      </c>
      <c r="E347" s="6">
        <v>5052.5</v>
      </c>
      <c r="F347" s="8">
        <v>2878700000</v>
      </c>
      <c r="G347" s="8">
        <v>20241600000</v>
      </c>
    </row>
    <row r="348" spans="1:7" x14ac:dyDescent="0.25">
      <c r="A348" s="7">
        <v>38954</v>
      </c>
      <c r="B348" s="6">
        <v>5052.5</v>
      </c>
      <c r="C348" s="6">
        <v>5107.8</v>
      </c>
      <c r="D348" s="6">
        <v>4982.7</v>
      </c>
      <c r="E348" s="6">
        <v>5023.6000000000004</v>
      </c>
      <c r="F348" s="8">
        <v>3260900000</v>
      </c>
      <c r="G348" s="8">
        <v>24035800000</v>
      </c>
    </row>
    <row r="349" spans="1:7" x14ac:dyDescent="0.25">
      <c r="A349" s="7">
        <v>38961</v>
      </c>
      <c r="B349" s="6">
        <v>5023.6000000000004</v>
      </c>
      <c r="C349" s="6">
        <v>5121.3</v>
      </c>
      <c r="D349" s="6">
        <v>5014.3</v>
      </c>
      <c r="E349" s="6">
        <v>5097.1000000000004</v>
      </c>
      <c r="F349" s="8">
        <v>2675500000</v>
      </c>
      <c r="G349" s="8">
        <v>18831000000</v>
      </c>
    </row>
    <row r="350" spans="1:7" x14ac:dyDescent="0.25">
      <c r="A350" s="7">
        <v>38968</v>
      </c>
      <c r="B350" s="6">
        <v>5097.1000000000004</v>
      </c>
      <c r="C350" s="6">
        <v>5164.2</v>
      </c>
      <c r="D350" s="6">
        <v>5061.3999999999996</v>
      </c>
      <c r="E350" s="6">
        <v>5098.3</v>
      </c>
      <c r="F350" s="8">
        <v>2419500000</v>
      </c>
      <c r="G350" s="8">
        <v>17245900000</v>
      </c>
    </row>
    <row r="351" spans="1:7" x14ac:dyDescent="0.25">
      <c r="A351" s="7">
        <v>38975</v>
      </c>
      <c r="B351" s="6">
        <v>5098.3</v>
      </c>
      <c r="C351" s="6">
        <v>5099.5</v>
      </c>
      <c r="D351" s="6">
        <v>4961.3</v>
      </c>
      <c r="E351" s="6">
        <v>5036.3999999999996</v>
      </c>
      <c r="F351" s="8">
        <v>2776800000</v>
      </c>
      <c r="G351" s="8">
        <v>21603300000</v>
      </c>
    </row>
    <row r="352" spans="1:7" x14ac:dyDescent="0.25">
      <c r="A352" s="7">
        <v>38982</v>
      </c>
      <c r="B352" s="6">
        <v>5036.3999999999996</v>
      </c>
      <c r="C352" s="6">
        <v>5098.3999999999996</v>
      </c>
      <c r="D352" s="6">
        <v>4964.2</v>
      </c>
      <c r="E352" s="6">
        <v>4983.2</v>
      </c>
      <c r="F352" s="8">
        <v>3374000000</v>
      </c>
      <c r="G352" s="8">
        <v>24671100000</v>
      </c>
    </row>
    <row r="353" spans="1:7" x14ac:dyDescent="0.25">
      <c r="A353" s="7">
        <v>38989</v>
      </c>
      <c r="B353" s="6">
        <v>4983.2</v>
      </c>
      <c r="C353" s="6">
        <v>5155.3</v>
      </c>
      <c r="D353" s="6">
        <v>4963.3999999999996</v>
      </c>
      <c r="E353" s="6">
        <v>5154.1000000000004</v>
      </c>
      <c r="F353" s="8">
        <v>3274800000</v>
      </c>
      <c r="G353" s="8">
        <v>22947900000</v>
      </c>
    </row>
    <row r="354" spans="1:7" x14ac:dyDescent="0.25">
      <c r="A354" s="7">
        <v>38996</v>
      </c>
      <c r="B354" s="6">
        <v>5154.1000000000004</v>
      </c>
      <c r="C354" s="6">
        <v>5229.3</v>
      </c>
      <c r="D354" s="6">
        <v>5142.7</v>
      </c>
      <c r="E354" s="6">
        <v>5220.7</v>
      </c>
      <c r="F354" s="8">
        <v>2163700000</v>
      </c>
      <c r="G354" s="8">
        <v>16061500000</v>
      </c>
    </row>
    <row r="355" spans="1:7" x14ac:dyDescent="0.25">
      <c r="A355" s="7">
        <v>39003</v>
      </c>
      <c r="B355" s="6">
        <v>5220.7</v>
      </c>
      <c r="C355" s="6">
        <v>5314.5</v>
      </c>
      <c r="D355" s="6">
        <v>5173.1000000000004</v>
      </c>
      <c r="E355" s="6">
        <v>5290</v>
      </c>
      <c r="F355" s="8">
        <v>2658400000</v>
      </c>
      <c r="G355" s="8">
        <v>19283200000</v>
      </c>
    </row>
    <row r="356" spans="1:7" x14ac:dyDescent="0.25">
      <c r="A356" s="7">
        <v>39010</v>
      </c>
      <c r="B356" s="6">
        <v>5290</v>
      </c>
      <c r="C356" s="6">
        <v>5335.4</v>
      </c>
      <c r="D356" s="6">
        <v>5264.6</v>
      </c>
      <c r="E356" s="6">
        <v>5335.4</v>
      </c>
      <c r="F356" s="8">
        <v>3234200000</v>
      </c>
      <c r="G356" s="8">
        <v>23580600000</v>
      </c>
    </row>
    <row r="357" spans="1:7" x14ac:dyDescent="0.25">
      <c r="A357" s="7">
        <v>39017</v>
      </c>
      <c r="B357" s="6">
        <v>5335.4</v>
      </c>
      <c r="C357" s="6">
        <v>5391.1</v>
      </c>
      <c r="D357" s="6">
        <v>5315.9</v>
      </c>
      <c r="E357" s="6">
        <v>5358.5</v>
      </c>
      <c r="F357" s="8">
        <v>3219700000</v>
      </c>
      <c r="G357" s="8">
        <v>26396700000</v>
      </c>
    </row>
    <row r="358" spans="1:7" x14ac:dyDescent="0.25">
      <c r="A358" s="7">
        <v>39024</v>
      </c>
      <c r="B358" s="6">
        <v>5358.5</v>
      </c>
      <c r="C358" s="6">
        <v>5432.5</v>
      </c>
      <c r="D358" s="6">
        <v>5348.8</v>
      </c>
      <c r="E358" s="6">
        <v>5432</v>
      </c>
      <c r="F358" s="8">
        <v>2800700000</v>
      </c>
      <c r="G358" s="8">
        <v>22265100000</v>
      </c>
    </row>
    <row r="359" spans="1:7" x14ac:dyDescent="0.25">
      <c r="A359" s="7">
        <v>39031</v>
      </c>
      <c r="B359" s="6">
        <v>5432</v>
      </c>
      <c r="C359" s="6">
        <v>5496.3</v>
      </c>
      <c r="D359" s="6">
        <v>5406.3</v>
      </c>
      <c r="E359" s="6">
        <v>5436.7</v>
      </c>
      <c r="F359" s="8">
        <v>2513700000</v>
      </c>
      <c r="G359" s="8">
        <v>20879300000</v>
      </c>
    </row>
    <row r="360" spans="1:7" x14ac:dyDescent="0.25">
      <c r="A360" s="7">
        <v>39038</v>
      </c>
      <c r="B360" s="6">
        <v>5436.7</v>
      </c>
      <c r="C360" s="6">
        <v>5462</v>
      </c>
      <c r="D360" s="6">
        <v>5356.9</v>
      </c>
      <c r="E360" s="6">
        <v>5419.7</v>
      </c>
      <c r="F360" s="8">
        <v>2766000000</v>
      </c>
      <c r="G360" s="8">
        <v>22600800000</v>
      </c>
    </row>
    <row r="361" spans="1:7" x14ac:dyDescent="0.25">
      <c r="A361" s="7">
        <v>39045</v>
      </c>
      <c r="B361" s="6">
        <v>5419.7</v>
      </c>
      <c r="C361" s="6">
        <v>5473.8</v>
      </c>
      <c r="D361" s="6">
        <v>5322.4</v>
      </c>
      <c r="E361" s="6">
        <v>5453.6</v>
      </c>
      <c r="F361" s="8">
        <v>3872000000</v>
      </c>
      <c r="G361" s="8">
        <v>28922600000</v>
      </c>
    </row>
    <row r="362" spans="1:7" x14ac:dyDescent="0.25">
      <c r="A362" s="7">
        <v>39052</v>
      </c>
      <c r="B362" s="6">
        <v>5453.6</v>
      </c>
      <c r="C362" s="6">
        <v>5495.7</v>
      </c>
      <c r="D362" s="6">
        <v>5368.3</v>
      </c>
      <c r="E362" s="6">
        <v>5427.9</v>
      </c>
      <c r="F362" s="8">
        <v>3407800000</v>
      </c>
      <c r="G362" s="8">
        <v>23510500000</v>
      </c>
    </row>
    <row r="363" spans="1:7" x14ac:dyDescent="0.25">
      <c r="A363" s="7">
        <v>39059</v>
      </c>
      <c r="B363" s="6">
        <v>5427.9</v>
      </c>
      <c r="C363" s="6">
        <v>5471.6</v>
      </c>
      <c r="D363" s="6">
        <v>5411</v>
      </c>
      <c r="E363" s="6">
        <v>5425.8</v>
      </c>
      <c r="F363" s="8">
        <v>3214100000</v>
      </c>
      <c r="G363" s="8">
        <v>22136400000</v>
      </c>
    </row>
    <row r="364" spans="1:7" x14ac:dyDescent="0.25">
      <c r="A364" s="7">
        <v>39066</v>
      </c>
      <c r="B364" s="6">
        <v>5425.8</v>
      </c>
      <c r="C364" s="6">
        <v>5587.4</v>
      </c>
      <c r="D364" s="6">
        <v>5425.8</v>
      </c>
      <c r="E364" s="6">
        <v>5575.4</v>
      </c>
      <c r="F364" s="8">
        <v>3176100000</v>
      </c>
      <c r="G364" s="8">
        <v>21793100000</v>
      </c>
    </row>
    <row r="365" spans="1:7" x14ac:dyDescent="0.25">
      <c r="A365" s="7">
        <v>39073</v>
      </c>
      <c r="B365" s="6">
        <v>5575.4</v>
      </c>
      <c r="C365" s="6">
        <v>5618.4</v>
      </c>
      <c r="D365" s="6">
        <v>5557.1</v>
      </c>
      <c r="E365" s="6">
        <v>5603.7</v>
      </c>
      <c r="F365" s="8">
        <v>3692000000</v>
      </c>
      <c r="G365" s="8">
        <v>31534800000</v>
      </c>
    </row>
    <row r="366" spans="1:7" x14ac:dyDescent="0.25">
      <c r="A366" s="7">
        <v>39080</v>
      </c>
      <c r="B366" s="6">
        <v>5603.7</v>
      </c>
      <c r="C366" s="6">
        <v>5684.4</v>
      </c>
      <c r="D366" s="6">
        <v>5600.8</v>
      </c>
      <c r="E366" s="6">
        <v>5669.9</v>
      </c>
      <c r="F366" s="8">
        <v>736200000</v>
      </c>
      <c r="G366" s="8">
        <v>4973200000</v>
      </c>
    </row>
    <row r="367" spans="1:7" x14ac:dyDescent="0.25">
      <c r="A367" s="7">
        <v>39087</v>
      </c>
      <c r="B367" s="6">
        <v>5669.9</v>
      </c>
      <c r="C367" s="6">
        <v>5698.2</v>
      </c>
      <c r="D367" s="6">
        <v>5565.2</v>
      </c>
      <c r="E367" s="6">
        <v>5572</v>
      </c>
      <c r="F367" s="8">
        <v>1535900000</v>
      </c>
      <c r="G367" s="8">
        <v>12526500000</v>
      </c>
    </row>
    <row r="368" spans="1:7" x14ac:dyDescent="0.25">
      <c r="A368" s="7">
        <v>39094</v>
      </c>
      <c r="B368" s="6">
        <v>5572.1</v>
      </c>
      <c r="C368" s="6">
        <v>5638.8</v>
      </c>
      <c r="D368" s="6">
        <v>5499</v>
      </c>
      <c r="E368" s="6">
        <v>5638.8</v>
      </c>
      <c r="F368" s="8">
        <v>3129000000</v>
      </c>
      <c r="G368" s="8">
        <v>22530800000</v>
      </c>
    </row>
    <row r="369" spans="1:7" x14ac:dyDescent="0.25">
      <c r="A369" s="7">
        <v>39101</v>
      </c>
      <c r="B369" s="6">
        <v>5638.8</v>
      </c>
      <c r="C369" s="6">
        <v>5705.4</v>
      </c>
      <c r="D369" s="6">
        <v>5633.2</v>
      </c>
      <c r="E369" s="6">
        <v>5673.1</v>
      </c>
      <c r="F369" s="8">
        <v>2767500000</v>
      </c>
      <c r="G369" s="8">
        <v>20532900000</v>
      </c>
    </row>
    <row r="370" spans="1:7" x14ac:dyDescent="0.25">
      <c r="A370" s="7">
        <v>39107</v>
      </c>
      <c r="B370" s="6">
        <v>5673.1</v>
      </c>
      <c r="C370" s="6">
        <v>5802.1</v>
      </c>
      <c r="D370" s="6">
        <v>5673.1</v>
      </c>
      <c r="E370" s="6">
        <v>5769.9</v>
      </c>
      <c r="F370" s="8">
        <v>2516000000</v>
      </c>
      <c r="G370" s="8">
        <v>22127200000</v>
      </c>
    </row>
    <row r="371" spans="1:7" x14ac:dyDescent="0.25">
      <c r="A371" s="7">
        <v>39115</v>
      </c>
      <c r="B371" s="6">
        <v>5769.9</v>
      </c>
      <c r="C371" s="6">
        <v>5841.3</v>
      </c>
      <c r="D371" s="6">
        <v>5752.6</v>
      </c>
      <c r="E371" s="6">
        <v>5831.5</v>
      </c>
      <c r="F371" s="8">
        <v>3373900000</v>
      </c>
      <c r="G371" s="8">
        <v>26263600000</v>
      </c>
    </row>
    <row r="372" spans="1:7" x14ac:dyDescent="0.25">
      <c r="A372" s="7">
        <v>39122</v>
      </c>
      <c r="B372" s="6">
        <v>5831.5</v>
      </c>
      <c r="C372" s="6">
        <v>5927.2</v>
      </c>
      <c r="D372" s="6">
        <v>5801.4</v>
      </c>
      <c r="E372" s="6">
        <v>5927.2</v>
      </c>
      <c r="F372" s="8">
        <v>3371200000</v>
      </c>
      <c r="G372" s="8">
        <v>28248800000</v>
      </c>
    </row>
    <row r="373" spans="1:7" x14ac:dyDescent="0.25">
      <c r="A373" s="7">
        <v>39129</v>
      </c>
      <c r="B373" s="6">
        <v>5927.2</v>
      </c>
      <c r="C373" s="6">
        <v>6000</v>
      </c>
      <c r="D373" s="6">
        <v>5905.4</v>
      </c>
      <c r="E373" s="6">
        <v>5953.7</v>
      </c>
      <c r="F373" s="8">
        <v>3151100000</v>
      </c>
      <c r="G373" s="8">
        <v>25160300000</v>
      </c>
    </row>
    <row r="374" spans="1:7" x14ac:dyDescent="0.25">
      <c r="A374" s="7">
        <v>39136</v>
      </c>
      <c r="B374" s="6">
        <v>5953.7</v>
      </c>
      <c r="C374" s="6">
        <v>6052.1</v>
      </c>
      <c r="D374" s="6">
        <v>5950.5</v>
      </c>
      <c r="E374" s="6">
        <v>6036.1</v>
      </c>
      <c r="F374" s="8">
        <v>3311900000</v>
      </c>
      <c r="G374" s="8">
        <v>29417300000</v>
      </c>
    </row>
    <row r="375" spans="1:7" x14ac:dyDescent="0.25">
      <c r="A375" s="7">
        <v>39143</v>
      </c>
      <c r="B375" s="6">
        <v>6036.1</v>
      </c>
      <c r="C375" s="6">
        <v>6044</v>
      </c>
      <c r="D375" s="6">
        <v>5780.9</v>
      </c>
      <c r="E375" s="6">
        <v>5786</v>
      </c>
      <c r="F375" s="8">
        <v>3661000000</v>
      </c>
      <c r="G375" s="8">
        <v>30651500000</v>
      </c>
    </row>
    <row r="376" spans="1:7" x14ac:dyDescent="0.25">
      <c r="A376" s="7">
        <v>39150</v>
      </c>
      <c r="B376" s="6">
        <v>5786</v>
      </c>
      <c r="C376" s="6">
        <v>5852.6</v>
      </c>
      <c r="D376" s="6">
        <v>5641.1</v>
      </c>
      <c r="E376" s="6">
        <v>5830.2</v>
      </c>
      <c r="F376" s="8">
        <v>3482400000</v>
      </c>
      <c r="G376" s="8">
        <v>28779500000</v>
      </c>
    </row>
    <row r="377" spans="1:7" x14ac:dyDescent="0.25">
      <c r="A377" s="7">
        <v>39157</v>
      </c>
      <c r="B377" s="6">
        <v>5830.2</v>
      </c>
      <c r="C377" s="6">
        <v>5917.7</v>
      </c>
      <c r="D377" s="6">
        <v>5741.9</v>
      </c>
      <c r="E377" s="6">
        <v>5836.3</v>
      </c>
      <c r="F377" s="8">
        <v>3393800000</v>
      </c>
      <c r="G377" s="8">
        <v>27565900000</v>
      </c>
    </row>
    <row r="378" spans="1:7" x14ac:dyDescent="0.25">
      <c r="A378" s="7">
        <v>39164</v>
      </c>
      <c r="B378" s="6">
        <v>5836.3</v>
      </c>
      <c r="C378" s="6">
        <v>5968.1</v>
      </c>
      <c r="D378" s="6">
        <v>5818.6</v>
      </c>
      <c r="E378" s="6">
        <v>5952.3</v>
      </c>
      <c r="F378" s="8">
        <v>2726700000</v>
      </c>
      <c r="G378" s="8">
        <v>24036800000</v>
      </c>
    </row>
    <row r="379" spans="1:7" x14ac:dyDescent="0.25">
      <c r="A379" s="7">
        <v>39171</v>
      </c>
      <c r="B379" s="6">
        <v>5952.3</v>
      </c>
      <c r="C379" s="6">
        <v>5998.9</v>
      </c>
      <c r="D379" s="6">
        <v>5905.3</v>
      </c>
      <c r="E379" s="6">
        <v>5995</v>
      </c>
      <c r="F379" s="8">
        <v>3508900000</v>
      </c>
      <c r="G379" s="8">
        <v>31260500000</v>
      </c>
    </row>
    <row r="380" spans="1:7" x14ac:dyDescent="0.25">
      <c r="A380" s="7">
        <v>39177</v>
      </c>
      <c r="B380" s="6">
        <v>5995</v>
      </c>
      <c r="C380" s="6">
        <v>6097.2</v>
      </c>
      <c r="D380" s="6">
        <v>5915.8</v>
      </c>
      <c r="E380" s="6">
        <v>6077.1</v>
      </c>
      <c r="F380" s="8">
        <v>2450200000</v>
      </c>
      <c r="G380" s="8">
        <v>20109400000</v>
      </c>
    </row>
    <row r="381" spans="1:7" x14ac:dyDescent="0.25">
      <c r="A381" s="7">
        <v>39185</v>
      </c>
      <c r="B381" s="6">
        <v>6077.1</v>
      </c>
      <c r="C381" s="6">
        <v>6195.8</v>
      </c>
      <c r="D381" s="6">
        <v>6077.1</v>
      </c>
      <c r="E381" s="6">
        <v>6135.8</v>
      </c>
      <c r="F381" s="8">
        <v>2648700000</v>
      </c>
      <c r="G381" s="8">
        <v>22071000000</v>
      </c>
    </row>
    <row r="382" spans="1:7" x14ac:dyDescent="0.25">
      <c r="A382" s="7">
        <v>39192</v>
      </c>
      <c r="B382" s="6">
        <v>6135.8</v>
      </c>
      <c r="C382" s="6">
        <v>6265.2</v>
      </c>
      <c r="D382" s="6">
        <v>6135.8</v>
      </c>
      <c r="E382" s="6">
        <v>6207.5</v>
      </c>
      <c r="F382" s="8">
        <v>3406000000</v>
      </c>
      <c r="G382" s="8">
        <v>28507700000</v>
      </c>
    </row>
    <row r="383" spans="1:7" x14ac:dyDescent="0.25">
      <c r="A383" s="7">
        <v>39199</v>
      </c>
      <c r="B383" s="6">
        <v>6207.5</v>
      </c>
      <c r="C383" s="6">
        <v>6252.3</v>
      </c>
      <c r="D383" s="6">
        <v>6144.2</v>
      </c>
      <c r="E383" s="6">
        <v>6151.6</v>
      </c>
      <c r="F383" s="8">
        <v>2734100000</v>
      </c>
      <c r="G383" s="8">
        <v>25236200000</v>
      </c>
    </row>
    <row r="384" spans="1:7" x14ac:dyDescent="0.25">
      <c r="A384" s="7">
        <v>39206</v>
      </c>
      <c r="B384" s="6">
        <v>6151.6</v>
      </c>
      <c r="C384" s="6">
        <v>6304.9</v>
      </c>
      <c r="D384" s="6">
        <v>6134.2</v>
      </c>
      <c r="E384" s="6">
        <v>6304.9</v>
      </c>
      <c r="F384" s="8">
        <v>3244100000</v>
      </c>
      <c r="G384" s="8">
        <v>25738500000</v>
      </c>
    </row>
    <row r="385" spans="1:7" x14ac:dyDescent="0.25">
      <c r="A385" s="7">
        <v>39213</v>
      </c>
      <c r="B385" s="6">
        <v>6304.9</v>
      </c>
      <c r="C385" s="6">
        <v>6382.7</v>
      </c>
      <c r="D385" s="6">
        <v>6280.5</v>
      </c>
      <c r="E385" s="6">
        <v>6297.4</v>
      </c>
      <c r="F385" s="8">
        <v>3443100000</v>
      </c>
      <c r="G385" s="8">
        <v>31299100000</v>
      </c>
    </row>
    <row r="386" spans="1:7" x14ac:dyDescent="0.25">
      <c r="A386" s="7">
        <v>39220</v>
      </c>
      <c r="B386" s="6">
        <v>6297.4</v>
      </c>
      <c r="C386" s="6">
        <v>6365.9</v>
      </c>
      <c r="D386" s="6">
        <v>6267.3</v>
      </c>
      <c r="E386" s="6">
        <v>6312.5</v>
      </c>
      <c r="F386" s="8">
        <v>3128100000</v>
      </c>
      <c r="G386" s="8">
        <v>27017900000</v>
      </c>
    </row>
    <row r="387" spans="1:7" x14ac:dyDescent="0.25">
      <c r="A387" s="7">
        <v>39227</v>
      </c>
      <c r="B387" s="6">
        <v>6318.7</v>
      </c>
      <c r="C387" s="6">
        <v>6384.1</v>
      </c>
      <c r="D387" s="6">
        <v>6226.4</v>
      </c>
      <c r="E387" s="6">
        <v>6252.8</v>
      </c>
      <c r="F387" s="8">
        <v>3684700000</v>
      </c>
      <c r="G387" s="8">
        <v>31502000000</v>
      </c>
    </row>
    <row r="388" spans="1:7" x14ac:dyDescent="0.25">
      <c r="A388" s="7">
        <v>39234</v>
      </c>
      <c r="B388" s="6">
        <v>6252.8</v>
      </c>
      <c r="C388" s="6">
        <v>6352.5</v>
      </c>
      <c r="D388" s="6">
        <v>6231</v>
      </c>
      <c r="E388" s="6">
        <v>6333.5</v>
      </c>
      <c r="F388" s="8">
        <v>3473500000</v>
      </c>
      <c r="G388" s="8">
        <v>29081100000</v>
      </c>
    </row>
    <row r="389" spans="1:7" x14ac:dyDescent="0.25">
      <c r="A389" s="7">
        <v>39241</v>
      </c>
      <c r="B389" s="6">
        <v>6333.5</v>
      </c>
      <c r="C389" s="6">
        <v>6409.2</v>
      </c>
      <c r="D389" s="6">
        <v>6199.3</v>
      </c>
      <c r="E389" s="6">
        <v>6231.7</v>
      </c>
      <c r="F389" s="8">
        <v>3592000000</v>
      </c>
      <c r="G389" s="8">
        <v>29663100000</v>
      </c>
    </row>
    <row r="390" spans="1:7" x14ac:dyDescent="0.25">
      <c r="A390" s="7">
        <v>39248</v>
      </c>
      <c r="B390" s="6">
        <v>6231.7</v>
      </c>
      <c r="C390" s="6">
        <v>6298.5</v>
      </c>
      <c r="D390" s="6">
        <v>6170.2</v>
      </c>
      <c r="E390" s="6">
        <v>6293.8</v>
      </c>
      <c r="F390" s="8">
        <v>2834900000</v>
      </c>
      <c r="G390" s="8">
        <v>23654300000</v>
      </c>
    </row>
    <row r="391" spans="1:7" x14ac:dyDescent="0.25">
      <c r="A391" s="7">
        <v>39255</v>
      </c>
      <c r="B391" s="6">
        <v>6293.8</v>
      </c>
      <c r="C391" s="6">
        <v>6403.9</v>
      </c>
      <c r="D391" s="6">
        <v>6293.8</v>
      </c>
      <c r="E391" s="6">
        <v>6382.6</v>
      </c>
      <c r="F391" s="8">
        <v>4589600000</v>
      </c>
      <c r="G391" s="8">
        <v>38173300000</v>
      </c>
    </row>
    <row r="392" spans="1:7" x14ac:dyDescent="0.25">
      <c r="A392" s="7">
        <v>39262</v>
      </c>
      <c r="B392" s="6">
        <v>6382.6</v>
      </c>
      <c r="C392" s="6">
        <v>6382.6</v>
      </c>
      <c r="D392" s="6">
        <v>6184.2</v>
      </c>
      <c r="E392" s="6">
        <v>6274.9</v>
      </c>
      <c r="F392" s="8">
        <v>4524000000</v>
      </c>
      <c r="G392" s="8">
        <v>39198100000</v>
      </c>
    </row>
    <row r="393" spans="1:7" x14ac:dyDescent="0.25">
      <c r="A393" s="7">
        <v>39269</v>
      </c>
      <c r="B393" s="6">
        <v>6274.9</v>
      </c>
      <c r="C393" s="6">
        <v>6362.3</v>
      </c>
      <c r="D393" s="6">
        <v>6254.6</v>
      </c>
      <c r="E393" s="6">
        <v>6351.1</v>
      </c>
      <c r="F393" s="8">
        <v>3772500000</v>
      </c>
      <c r="G393" s="8">
        <v>29582800000</v>
      </c>
    </row>
    <row r="394" spans="1:7" x14ac:dyDescent="0.25">
      <c r="A394" s="7">
        <v>39276</v>
      </c>
      <c r="B394" s="6">
        <v>6351.1</v>
      </c>
      <c r="C394" s="6">
        <v>6436.7</v>
      </c>
      <c r="D394" s="6">
        <v>6300.8</v>
      </c>
      <c r="E394" s="6">
        <v>6389.4</v>
      </c>
      <c r="F394" s="8">
        <v>3207100000</v>
      </c>
      <c r="G394" s="8">
        <v>27861200000</v>
      </c>
    </row>
    <row r="395" spans="1:7" x14ac:dyDescent="0.25">
      <c r="A395" s="7">
        <v>39283</v>
      </c>
      <c r="B395" s="6">
        <v>6389.4</v>
      </c>
      <c r="C395" s="6">
        <v>6422.3</v>
      </c>
      <c r="D395" s="6">
        <v>6326.4</v>
      </c>
      <c r="E395" s="6">
        <v>6421.8</v>
      </c>
      <c r="F395" s="8">
        <v>3292200000</v>
      </c>
      <c r="G395" s="8">
        <v>27309000000</v>
      </c>
    </row>
    <row r="396" spans="1:7" x14ac:dyDescent="0.25">
      <c r="A396" s="7">
        <v>39290</v>
      </c>
      <c r="B396" s="6">
        <v>6421.8</v>
      </c>
      <c r="C396" s="6">
        <v>6432.2</v>
      </c>
      <c r="D396" s="6">
        <v>6082.9</v>
      </c>
      <c r="E396" s="6">
        <v>6082.9</v>
      </c>
      <c r="F396" s="8">
        <v>3856700000</v>
      </c>
      <c r="G396" s="8">
        <v>34767100000</v>
      </c>
    </row>
    <row r="397" spans="1:7" x14ac:dyDescent="0.25">
      <c r="A397" s="7">
        <v>39297</v>
      </c>
      <c r="B397" s="6">
        <v>6082.9</v>
      </c>
      <c r="C397" s="6">
        <v>6145.4</v>
      </c>
      <c r="D397" s="6">
        <v>5903.2</v>
      </c>
      <c r="E397" s="6">
        <v>6021</v>
      </c>
      <c r="F397" s="8">
        <v>3662900000</v>
      </c>
      <c r="G397" s="8">
        <v>31926400000</v>
      </c>
    </row>
    <row r="398" spans="1:7" x14ac:dyDescent="0.25">
      <c r="A398" s="7">
        <v>39304</v>
      </c>
      <c r="B398" s="6">
        <v>6021</v>
      </c>
      <c r="C398" s="6">
        <v>6165.6</v>
      </c>
      <c r="D398" s="6">
        <v>5891.1</v>
      </c>
      <c r="E398" s="6">
        <v>5936</v>
      </c>
      <c r="F398" s="8">
        <v>3861400000</v>
      </c>
      <c r="G398" s="8">
        <v>31548800000</v>
      </c>
    </row>
    <row r="399" spans="1:7" x14ac:dyDescent="0.25">
      <c r="A399" s="7">
        <v>39311</v>
      </c>
      <c r="B399" s="6">
        <v>5936</v>
      </c>
      <c r="C399" s="6">
        <v>6040.4</v>
      </c>
      <c r="D399" s="6">
        <v>5483.3</v>
      </c>
      <c r="E399" s="6">
        <v>5671</v>
      </c>
      <c r="F399" s="8">
        <v>4701400000</v>
      </c>
      <c r="G399" s="8">
        <v>38543500000</v>
      </c>
    </row>
    <row r="400" spans="1:7" x14ac:dyDescent="0.25">
      <c r="A400" s="7">
        <v>39318</v>
      </c>
      <c r="B400" s="6">
        <v>5671</v>
      </c>
      <c r="C400" s="6">
        <v>6177.7</v>
      </c>
      <c r="D400" s="6">
        <v>5671</v>
      </c>
      <c r="E400" s="6">
        <v>6088.5</v>
      </c>
      <c r="F400" s="8">
        <v>3735000000</v>
      </c>
      <c r="G400" s="8">
        <v>31511800000</v>
      </c>
    </row>
    <row r="401" spans="1:7" x14ac:dyDescent="0.25">
      <c r="A401" s="7">
        <v>39325</v>
      </c>
      <c r="B401" s="6">
        <v>6088.5</v>
      </c>
      <c r="C401" s="6">
        <v>6247.2</v>
      </c>
      <c r="D401" s="6">
        <v>6031.6</v>
      </c>
      <c r="E401" s="6">
        <v>6247.2</v>
      </c>
      <c r="F401" s="8">
        <v>3993200000</v>
      </c>
      <c r="G401" s="8">
        <v>33067300000</v>
      </c>
    </row>
    <row r="402" spans="1:7" x14ac:dyDescent="0.25">
      <c r="A402" s="7">
        <v>39332</v>
      </c>
      <c r="B402" s="6">
        <v>6247.2</v>
      </c>
      <c r="C402" s="6">
        <v>6355.7</v>
      </c>
      <c r="D402" s="6">
        <v>6189.7</v>
      </c>
      <c r="E402" s="6">
        <v>6278.4</v>
      </c>
      <c r="F402" s="8">
        <v>2773100000</v>
      </c>
      <c r="G402" s="8">
        <v>22733100000</v>
      </c>
    </row>
    <row r="403" spans="1:7" x14ac:dyDescent="0.25">
      <c r="A403" s="7">
        <v>39339</v>
      </c>
      <c r="B403" s="6">
        <v>6278.4</v>
      </c>
      <c r="C403" s="6">
        <v>6310.8</v>
      </c>
      <c r="D403" s="6">
        <v>6146.5</v>
      </c>
      <c r="E403" s="6">
        <v>6306.8</v>
      </c>
      <c r="F403" s="8">
        <v>3150700000</v>
      </c>
      <c r="G403" s="8">
        <v>26419200000</v>
      </c>
    </row>
    <row r="404" spans="1:7" x14ac:dyDescent="0.25">
      <c r="A404" s="7">
        <v>39346</v>
      </c>
      <c r="B404" s="6">
        <v>6306.8</v>
      </c>
      <c r="C404" s="6">
        <v>6416.4</v>
      </c>
      <c r="D404" s="6">
        <v>6166.2</v>
      </c>
      <c r="E404" s="6">
        <v>6357.9</v>
      </c>
      <c r="F404" s="8">
        <v>4121800000</v>
      </c>
      <c r="G404" s="8">
        <v>36427200000</v>
      </c>
    </row>
    <row r="405" spans="1:7" x14ac:dyDescent="0.25">
      <c r="A405" s="7">
        <v>39353</v>
      </c>
      <c r="B405" s="6">
        <v>6357.9</v>
      </c>
      <c r="C405" s="6">
        <v>6594.4</v>
      </c>
      <c r="D405" s="6">
        <v>6357.9</v>
      </c>
      <c r="E405" s="6">
        <v>6567.8</v>
      </c>
      <c r="F405" s="8">
        <v>3669900000</v>
      </c>
      <c r="G405" s="8">
        <v>37388100000</v>
      </c>
    </row>
    <row r="406" spans="1:7" x14ac:dyDescent="0.25">
      <c r="A406" s="7">
        <v>39360</v>
      </c>
      <c r="B406" s="6">
        <v>6567.8</v>
      </c>
      <c r="C406" s="6">
        <v>6680.3</v>
      </c>
      <c r="D406" s="6">
        <v>6551.7</v>
      </c>
      <c r="E406" s="6">
        <v>6605.4</v>
      </c>
      <c r="F406" s="8">
        <v>2890200000</v>
      </c>
      <c r="G406" s="8">
        <v>25537700000</v>
      </c>
    </row>
    <row r="407" spans="1:7" x14ac:dyDescent="0.25">
      <c r="A407" s="7">
        <v>39367</v>
      </c>
      <c r="B407" s="6">
        <v>6605.4</v>
      </c>
      <c r="C407" s="6">
        <v>6782.5</v>
      </c>
      <c r="D407" s="6">
        <v>6605.4</v>
      </c>
      <c r="E407" s="6">
        <v>6748.9</v>
      </c>
      <c r="F407" s="8">
        <v>2944700000</v>
      </c>
      <c r="G407" s="8">
        <v>26242500000</v>
      </c>
    </row>
    <row r="408" spans="1:7" x14ac:dyDescent="0.25">
      <c r="A408" s="7">
        <v>39374</v>
      </c>
      <c r="B408" s="6">
        <v>6748.9</v>
      </c>
      <c r="C408" s="6">
        <v>6800.2</v>
      </c>
      <c r="D408" s="6">
        <v>6648.4</v>
      </c>
      <c r="E408" s="6">
        <v>6706.3</v>
      </c>
      <c r="F408" s="8">
        <v>2825400000</v>
      </c>
      <c r="G408" s="8">
        <v>26956900000</v>
      </c>
    </row>
    <row r="409" spans="1:7" x14ac:dyDescent="0.25">
      <c r="A409" s="7">
        <v>39381</v>
      </c>
      <c r="B409" s="6">
        <v>6706.3</v>
      </c>
      <c r="C409" s="6">
        <v>6733.4</v>
      </c>
      <c r="D409" s="6">
        <v>6542.9</v>
      </c>
      <c r="E409" s="6">
        <v>6700.6</v>
      </c>
      <c r="F409" s="8">
        <v>3875700000</v>
      </c>
      <c r="G409" s="8">
        <v>39125100000</v>
      </c>
    </row>
    <row r="410" spans="1:7" x14ac:dyDescent="0.25">
      <c r="A410" s="7">
        <v>39388</v>
      </c>
      <c r="B410" s="6">
        <v>6700.6</v>
      </c>
      <c r="C410" s="6">
        <v>6851.5</v>
      </c>
      <c r="D410" s="6">
        <v>6674.7</v>
      </c>
      <c r="E410" s="6">
        <v>6696.6</v>
      </c>
      <c r="F410" s="8">
        <v>3294200000</v>
      </c>
      <c r="G410" s="8">
        <v>32119400000</v>
      </c>
    </row>
    <row r="411" spans="1:7" x14ac:dyDescent="0.25">
      <c r="A411" s="7">
        <v>39395</v>
      </c>
      <c r="B411" s="6">
        <v>6696.6</v>
      </c>
      <c r="C411" s="6">
        <v>6710.2</v>
      </c>
      <c r="D411" s="6">
        <v>6488.5</v>
      </c>
      <c r="E411" s="6">
        <v>6545.7</v>
      </c>
      <c r="F411" s="8">
        <v>3022400000</v>
      </c>
      <c r="G411" s="8">
        <v>32472900000</v>
      </c>
    </row>
    <row r="412" spans="1:7" x14ac:dyDescent="0.25">
      <c r="A412" s="7">
        <v>39402</v>
      </c>
      <c r="B412" s="6">
        <v>6545.7</v>
      </c>
      <c r="C412" s="6">
        <v>6616.5</v>
      </c>
      <c r="D412" s="6">
        <v>6437.3</v>
      </c>
      <c r="E412" s="6">
        <v>6461.9</v>
      </c>
      <c r="F412" s="8">
        <v>3209900000</v>
      </c>
      <c r="G412" s="8">
        <v>33954100000</v>
      </c>
    </row>
    <row r="413" spans="1:7" x14ac:dyDescent="0.25">
      <c r="A413" s="7">
        <v>39409</v>
      </c>
      <c r="B413" s="6">
        <v>6461.9</v>
      </c>
      <c r="C413" s="6">
        <v>6551.9</v>
      </c>
      <c r="D413" s="6">
        <v>6312.6</v>
      </c>
      <c r="E413" s="6">
        <v>6330.2</v>
      </c>
      <c r="F413" s="8">
        <v>2805600000</v>
      </c>
      <c r="G413" s="8">
        <v>27411100000</v>
      </c>
    </row>
    <row r="414" spans="1:7" x14ac:dyDescent="0.25">
      <c r="A414" s="7">
        <v>39416</v>
      </c>
      <c r="B414" s="6">
        <v>6330.2</v>
      </c>
      <c r="C414" s="6">
        <v>6552.9</v>
      </c>
      <c r="D414" s="6">
        <v>6330.2</v>
      </c>
      <c r="E414" s="6">
        <v>6533.1</v>
      </c>
      <c r="F414" s="8">
        <v>3937300000</v>
      </c>
      <c r="G414" s="8">
        <v>37309700000</v>
      </c>
    </row>
    <row r="415" spans="1:7" x14ac:dyDescent="0.25">
      <c r="A415" s="7">
        <v>39423</v>
      </c>
      <c r="B415" s="6">
        <v>6533.1</v>
      </c>
      <c r="C415" s="6">
        <v>6671.4</v>
      </c>
      <c r="D415" s="6">
        <v>6482</v>
      </c>
      <c r="E415" s="6">
        <v>6654.7</v>
      </c>
      <c r="F415" s="8">
        <v>3196500000</v>
      </c>
      <c r="G415" s="8">
        <v>28524800000</v>
      </c>
    </row>
    <row r="416" spans="1:7" x14ac:dyDescent="0.25">
      <c r="A416" s="7">
        <v>39430</v>
      </c>
      <c r="B416" s="6">
        <v>6654.7</v>
      </c>
      <c r="C416" s="6">
        <v>6684.4</v>
      </c>
      <c r="D416" s="6">
        <v>6466.7</v>
      </c>
      <c r="E416" s="6">
        <v>6491.7</v>
      </c>
      <c r="F416" s="8">
        <v>2981400000</v>
      </c>
      <c r="G416" s="8">
        <v>27414900000</v>
      </c>
    </row>
    <row r="417" spans="1:7" x14ac:dyDescent="0.25">
      <c r="A417" s="7">
        <v>39437</v>
      </c>
      <c r="B417" s="6">
        <v>6491.7</v>
      </c>
      <c r="C417" s="6">
        <v>6491.7</v>
      </c>
      <c r="D417" s="6">
        <v>6105.1</v>
      </c>
      <c r="E417" s="6">
        <v>6247</v>
      </c>
      <c r="F417" s="8">
        <v>5880400000</v>
      </c>
      <c r="G417" s="8">
        <v>45675800000</v>
      </c>
    </row>
    <row r="418" spans="1:7" x14ac:dyDescent="0.25">
      <c r="A418" s="7">
        <v>39444</v>
      </c>
      <c r="B418" s="6">
        <v>6247</v>
      </c>
      <c r="C418" s="6">
        <v>6366.5</v>
      </c>
      <c r="D418" s="6">
        <v>6247</v>
      </c>
      <c r="E418" s="6">
        <v>6339.9</v>
      </c>
      <c r="F418" s="8">
        <v>965700000</v>
      </c>
      <c r="G418" s="8">
        <v>6714500000</v>
      </c>
    </row>
    <row r="419" spans="1:7" x14ac:dyDescent="0.25">
      <c r="A419" s="7">
        <v>39451</v>
      </c>
      <c r="B419" s="6">
        <v>6339.9</v>
      </c>
      <c r="C419" s="6">
        <v>6385.7</v>
      </c>
      <c r="D419" s="6">
        <v>6251.4</v>
      </c>
      <c r="E419" s="6">
        <v>6306.8</v>
      </c>
      <c r="F419" s="8">
        <v>1500500000</v>
      </c>
      <c r="G419" s="8">
        <v>10323800000</v>
      </c>
    </row>
    <row r="420" spans="1:7" x14ac:dyDescent="0.25">
      <c r="A420" s="7">
        <v>39458</v>
      </c>
      <c r="B420" s="6">
        <v>6306.8</v>
      </c>
      <c r="C420" s="6">
        <v>6306.8</v>
      </c>
      <c r="D420" s="6">
        <v>5981.6</v>
      </c>
      <c r="E420" s="6">
        <v>5981.6</v>
      </c>
      <c r="F420" s="8">
        <v>3457100000</v>
      </c>
      <c r="G420" s="8">
        <v>25888300000</v>
      </c>
    </row>
    <row r="421" spans="1:7" x14ac:dyDescent="0.25">
      <c r="A421" s="7">
        <v>39465</v>
      </c>
      <c r="B421" s="6">
        <v>5981.6</v>
      </c>
      <c r="C421" s="6">
        <v>6042</v>
      </c>
      <c r="D421" s="6">
        <v>5619.3</v>
      </c>
      <c r="E421" s="6">
        <v>5747.3</v>
      </c>
      <c r="F421" s="8">
        <v>4420000000</v>
      </c>
      <c r="G421" s="8">
        <v>31540700000</v>
      </c>
    </row>
    <row r="422" spans="1:7" x14ac:dyDescent="0.25">
      <c r="A422" s="7">
        <v>39472</v>
      </c>
      <c r="B422" s="6">
        <v>5747.3</v>
      </c>
      <c r="C422" s="6">
        <v>5860.3</v>
      </c>
      <c r="D422" s="6">
        <v>5186.8</v>
      </c>
      <c r="E422" s="6">
        <v>5860.3</v>
      </c>
      <c r="F422" s="8">
        <v>5414800000</v>
      </c>
      <c r="G422" s="8">
        <v>40708600000</v>
      </c>
    </row>
    <row r="423" spans="1:7" x14ac:dyDescent="0.25">
      <c r="A423" s="7">
        <v>39479</v>
      </c>
      <c r="B423" s="6">
        <v>5860.3</v>
      </c>
      <c r="C423" s="6">
        <v>5862.1</v>
      </c>
      <c r="D423" s="6">
        <v>5448.5</v>
      </c>
      <c r="E423" s="6">
        <v>5842.9</v>
      </c>
      <c r="F423" s="8">
        <v>3480300000</v>
      </c>
      <c r="G423" s="8">
        <v>25693700000</v>
      </c>
    </row>
    <row r="424" spans="1:7" x14ac:dyDescent="0.25">
      <c r="A424" s="7">
        <v>39486</v>
      </c>
      <c r="B424" s="6">
        <v>5842.9</v>
      </c>
      <c r="C424" s="6">
        <v>6022</v>
      </c>
      <c r="D424" s="6">
        <v>5508.7</v>
      </c>
      <c r="E424" s="6">
        <v>5658</v>
      </c>
      <c r="F424" s="8">
        <v>3322300000</v>
      </c>
      <c r="G424" s="8">
        <v>27843900000</v>
      </c>
    </row>
    <row r="425" spans="1:7" x14ac:dyDescent="0.25">
      <c r="A425" s="7">
        <v>39493</v>
      </c>
      <c r="B425" s="6">
        <v>5658</v>
      </c>
      <c r="C425" s="6">
        <v>5690.5</v>
      </c>
      <c r="D425" s="6">
        <v>5513.2</v>
      </c>
      <c r="E425" s="6">
        <v>5606.6</v>
      </c>
      <c r="F425" s="8">
        <v>3564300000</v>
      </c>
      <c r="G425" s="8">
        <v>29725200000</v>
      </c>
    </row>
    <row r="426" spans="1:7" x14ac:dyDescent="0.25">
      <c r="A426" s="7">
        <v>39500</v>
      </c>
      <c r="B426" s="6">
        <v>5606.6</v>
      </c>
      <c r="C426" s="6">
        <v>5650.3</v>
      </c>
      <c r="D426" s="6">
        <v>5490.4</v>
      </c>
      <c r="E426" s="6">
        <v>5559.9</v>
      </c>
      <c r="F426" s="8">
        <v>3816800000</v>
      </c>
      <c r="G426" s="8">
        <v>30813000000</v>
      </c>
    </row>
    <row r="427" spans="1:7" x14ac:dyDescent="0.25">
      <c r="A427" s="7">
        <v>39507</v>
      </c>
      <c r="B427" s="6">
        <v>5559.9</v>
      </c>
      <c r="C427" s="6">
        <v>5769.8</v>
      </c>
      <c r="D427" s="6">
        <v>5515.6</v>
      </c>
      <c r="E427" s="6">
        <v>5572.1</v>
      </c>
      <c r="F427" s="8">
        <v>4178200000</v>
      </c>
      <c r="G427" s="8">
        <v>32744100000</v>
      </c>
    </row>
    <row r="428" spans="1:7" x14ac:dyDescent="0.25">
      <c r="A428" s="7">
        <v>39514</v>
      </c>
      <c r="B428" s="6">
        <v>5572.1</v>
      </c>
      <c r="C428" s="6">
        <v>5572.1</v>
      </c>
      <c r="D428" s="6">
        <v>5240.3</v>
      </c>
      <c r="E428" s="6">
        <v>5264</v>
      </c>
      <c r="F428" s="8">
        <v>4729700000</v>
      </c>
      <c r="G428" s="8">
        <v>32488300000</v>
      </c>
    </row>
    <row r="429" spans="1:7" x14ac:dyDescent="0.25">
      <c r="A429" s="7">
        <v>39521</v>
      </c>
      <c r="B429" s="6">
        <v>5264</v>
      </c>
      <c r="C429" s="6">
        <v>5369.7</v>
      </c>
      <c r="D429" s="6">
        <v>5082.1000000000004</v>
      </c>
      <c r="E429" s="6">
        <v>5206.8999999999996</v>
      </c>
      <c r="F429" s="8">
        <v>4282300000</v>
      </c>
      <c r="G429" s="8">
        <v>29549400000</v>
      </c>
    </row>
    <row r="430" spans="1:7" x14ac:dyDescent="0.25">
      <c r="A430" s="7">
        <v>39527</v>
      </c>
      <c r="B430" s="6">
        <v>5206.8999999999996</v>
      </c>
      <c r="C430" s="6">
        <v>5289.1</v>
      </c>
      <c r="D430" s="6">
        <v>5039.6000000000004</v>
      </c>
      <c r="E430" s="6">
        <v>5127.5</v>
      </c>
      <c r="F430" s="8">
        <v>4575700000</v>
      </c>
      <c r="G430" s="8">
        <v>32923400000</v>
      </c>
    </row>
    <row r="431" spans="1:7" x14ac:dyDescent="0.25">
      <c r="A431" s="7">
        <v>39535</v>
      </c>
      <c r="B431" s="6">
        <v>5127.5</v>
      </c>
      <c r="C431" s="6">
        <v>5389.7</v>
      </c>
      <c r="D431" s="6">
        <v>5127.5</v>
      </c>
      <c r="E431" s="6">
        <v>5351.1</v>
      </c>
      <c r="F431" s="8">
        <v>3758500000</v>
      </c>
      <c r="G431" s="8">
        <v>25998400000</v>
      </c>
    </row>
    <row r="432" spans="1:7" x14ac:dyDescent="0.25">
      <c r="A432" s="7">
        <v>39542</v>
      </c>
      <c r="B432" s="6">
        <v>5351.1</v>
      </c>
      <c r="C432" s="6">
        <v>5657.7</v>
      </c>
      <c r="D432" s="6">
        <v>5301</v>
      </c>
      <c r="E432" s="6">
        <v>5619.6</v>
      </c>
      <c r="F432" s="8">
        <v>4353200000</v>
      </c>
      <c r="G432" s="8">
        <v>27509500000</v>
      </c>
    </row>
    <row r="433" spans="1:7" x14ac:dyDescent="0.25">
      <c r="A433" s="7">
        <v>39549</v>
      </c>
      <c r="B433" s="6">
        <v>5619.6</v>
      </c>
      <c r="C433" s="6">
        <v>5643.7</v>
      </c>
      <c r="D433" s="6">
        <v>5386.1</v>
      </c>
      <c r="E433" s="6">
        <v>5439.3</v>
      </c>
      <c r="F433" s="8">
        <v>3550500000</v>
      </c>
      <c r="G433" s="8">
        <v>25352900000</v>
      </c>
    </row>
    <row r="434" spans="1:7" x14ac:dyDescent="0.25">
      <c r="A434" s="7">
        <v>39556</v>
      </c>
      <c r="B434" s="6">
        <v>5439.3</v>
      </c>
      <c r="C434" s="6">
        <v>5567.6</v>
      </c>
      <c r="D434" s="6">
        <v>5309.2</v>
      </c>
      <c r="E434" s="6">
        <v>5429.7</v>
      </c>
      <c r="F434" s="8">
        <v>3295500000</v>
      </c>
      <c r="G434" s="8">
        <v>23051900000</v>
      </c>
    </row>
    <row r="435" spans="1:7" x14ac:dyDescent="0.25">
      <c r="A435" s="7">
        <v>39562</v>
      </c>
      <c r="B435" s="6">
        <v>5429.7</v>
      </c>
      <c r="C435" s="6">
        <v>5653.9</v>
      </c>
      <c r="D435" s="6">
        <v>5429.7</v>
      </c>
      <c r="E435" s="6">
        <v>5587.3</v>
      </c>
      <c r="F435" s="8">
        <v>2809900000</v>
      </c>
      <c r="G435" s="8">
        <v>22387700000</v>
      </c>
    </row>
    <row r="436" spans="1:7" x14ac:dyDescent="0.25">
      <c r="A436" s="7">
        <v>39570</v>
      </c>
      <c r="B436" s="6">
        <v>5587.3</v>
      </c>
      <c r="C436" s="6">
        <v>5700.4</v>
      </c>
      <c r="D436" s="6">
        <v>5516</v>
      </c>
      <c r="E436" s="6">
        <v>5700.4</v>
      </c>
      <c r="F436" s="8">
        <v>3663400000</v>
      </c>
      <c r="G436" s="8">
        <v>25920500000</v>
      </c>
    </row>
    <row r="437" spans="1:7" x14ac:dyDescent="0.25">
      <c r="A437" s="7">
        <v>39577</v>
      </c>
      <c r="B437" s="6">
        <v>5700.4</v>
      </c>
      <c r="C437" s="6">
        <v>5810.7</v>
      </c>
      <c r="D437" s="6">
        <v>5590.6</v>
      </c>
      <c r="E437" s="6">
        <v>5771.8</v>
      </c>
      <c r="F437" s="8">
        <v>3456100000</v>
      </c>
      <c r="G437" s="8">
        <v>24842000000</v>
      </c>
    </row>
    <row r="438" spans="1:7" x14ac:dyDescent="0.25">
      <c r="A438" s="7">
        <v>39584</v>
      </c>
      <c r="B438" s="6">
        <v>5771.8</v>
      </c>
      <c r="C438" s="6">
        <v>5971.5</v>
      </c>
      <c r="D438" s="6">
        <v>5771.8</v>
      </c>
      <c r="E438" s="6">
        <v>5931</v>
      </c>
      <c r="F438" s="8">
        <v>3686400000</v>
      </c>
      <c r="G438" s="8">
        <v>29266300000</v>
      </c>
    </row>
    <row r="439" spans="1:7" x14ac:dyDescent="0.25">
      <c r="A439" s="7">
        <v>39591</v>
      </c>
      <c r="B439" s="6">
        <v>5931</v>
      </c>
      <c r="C439" s="6">
        <v>5980.8</v>
      </c>
      <c r="D439" s="6">
        <v>5738.9</v>
      </c>
      <c r="E439" s="6">
        <v>5768</v>
      </c>
      <c r="F439" s="8">
        <v>3832700000</v>
      </c>
      <c r="G439" s="8">
        <v>28303000000</v>
      </c>
    </row>
    <row r="440" spans="1:7" x14ac:dyDescent="0.25">
      <c r="A440" s="7">
        <v>39598</v>
      </c>
      <c r="B440" s="6">
        <v>5768</v>
      </c>
      <c r="C440" s="6">
        <v>5768</v>
      </c>
      <c r="D440" s="6">
        <v>5628.5</v>
      </c>
      <c r="E440" s="6">
        <v>5654.7</v>
      </c>
      <c r="F440" s="8">
        <v>4474900000</v>
      </c>
      <c r="G440" s="8">
        <v>30676100000</v>
      </c>
    </row>
    <row r="441" spans="1:7" x14ac:dyDescent="0.25">
      <c r="A441" s="7">
        <v>39605</v>
      </c>
      <c r="B441" s="6">
        <v>5654.7</v>
      </c>
      <c r="C441" s="6">
        <v>5681.5</v>
      </c>
      <c r="D441" s="6">
        <v>5514.3</v>
      </c>
      <c r="E441" s="6">
        <v>5592.1</v>
      </c>
      <c r="F441" s="8">
        <v>3869800000</v>
      </c>
      <c r="G441" s="8">
        <v>26981800000</v>
      </c>
    </row>
    <row r="442" spans="1:7" x14ac:dyDescent="0.25">
      <c r="A442" s="7">
        <v>39612</v>
      </c>
      <c r="B442" s="6">
        <v>5592.1</v>
      </c>
      <c r="C442" s="6">
        <v>5592.1</v>
      </c>
      <c r="D442" s="6">
        <v>5290</v>
      </c>
      <c r="E442" s="6">
        <v>5378.1</v>
      </c>
      <c r="F442" s="8">
        <v>3630100000</v>
      </c>
      <c r="G442" s="8">
        <v>24344800000</v>
      </c>
    </row>
    <row r="443" spans="1:7" x14ac:dyDescent="0.25">
      <c r="A443" s="7">
        <v>39619</v>
      </c>
      <c r="B443" s="6">
        <v>5378.1</v>
      </c>
      <c r="C443" s="6">
        <v>5444.2</v>
      </c>
      <c r="D443" s="6">
        <v>5276.2</v>
      </c>
      <c r="E443" s="6">
        <v>5288.3</v>
      </c>
      <c r="F443" s="8">
        <v>5429900000</v>
      </c>
      <c r="G443" s="8">
        <v>34997400000</v>
      </c>
    </row>
    <row r="444" spans="1:7" x14ac:dyDescent="0.25">
      <c r="A444" s="7">
        <v>39626</v>
      </c>
      <c r="B444" s="6">
        <v>5288.3</v>
      </c>
      <c r="C444" s="6">
        <v>5334.1</v>
      </c>
      <c r="D444" s="6">
        <v>5144.7</v>
      </c>
      <c r="E444" s="6">
        <v>5237</v>
      </c>
      <c r="F444" s="8">
        <v>5300400000</v>
      </c>
      <c r="G444" s="8">
        <v>36406400000</v>
      </c>
    </row>
    <row r="445" spans="1:7" x14ac:dyDescent="0.25">
      <c r="A445" s="7">
        <v>39633</v>
      </c>
      <c r="B445" s="6">
        <v>5237</v>
      </c>
      <c r="C445" s="6">
        <v>5305.9</v>
      </c>
      <c r="D445" s="6">
        <v>4969.1000000000004</v>
      </c>
      <c r="E445" s="6">
        <v>5082.1000000000004</v>
      </c>
      <c r="F445" s="8">
        <v>4399200000</v>
      </c>
      <c r="G445" s="8">
        <v>30162500000</v>
      </c>
    </row>
    <row r="446" spans="1:7" x14ac:dyDescent="0.25">
      <c r="A446" s="7">
        <v>39640</v>
      </c>
      <c r="B446" s="6">
        <v>5082.1000000000004</v>
      </c>
      <c r="C446" s="6">
        <v>5082.1000000000004</v>
      </c>
      <c r="D446" s="6">
        <v>4916.8999999999996</v>
      </c>
      <c r="E446" s="6">
        <v>4979.8999999999996</v>
      </c>
      <c r="F446" s="8">
        <v>3915100000</v>
      </c>
      <c r="G446" s="8">
        <v>24052900000</v>
      </c>
    </row>
    <row r="447" spans="1:7" x14ac:dyDescent="0.25">
      <c r="A447" s="7">
        <v>39647</v>
      </c>
      <c r="B447" s="6">
        <v>4979.8999999999996</v>
      </c>
      <c r="C447" s="6">
        <v>4979.8999999999996</v>
      </c>
      <c r="D447" s="6">
        <v>4787.5</v>
      </c>
      <c r="E447" s="6">
        <v>4840.3999999999996</v>
      </c>
      <c r="F447" s="8">
        <v>4038100000</v>
      </c>
      <c r="G447" s="8">
        <v>23872800000</v>
      </c>
    </row>
    <row r="448" spans="1:7" x14ac:dyDescent="0.25">
      <c r="A448" s="7">
        <v>39654</v>
      </c>
      <c r="B448" s="6">
        <v>4840.3999999999996</v>
      </c>
      <c r="C448" s="6">
        <v>5158.3</v>
      </c>
      <c r="D448" s="6">
        <v>4840.3999999999996</v>
      </c>
      <c r="E448" s="6">
        <v>4970.5</v>
      </c>
      <c r="F448" s="8">
        <v>4244900000</v>
      </c>
      <c r="G448" s="8">
        <v>30300000000</v>
      </c>
    </row>
    <row r="449" spans="1:7" x14ac:dyDescent="0.25">
      <c r="A449" s="7">
        <v>39661</v>
      </c>
      <c r="B449" s="6">
        <v>4970.5</v>
      </c>
      <c r="C449" s="6">
        <v>5015.2</v>
      </c>
      <c r="D449" s="6">
        <v>4819.3999999999996</v>
      </c>
      <c r="E449" s="6">
        <v>4904</v>
      </c>
      <c r="F449" s="8">
        <v>3525900000</v>
      </c>
      <c r="G449" s="8">
        <v>24475700000</v>
      </c>
    </row>
    <row r="450" spans="1:7" x14ac:dyDescent="0.25">
      <c r="A450" s="7">
        <v>39668</v>
      </c>
      <c r="B450" s="6">
        <v>4904</v>
      </c>
      <c r="C450" s="6">
        <v>5004.8999999999996</v>
      </c>
      <c r="D450" s="6">
        <v>4758.5</v>
      </c>
      <c r="E450" s="6">
        <v>4986.2</v>
      </c>
      <c r="F450" s="8">
        <v>3929700000</v>
      </c>
      <c r="G450" s="8">
        <v>24512200000</v>
      </c>
    </row>
    <row r="451" spans="1:7" x14ac:dyDescent="0.25">
      <c r="A451" s="7">
        <v>39675</v>
      </c>
      <c r="B451" s="6">
        <v>4986.2</v>
      </c>
      <c r="C451" s="6">
        <v>5072.8999999999996</v>
      </c>
      <c r="D451" s="6">
        <v>4931.7</v>
      </c>
      <c r="E451" s="6">
        <v>4981.7</v>
      </c>
      <c r="F451" s="8">
        <v>3875100000</v>
      </c>
      <c r="G451" s="8">
        <v>25674100000</v>
      </c>
    </row>
    <row r="452" spans="1:7" x14ac:dyDescent="0.25">
      <c r="A452" s="7">
        <v>39682</v>
      </c>
      <c r="B452" s="6">
        <v>4981.7</v>
      </c>
      <c r="C452" s="6">
        <v>5031.6000000000004</v>
      </c>
      <c r="D452" s="6">
        <v>4866.3999999999996</v>
      </c>
      <c r="E452" s="6">
        <v>4931.3999999999996</v>
      </c>
      <c r="F452" s="8">
        <v>4125900000</v>
      </c>
      <c r="G452" s="8">
        <v>25039800000</v>
      </c>
    </row>
    <row r="453" spans="1:7" x14ac:dyDescent="0.25">
      <c r="A453" s="7">
        <v>39689</v>
      </c>
      <c r="B453" s="6">
        <v>4931.3999999999996</v>
      </c>
      <c r="C453" s="6">
        <v>5146.3</v>
      </c>
      <c r="D453" s="6">
        <v>4895</v>
      </c>
      <c r="E453" s="6">
        <v>5135.6000000000004</v>
      </c>
      <c r="F453" s="8">
        <v>3860700000</v>
      </c>
      <c r="G453" s="8">
        <v>25573900000</v>
      </c>
    </row>
    <row r="454" spans="1:7" x14ac:dyDescent="0.25">
      <c r="A454" s="7">
        <v>39696</v>
      </c>
      <c r="B454" s="6">
        <v>5135.6000000000004</v>
      </c>
      <c r="C454" s="6">
        <v>5177.2</v>
      </c>
      <c r="D454" s="6">
        <v>4837.6000000000004</v>
      </c>
      <c r="E454" s="6">
        <v>4877.1000000000004</v>
      </c>
      <c r="F454" s="8">
        <v>3863100000</v>
      </c>
      <c r="G454" s="8">
        <v>24939700000</v>
      </c>
    </row>
    <row r="455" spans="1:7" x14ac:dyDescent="0.25">
      <c r="A455" s="7">
        <v>39703</v>
      </c>
      <c r="B455" s="6">
        <v>4877.1000000000004</v>
      </c>
      <c r="C455" s="6">
        <v>5081.7</v>
      </c>
      <c r="D455" s="6">
        <v>4811.3999999999996</v>
      </c>
      <c r="E455" s="6">
        <v>4903.8</v>
      </c>
      <c r="F455" s="8">
        <v>4141300000</v>
      </c>
      <c r="G455" s="8">
        <v>28182700000</v>
      </c>
    </row>
    <row r="456" spans="1:7" x14ac:dyDescent="0.25">
      <c r="A456" s="7">
        <v>39710</v>
      </c>
      <c r="B456" s="6">
        <v>4903.8</v>
      </c>
      <c r="C456" s="6">
        <v>4905.1000000000004</v>
      </c>
      <c r="D456" s="6">
        <v>4527.3999999999996</v>
      </c>
      <c r="E456" s="6">
        <v>4804.1000000000004</v>
      </c>
      <c r="F456" s="8">
        <v>6767700000</v>
      </c>
      <c r="G456" s="8">
        <v>40827600000</v>
      </c>
    </row>
    <row r="457" spans="1:7" x14ac:dyDescent="0.25">
      <c r="A457" s="7">
        <v>39717</v>
      </c>
      <c r="B457" s="6">
        <v>4804.1000000000004</v>
      </c>
      <c r="C457" s="6">
        <v>5020.5</v>
      </c>
      <c r="D457" s="6">
        <v>4804.1000000000004</v>
      </c>
      <c r="E457" s="6">
        <v>4904.8</v>
      </c>
      <c r="F457" s="8">
        <v>4128800000</v>
      </c>
      <c r="G457" s="8">
        <v>28580700000</v>
      </c>
    </row>
    <row r="458" spans="1:7" x14ac:dyDescent="0.25">
      <c r="A458" s="7">
        <v>39724</v>
      </c>
      <c r="B458" s="6">
        <v>4904.8</v>
      </c>
      <c r="C458" s="6">
        <v>4956.6000000000004</v>
      </c>
      <c r="D458" s="6">
        <v>4540.7</v>
      </c>
      <c r="E458" s="6">
        <v>4695.3999999999996</v>
      </c>
      <c r="F458" s="8">
        <v>3026500000</v>
      </c>
      <c r="G458" s="8">
        <v>20763700000</v>
      </c>
    </row>
    <row r="459" spans="1:7" x14ac:dyDescent="0.25">
      <c r="A459" s="7">
        <v>39731</v>
      </c>
      <c r="B459" s="6">
        <v>4695.3999999999996</v>
      </c>
      <c r="C459" s="6">
        <v>4695.3999999999996</v>
      </c>
      <c r="D459" s="6">
        <v>3960.7</v>
      </c>
      <c r="E459" s="6">
        <v>3960.7</v>
      </c>
      <c r="F459" s="8">
        <v>3894000000</v>
      </c>
      <c r="G459" s="8">
        <v>22303000000</v>
      </c>
    </row>
    <row r="460" spans="1:7" x14ac:dyDescent="0.25">
      <c r="A460" s="7">
        <v>39738</v>
      </c>
      <c r="B460" s="6">
        <v>3960.7</v>
      </c>
      <c r="C460" s="6">
        <v>4442.3999999999996</v>
      </c>
      <c r="D460" s="6">
        <v>3960.7</v>
      </c>
      <c r="E460" s="6">
        <v>3970.8</v>
      </c>
      <c r="F460" s="8">
        <v>4626900000</v>
      </c>
      <c r="G460" s="8">
        <v>24753400000</v>
      </c>
    </row>
    <row r="461" spans="1:7" x14ac:dyDescent="0.25">
      <c r="A461" s="7">
        <v>39745</v>
      </c>
      <c r="B461" s="6">
        <v>3970.8</v>
      </c>
      <c r="C461" s="6">
        <v>4302.5</v>
      </c>
      <c r="D461" s="6">
        <v>3830</v>
      </c>
      <c r="E461" s="6">
        <v>3869.4</v>
      </c>
      <c r="F461" s="8">
        <v>3963100000</v>
      </c>
      <c r="G461" s="8">
        <v>20314200000</v>
      </c>
    </row>
    <row r="462" spans="1:7" x14ac:dyDescent="0.25">
      <c r="A462" s="7">
        <v>39752</v>
      </c>
      <c r="B462" s="6">
        <v>3869.4</v>
      </c>
      <c r="C462" s="6">
        <v>4022.4</v>
      </c>
      <c r="D462" s="6">
        <v>3724.8</v>
      </c>
      <c r="E462" s="6">
        <v>4018</v>
      </c>
      <c r="F462" s="8">
        <v>4847200000</v>
      </c>
      <c r="G462" s="8">
        <v>23124000000</v>
      </c>
    </row>
    <row r="463" spans="1:7" x14ac:dyDescent="0.25">
      <c r="A463" s="7">
        <v>39759</v>
      </c>
      <c r="B463" s="6">
        <v>4018</v>
      </c>
      <c r="C463" s="6">
        <v>4340.5</v>
      </c>
      <c r="D463" s="6">
        <v>3963.8</v>
      </c>
      <c r="E463" s="6">
        <v>4051.3</v>
      </c>
      <c r="F463" s="8">
        <v>4119000000</v>
      </c>
      <c r="G463" s="8">
        <v>20278400000</v>
      </c>
    </row>
    <row r="464" spans="1:7" x14ac:dyDescent="0.25">
      <c r="A464" s="7">
        <v>39766</v>
      </c>
      <c r="B464" s="6">
        <v>4051.3</v>
      </c>
      <c r="C464" s="6">
        <v>4159.8</v>
      </c>
      <c r="D464" s="6">
        <v>3697.3</v>
      </c>
      <c r="E464" s="6">
        <v>3748.1</v>
      </c>
      <c r="F464" s="8">
        <v>4200600000</v>
      </c>
      <c r="G464" s="8">
        <v>18234000000</v>
      </c>
    </row>
    <row r="465" spans="1:7" x14ac:dyDescent="0.25">
      <c r="A465" s="7">
        <v>39773</v>
      </c>
      <c r="B465" s="6">
        <v>3748.1</v>
      </c>
      <c r="C465" s="6">
        <v>3748.1</v>
      </c>
      <c r="D465" s="6">
        <v>3217.5</v>
      </c>
      <c r="E465" s="6">
        <v>3416.5</v>
      </c>
      <c r="F465" s="8">
        <v>4730700000</v>
      </c>
      <c r="G465" s="8">
        <v>21533700000</v>
      </c>
    </row>
    <row r="466" spans="1:7" x14ac:dyDescent="0.25">
      <c r="A466" s="7">
        <v>39780</v>
      </c>
      <c r="B466" s="6">
        <v>3416.5</v>
      </c>
      <c r="C466" s="6">
        <v>3742.5</v>
      </c>
      <c r="D466" s="6">
        <v>3362</v>
      </c>
      <c r="E466" s="6">
        <v>3742.5</v>
      </c>
      <c r="F466" s="8">
        <v>4670500000</v>
      </c>
      <c r="G466" s="8">
        <v>23597000000</v>
      </c>
    </row>
    <row r="467" spans="1:7" x14ac:dyDescent="0.25">
      <c r="A467" s="7">
        <v>39787</v>
      </c>
      <c r="B467" s="6">
        <v>3742.5</v>
      </c>
      <c r="C467" s="6">
        <v>3742.5</v>
      </c>
      <c r="D467" s="6">
        <v>3485.2</v>
      </c>
      <c r="E467" s="6">
        <v>3489.9</v>
      </c>
      <c r="F467" s="8">
        <v>3737000000</v>
      </c>
      <c r="G467" s="8">
        <v>17147300000</v>
      </c>
    </row>
    <row r="468" spans="1:7" x14ac:dyDescent="0.25">
      <c r="A468" s="7">
        <v>39794</v>
      </c>
      <c r="B468" s="6">
        <v>3489.9</v>
      </c>
      <c r="C468" s="6">
        <v>3670.8</v>
      </c>
      <c r="D468" s="6">
        <v>3474.1</v>
      </c>
      <c r="E468" s="6">
        <v>3510.4</v>
      </c>
      <c r="F468" s="8">
        <v>3887600000</v>
      </c>
      <c r="G468" s="8">
        <v>19235900000</v>
      </c>
    </row>
    <row r="469" spans="1:7" x14ac:dyDescent="0.25">
      <c r="A469" s="7">
        <v>39801</v>
      </c>
      <c r="B469" s="6">
        <v>3510.4</v>
      </c>
      <c r="C469" s="6">
        <v>3664.4</v>
      </c>
      <c r="D469" s="6">
        <v>3507.7</v>
      </c>
      <c r="E469" s="6">
        <v>3615.7</v>
      </c>
      <c r="F469" s="8">
        <v>6609800000</v>
      </c>
      <c r="G469" s="8">
        <v>28953300000</v>
      </c>
    </row>
    <row r="470" spans="1:7" x14ac:dyDescent="0.25">
      <c r="A470" s="7">
        <v>39806</v>
      </c>
      <c r="B470" s="6">
        <v>3615.7</v>
      </c>
      <c r="C470" s="6">
        <v>3627.7</v>
      </c>
      <c r="D470" s="6">
        <v>3494.3</v>
      </c>
      <c r="E470" s="6">
        <v>3582.2</v>
      </c>
      <c r="F470" s="8">
        <v>1541100000</v>
      </c>
      <c r="G470" s="8">
        <v>5324500000</v>
      </c>
    </row>
    <row r="471" spans="1:7" x14ac:dyDescent="0.25">
      <c r="A471" s="7">
        <v>39815</v>
      </c>
      <c r="B471" s="6">
        <v>3582.2</v>
      </c>
      <c r="C471" s="6">
        <v>3767.5</v>
      </c>
      <c r="D471" s="6">
        <v>3572.7</v>
      </c>
      <c r="E471" s="6">
        <v>3713.8</v>
      </c>
      <c r="F471" s="8">
        <v>1611200000</v>
      </c>
      <c r="G471" s="8">
        <v>5423900000</v>
      </c>
    </row>
    <row r="472" spans="1:7" x14ac:dyDescent="0.25">
      <c r="A472" s="7">
        <v>39822</v>
      </c>
      <c r="B472" s="6">
        <v>3742.5</v>
      </c>
      <c r="C472" s="6">
        <v>3817.9</v>
      </c>
      <c r="D472" s="6">
        <v>3662.6</v>
      </c>
      <c r="E472" s="6">
        <v>3735.7</v>
      </c>
      <c r="F472" s="8">
        <v>3605700000</v>
      </c>
      <c r="G472" s="8">
        <v>12774900000</v>
      </c>
    </row>
    <row r="473" spans="1:7" x14ac:dyDescent="0.25">
      <c r="A473" s="7">
        <v>39829</v>
      </c>
      <c r="B473" s="6">
        <v>3722</v>
      </c>
      <c r="C473" s="6">
        <v>3722</v>
      </c>
      <c r="D473" s="6">
        <v>3515.1</v>
      </c>
      <c r="E473" s="6">
        <v>3550.9</v>
      </c>
      <c r="F473" s="8">
        <v>2953800000</v>
      </c>
      <c r="G473" s="8">
        <v>11966300000</v>
      </c>
    </row>
    <row r="474" spans="1:7" x14ac:dyDescent="0.25">
      <c r="A474" s="7">
        <v>39836</v>
      </c>
      <c r="B474" s="6">
        <v>3556</v>
      </c>
      <c r="C474" s="6">
        <v>3602</v>
      </c>
      <c r="D474" s="6">
        <v>3342.7</v>
      </c>
      <c r="E474" s="6">
        <v>3342.7</v>
      </c>
      <c r="F474" s="8">
        <v>3111100000</v>
      </c>
      <c r="G474" s="8">
        <v>14541100000</v>
      </c>
    </row>
    <row r="475" spans="1:7" x14ac:dyDescent="0.25">
      <c r="A475" s="7">
        <v>39843</v>
      </c>
      <c r="B475" s="6">
        <v>3376</v>
      </c>
      <c r="C475" s="6">
        <v>3564.1</v>
      </c>
      <c r="D475" s="6">
        <v>3374</v>
      </c>
      <c r="E475" s="6">
        <v>3540.7</v>
      </c>
      <c r="F475" s="8">
        <v>2984300000</v>
      </c>
      <c r="G475" s="8">
        <v>16037200000</v>
      </c>
    </row>
    <row r="476" spans="1:7" x14ac:dyDescent="0.25">
      <c r="A476" s="7">
        <v>39850</v>
      </c>
      <c r="B476" s="6">
        <v>3519.4</v>
      </c>
      <c r="C476" s="6">
        <v>3578.7</v>
      </c>
      <c r="D476" s="6">
        <v>3414.5</v>
      </c>
      <c r="E476" s="6">
        <v>3469.9</v>
      </c>
      <c r="F476" s="8">
        <v>4095800000</v>
      </c>
      <c r="G476" s="8">
        <v>17231700000</v>
      </c>
    </row>
    <row r="477" spans="1:7" x14ac:dyDescent="0.25">
      <c r="A477" s="7">
        <v>39857</v>
      </c>
      <c r="B477" s="6">
        <v>3498.4</v>
      </c>
      <c r="C477" s="6">
        <v>3559.5</v>
      </c>
      <c r="D477" s="6">
        <v>3409.6</v>
      </c>
      <c r="E477" s="6">
        <v>3559.1</v>
      </c>
      <c r="F477" s="8">
        <v>3574200000</v>
      </c>
      <c r="G477" s="8">
        <v>15672900000</v>
      </c>
    </row>
    <row r="478" spans="1:7" x14ac:dyDescent="0.25">
      <c r="A478" s="7">
        <v>39864</v>
      </c>
      <c r="B478" s="6">
        <v>3548.8</v>
      </c>
      <c r="C478" s="6">
        <v>3548.8</v>
      </c>
      <c r="D478" s="6">
        <v>3368.1</v>
      </c>
      <c r="E478" s="6">
        <v>3402.4</v>
      </c>
      <c r="F478" s="8">
        <v>4204200000</v>
      </c>
      <c r="G478" s="8">
        <v>16124500000</v>
      </c>
    </row>
    <row r="479" spans="1:7" x14ac:dyDescent="0.25">
      <c r="A479" s="7">
        <v>39871</v>
      </c>
      <c r="B479" s="6">
        <v>3386.9</v>
      </c>
      <c r="C479" s="6">
        <v>3386.9</v>
      </c>
      <c r="D479" s="6">
        <v>3296.2</v>
      </c>
      <c r="E479" s="6">
        <v>3344.5</v>
      </c>
      <c r="F479" s="8">
        <v>4751400000</v>
      </c>
      <c r="G479" s="8">
        <v>16985500000</v>
      </c>
    </row>
    <row r="480" spans="1:7" x14ac:dyDescent="0.25">
      <c r="A480" s="7">
        <v>39878</v>
      </c>
      <c r="B480" s="6">
        <v>3329.4</v>
      </c>
      <c r="C480" s="6">
        <v>3330.4</v>
      </c>
      <c r="D480" s="6">
        <v>3124.3</v>
      </c>
      <c r="E480" s="6">
        <v>3145.5</v>
      </c>
      <c r="F480" s="8">
        <v>4622900000</v>
      </c>
      <c r="G480" s="8">
        <v>16612400000</v>
      </c>
    </row>
    <row r="481" spans="1:7" x14ac:dyDescent="0.25">
      <c r="A481" s="7">
        <v>39885</v>
      </c>
      <c r="B481" s="6">
        <v>3165.5</v>
      </c>
      <c r="C481" s="6">
        <v>3353.5</v>
      </c>
      <c r="D481" s="6">
        <v>3120.8</v>
      </c>
      <c r="E481" s="6">
        <v>3345.2</v>
      </c>
      <c r="F481" s="8">
        <v>4582600000</v>
      </c>
      <c r="G481" s="8">
        <v>17078700000</v>
      </c>
    </row>
    <row r="482" spans="1:7" x14ac:dyDescent="0.25">
      <c r="A482" s="7">
        <v>39892</v>
      </c>
      <c r="B482" s="6">
        <v>3345.8</v>
      </c>
      <c r="C482" s="6">
        <v>3500.7</v>
      </c>
      <c r="D482" s="6">
        <v>3339.9</v>
      </c>
      <c r="E482" s="6">
        <v>3465.8</v>
      </c>
      <c r="F482" s="8">
        <v>7689600000</v>
      </c>
      <c r="G482" s="8">
        <v>26475200000</v>
      </c>
    </row>
    <row r="483" spans="1:7" x14ac:dyDescent="0.25">
      <c r="A483" s="7">
        <v>39899</v>
      </c>
      <c r="B483" s="6">
        <v>3469.9</v>
      </c>
      <c r="C483" s="6">
        <v>3706.6</v>
      </c>
      <c r="D483" s="6">
        <v>3456.2</v>
      </c>
      <c r="E483" s="6">
        <v>3672.3</v>
      </c>
      <c r="F483" s="8">
        <v>5176700000</v>
      </c>
      <c r="G483" s="8">
        <v>22320000000</v>
      </c>
    </row>
    <row r="484" spans="1:7" x14ac:dyDescent="0.25">
      <c r="A484" s="7">
        <v>39906</v>
      </c>
      <c r="B484" s="6">
        <v>3658</v>
      </c>
      <c r="C484" s="6">
        <v>3750.1</v>
      </c>
      <c r="D484" s="6">
        <v>3550.9</v>
      </c>
      <c r="E484" s="6">
        <v>3735.6</v>
      </c>
      <c r="F484" s="8">
        <v>5148300000</v>
      </c>
      <c r="G484" s="8">
        <v>18160000000</v>
      </c>
    </row>
    <row r="485" spans="1:7" x14ac:dyDescent="0.25">
      <c r="A485" s="7">
        <v>39912</v>
      </c>
      <c r="B485" s="6">
        <v>3733.8</v>
      </c>
      <c r="C485" s="6">
        <v>3763.1</v>
      </c>
      <c r="D485" s="6">
        <v>3610.9</v>
      </c>
      <c r="E485" s="6">
        <v>3671.6</v>
      </c>
      <c r="F485" s="8">
        <v>3814000000</v>
      </c>
      <c r="G485" s="8">
        <v>13674000000</v>
      </c>
    </row>
    <row r="486" spans="1:7" x14ac:dyDescent="0.25">
      <c r="A486" s="7">
        <v>39920</v>
      </c>
      <c r="B486" s="6">
        <v>3697</v>
      </c>
      <c r="C486" s="6">
        <v>3851.2</v>
      </c>
      <c r="D486" s="6">
        <v>3696.4</v>
      </c>
      <c r="E486" s="6">
        <v>3776.7</v>
      </c>
      <c r="F486" s="8">
        <v>3732500000</v>
      </c>
      <c r="G486" s="8">
        <v>12763800000</v>
      </c>
    </row>
    <row r="487" spans="1:7" x14ac:dyDescent="0.25">
      <c r="A487" s="7">
        <v>39927</v>
      </c>
      <c r="B487" s="6">
        <v>3777.9</v>
      </c>
      <c r="C487" s="6">
        <v>3788</v>
      </c>
      <c r="D487" s="6">
        <v>3661</v>
      </c>
      <c r="E487" s="6">
        <v>3712.3</v>
      </c>
      <c r="F487" s="8">
        <v>4689000000</v>
      </c>
      <c r="G487" s="8">
        <v>17995600000</v>
      </c>
    </row>
    <row r="488" spans="1:7" x14ac:dyDescent="0.25">
      <c r="A488" s="7">
        <v>39934</v>
      </c>
      <c r="B488" s="6">
        <v>3725</v>
      </c>
      <c r="C488" s="6">
        <v>3799.3</v>
      </c>
      <c r="D488" s="6">
        <v>3679.8</v>
      </c>
      <c r="E488" s="6">
        <v>3769.6</v>
      </c>
      <c r="F488" s="8">
        <v>4587500000</v>
      </c>
      <c r="G488" s="8">
        <v>16347400000</v>
      </c>
    </row>
    <row r="489" spans="1:7" x14ac:dyDescent="0.25">
      <c r="A489" s="7">
        <v>39941</v>
      </c>
      <c r="B489" s="6">
        <v>3781.5</v>
      </c>
      <c r="C489" s="6">
        <v>3954.2</v>
      </c>
      <c r="D489" s="6">
        <v>3781.5</v>
      </c>
      <c r="E489" s="6">
        <v>3941.7</v>
      </c>
      <c r="F489" s="8">
        <v>5757400000</v>
      </c>
      <c r="G489" s="8">
        <v>21326600000</v>
      </c>
    </row>
    <row r="490" spans="1:7" x14ac:dyDescent="0.25">
      <c r="A490" s="7">
        <v>39948</v>
      </c>
      <c r="B490" s="6">
        <v>3943.2</v>
      </c>
      <c r="C490" s="6">
        <v>3960.4</v>
      </c>
      <c r="D490" s="6">
        <v>3722.7</v>
      </c>
      <c r="E490" s="6">
        <v>3773.2</v>
      </c>
      <c r="F490" s="8">
        <v>6348500000</v>
      </c>
      <c r="G490" s="8">
        <v>21955000000</v>
      </c>
    </row>
    <row r="491" spans="1:7" x14ac:dyDescent="0.25">
      <c r="A491" s="7">
        <v>39955</v>
      </c>
      <c r="B491" s="6">
        <v>3763.8</v>
      </c>
      <c r="C491" s="6">
        <v>3831.5</v>
      </c>
      <c r="D491" s="6">
        <v>3714.9</v>
      </c>
      <c r="E491" s="6">
        <v>3761.6</v>
      </c>
      <c r="F491" s="8">
        <v>5031000000</v>
      </c>
      <c r="G491" s="8">
        <v>18038100000</v>
      </c>
    </row>
    <row r="492" spans="1:7" x14ac:dyDescent="0.25">
      <c r="A492" s="7">
        <v>39962</v>
      </c>
      <c r="B492" s="6">
        <v>3763.7</v>
      </c>
      <c r="C492" s="6">
        <v>3836.9</v>
      </c>
      <c r="D492" s="6">
        <v>3722</v>
      </c>
      <c r="E492" s="6">
        <v>3818</v>
      </c>
      <c r="F492" s="8">
        <v>6327400000</v>
      </c>
      <c r="G492" s="8">
        <v>23985400000</v>
      </c>
    </row>
    <row r="493" spans="1:7" x14ac:dyDescent="0.25">
      <c r="A493" s="7">
        <v>39969</v>
      </c>
      <c r="B493" s="6">
        <v>3826.4</v>
      </c>
      <c r="C493" s="6">
        <v>4021.3</v>
      </c>
      <c r="D493" s="6">
        <v>3810.2</v>
      </c>
      <c r="E493" s="6">
        <v>3971.2</v>
      </c>
      <c r="F493" s="8">
        <v>7536000000</v>
      </c>
      <c r="G493" s="8">
        <v>29209500000</v>
      </c>
    </row>
    <row r="494" spans="1:7" x14ac:dyDescent="0.25">
      <c r="A494" s="7">
        <v>39976</v>
      </c>
      <c r="B494" s="6">
        <v>3959.2</v>
      </c>
      <c r="C494" s="6">
        <v>4079.4</v>
      </c>
      <c r="D494" s="6">
        <v>3934.9</v>
      </c>
      <c r="E494" s="6">
        <v>4062.2</v>
      </c>
      <c r="F494" s="8">
        <v>5962900000</v>
      </c>
      <c r="G494" s="8">
        <v>22209800000</v>
      </c>
    </row>
    <row r="495" spans="1:7" x14ac:dyDescent="0.25">
      <c r="A495" s="7">
        <v>39983</v>
      </c>
      <c r="B495" s="6">
        <v>4048.8</v>
      </c>
      <c r="C495" s="6">
        <v>4058.8</v>
      </c>
      <c r="D495" s="6">
        <v>3871.5</v>
      </c>
      <c r="E495" s="6">
        <v>3899.6</v>
      </c>
      <c r="F495" s="8">
        <v>7288800000</v>
      </c>
      <c r="G495" s="8">
        <v>27883800000</v>
      </c>
    </row>
    <row r="496" spans="1:7" x14ac:dyDescent="0.25">
      <c r="A496" s="7">
        <v>39990</v>
      </c>
      <c r="B496" s="6">
        <v>3908.9</v>
      </c>
      <c r="C496" s="6">
        <v>3931.2</v>
      </c>
      <c r="D496" s="6">
        <v>3767.9</v>
      </c>
      <c r="E496" s="6">
        <v>3903.8</v>
      </c>
      <c r="F496" s="8">
        <v>5329200000</v>
      </c>
      <c r="G496" s="8">
        <v>24787900000</v>
      </c>
    </row>
    <row r="497" spans="1:7" x14ac:dyDescent="0.25">
      <c r="A497" s="7">
        <v>39997</v>
      </c>
      <c r="B497" s="6">
        <v>3899.4</v>
      </c>
      <c r="C497" s="6">
        <v>3955.5</v>
      </c>
      <c r="D497" s="6">
        <v>3804.1</v>
      </c>
      <c r="E497" s="6">
        <v>3828.2</v>
      </c>
      <c r="F497" s="8">
        <v>4783200000</v>
      </c>
      <c r="G497" s="8">
        <v>19767900000</v>
      </c>
    </row>
    <row r="498" spans="1:7" x14ac:dyDescent="0.25">
      <c r="A498" s="7">
        <v>40004</v>
      </c>
      <c r="B498" s="6">
        <v>3821</v>
      </c>
      <c r="C498" s="6">
        <v>3821.4</v>
      </c>
      <c r="D498" s="6">
        <v>3709.2</v>
      </c>
      <c r="E498" s="6">
        <v>3794.1</v>
      </c>
      <c r="F498" s="8">
        <v>4234100000</v>
      </c>
      <c r="G498" s="8">
        <v>16859300000</v>
      </c>
    </row>
    <row r="499" spans="1:7" x14ac:dyDescent="0.25">
      <c r="A499" s="7">
        <v>40011</v>
      </c>
      <c r="B499" s="6">
        <v>3790.3</v>
      </c>
      <c r="C499" s="6">
        <v>4026.7</v>
      </c>
      <c r="D499" s="6">
        <v>3735.6</v>
      </c>
      <c r="E499" s="6">
        <v>4000.8</v>
      </c>
      <c r="F499" s="8">
        <v>4415700000</v>
      </c>
      <c r="G499" s="8">
        <v>19045500000</v>
      </c>
    </row>
    <row r="500" spans="1:7" x14ac:dyDescent="0.25">
      <c r="A500" s="7">
        <v>40018</v>
      </c>
      <c r="B500" s="6">
        <v>4006.8</v>
      </c>
      <c r="C500" s="6">
        <v>4122.1000000000004</v>
      </c>
      <c r="D500" s="6">
        <v>4006.8</v>
      </c>
      <c r="E500" s="6">
        <v>4089.8</v>
      </c>
      <c r="F500" s="8">
        <v>5156400000</v>
      </c>
      <c r="G500" s="8">
        <v>23390500000</v>
      </c>
    </row>
    <row r="501" spans="1:7" x14ac:dyDescent="0.25">
      <c r="A501" s="7">
        <v>40025</v>
      </c>
      <c r="B501" s="6">
        <v>4097.5</v>
      </c>
      <c r="C501" s="6">
        <v>4247.8999999999996</v>
      </c>
      <c r="D501" s="6">
        <v>4097.5</v>
      </c>
      <c r="E501" s="6">
        <v>4244</v>
      </c>
      <c r="F501" s="8">
        <v>6558200000</v>
      </c>
      <c r="G501" s="8">
        <v>28757500000</v>
      </c>
    </row>
    <row r="502" spans="1:7" x14ac:dyDescent="0.25">
      <c r="A502" s="7">
        <v>40032</v>
      </c>
      <c r="B502" s="6">
        <v>4245.8999999999996</v>
      </c>
      <c r="C502" s="6">
        <v>4340</v>
      </c>
      <c r="D502" s="6">
        <v>4244.6000000000004</v>
      </c>
      <c r="E502" s="6">
        <v>4299.3999999999996</v>
      </c>
      <c r="F502" s="8">
        <v>10620800000</v>
      </c>
      <c r="G502" s="8">
        <v>27146000000</v>
      </c>
    </row>
    <row r="503" spans="1:7" x14ac:dyDescent="0.25">
      <c r="A503" s="7">
        <v>40039</v>
      </c>
      <c r="B503" s="6">
        <v>4311.8999999999996</v>
      </c>
      <c r="C503" s="6">
        <v>4509.5</v>
      </c>
      <c r="D503" s="6">
        <v>4279</v>
      </c>
      <c r="E503" s="6">
        <v>4461</v>
      </c>
      <c r="F503" s="8">
        <v>7032000000</v>
      </c>
      <c r="G503" s="8">
        <v>26000900000</v>
      </c>
    </row>
    <row r="504" spans="1:7" x14ac:dyDescent="0.25">
      <c r="A504" s="7">
        <v>40046</v>
      </c>
      <c r="B504" s="6">
        <v>4451</v>
      </c>
      <c r="C504" s="6">
        <v>4451</v>
      </c>
      <c r="D504" s="6">
        <v>4260.7</v>
      </c>
      <c r="E504" s="6">
        <v>4290.6000000000004</v>
      </c>
      <c r="F504" s="8">
        <v>7274100000</v>
      </c>
      <c r="G504" s="8">
        <v>30266000000</v>
      </c>
    </row>
    <row r="505" spans="1:7" x14ac:dyDescent="0.25">
      <c r="A505" s="7">
        <v>40053</v>
      </c>
      <c r="B505" s="6">
        <v>4291.6000000000004</v>
      </c>
      <c r="C505" s="6">
        <v>4492.6000000000004</v>
      </c>
      <c r="D505" s="6">
        <v>4290.6000000000004</v>
      </c>
      <c r="E505" s="6">
        <v>4489.6000000000004</v>
      </c>
      <c r="F505" s="8">
        <v>7507600000</v>
      </c>
      <c r="G505" s="8">
        <v>28884300000</v>
      </c>
    </row>
    <row r="506" spans="1:7" x14ac:dyDescent="0.25">
      <c r="A506" s="7">
        <v>40060</v>
      </c>
      <c r="B506" s="6">
        <v>4485.7</v>
      </c>
      <c r="C506" s="6">
        <v>4537.2</v>
      </c>
      <c r="D506" s="6">
        <v>4410</v>
      </c>
      <c r="E506" s="6">
        <v>4435.5</v>
      </c>
      <c r="F506" s="8">
        <v>7030400000</v>
      </c>
      <c r="G506" s="8">
        <v>27990500000</v>
      </c>
    </row>
    <row r="507" spans="1:7" x14ac:dyDescent="0.25">
      <c r="A507" s="7">
        <v>40067</v>
      </c>
      <c r="B507" s="6">
        <v>4443.1000000000004</v>
      </c>
      <c r="C507" s="6">
        <v>4608.6000000000004</v>
      </c>
      <c r="D507" s="6">
        <v>4441</v>
      </c>
      <c r="E507" s="6">
        <v>4596.1000000000004</v>
      </c>
      <c r="F507" s="8">
        <v>7748400000</v>
      </c>
      <c r="G507" s="8">
        <v>28685400000</v>
      </c>
    </row>
    <row r="508" spans="1:7" x14ac:dyDescent="0.25">
      <c r="A508" s="7">
        <v>40074</v>
      </c>
      <c r="B508" s="6">
        <v>4595.7</v>
      </c>
      <c r="C508" s="6">
        <v>4749.7</v>
      </c>
      <c r="D508" s="6">
        <v>4518.8</v>
      </c>
      <c r="E508" s="6">
        <v>4693.2</v>
      </c>
      <c r="F508" s="8">
        <v>8086200000</v>
      </c>
      <c r="G508" s="8">
        <v>35245500000</v>
      </c>
    </row>
    <row r="509" spans="1:7" x14ac:dyDescent="0.25">
      <c r="A509" s="7">
        <v>40081</v>
      </c>
      <c r="B509" s="6">
        <v>4687.3999999999996</v>
      </c>
      <c r="C509" s="6">
        <v>4735.6000000000004</v>
      </c>
      <c r="D509" s="6">
        <v>4639.3999999999996</v>
      </c>
      <c r="E509" s="6">
        <v>4713.3</v>
      </c>
      <c r="F509" s="8">
        <v>6221700000</v>
      </c>
      <c r="G509" s="8">
        <v>26073300000</v>
      </c>
    </row>
    <row r="510" spans="1:7" x14ac:dyDescent="0.25">
      <c r="A510" s="7">
        <v>40088</v>
      </c>
      <c r="B510" s="6">
        <v>4703.8</v>
      </c>
      <c r="C510" s="6">
        <v>4767.8999999999996</v>
      </c>
      <c r="D510" s="6">
        <v>4601.5</v>
      </c>
      <c r="E510" s="6">
        <v>4601.7</v>
      </c>
      <c r="F510" s="8">
        <v>5470800000</v>
      </c>
      <c r="G510" s="8">
        <v>21273700000</v>
      </c>
    </row>
    <row r="511" spans="1:7" x14ac:dyDescent="0.25">
      <c r="A511" s="7">
        <v>40095</v>
      </c>
      <c r="B511" s="6">
        <v>4601.3</v>
      </c>
      <c r="C511" s="6">
        <v>4803.5</v>
      </c>
      <c r="D511" s="6">
        <v>4573.3</v>
      </c>
      <c r="E511" s="6">
        <v>4752.8999999999996</v>
      </c>
      <c r="F511" s="8">
        <v>5238700000</v>
      </c>
      <c r="G511" s="8">
        <v>23030000000</v>
      </c>
    </row>
    <row r="512" spans="1:7" x14ac:dyDescent="0.25">
      <c r="A512" s="7">
        <v>40102</v>
      </c>
      <c r="B512" s="6">
        <v>4761.2</v>
      </c>
      <c r="C512" s="6">
        <v>4895.3</v>
      </c>
      <c r="D512" s="6">
        <v>4736.8999999999996</v>
      </c>
      <c r="E512" s="6">
        <v>4836.3999999999996</v>
      </c>
      <c r="F512" s="8">
        <v>5328600000</v>
      </c>
      <c r="G512" s="8">
        <v>21914900000</v>
      </c>
    </row>
    <row r="513" spans="1:7" x14ac:dyDescent="0.25">
      <c r="A513" s="7">
        <v>40109</v>
      </c>
      <c r="B513" s="6">
        <v>4830.3999999999996</v>
      </c>
      <c r="C513" s="6">
        <v>4871.3</v>
      </c>
      <c r="D513" s="6">
        <v>4772.1000000000004</v>
      </c>
      <c r="E513" s="6">
        <v>4859.3999999999996</v>
      </c>
      <c r="F513" s="8">
        <v>6354200000</v>
      </c>
      <c r="G513" s="8">
        <v>25827300000</v>
      </c>
    </row>
    <row r="514" spans="1:7" x14ac:dyDescent="0.25">
      <c r="A514" s="7">
        <v>40116</v>
      </c>
      <c r="B514" s="6">
        <v>4845.8</v>
      </c>
      <c r="C514" s="6">
        <v>4848.8</v>
      </c>
      <c r="D514" s="6">
        <v>4562.5</v>
      </c>
      <c r="E514" s="6">
        <v>4643.2</v>
      </c>
      <c r="F514" s="8">
        <v>6735700000</v>
      </c>
      <c r="G514" s="8">
        <v>31112400000</v>
      </c>
    </row>
    <row r="515" spans="1:7" x14ac:dyDescent="0.25">
      <c r="A515" s="7">
        <v>40123</v>
      </c>
      <c r="B515" s="6">
        <v>4611</v>
      </c>
      <c r="C515" s="6">
        <v>4611.3</v>
      </c>
      <c r="D515" s="6">
        <v>4502.5</v>
      </c>
      <c r="E515" s="6">
        <v>4594</v>
      </c>
      <c r="F515" s="8">
        <v>5178100000</v>
      </c>
      <c r="G515" s="8">
        <v>20887300000</v>
      </c>
    </row>
    <row r="516" spans="1:7" x14ac:dyDescent="0.25">
      <c r="A516" s="7">
        <v>40130</v>
      </c>
      <c r="B516" s="6">
        <v>4596.8</v>
      </c>
      <c r="C516" s="6">
        <v>4796.6000000000004</v>
      </c>
      <c r="D516" s="6">
        <v>4596.5</v>
      </c>
      <c r="E516" s="6">
        <v>4706.3999999999996</v>
      </c>
      <c r="F516" s="8">
        <v>5782099000</v>
      </c>
      <c r="G516" s="8">
        <v>26373200000</v>
      </c>
    </row>
    <row r="517" spans="1:7" x14ac:dyDescent="0.25">
      <c r="A517" s="7">
        <v>40137</v>
      </c>
      <c r="B517" s="6">
        <v>4715.8999999999996</v>
      </c>
      <c r="C517" s="6">
        <v>4799</v>
      </c>
      <c r="D517" s="6">
        <v>4673.2</v>
      </c>
      <c r="E517" s="6">
        <v>4685.8</v>
      </c>
      <c r="F517" s="8">
        <v>5212300000</v>
      </c>
      <c r="G517" s="8">
        <v>22521600000</v>
      </c>
    </row>
    <row r="518" spans="1:7" x14ac:dyDescent="0.25">
      <c r="A518" s="7">
        <v>40144</v>
      </c>
      <c r="B518" s="6">
        <v>4688.8</v>
      </c>
      <c r="C518" s="6">
        <v>4763.8999999999996</v>
      </c>
      <c r="D518" s="6">
        <v>4562.7</v>
      </c>
      <c r="E518" s="6">
        <v>4572.1000000000004</v>
      </c>
      <c r="F518" s="8">
        <v>5213600000</v>
      </c>
      <c r="G518" s="8">
        <v>25062500000</v>
      </c>
    </row>
    <row r="519" spans="1:7" x14ac:dyDescent="0.25">
      <c r="A519" s="7">
        <v>40151</v>
      </c>
      <c r="B519" s="6">
        <v>4592.8</v>
      </c>
      <c r="C519" s="6">
        <v>4795.2</v>
      </c>
      <c r="D519" s="6">
        <v>4592.8</v>
      </c>
      <c r="E519" s="6">
        <v>4702.2</v>
      </c>
      <c r="F519" s="8">
        <v>5052400000</v>
      </c>
      <c r="G519" s="8">
        <v>23228200000</v>
      </c>
    </row>
    <row r="520" spans="1:7" x14ac:dyDescent="0.25">
      <c r="A520" s="7">
        <v>40158</v>
      </c>
      <c r="B520" s="6">
        <v>4707.3999999999996</v>
      </c>
      <c r="C520" s="6">
        <v>4723.1000000000004</v>
      </c>
      <c r="D520" s="6">
        <v>4596.2</v>
      </c>
      <c r="E520" s="6">
        <v>4635.2</v>
      </c>
      <c r="F520" s="8">
        <v>4942200000</v>
      </c>
      <c r="G520" s="8">
        <v>21639400000</v>
      </c>
    </row>
    <row r="521" spans="1:7" x14ac:dyDescent="0.25">
      <c r="A521" s="7">
        <v>40165</v>
      </c>
      <c r="B521" s="6">
        <v>4635.6000000000004</v>
      </c>
      <c r="C521" s="6">
        <v>4703.1000000000004</v>
      </c>
      <c r="D521" s="6">
        <v>4604.7</v>
      </c>
      <c r="E521" s="6">
        <v>4650.5</v>
      </c>
      <c r="F521" s="8">
        <v>5930500000</v>
      </c>
      <c r="G521" s="8">
        <v>29792900000</v>
      </c>
    </row>
    <row r="522" spans="1:7" x14ac:dyDescent="0.25">
      <c r="A522" s="7">
        <v>40171</v>
      </c>
      <c r="B522" s="6">
        <v>4660.3999999999996</v>
      </c>
      <c r="C522" s="6">
        <v>4790.8999999999996</v>
      </c>
      <c r="D522" s="6">
        <v>4635.1000000000004</v>
      </c>
      <c r="E522" s="6">
        <v>4790.8999999999996</v>
      </c>
      <c r="F522" s="8">
        <v>2298400000</v>
      </c>
      <c r="G522" s="8">
        <v>10975900000</v>
      </c>
    </row>
    <row r="523" spans="1:7" x14ac:dyDescent="0.25">
      <c r="A523" s="7">
        <v>40178</v>
      </c>
      <c r="B523" s="6">
        <v>4796.5</v>
      </c>
      <c r="C523" s="6">
        <v>4873.6000000000004</v>
      </c>
      <c r="D523" s="6">
        <v>4796.5</v>
      </c>
      <c r="E523" s="6">
        <v>4870.6000000000004</v>
      </c>
      <c r="F523" s="8">
        <v>1226200000</v>
      </c>
      <c r="G523" s="8">
        <v>5363200000</v>
      </c>
    </row>
    <row r="524" spans="1:7" x14ac:dyDescent="0.25">
      <c r="A524" s="7">
        <v>40186</v>
      </c>
      <c r="B524" s="6">
        <v>4864.8999999999996</v>
      </c>
      <c r="C524" s="6">
        <v>4938.5</v>
      </c>
      <c r="D524" s="6">
        <v>4862.3</v>
      </c>
      <c r="E524" s="6">
        <v>4912.1000000000004</v>
      </c>
      <c r="F524" s="8">
        <v>3709400000</v>
      </c>
      <c r="G524" s="8">
        <v>15701600000</v>
      </c>
    </row>
    <row r="525" spans="1:7" x14ac:dyDescent="0.25">
      <c r="A525" s="7">
        <v>40193</v>
      </c>
      <c r="B525" s="6">
        <v>4921.8999999999996</v>
      </c>
      <c r="C525" s="6">
        <v>4955.1000000000004</v>
      </c>
      <c r="D525" s="6">
        <v>4852.8999999999996</v>
      </c>
      <c r="E525" s="6">
        <v>4899.6000000000004</v>
      </c>
      <c r="F525" s="8">
        <v>3697600000</v>
      </c>
      <c r="G525" s="8">
        <v>19241500000</v>
      </c>
    </row>
    <row r="526" spans="1:7" x14ac:dyDescent="0.25">
      <c r="A526" s="7">
        <v>40200</v>
      </c>
      <c r="B526" s="6">
        <v>4890.6000000000004</v>
      </c>
      <c r="C526" s="6">
        <v>4930</v>
      </c>
      <c r="D526" s="6">
        <v>4716</v>
      </c>
      <c r="E526" s="6">
        <v>4750.6000000000004</v>
      </c>
      <c r="F526" s="8">
        <v>4817900000</v>
      </c>
      <c r="G526" s="8">
        <v>25630300000</v>
      </c>
    </row>
    <row r="527" spans="1:7" x14ac:dyDescent="0.25">
      <c r="A527" s="7">
        <v>40207</v>
      </c>
      <c r="B527" s="6">
        <v>4725.7</v>
      </c>
      <c r="C527" s="6">
        <v>4726.6000000000004</v>
      </c>
      <c r="D527" s="6">
        <v>4566.7</v>
      </c>
      <c r="E527" s="6">
        <v>4569.6000000000004</v>
      </c>
      <c r="F527" s="8">
        <v>4455200000</v>
      </c>
      <c r="G527" s="8">
        <v>22814800000</v>
      </c>
    </row>
    <row r="528" spans="1:7" x14ac:dyDescent="0.25">
      <c r="A528" s="7">
        <v>40214</v>
      </c>
      <c r="B528" s="6">
        <v>4569.8999999999996</v>
      </c>
      <c r="C528" s="6">
        <v>4656.8999999999996</v>
      </c>
      <c r="D528" s="6">
        <v>4488.3999999999996</v>
      </c>
      <c r="E528" s="6">
        <v>4514.1000000000004</v>
      </c>
      <c r="F528" s="8">
        <v>5625800000</v>
      </c>
      <c r="G528" s="8">
        <v>25905100000</v>
      </c>
    </row>
    <row r="529" spans="1:7" x14ac:dyDescent="0.25">
      <c r="A529" s="7">
        <v>40221</v>
      </c>
      <c r="B529" s="6">
        <v>4521.7</v>
      </c>
      <c r="C529" s="6">
        <v>4593.3</v>
      </c>
      <c r="D529" s="6">
        <v>4464.8999999999996</v>
      </c>
      <c r="E529" s="6">
        <v>4562.1000000000004</v>
      </c>
      <c r="F529" s="8">
        <v>4596700000</v>
      </c>
      <c r="G529" s="8">
        <v>22849400000</v>
      </c>
    </row>
    <row r="530" spans="1:7" x14ac:dyDescent="0.25">
      <c r="A530" s="7">
        <v>40228</v>
      </c>
      <c r="B530" s="6">
        <v>4558.5</v>
      </c>
      <c r="C530" s="6">
        <v>4673.1000000000004</v>
      </c>
      <c r="D530" s="6">
        <v>4537.8999999999996</v>
      </c>
      <c r="E530" s="6">
        <v>4635.1000000000004</v>
      </c>
      <c r="F530" s="8">
        <v>4791900000</v>
      </c>
      <c r="G530" s="8">
        <v>23992600000</v>
      </c>
    </row>
    <row r="531" spans="1:7" x14ac:dyDescent="0.25">
      <c r="A531" s="7">
        <v>40235</v>
      </c>
      <c r="B531" s="6">
        <v>4654.7</v>
      </c>
      <c r="C531" s="6">
        <v>4718.3</v>
      </c>
      <c r="D531" s="6">
        <v>4589.8999999999996</v>
      </c>
      <c r="E531" s="6">
        <v>4637.7</v>
      </c>
      <c r="F531" s="8">
        <v>5971800000</v>
      </c>
      <c r="G531" s="8">
        <v>29601500000</v>
      </c>
    </row>
    <row r="532" spans="1:7" x14ac:dyDescent="0.25">
      <c r="A532" s="7">
        <v>40242</v>
      </c>
      <c r="B532" s="6">
        <v>4633.1000000000004</v>
      </c>
      <c r="C532" s="6">
        <v>4780.3999999999996</v>
      </c>
      <c r="D532" s="6">
        <v>4633.1000000000004</v>
      </c>
      <c r="E532" s="6">
        <v>4767.2</v>
      </c>
      <c r="F532" s="8">
        <v>5701400000</v>
      </c>
      <c r="G532" s="8">
        <v>25471100000</v>
      </c>
    </row>
    <row r="533" spans="1:7" x14ac:dyDescent="0.25">
      <c r="A533" s="7">
        <v>40249</v>
      </c>
      <c r="B533" s="6">
        <v>4787.8</v>
      </c>
      <c r="C533" s="6">
        <v>4840.1000000000004</v>
      </c>
      <c r="D533" s="6">
        <v>4787.8</v>
      </c>
      <c r="E533" s="6">
        <v>4818.1000000000004</v>
      </c>
      <c r="F533" s="8">
        <v>5044600000</v>
      </c>
      <c r="G533" s="8">
        <v>24410100000</v>
      </c>
    </row>
    <row r="534" spans="1:7" x14ac:dyDescent="0.25">
      <c r="A534" s="7">
        <v>40256</v>
      </c>
      <c r="B534" s="6">
        <v>4820.6000000000004</v>
      </c>
      <c r="C534" s="6">
        <v>4875.8</v>
      </c>
      <c r="D534" s="6">
        <v>4781.1000000000004</v>
      </c>
      <c r="E534" s="6">
        <v>4872.2</v>
      </c>
      <c r="F534" s="8">
        <v>6280100000</v>
      </c>
      <c r="G534" s="8">
        <v>27607700000</v>
      </c>
    </row>
    <row r="535" spans="1:7" x14ac:dyDescent="0.25">
      <c r="A535" s="7">
        <v>40263</v>
      </c>
      <c r="B535" s="6">
        <v>4857.2</v>
      </c>
      <c r="C535" s="6">
        <v>4911.1000000000004</v>
      </c>
      <c r="D535" s="6">
        <v>4826.8999999999996</v>
      </c>
      <c r="E535" s="6">
        <v>4896.8999999999996</v>
      </c>
      <c r="F535" s="8">
        <v>5246400000</v>
      </c>
      <c r="G535" s="8">
        <v>27945300000</v>
      </c>
    </row>
    <row r="536" spans="1:7" x14ac:dyDescent="0.25">
      <c r="A536" s="7">
        <v>40269</v>
      </c>
      <c r="B536" s="6">
        <v>4902.5</v>
      </c>
      <c r="C536" s="6">
        <v>4928.8999999999996</v>
      </c>
      <c r="D536" s="6">
        <v>4875.5</v>
      </c>
      <c r="E536" s="6">
        <v>4907.7</v>
      </c>
      <c r="F536" s="8">
        <v>4458200000</v>
      </c>
      <c r="G536" s="8">
        <v>21666600000</v>
      </c>
    </row>
    <row r="537" spans="1:7" x14ac:dyDescent="0.25">
      <c r="A537" s="7">
        <v>40277</v>
      </c>
      <c r="B537" s="6">
        <v>4924.7</v>
      </c>
      <c r="C537" s="6">
        <v>4971.3</v>
      </c>
      <c r="D537" s="6">
        <v>4924.7</v>
      </c>
      <c r="E537" s="6">
        <v>4948.1000000000004</v>
      </c>
      <c r="F537" s="8">
        <v>4456500000</v>
      </c>
      <c r="G537" s="8">
        <v>19508400000</v>
      </c>
    </row>
    <row r="538" spans="1:7" x14ac:dyDescent="0.25">
      <c r="A538" s="7">
        <v>40284</v>
      </c>
      <c r="B538" s="6">
        <v>4957.5</v>
      </c>
      <c r="C538" s="6">
        <v>5025.1000000000004</v>
      </c>
      <c r="D538" s="6">
        <v>4944.5</v>
      </c>
      <c r="E538" s="6">
        <v>4984.7</v>
      </c>
      <c r="F538" s="8">
        <v>5526800000</v>
      </c>
      <c r="G538" s="8">
        <v>25765400000</v>
      </c>
    </row>
    <row r="539" spans="1:7" x14ac:dyDescent="0.25">
      <c r="A539" s="7">
        <v>40291</v>
      </c>
      <c r="B539" s="6">
        <v>4965.3999999999996</v>
      </c>
      <c r="C539" s="6">
        <v>4970.2</v>
      </c>
      <c r="D539" s="6">
        <v>4875.8</v>
      </c>
      <c r="E539" s="6">
        <v>4881.5</v>
      </c>
      <c r="F539" s="8">
        <v>4700700000</v>
      </c>
      <c r="G539" s="8">
        <v>27341300000</v>
      </c>
    </row>
    <row r="540" spans="1:7" x14ac:dyDescent="0.25">
      <c r="A540" s="7">
        <v>40298</v>
      </c>
      <c r="B540" s="6">
        <v>4886.8</v>
      </c>
      <c r="C540" s="6">
        <v>4911.8999999999996</v>
      </c>
      <c r="D540" s="6">
        <v>4779.3</v>
      </c>
      <c r="E540" s="6">
        <v>4807.3999999999996</v>
      </c>
      <c r="F540" s="8">
        <v>4555700000</v>
      </c>
      <c r="G540" s="8">
        <v>27075100000</v>
      </c>
    </row>
    <row r="541" spans="1:7" x14ac:dyDescent="0.25">
      <c r="A541" s="7">
        <v>40305</v>
      </c>
      <c r="B541" s="6">
        <v>4782.8</v>
      </c>
      <c r="C541" s="6">
        <v>4804.5</v>
      </c>
      <c r="D541" s="6">
        <v>4427.3</v>
      </c>
      <c r="E541" s="6">
        <v>4480.7</v>
      </c>
      <c r="F541" s="8">
        <v>7222000000</v>
      </c>
      <c r="G541" s="8">
        <v>37419900000</v>
      </c>
    </row>
    <row r="542" spans="1:7" x14ac:dyDescent="0.25">
      <c r="A542" s="7">
        <v>40312</v>
      </c>
      <c r="B542" s="6">
        <v>4497.2</v>
      </c>
      <c r="C542" s="6">
        <v>4652.8</v>
      </c>
      <c r="D542" s="6">
        <v>4497.2</v>
      </c>
      <c r="E542" s="6">
        <v>4611.1000000000004</v>
      </c>
      <c r="F542" s="8">
        <v>5277700000</v>
      </c>
      <c r="G542" s="8">
        <v>27908300000</v>
      </c>
    </row>
    <row r="543" spans="1:7" x14ac:dyDescent="0.25">
      <c r="A543" s="7">
        <v>40319</v>
      </c>
      <c r="B543" s="6">
        <v>4587.6000000000004</v>
      </c>
      <c r="C543" s="6">
        <v>4587.6000000000004</v>
      </c>
      <c r="D543" s="6">
        <v>4175.7</v>
      </c>
      <c r="E543" s="6">
        <v>4305.3999999999996</v>
      </c>
      <c r="F543" s="8">
        <v>6995500000</v>
      </c>
      <c r="G543" s="8">
        <v>36886700000</v>
      </c>
    </row>
    <row r="544" spans="1:7" x14ac:dyDescent="0.25">
      <c r="A544" s="7">
        <v>40326</v>
      </c>
      <c r="B544" s="6">
        <v>4319.8999999999996</v>
      </c>
      <c r="C544" s="6">
        <v>4460.8</v>
      </c>
      <c r="D544" s="6">
        <v>4265.3</v>
      </c>
      <c r="E544" s="6">
        <v>4457.5</v>
      </c>
      <c r="F544" s="8">
        <v>6622500000</v>
      </c>
      <c r="G544" s="8">
        <v>34893800000</v>
      </c>
    </row>
    <row r="545" spans="1:7" x14ac:dyDescent="0.25">
      <c r="A545" s="7">
        <v>40333</v>
      </c>
      <c r="B545" s="6">
        <v>4447.7</v>
      </c>
      <c r="C545" s="6">
        <v>4489.1000000000004</v>
      </c>
      <c r="D545" s="6">
        <v>4374.2</v>
      </c>
      <c r="E545" s="6">
        <v>4449.3999999999996</v>
      </c>
      <c r="F545" s="8">
        <v>4821900000</v>
      </c>
      <c r="G545" s="8">
        <v>23045800000</v>
      </c>
    </row>
    <row r="546" spans="1:7" x14ac:dyDescent="0.25">
      <c r="A546" s="7">
        <v>40340</v>
      </c>
      <c r="B546" s="6">
        <v>4410.3999999999996</v>
      </c>
      <c r="C546" s="6">
        <v>4506.7</v>
      </c>
      <c r="D546" s="6">
        <v>4299.8</v>
      </c>
      <c r="E546" s="6">
        <v>4505.5</v>
      </c>
      <c r="F546" s="8">
        <v>5232100000</v>
      </c>
      <c r="G546" s="8">
        <v>25475700000</v>
      </c>
    </row>
    <row r="547" spans="1:7" x14ac:dyDescent="0.25">
      <c r="A547" s="7">
        <v>40347</v>
      </c>
      <c r="B547" s="6">
        <v>4505.3999999999996</v>
      </c>
      <c r="C547" s="6">
        <v>4572.3999999999996</v>
      </c>
      <c r="D547" s="6">
        <v>4490.8999999999996</v>
      </c>
      <c r="E547" s="6">
        <v>4551.8999999999996</v>
      </c>
      <c r="F547" s="8">
        <v>4192500000</v>
      </c>
      <c r="G547" s="8">
        <v>20752100000</v>
      </c>
    </row>
    <row r="548" spans="1:7" x14ac:dyDescent="0.25">
      <c r="A548" s="7">
        <v>40354</v>
      </c>
      <c r="B548" s="6">
        <v>4568</v>
      </c>
      <c r="C548" s="6">
        <v>4622</v>
      </c>
      <c r="D548" s="6">
        <v>4409.3</v>
      </c>
      <c r="E548" s="6">
        <v>4413</v>
      </c>
      <c r="F548" s="8">
        <v>5122900000</v>
      </c>
      <c r="G548" s="8">
        <v>27597000000</v>
      </c>
    </row>
    <row r="549" spans="1:7" x14ac:dyDescent="0.25">
      <c r="A549" s="7">
        <v>40361</v>
      </c>
      <c r="B549" s="6">
        <v>4419.7</v>
      </c>
      <c r="C549" s="6">
        <v>4433.3999999999996</v>
      </c>
      <c r="D549" s="6">
        <v>4214.7</v>
      </c>
      <c r="E549" s="6">
        <v>4238.7</v>
      </c>
      <c r="F549" s="8">
        <v>4447000000</v>
      </c>
      <c r="G549" s="8">
        <v>22348100000</v>
      </c>
    </row>
    <row r="550" spans="1:7" x14ac:dyDescent="0.25">
      <c r="A550" s="7">
        <v>40368</v>
      </c>
      <c r="B550" s="6">
        <v>4239.7</v>
      </c>
      <c r="C550" s="6">
        <v>4397.5</v>
      </c>
      <c r="D550" s="6">
        <v>4182.3</v>
      </c>
      <c r="E550" s="6">
        <v>4396.3</v>
      </c>
      <c r="F550" s="8">
        <v>3957700000</v>
      </c>
      <c r="G550" s="8">
        <v>20493700000</v>
      </c>
    </row>
    <row r="551" spans="1:7" x14ac:dyDescent="0.25">
      <c r="A551" s="7">
        <v>40375</v>
      </c>
      <c r="B551" s="6">
        <v>4396.7</v>
      </c>
      <c r="C551" s="6">
        <v>4465.6000000000004</v>
      </c>
      <c r="D551" s="6">
        <v>4380.3</v>
      </c>
      <c r="E551" s="6">
        <v>4422.7</v>
      </c>
      <c r="F551" s="8">
        <v>3863300000</v>
      </c>
      <c r="G551" s="8">
        <v>17122400000</v>
      </c>
    </row>
    <row r="552" spans="1:7" x14ac:dyDescent="0.25">
      <c r="A552" s="7">
        <v>40382</v>
      </c>
      <c r="B552" s="6">
        <v>4404.2</v>
      </c>
      <c r="C552" s="6">
        <v>4472.3</v>
      </c>
      <c r="D552" s="6">
        <v>4345.2</v>
      </c>
      <c r="E552" s="6">
        <v>4458.3999999999996</v>
      </c>
      <c r="F552" s="8">
        <v>4316900000</v>
      </c>
      <c r="G552" s="8">
        <v>21031700000</v>
      </c>
    </row>
    <row r="553" spans="1:7" x14ac:dyDescent="0.25">
      <c r="A553" s="7">
        <v>40389</v>
      </c>
      <c r="B553" s="6">
        <v>4466.7</v>
      </c>
      <c r="C553" s="6">
        <v>4531.6000000000004</v>
      </c>
      <c r="D553" s="6">
        <v>4466.6000000000004</v>
      </c>
      <c r="E553" s="6">
        <v>4493.5</v>
      </c>
      <c r="F553" s="8">
        <v>4382700000</v>
      </c>
      <c r="G553" s="8">
        <v>26834800000</v>
      </c>
    </row>
    <row r="554" spans="1:7" x14ac:dyDescent="0.25">
      <c r="A554" s="7">
        <v>40396</v>
      </c>
      <c r="B554" s="6">
        <v>4495.1000000000004</v>
      </c>
      <c r="C554" s="6">
        <v>4584.1000000000004</v>
      </c>
      <c r="D554" s="6">
        <v>4494.3</v>
      </c>
      <c r="E554" s="6">
        <v>4566.1000000000004</v>
      </c>
      <c r="F554" s="8">
        <v>3827200000</v>
      </c>
      <c r="G554" s="8">
        <v>21106700000</v>
      </c>
    </row>
    <row r="555" spans="1:7" x14ac:dyDescent="0.25">
      <c r="A555" s="7">
        <v>40403</v>
      </c>
      <c r="B555" s="6">
        <v>4559.5</v>
      </c>
      <c r="C555" s="6">
        <v>4598.7</v>
      </c>
      <c r="D555" s="6">
        <v>4382.1000000000004</v>
      </c>
      <c r="E555" s="6">
        <v>4459.6000000000004</v>
      </c>
      <c r="F555" s="8">
        <v>5332000000</v>
      </c>
      <c r="G555" s="8">
        <v>29295400000</v>
      </c>
    </row>
    <row r="556" spans="1:7" x14ac:dyDescent="0.25">
      <c r="A556" s="7">
        <v>40410</v>
      </c>
      <c r="B556" s="6">
        <v>4448.7</v>
      </c>
      <c r="C556" s="6">
        <v>4494.8999999999996</v>
      </c>
      <c r="D556" s="6">
        <v>4402.6000000000004</v>
      </c>
      <c r="E556" s="6">
        <v>4430.8999999999996</v>
      </c>
      <c r="F556" s="8">
        <v>5724400000</v>
      </c>
      <c r="G556" s="8">
        <v>29201100000</v>
      </c>
    </row>
    <row r="557" spans="1:7" x14ac:dyDescent="0.25">
      <c r="A557" s="7">
        <v>40417</v>
      </c>
      <c r="B557" s="6">
        <v>4433</v>
      </c>
      <c r="C557" s="6">
        <v>4439.3999999999996</v>
      </c>
      <c r="D557" s="6">
        <v>4313.8999999999996</v>
      </c>
      <c r="E557" s="6">
        <v>4370.1000000000004</v>
      </c>
      <c r="F557" s="8">
        <v>5994800000</v>
      </c>
      <c r="G557" s="8">
        <v>30595200000</v>
      </c>
    </row>
    <row r="558" spans="1:7" x14ac:dyDescent="0.25">
      <c r="A558" s="7">
        <v>40424</v>
      </c>
      <c r="B558" s="6">
        <v>4381.2</v>
      </c>
      <c r="C558" s="6">
        <v>4558.7</v>
      </c>
      <c r="D558" s="6">
        <v>4379.5</v>
      </c>
      <c r="E558" s="6">
        <v>4541.2</v>
      </c>
      <c r="F558" s="8">
        <v>5559800000</v>
      </c>
      <c r="G558" s="8">
        <v>27675700000</v>
      </c>
    </row>
    <row r="559" spans="1:7" x14ac:dyDescent="0.25">
      <c r="A559" s="7">
        <v>40431</v>
      </c>
      <c r="B559" s="6">
        <v>4547.2</v>
      </c>
      <c r="C559" s="6">
        <v>4598.5</v>
      </c>
      <c r="D559" s="6">
        <v>4532.6000000000004</v>
      </c>
      <c r="E559" s="6">
        <v>4560.3</v>
      </c>
      <c r="F559" s="8">
        <v>5178500000</v>
      </c>
      <c r="G559" s="8">
        <v>23830900000</v>
      </c>
    </row>
    <row r="560" spans="1:7" x14ac:dyDescent="0.25">
      <c r="A560" s="7">
        <v>40438</v>
      </c>
      <c r="B560" s="6">
        <v>4575.2</v>
      </c>
      <c r="C560" s="6">
        <v>4670.1000000000004</v>
      </c>
      <c r="D560" s="6">
        <v>4574</v>
      </c>
      <c r="E560" s="6">
        <v>4638.8999999999996</v>
      </c>
      <c r="F560" s="8">
        <v>6233300000</v>
      </c>
      <c r="G560" s="8">
        <v>30730200000</v>
      </c>
    </row>
    <row r="561" spans="1:7" x14ac:dyDescent="0.25">
      <c r="A561" s="7">
        <v>40445</v>
      </c>
      <c r="B561" s="6">
        <v>4633.3999999999996</v>
      </c>
      <c r="C561" s="6">
        <v>4664.5</v>
      </c>
      <c r="D561" s="6">
        <v>4585.1000000000004</v>
      </c>
      <c r="E561" s="6">
        <v>4601.8999999999996</v>
      </c>
      <c r="F561" s="8">
        <v>4187700000</v>
      </c>
      <c r="G561" s="8">
        <v>24240500000</v>
      </c>
    </row>
    <row r="562" spans="1:7" x14ac:dyDescent="0.25">
      <c r="A562" s="7">
        <v>40452</v>
      </c>
      <c r="B562" s="6">
        <v>4620</v>
      </c>
      <c r="C562" s="6">
        <v>4698</v>
      </c>
      <c r="D562" s="6">
        <v>4559</v>
      </c>
      <c r="E562" s="6">
        <v>4579.2</v>
      </c>
      <c r="F562" s="8">
        <v>4704600000</v>
      </c>
      <c r="G562" s="8">
        <v>23293100000</v>
      </c>
    </row>
    <row r="563" spans="1:7" x14ac:dyDescent="0.25">
      <c r="A563" s="7">
        <v>40459</v>
      </c>
      <c r="B563" s="6">
        <v>4587.1000000000004</v>
      </c>
      <c r="C563" s="6">
        <v>4697.3</v>
      </c>
      <c r="D563" s="6">
        <v>4559.2</v>
      </c>
      <c r="E563" s="6">
        <v>4681.3999999999996</v>
      </c>
      <c r="F563" s="8">
        <v>4202000000</v>
      </c>
      <c r="G563" s="8">
        <v>21211400000</v>
      </c>
    </row>
    <row r="564" spans="1:7" x14ac:dyDescent="0.25">
      <c r="A564" s="7">
        <v>40466</v>
      </c>
      <c r="B564" s="6">
        <v>4686.8</v>
      </c>
      <c r="C564" s="6">
        <v>4713</v>
      </c>
      <c r="D564" s="6">
        <v>4617.3999999999996</v>
      </c>
      <c r="E564" s="6">
        <v>4689</v>
      </c>
      <c r="F564" s="8">
        <v>5095000000</v>
      </c>
      <c r="G564" s="8">
        <v>23995100000</v>
      </c>
    </row>
    <row r="565" spans="1:7" x14ac:dyDescent="0.25">
      <c r="A565" s="7">
        <v>40473</v>
      </c>
      <c r="B565" s="6">
        <v>4688.8</v>
      </c>
      <c r="C565" s="6">
        <v>4688.8</v>
      </c>
      <c r="D565" s="6">
        <v>4583</v>
      </c>
      <c r="E565" s="6">
        <v>4648.2</v>
      </c>
      <c r="F565" s="8">
        <v>5198400000</v>
      </c>
      <c r="G565" s="8">
        <v>25837300000</v>
      </c>
    </row>
    <row r="566" spans="1:7" x14ac:dyDescent="0.25">
      <c r="A566" s="7">
        <v>40480</v>
      </c>
      <c r="B566" s="6">
        <v>4644.3999999999996</v>
      </c>
      <c r="C566" s="6">
        <v>4725.8999999999996</v>
      </c>
      <c r="D566" s="6">
        <v>4641</v>
      </c>
      <c r="E566" s="6">
        <v>4661.6000000000004</v>
      </c>
      <c r="F566" s="8">
        <v>5463400000</v>
      </c>
      <c r="G566" s="8">
        <v>30666100000</v>
      </c>
    </row>
    <row r="567" spans="1:7" x14ac:dyDescent="0.25">
      <c r="A567" s="7">
        <v>40487</v>
      </c>
      <c r="B567" s="6">
        <v>4665.7</v>
      </c>
      <c r="C567" s="6">
        <v>4815</v>
      </c>
      <c r="D567" s="6">
        <v>4664.8</v>
      </c>
      <c r="E567" s="6">
        <v>4800.6000000000004</v>
      </c>
      <c r="F567" s="8">
        <v>4267500000</v>
      </c>
      <c r="G567" s="8">
        <v>23637400000</v>
      </c>
    </row>
    <row r="568" spans="1:7" x14ac:dyDescent="0.25">
      <c r="A568" s="7">
        <v>40494</v>
      </c>
      <c r="B568" s="6">
        <v>4802.3</v>
      </c>
      <c r="C568" s="6">
        <v>4810.5</v>
      </c>
      <c r="D568" s="6">
        <v>4681.6000000000004</v>
      </c>
      <c r="E568" s="6">
        <v>4692.7</v>
      </c>
      <c r="F568" s="8">
        <v>5408800000</v>
      </c>
      <c r="G568" s="8">
        <v>32624900000</v>
      </c>
    </row>
    <row r="569" spans="1:7" x14ac:dyDescent="0.25">
      <c r="A569" s="7">
        <v>40501</v>
      </c>
      <c r="B569" s="6">
        <v>4694.6000000000004</v>
      </c>
      <c r="C569" s="6">
        <v>4714.2</v>
      </c>
      <c r="D569" s="6">
        <v>4612</v>
      </c>
      <c r="E569" s="6">
        <v>4629.2</v>
      </c>
      <c r="F569" s="8">
        <v>4911100000</v>
      </c>
      <c r="G569" s="8">
        <v>25541600000</v>
      </c>
    </row>
    <row r="570" spans="1:7" x14ac:dyDescent="0.25">
      <c r="A570" s="7">
        <v>40508</v>
      </c>
      <c r="B570" s="6">
        <v>4639.2</v>
      </c>
      <c r="C570" s="6">
        <v>4672</v>
      </c>
      <c r="D570" s="6">
        <v>4551.2</v>
      </c>
      <c r="E570" s="6">
        <v>4598.3</v>
      </c>
      <c r="F570" s="8">
        <v>5729800000</v>
      </c>
      <c r="G570" s="8">
        <v>27182300000</v>
      </c>
    </row>
    <row r="571" spans="1:7" x14ac:dyDescent="0.25">
      <c r="A571" s="7">
        <v>40515</v>
      </c>
      <c r="B571" s="6">
        <v>4594.3</v>
      </c>
      <c r="C571" s="6">
        <v>4717.1000000000004</v>
      </c>
      <c r="D571" s="6">
        <v>4557</v>
      </c>
      <c r="E571" s="6">
        <v>4694.2</v>
      </c>
      <c r="F571" s="8">
        <v>4540000000</v>
      </c>
      <c r="G571" s="8">
        <v>23626900000</v>
      </c>
    </row>
    <row r="572" spans="1:7" x14ac:dyDescent="0.25">
      <c r="A572" s="7">
        <v>40522</v>
      </c>
      <c r="B572" s="6">
        <v>4696.3</v>
      </c>
      <c r="C572" s="6">
        <v>4750</v>
      </c>
      <c r="D572" s="6">
        <v>4688</v>
      </c>
      <c r="E572" s="6">
        <v>4745.8999999999996</v>
      </c>
      <c r="F572" s="8">
        <v>5144100000</v>
      </c>
      <c r="G572" s="8">
        <v>24864800000</v>
      </c>
    </row>
    <row r="573" spans="1:7" x14ac:dyDescent="0.25">
      <c r="A573" s="7">
        <v>40529</v>
      </c>
      <c r="B573" s="6">
        <v>4750.1000000000004</v>
      </c>
      <c r="C573" s="6">
        <v>4784.3</v>
      </c>
      <c r="D573" s="6">
        <v>4749.6000000000004</v>
      </c>
      <c r="E573" s="6">
        <v>4763.1000000000004</v>
      </c>
      <c r="F573" s="8">
        <v>5541599000</v>
      </c>
      <c r="G573" s="8">
        <v>24678000000</v>
      </c>
    </row>
    <row r="574" spans="1:7" x14ac:dyDescent="0.25">
      <c r="A574" s="7">
        <v>40536</v>
      </c>
      <c r="B574" s="6">
        <v>4763.6000000000004</v>
      </c>
      <c r="C574" s="6">
        <v>4811.8999999999996</v>
      </c>
      <c r="D574" s="6">
        <v>4736.6000000000004</v>
      </c>
      <c r="E574" s="6">
        <v>4777.3</v>
      </c>
      <c r="F574" s="8">
        <v>3307800000</v>
      </c>
      <c r="G574" s="8">
        <v>19165500000</v>
      </c>
    </row>
    <row r="575" spans="1:7" x14ac:dyDescent="0.25">
      <c r="A575" s="7">
        <v>40543</v>
      </c>
      <c r="B575" s="6">
        <v>4768.3999999999996</v>
      </c>
      <c r="C575" s="6">
        <v>4799.8999999999996</v>
      </c>
      <c r="D575" s="6">
        <v>4745.2</v>
      </c>
      <c r="E575" s="6">
        <v>4745.2</v>
      </c>
      <c r="F575" s="8">
        <v>1398300000</v>
      </c>
      <c r="G575" s="8">
        <v>5895300000</v>
      </c>
    </row>
    <row r="576" spans="1:7" x14ac:dyDescent="0.25">
      <c r="A576" s="7">
        <v>40550</v>
      </c>
      <c r="B576" s="6">
        <v>4758.3</v>
      </c>
      <c r="C576" s="6">
        <v>4775</v>
      </c>
      <c r="D576" s="6">
        <v>4690.3</v>
      </c>
      <c r="E576" s="6">
        <v>4705</v>
      </c>
      <c r="F576" s="8">
        <v>3284900000</v>
      </c>
      <c r="G576" s="8">
        <v>15158800000</v>
      </c>
    </row>
    <row r="577" spans="1:7" x14ac:dyDescent="0.25">
      <c r="A577" s="7">
        <v>40557</v>
      </c>
      <c r="B577" s="6">
        <v>4702.2</v>
      </c>
      <c r="C577" s="6">
        <v>4802.8</v>
      </c>
      <c r="D577" s="6">
        <v>4686.5</v>
      </c>
      <c r="E577" s="6">
        <v>4801.5</v>
      </c>
      <c r="F577" s="8">
        <v>3995400000</v>
      </c>
      <c r="G577" s="8">
        <v>18876500000</v>
      </c>
    </row>
    <row r="578" spans="1:7" x14ac:dyDescent="0.25">
      <c r="A578" s="7">
        <v>40564</v>
      </c>
      <c r="B578" s="6">
        <v>4802.7</v>
      </c>
      <c r="C578" s="6">
        <v>4839.2</v>
      </c>
      <c r="D578" s="6">
        <v>4740.5</v>
      </c>
      <c r="E578" s="6">
        <v>4755.7</v>
      </c>
      <c r="F578" s="8">
        <v>4416500000</v>
      </c>
      <c r="G578" s="8">
        <v>21967800000</v>
      </c>
    </row>
    <row r="579" spans="1:7" x14ac:dyDescent="0.25">
      <c r="A579" s="7">
        <v>40571</v>
      </c>
      <c r="B579" s="6">
        <v>4755.3999999999996</v>
      </c>
      <c r="C579" s="6">
        <v>4825.3999999999996</v>
      </c>
      <c r="D579" s="6">
        <v>4750.2</v>
      </c>
      <c r="E579" s="6">
        <v>4774.8999999999996</v>
      </c>
      <c r="F579" s="8">
        <v>3614900000</v>
      </c>
      <c r="G579" s="8">
        <v>19363600000</v>
      </c>
    </row>
    <row r="580" spans="1:7" x14ac:dyDescent="0.25">
      <c r="A580" s="7">
        <v>40578</v>
      </c>
      <c r="B580" s="6">
        <v>4757.8999999999996</v>
      </c>
      <c r="C580" s="6">
        <v>4870.2</v>
      </c>
      <c r="D580" s="6">
        <v>4717.6000000000004</v>
      </c>
      <c r="E580" s="6">
        <v>4862.7</v>
      </c>
      <c r="F580" s="8">
        <v>4773600000</v>
      </c>
      <c r="G580" s="8">
        <v>24438200000</v>
      </c>
    </row>
    <row r="581" spans="1:7" x14ac:dyDescent="0.25">
      <c r="A581" s="7">
        <v>40585</v>
      </c>
      <c r="B581" s="6">
        <v>4860.1000000000004</v>
      </c>
      <c r="C581" s="6">
        <v>4931.2</v>
      </c>
      <c r="D581" s="6">
        <v>4859.5</v>
      </c>
      <c r="E581" s="6">
        <v>4880.8999999999996</v>
      </c>
      <c r="F581" s="8">
        <v>4277300000</v>
      </c>
      <c r="G581" s="8">
        <v>23916100000</v>
      </c>
    </row>
    <row r="582" spans="1:7" x14ac:dyDescent="0.25">
      <c r="A582" s="7">
        <v>40592</v>
      </c>
      <c r="B582" s="6">
        <v>4891.6000000000004</v>
      </c>
      <c r="C582" s="6">
        <v>4944.3999999999996</v>
      </c>
      <c r="D582" s="6">
        <v>4885.1000000000004</v>
      </c>
      <c r="E582" s="6">
        <v>4936.7</v>
      </c>
      <c r="F582" s="8">
        <v>4164600000</v>
      </c>
      <c r="G582" s="8">
        <v>23412400000</v>
      </c>
    </row>
    <row r="583" spans="1:7" x14ac:dyDescent="0.25">
      <c r="A583" s="7">
        <v>40599</v>
      </c>
      <c r="B583" s="6">
        <v>4923.3999999999996</v>
      </c>
      <c r="C583" s="6">
        <v>4924.3</v>
      </c>
      <c r="D583" s="6">
        <v>4799.2</v>
      </c>
      <c r="E583" s="6">
        <v>4836.5</v>
      </c>
      <c r="F583" s="8">
        <v>4818600000</v>
      </c>
      <c r="G583" s="8">
        <v>29844900000</v>
      </c>
    </row>
    <row r="584" spans="1:7" x14ac:dyDescent="0.25">
      <c r="A584" s="7">
        <v>40606</v>
      </c>
      <c r="B584" s="6">
        <v>4839.7</v>
      </c>
      <c r="C584" s="6">
        <v>4864.3</v>
      </c>
      <c r="D584" s="6">
        <v>4779.3999999999996</v>
      </c>
      <c r="E584" s="6">
        <v>4864.3</v>
      </c>
      <c r="F584" s="8">
        <v>5351800000</v>
      </c>
      <c r="G584" s="8">
        <v>23994200000</v>
      </c>
    </row>
    <row r="585" spans="1:7" x14ac:dyDescent="0.25">
      <c r="A585" s="7">
        <v>40613</v>
      </c>
      <c r="B585" s="6">
        <v>4850.7</v>
      </c>
      <c r="C585" s="6">
        <v>4852.3999999999996</v>
      </c>
      <c r="D585" s="6">
        <v>4630.7</v>
      </c>
      <c r="E585" s="6">
        <v>4644.8</v>
      </c>
      <c r="F585" s="8">
        <v>5445900000</v>
      </c>
      <c r="G585" s="8">
        <v>27050900000</v>
      </c>
    </row>
    <row r="586" spans="1:7" x14ac:dyDescent="0.25">
      <c r="A586" s="7">
        <v>40620</v>
      </c>
      <c r="B586" s="6">
        <v>4634.8</v>
      </c>
      <c r="C586" s="6">
        <v>4634.8</v>
      </c>
      <c r="D586" s="6">
        <v>4477.3999999999996</v>
      </c>
      <c r="E586" s="6">
        <v>4626.3999999999996</v>
      </c>
      <c r="F586" s="8">
        <v>7614200000</v>
      </c>
      <c r="G586" s="8">
        <v>34577000000</v>
      </c>
    </row>
    <row r="587" spans="1:7" x14ac:dyDescent="0.25">
      <c r="A587" s="7">
        <v>40627</v>
      </c>
      <c r="B587" s="6">
        <v>4625.3</v>
      </c>
      <c r="C587" s="6">
        <v>4763</v>
      </c>
      <c r="D587" s="6">
        <v>4606.3999999999996</v>
      </c>
      <c r="E587" s="6">
        <v>4742.6000000000004</v>
      </c>
      <c r="F587" s="8">
        <v>4504900000</v>
      </c>
      <c r="G587" s="8">
        <v>25599000000</v>
      </c>
    </row>
    <row r="588" spans="1:7" x14ac:dyDescent="0.25">
      <c r="A588" s="7">
        <v>40634</v>
      </c>
      <c r="B588" s="6">
        <v>4733.3999999999996</v>
      </c>
      <c r="C588" s="6">
        <v>4878.8</v>
      </c>
      <c r="D588" s="6">
        <v>4721.5</v>
      </c>
      <c r="E588" s="6">
        <v>4861.8</v>
      </c>
      <c r="F588" s="8">
        <v>4461800000</v>
      </c>
      <c r="G588" s="8">
        <v>24442600000</v>
      </c>
    </row>
    <row r="589" spans="1:7" x14ac:dyDescent="0.25">
      <c r="A589" s="7">
        <v>40641</v>
      </c>
      <c r="B589" s="6">
        <v>4868.6000000000004</v>
      </c>
      <c r="C589" s="6">
        <v>4941.6000000000004</v>
      </c>
      <c r="D589" s="6">
        <v>4868.6000000000004</v>
      </c>
      <c r="E589" s="6">
        <v>4940.6000000000004</v>
      </c>
      <c r="F589" s="8">
        <v>4724900000</v>
      </c>
      <c r="G589" s="8">
        <v>26775600000</v>
      </c>
    </row>
    <row r="590" spans="1:7" x14ac:dyDescent="0.25">
      <c r="A590" s="7">
        <v>40648</v>
      </c>
      <c r="B590" s="6">
        <v>4943.3</v>
      </c>
      <c r="C590" s="6">
        <v>4976.3999999999996</v>
      </c>
      <c r="D590" s="6">
        <v>4852.1000000000004</v>
      </c>
      <c r="E590" s="6">
        <v>4852.1000000000004</v>
      </c>
      <c r="F590" s="8">
        <v>4819000000</v>
      </c>
      <c r="G590" s="8">
        <v>30022700000</v>
      </c>
    </row>
    <row r="591" spans="1:7" x14ac:dyDescent="0.25">
      <c r="A591" s="7">
        <v>40654</v>
      </c>
      <c r="B591" s="6">
        <v>4852.6000000000004</v>
      </c>
      <c r="C591" s="6">
        <v>4915.5</v>
      </c>
      <c r="D591" s="6">
        <v>4788.6000000000004</v>
      </c>
      <c r="E591" s="6">
        <v>4913.8</v>
      </c>
      <c r="F591" s="8">
        <v>3096100000</v>
      </c>
      <c r="G591" s="8">
        <v>18175600000</v>
      </c>
    </row>
    <row r="592" spans="1:7" x14ac:dyDescent="0.25">
      <c r="A592" s="7">
        <v>40662</v>
      </c>
      <c r="B592" s="6">
        <v>4919.3</v>
      </c>
      <c r="C592" s="6">
        <v>4930.6000000000004</v>
      </c>
      <c r="D592" s="6">
        <v>4794.8</v>
      </c>
      <c r="E592" s="6">
        <v>4823.2</v>
      </c>
      <c r="F592" s="8">
        <v>3057800000</v>
      </c>
      <c r="G592" s="8">
        <v>18652600000</v>
      </c>
    </row>
    <row r="593" spans="1:7" x14ac:dyDescent="0.25">
      <c r="A593" s="7">
        <v>40669</v>
      </c>
      <c r="B593" s="6">
        <v>4826.3</v>
      </c>
      <c r="C593" s="6">
        <v>4835.5</v>
      </c>
      <c r="D593" s="6">
        <v>4713.3999999999996</v>
      </c>
      <c r="E593" s="6">
        <v>4743</v>
      </c>
      <c r="F593" s="8">
        <v>5335200000</v>
      </c>
      <c r="G593" s="8">
        <v>27353500000</v>
      </c>
    </row>
    <row r="594" spans="1:7" x14ac:dyDescent="0.25">
      <c r="A594" s="7">
        <v>40676</v>
      </c>
      <c r="B594" s="6">
        <v>4752.8999999999996</v>
      </c>
      <c r="C594" s="6">
        <v>4795.8999999999996</v>
      </c>
      <c r="D594" s="6">
        <v>4675.3999999999996</v>
      </c>
      <c r="E594" s="6">
        <v>4711.3999999999996</v>
      </c>
      <c r="F594" s="8">
        <v>4551300000</v>
      </c>
      <c r="G594" s="8">
        <v>24665900000</v>
      </c>
    </row>
    <row r="595" spans="1:7" x14ac:dyDescent="0.25">
      <c r="A595" s="7">
        <v>40683</v>
      </c>
      <c r="B595" s="6">
        <v>4692.5</v>
      </c>
      <c r="C595" s="6">
        <v>4763.8999999999996</v>
      </c>
      <c r="D595" s="6">
        <v>4641.3999999999996</v>
      </c>
      <c r="E595" s="6">
        <v>4732.2</v>
      </c>
      <c r="F595" s="8">
        <v>4457100000</v>
      </c>
      <c r="G595" s="8">
        <v>22225000000</v>
      </c>
    </row>
    <row r="596" spans="1:7" x14ac:dyDescent="0.25">
      <c r="A596" s="7">
        <v>40690</v>
      </c>
      <c r="B596" s="6">
        <v>4720.3</v>
      </c>
      <c r="C596" s="6">
        <v>4720.3</v>
      </c>
      <c r="D596" s="6">
        <v>4582.7</v>
      </c>
      <c r="E596" s="6">
        <v>4684</v>
      </c>
      <c r="F596" s="8">
        <v>4802000000</v>
      </c>
      <c r="G596" s="8">
        <v>27069600000</v>
      </c>
    </row>
    <row r="597" spans="1:7" x14ac:dyDescent="0.25">
      <c r="A597" s="7">
        <v>40697</v>
      </c>
      <c r="B597" s="6">
        <v>4684.6000000000004</v>
      </c>
      <c r="C597" s="6">
        <v>4724.8</v>
      </c>
      <c r="D597" s="6">
        <v>4578</v>
      </c>
      <c r="E597" s="6">
        <v>4583.1000000000004</v>
      </c>
      <c r="F597" s="8">
        <v>4660900000</v>
      </c>
      <c r="G597" s="8">
        <v>23846000000</v>
      </c>
    </row>
    <row r="598" spans="1:7" x14ac:dyDescent="0.25">
      <c r="A598" s="7">
        <v>40704</v>
      </c>
      <c r="B598" s="6">
        <v>4577.3</v>
      </c>
      <c r="C598" s="6">
        <v>4589.2</v>
      </c>
      <c r="D598" s="6">
        <v>4518.1000000000004</v>
      </c>
      <c r="E598" s="6">
        <v>4562.1000000000004</v>
      </c>
      <c r="F598" s="8">
        <v>4565000000</v>
      </c>
      <c r="G598" s="8">
        <v>22454500000</v>
      </c>
    </row>
    <row r="599" spans="1:7" x14ac:dyDescent="0.25">
      <c r="A599" s="7">
        <v>40711</v>
      </c>
      <c r="B599" s="6">
        <v>4549.7</v>
      </c>
      <c r="C599" s="6">
        <v>4593.3</v>
      </c>
      <c r="D599" s="6">
        <v>4465.8999999999996</v>
      </c>
      <c r="E599" s="6">
        <v>4484.8999999999996</v>
      </c>
      <c r="F599" s="8">
        <v>4549100000</v>
      </c>
      <c r="G599" s="8">
        <v>24287700000</v>
      </c>
    </row>
    <row r="600" spans="1:7" x14ac:dyDescent="0.25">
      <c r="A600" s="7">
        <v>40718</v>
      </c>
      <c r="B600" s="6">
        <v>4487.2</v>
      </c>
      <c r="C600" s="6">
        <v>4565.8999999999996</v>
      </c>
      <c r="D600" s="6">
        <v>4451.7</v>
      </c>
      <c r="E600" s="6">
        <v>4508.1000000000004</v>
      </c>
      <c r="F600" s="8">
        <v>4968600000</v>
      </c>
      <c r="G600" s="8">
        <v>27720700000</v>
      </c>
    </row>
    <row r="601" spans="1:7" x14ac:dyDescent="0.25">
      <c r="A601" s="7">
        <v>40725</v>
      </c>
      <c r="B601" s="6">
        <v>4502.1000000000004</v>
      </c>
      <c r="C601" s="6">
        <v>4622</v>
      </c>
      <c r="D601" s="6">
        <v>4453.7</v>
      </c>
      <c r="E601" s="6">
        <v>4591.2</v>
      </c>
      <c r="F601" s="8">
        <v>4469300000</v>
      </c>
      <c r="G601" s="8">
        <v>22625600000</v>
      </c>
    </row>
    <row r="602" spans="1:7" x14ac:dyDescent="0.25">
      <c r="A602" s="7">
        <v>40732</v>
      </c>
      <c r="B602" s="6">
        <v>4602.7</v>
      </c>
      <c r="C602" s="6">
        <v>4657.3999999999996</v>
      </c>
      <c r="D602" s="6">
        <v>4582.5</v>
      </c>
      <c r="E602" s="6">
        <v>4654.7</v>
      </c>
      <c r="F602" s="8">
        <v>3768900000</v>
      </c>
      <c r="G602" s="8">
        <v>19800300000</v>
      </c>
    </row>
    <row r="603" spans="1:7" x14ac:dyDescent="0.25">
      <c r="A603" s="7">
        <v>40739</v>
      </c>
      <c r="B603" s="6">
        <v>4641.5</v>
      </c>
      <c r="C603" s="6">
        <v>4641.5</v>
      </c>
      <c r="D603" s="6">
        <v>4454.3</v>
      </c>
      <c r="E603" s="6">
        <v>4473.5</v>
      </c>
      <c r="F603" s="8">
        <v>4305900000</v>
      </c>
      <c r="G603" s="8">
        <v>24279500000</v>
      </c>
    </row>
    <row r="604" spans="1:7" x14ac:dyDescent="0.25">
      <c r="A604" s="7">
        <v>40746</v>
      </c>
      <c r="B604" s="6">
        <v>4473.1000000000004</v>
      </c>
      <c r="C604" s="6">
        <v>4612.2</v>
      </c>
      <c r="D604" s="6">
        <v>4445</v>
      </c>
      <c r="E604" s="6">
        <v>4602.8999999999996</v>
      </c>
      <c r="F604" s="8">
        <v>4596700000</v>
      </c>
      <c r="G604" s="8">
        <v>22370800000</v>
      </c>
    </row>
    <row r="605" spans="1:7" x14ac:dyDescent="0.25">
      <c r="A605" s="7">
        <v>40753</v>
      </c>
      <c r="B605" s="6">
        <v>4595.3</v>
      </c>
      <c r="C605" s="6">
        <v>4595.3999999999996</v>
      </c>
      <c r="D605" s="6">
        <v>4421.1000000000004</v>
      </c>
      <c r="E605" s="6">
        <v>4424.6000000000004</v>
      </c>
      <c r="F605" s="8">
        <v>4974400000</v>
      </c>
      <c r="G605" s="8">
        <v>27013900000</v>
      </c>
    </row>
    <row r="606" spans="1:7" x14ac:dyDescent="0.25">
      <c r="A606" s="7">
        <v>40760</v>
      </c>
      <c r="B606" s="6">
        <v>4440.8999999999996</v>
      </c>
      <c r="C606" s="6">
        <v>4517.3999999999996</v>
      </c>
      <c r="D606" s="6">
        <v>4087.7</v>
      </c>
      <c r="E606" s="6">
        <v>4105.3999999999996</v>
      </c>
      <c r="F606" s="8">
        <v>5556800000</v>
      </c>
      <c r="G606" s="8">
        <v>30252000000</v>
      </c>
    </row>
    <row r="607" spans="1:7" x14ac:dyDescent="0.25">
      <c r="A607" s="7">
        <v>40767</v>
      </c>
      <c r="B607" s="6">
        <v>4078.6</v>
      </c>
      <c r="C607" s="6">
        <v>4216.1000000000004</v>
      </c>
      <c r="D607" s="6">
        <v>3765.9</v>
      </c>
      <c r="E607" s="6">
        <v>4172.6000000000004</v>
      </c>
      <c r="F607" s="8">
        <v>7537400000</v>
      </c>
      <c r="G607" s="8">
        <v>39356800000</v>
      </c>
    </row>
    <row r="608" spans="1:7" x14ac:dyDescent="0.25">
      <c r="A608" s="7">
        <v>40774</v>
      </c>
      <c r="B608" s="6">
        <v>4193.5</v>
      </c>
      <c r="C608" s="6">
        <v>4324.7</v>
      </c>
      <c r="D608" s="6">
        <v>4099.3999999999996</v>
      </c>
      <c r="E608" s="6">
        <v>4101.8999999999996</v>
      </c>
      <c r="F608" s="8">
        <v>5162800000</v>
      </c>
      <c r="G608" s="8">
        <v>28498800000</v>
      </c>
    </row>
    <row r="609" spans="1:7" x14ac:dyDescent="0.25">
      <c r="A609" s="7">
        <v>40781</v>
      </c>
      <c r="B609" s="6">
        <v>4099</v>
      </c>
      <c r="C609" s="6">
        <v>4238.6000000000004</v>
      </c>
      <c r="D609" s="6">
        <v>4075.1</v>
      </c>
      <c r="E609" s="6">
        <v>4200</v>
      </c>
      <c r="F609" s="8">
        <v>5459600000</v>
      </c>
      <c r="G609" s="8">
        <v>28965800000</v>
      </c>
    </row>
    <row r="610" spans="1:7" x14ac:dyDescent="0.25">
      <c r="A610" s="7">
        <v>40788</v>
      </c>
      <c r="B610" s="6">
        <v>4209.5</v>
      </c>
      <c r="C610" s="6">
        <v>4354.6000000000004</v>
      </c>
      <c r="D610" s="6">
        <v>4209.5</v>
      </c>
      <c r="E610" s="6">
        <v>4242.8999999999996</v>
      </c>
      <c r="F610" s="8">
        <v>4892800000</v>
      </c>
      <c r="G610" s="8">
        <v>24981000000</v>
      </c>
    </row>
    <row r="611" spans="1:7" x14ac:dyDescent="0.25">
      <c r="A611" s="7">
        <v>40795</v>
      </c>
      <c r="B611" s="6">
        <v>4221.2</v>
      </c>
      <c r="C611" s="6">
        <v>4232</v>
      </c>
      <c r="D611" s="6">
        <v>4072.7</v>
      </c>
      <c r="E611" s="6">
        <v>4194.7</v>
      </c>
      <c r="F611" s="8">
        <v>4534900000</v>
      </c>
      <c r="G611" s="8">
        <v>24196800000</v>
      </c>
    </row>
    <row r="612" spans="1:7" x14ac:dyDescent="0.25">
      <c r="A612" s="7">
        <v>40802</v>
      </c>
      <c r="B612" s="6">
        <v>4169.3</v>
      </c>
      <c r="C612" s="6">
        <v>4170</v>
      </c>
      <c r="D612" s="6">
        <v>3997.6</v>
      </c>
      <c r="E612" s="6">
        <v>4149.3999999999996</v>
      </c>
      <c r="F612" s="8">
        <v>5373000000</v>
      </c>
      <c r="G612" s="8">
        <v>26581900000</v>
      </c>
    </row>
    <row r="613" spans="1:7" x14ac:dyDescent="0.25">
      <c r="A613" s="7">
        <v>40809</v>
      </c>
      <c r="B613" s="6">
        <v>4140.1000000000004</v>
      </c>
      <c r="C613" s="6">
        <v>4141.3999999999996</v>
      </c>
      <c r="D613" s="6">
        <v>3882.2</v>
      </c>
      <c r="E613" s="6">
        <v>3903.2</v>
      </c>
      <c r="F613" s="8">
        <v>5120400000</v>
      </c>
      <c r="G613" s="8">
        <v>26697400000</v>
      </c>
    </row>
    <row r="614" spans="1:7" x14ac:dyDescent="0.25">
      <c r="A614" s="7">
        <v>40816</v>
      </c>
      <c r="B614" s="6">
        <v>3917.8</v>
      </c>
      <c r="C614" s="6">
        <v>4053.8</v>
      </c>
      <c r="D614" s="6">
        <v>3862.4</v>
      </c>
      <c r="E614" s="6">
        <v>4008.6</v>
      </c>
      <c r="F614" s="8">
        <v>6422100000</v>
      </c>
      <c r="G614" s="8">
        <v>29736900000</v>
      </c>
    </row>
    <row r="615" spans="1:7" x14ac:dyDescent="0.25">
      <c r="A615" s="7">
        <v>40823</v>
      </c>
      <c r="B615" s="6">
        <v>3990.6</v>
      </c>
      <c r="C615" s="6">
        <v>4182</v>
      </c>
      <c r="D615" s="6">
        <v>3840.2</v>
      </c>
      <c r="E615" s="6">
        <v>4162.8999999999996</v>
      </c>
      <c r="F615" s="8">
        <v>5623200000</v>
      </c>
      <c r="G615" s="8">
        <v>25575900000</v>
      </c>
    </row>
    <row r="616" spans="1:7" x14ac:dyDescent="0.25">
      <c r="A616" s="7">
        <v>40830</v>
      </c>
      <c r="B616" s="6">
        <v>4157.6000000000004</v>
      </c>
      <c r="C616" s="6">
        <v>4256.1000000000004</v>
      </c>
      <c r="D616" s="6">
        <v>4146.8999999999996</v>
      </c>
      <c r="E616" s="6">
        <v>4205.6000000000004</v>
      </c>
      <c r="F616" s="8">
        <v>4143800000</v>
      </c>
      <c r="G616" s="8">
        <v>21934800000</v>
      </c>
    </row>
    <row r="617" spans="1:7" x14ac:dyDescent="0.25">
      <c r="A617" s="7">
        <v>40837</v>
      </c>
      <c r="B617" s="6">
        <v>4221.7</v>
      </c>
      <c r="C617" s="6">
        <v>4287.7</v>
      </c>
      <c r="D617" s="6">
        <v>4131.8999999999996</v>
      </c>
      <c r="E617" s="6">
        <v>4141.8999999999996</v>
      </c>
      <c r="F617" s="8">
        <v>3620800000</v>
      </c>
      <c r="G617" s="8">
        <v>20411900000</v>
      </c>
    </row>
    <row r="618" spans="1:7" x14ac:dyDescent="0.25">
      <c r="A618" s="7">
        <v>40844</v>
      </c>
      <c r="B618" s="6">
        <v>4155.2</v>
      </c>
      <c r="C618" s="6">
        <v>4417.6000000000004</v>
      </c>
      <c r="D618" s="6">
        <v>4155</v>
      </c>
      <c r="E618" s="6">
        <v>4353.3</v>
      </c>
      <c r="F618" s="8">
        <v>4002000000</v>
      </c>
      <c r="G618" s="8">
        <v>24837000000</v>
      </c>
    </row>
    <row r="619" spans="1:7" x14ac:dyDescent="0.25">
      <c r="A619" s="7">
        <v>40851</v>
      </c>
      <c r="B619" s="6">
        <v>4348.8999999999996</v>
      </c>
      <c r="C619" s="6">
        <v>4358.2</v>
      </c>
      <c r="D619" s="6">
        <v>4141.3</v>
      </c>
      <c r="E619" s="6">
        <v>4281.1000000000004</v>
      </c>
      <c r="F619" s="8">
        <v>3761000000</v>
      </c>
      <c r="G619" s="8">
        <v>20363800000</v>
      </c>
    </row>
    <row r="620" spans="1:7" x14ac:dyDescent="0.25">
      <c r="A620" s="7">
        <v>40858</v>
      </c>
      <c r="B620" s="6">
        <v>4281.8999999999996</v>
      </c>
      <c r="C620" s="6">
        <v>4365</v>
      </c>
      <c r="D620" s="6">
        <v>4205</v>
      </c>
      <c r="E620" s="6">
        <v>4296.5</v>
      </c>
      <c r="F620" s="8">
        <v>3706600000</v>
      </c>
      <c r="G620" s="8">
        <v>20511900000</v>
      </c>
    </row>
    <row r="621" spans="1:7" x14ac:dyDescent="0.25">
      <c r="A621" s="7">
        <v>40865</v>
      </c>
      <c r="B621" s="6">
        <v>4310.5</v>
      </c>
      <c r="C621" s="6">
        <v>4363.1000000000004</v>
      </c>
      <c r="D621" s="6">
        <v>4172.6000000000004</v>
      </c>
      <c r="E621" s="6">
        <v>4177</v>
      </c>
      <c r="F621" s="8">
        <v>3291400000</v>
      </c>
      <c r="G621" s="8">
        <v>19060500000</v>
      </c>
    </row>
    <row r="622" spans="1:7" x14ac:dyDescent="0.25">
      <c r="A622" s="7">
        <v>40872</v>
      </c>
      <c r="B622" s="6">
        <v>4174.2</v>
      </c>
      <c r="C622" s="6">
        <v>4181.3999999999996</v>
      </c>
      <c r="D622" s="6">
        <v>3973.8</v>
      </c>
      <c r="E622" s="6">
        <v>3984.3</v>
      </c>
      <c r="F622" s="8">
        <v>4355600000</v>
      </c>
      <c r="G622" s="8">
        <v>23605700000</v>
      </c>
    </row>
    <row r="623" spans="1:7" x14ac:dyDescent="0.25">
      <c r="A623" s="7">
        <v>40879</v>
      </c>
      <c r="B623" s="6">
        <v>3984.3</v>
      </c>
      <c r="C623" s="6">
        <v>4288</v>
      </c>
      <c r="D623" s="6">
        <v>3984.3</v>
      </c>
      <c r="E623" s="6">
        <v>4288</v>
      </c>
      <c r="F623" s="8">
        <v>4650100000</v>
      </c>
      <c r="G623" s="8">
        <v>23875600000</v>
      </c>
    </row>
    <row r="624" spans="1:7" x14ac:dyDescent="0.25">
      <c r="A624" s="7">
        <v>40886</v>
      </c>
      <c r="B624" s="6">
        <v>4292.6000000000004</v>
      </c>
      <c r="C624" s="6">
        <v>4335.2</v>
      </c>
      <c r="D624" s="6">
        <v>4186.1000000000004</v>
      </c>
      <c r="E624" s="6">
        <v>4203</v>
      </c>
      <c r="F624" s="8">
        <v>3870400000</v>
      </c>
      <c r="G624" s="8">
        <v>20083600000</v>
      </c>
    </row>
    <row r="625" spans="1:7" x14ac:dyDescent="0.25">
      <c r="A625" s="7">
        <v>40893</v>
      </c>
      <c r="B625" s="6">
        <v>4222</v>
      </c>
      <c r="C625" s="6">
        <v>4271.8999999999996</v>
      </c>
      <c r="D625" s="6">
        <v>4115.2</v>
      </c>
      <c r="E625" s="6">
        <v>4159.2</v>
      </c>
      <c r="F625" s="8">
        <v>4207200000</v>
      </c>
      <c r="G625" s="8">
        <v>21745300000</v>
      </c>
    </row>
    <row r="626" spans="1:7" x14ac:dyDescent="0.25">
      <c r="A626" s="7">
        <v>40900</v>
      </c>
      <c r="B626" s="6">
        <v>4147.8</v>
      </c>
      <c r="C626" s="6">
        <v>4148.2</v>
      </c>
      <c r="D626" s="6">
        <v>4050.3</v>
      </c>
      <c r="E626" s="6">
        <v>4140.3999999999996</v>
      </c>
      <c r="F626" s="8">
        <v>3264200000</v>
      </c>
      <c r="G626" s="8">
        <v>18874800000</v>
      </c>
    </row>
    <row r="627" spans="1:7" x14ac:dyDescent="0.25">
      <c r="A627" s="7">
        <v>40907</v>
      </c>
      <c r="B627" s="6">
        <v>4140.1000000000004</v>
      </c>
      <c r="C627" s="6">
        <v>4142.6000000000004</v>
      </c>
      <c r="D627" s="6">
        <v>4038.1</v>
      </c>
      <c r="E627" s="6">
        <v>4056.6</v>
      </c>
      <c r="F627" s="8">
        <v>1018200000</v>
      </c>
      <c r="G627" s="8">
        <v>4660900000</v>
      </c>
    </row>
    <row r="628" spans="1:7" x14ac:dyDescent="0.25">
      <c r="A628" s="7">
        <v>40914</v>
      </c>
      <c r="B628" s="6">
        <v>4069.3</v>
      </c>
      <c r="C628" s="6">
        <v>4202.3999999999996</v>
      </c>
      <c r="D628" s="6">
        <v>4069.1</v>
      </c>
      <c r="E628" s="6">
        <v>4108.5</v>
      </c>
      <c r="F628" s="8">
        <v>2059500000</v>
      </c>
      <c r="G628" s="8">
        <v>10776100000</v>
      </c>
    </row>
    <row r="629" spans="1:7" x14ac:dyDescent="0.25">
      <c r="A629" s="7">
        <v>40921</v>
      </c>
      <c r="B629" s="6">
        <v>4118.1000000000004</v>
      </c>
      <c r="C629" s="6">
        <v>4203.6000000000004</v>
      </c>
      <c r="D629" s="6">
        <v>4088.7</v>
      </c>
      <c r="E629" s="6">
        <v>4195.8999999999996</v>
      </c>
      <c r="F629" s="8">
        <v>3053500000</v>
      </c>
      <c r="G629" s="8">
        <v>16088300000</v>
      </c>
    </row>
    <row r="630" spans="1:7" x14ac:dyDescent="0.25">
      <c r="A630" s="7">
        <v>40928</v>
      </c>
      <c r="B630" s="6">
        <v>4191.3</v>
      </c>
      <c r="C630" s="6">
        <v>4258.3999999999996</v>
      </c>
      <c r="D630" s="6">
        <v>4138.5</v>
      </c>
      <c r="E630" s="6">
        <v>4239.6000000000004</v>
      </c>
      <c r="F630" s="8">
        <v>3698200000</v>
      </c>
      <c r="G630" s="8">
        <v>18815300000</v>
      </c>
    </row>
    <row r="631" spans="1:7" x14ac:dyDescent="0.25">
      <c r="A631" s="7">
        <v>40935</v>
      </c>
      <c r="B631" s="6">
        <v>4239.6000000000004</v>
      </c>
      <c r="C631" s="6">
        <v>4315.6000000000004</v>
      </c>
      <c r="D631" s="6">
        <v>4218.3999999999996</v>
      </c>
      <c r="E631" s="6">
        <v>4288.3999999999996</v>
      </c>
      <c r="F631" s="8">
        <v>2571000000</v>
      </c>
      <c r="G631" s="8">
        <v>16328100000</v>
      </c>
    </row>
    <row r="632" spans="1:7" x14ac:dyDescent="0.25">
      <c r="A632" s="7">
        <v>40942</v>
      </c>
      <c r="B632" s="6">
        <v>4288.3999999999996</v>
      </c>
      <c r="C632" s="6">
        <v>4294.7</v>
      </c>
      <c r="D632" s="6">
        <v>4225.7</v>
      </c>
      <c r="E632" s="6">
        <v>4251.2</v>
      </c>
      <c r="F632" s="8">
        <v>3881600000</v>
      </c>
      <c r="G632" s="8">
        <v>20258400000</v>
      </c>
    </row>
    <row r="633" spans="1:7" x14ac:dyDescent="0.25">
      <c r="A633" s="7">
        <v>40949</v>
      </c>
      <c r="B633" s="6">
        <v>4266</v>
      </c>
      <c r="C633" s="6">
        <v>4312</v>
      </c>
      <c r="D633" s="6">
        <v>4244.8999999999996</v>
      </c>
      <c r="E633" s="6">
        <v>4245.3</v>
      </c>
      <c r="F633" s="8">
        <v>3986100000</v>
      </c>
      <c r="G633" s="8">
        <v>22520300000</v>
      </c>
    </row>
    <row r="634" spans="1:7" x14ac:dyDescent="0.25">
      <c r="A634" s="7">
        <v>40956</v>
      </c>
      <c r="B634" s="6">
        <v>4245.3</v>
      </c>
      <c r="C634" s="6">
        <v>4289.7</v>
      </c>
      <c r="D634" s="6">
        <v>4170.2</v>
      </c>
      <c r="E634" s="6">
        <v>4195.8999999999996</v>
      </c>
      <c r="F634" s="8">
        <v>4153000000</v>
      </c>
      <c r="G634" s="8">
        <v>21792500000</v>
      </c>
    </row>
    <row r="635" spans="1:7" x14ac:dyDescent="0.25">
      <c r="A635" s="7">
        <v>40963</v>
      </c>
      <c r="B635" s="6">
        <v>4195.8999999999996</v>
      </c>
      <c r="C635" s="6">
        <v>4307.5</v>
      </c>
      <c r="D635" s="6">
        <v>4195.8999999999996</v>
      </c>
      <c r="E635" s="6">
        <v>4306.8</v>
      </c>
      <c r="F635" s="8">
        <v>4515100000</v>
      </c>
      <c r="G635" s="8">
        <v>23569700000</v>
      </c>
    </row>
    <row r="636" spans="1:7" x14ac:dyDescent="0.25">
      <c r="A636" s="7">
        <v>40970</v>
      </c>
      <c r="B636" s="6">
        <v>4306.8</v>
      </c>
      <c r="C636" s="6">
        <v>4318.8</v>
      </c>
      <c r="D636" s="6">
        <v>4248</v>
      </c>
      <c r="E636" s="6">
        <v>4273.1000000000004</v>
      </c>
      <c r="F636" s="8">
        <v>4454000000</v>
      </c>
      <c r="G636" s="8">
        <v>22156100000</v>
      </c>
    </row>
    <row r="637" spans="1:7" x14ac:dyDescent="0.25">
      <c r="A637" s="7">
        <v>40977</v>
      </c>
      <c r="B637" s="6">
        <v>4269</v>
      </c>
      <c r="C637" s="6">
        <v>4273.6000000000004</v>
      </c>
      <c r="D637" s="6">
        <v>4143.7</v>
      </c>
      <c r="E637" s="6">
        <v>4212</v>
      </c>
      <c r="F637" s="8">
        <v>4401900000</v>
      </c>
      <c r="G637" s="8">
        <v>22698600000</v>
      </c>
    </row>
    <row r="638" spans="1:7" x14ac:dyDescent="0.25">
      <c r="A638" s="7">
        <v>40984</v>
      </c>
      <c r="B638" s="6">
        <v>4215.1000000000004</v>
      </c>
      <c r="C638" s="6">
        <v>4294.8999999999996</v>
      </c>
      <c r="D638" s="6">
        <v>4193.8999999999996</v>
      </c>
      <c r="E638" s="6">
        <v>4276.2</v>
      </c>
      <c r="F638" s="8">
        <v>4942600000</v>
      </c>
      <c r="G638" s="8">
        <v>23888500000</v>
      </c>
    </row>
    <row r="639" spans="1:7" x14ac:dyDescent="0.25">
      <c r="A639" s="7">
        <v>40991</v>
      </c>
      <c r="B639" s="6">
        <v>4282.7</v>
      </c>
      <c r="C639" s="6">
        <v>4309</v>
      </c>
      <c r="D639" s="6">
        <v>4238.3999999999996</v>
      </c>
      <c r="E639" s="6">
        <v>4270.3999999999996</v>
      </c>
      <c r="F639" s="8">
        <v>3972500000</v>
      </c>
      <c r="G639" s="8">
        <v>20749300000</v>
      </c>
    </row>
    <row r="640" spans="1:7" x14ac:dyDescent="0.25">
      <c r="A640" s="7">
        <v>40998</v>
      </c>
      <c r="B640" s="6">
        <v>4270.3</v>
      </c>
      <c r="C640" s="6">
        <v>4361.1000000000004</v>
      </c>
      <c r="D640" s="6">
        <v>4262.8</v>
      </c>
      <c r="E640" s="6">
        <v>4335.2</v>
      </c>
      <c r="F640" s="8">
        <v>4349500000</v>
      </c>
      <c r="G640" s="8">
        <v>25116500000</v>
      </c>
    </row>
    <row r="641" spans="1:7" x14ac:dyDescent="0.25">
      <c r="A641" s="7">
        <v>41004</v>
      </c>
      <c r="B641" s="6">
        <v>4348.8</v>
      </c>
      <c r="C641" s="6">
        <v>4377.5</v>
      </c>
      <c r="D641" s="6">
        <v>4286.3</v>
      </c>
      <c r="E641" s="6">
        <v>4319.8</v>
      </c>
      <c r="F641" s="8">
        <v>3179400000</v>
      </c>
      <c r="G641" s="8">
        <v>16980400000</v>
      </c>
    </row>
    <row r="642" spans="1:7" x14ac:dyDescent="0.25">
      <c r="A642" s="7">
        <v>41012</v>
      </c>
      <c r="B642" s="6">
        <v>4308.8999999999996</v>
      </c>
      <c r="C642" s="6">
        <v>4330.5</v>
      </c>
      <c r="D642" s="6">
        <v>4246.1000000000004</v>
      </c>
      <c r="E642" s="6">
        <v>4323.3</v>
      </c>
      <c r="F642" s="8">
        <v>2743400000</v>
      </c>
      <c r="G642" s="8">
        <v>14741100000</v>
      </c>
    </row>
    <row r="643" spans="1:7" x14ac:dyDescent="0.25">
      <c r="A643" s="7">
        <v>41019</v>
      </c>
      <c r="B643" s="6">
        <v>4323.3</v>
      </c>
      <c r="C643" s="6">
        <v>4377.1000000000004</v>
      </c>
      <c r="D643" s="6">
        <v>4286.3999999999996</v>
      </c>
      <c r="E643" s="6">
        <v>4366.5</v>
      </c>
      <c r="F643" s="8">
        <v>3427800000</v>
      </c>
      <c r="G643" s="8">
        <v>19156400000</v>
      </c>
    </row>
    <row r="644" spans="1:7" x14ac:dyDescent="0.25">
      <c r="A644" s="7">
        <v>41026</v>
      </c>
      <c r="B644" s="6">
        <v>4366.5</v>
      </c>
      <c r="C644" s="6">
        <v>4393.8</v>
      </c>
      <c r="D644" s="6">
        <v>4337.7</v>
      </c>
      <c r="E644" s="6">
        <v>4362.1000000000004</v>
      </c>
      <c r="F644" s="8">
        <v>2857500000</v>
      </c>
      <c r="G644" s="8">
        <v>16593800000</v>
      </c>
    </row>
    <row r="645" spans="1:7" x14ac:dyDescent="0.25">
      <c r="A645" s="7">
        <v>41033</v>
      </c>
      <c r="B645" s="6">
        <v>4373.1000000000004</v>
      </c>
      <c r="C645" s="6">
        <v>4448.5</v>
      </c>
      <c r="D645" s="6">
        <v>4373</v>
      </c>
      <c r="E645" s="6">
        <v>4396</v>
      </c>
      <c r="F645" s="8">
        <v>3944900000</v>
      </c>
      <c r="G645" s="8">
        <v>20500300000</v>
      </c>
    </row>
    <row r="646" spans="1:7" x14ac:dyDescent="0.25">
      <c r="A646" s="7">
        <v>41040</v>
      </c>
      <c r="B646" s="6">
        <v>4396</v>
      </c>
      <c r="C646" s="6">
        <v>4396</v>
      </c>
      <c r="D646" s="6">
        <v>4257.8999999999996</v>
      </c>
      <c r="E646" s="6">
        <v>4285.1000000000004</v>
      </c>
      <c r="F646" s="8">
        <v>4443200000</v>
      </c>
      <c r="G646" s="8">
        <v>23651500000</v>
      </c>
    </row>
    <row r="647" spans="1:7" x14ac:dyDescent="0.25">
      <c r="A647" s="7">
        <v>41047</v>
      </c>
      <c r="B647" s="6">
        <v>4285.1000000000004</v>
      </c>
      <c r="C647" s="6">
        <v>4304.3999999999996</v>
      </c>
      <c r="D647" s="6">
        <v>4026.5</v>
      </c>
      <c r="E647" s="6">
        <v>4046.5</v>
      </c>
      <c r="F647" s="8">
        <v>4812100000</v>
      </c>
      <c r="G647" s="8">
        <v>24421200000</v>
      </c>
    </row>
    <row r="648" spans="1:7" x14ac:dyDescent="0.25">
      <c r="A648" s="7">
        <v>41054</v>
      </c>
      <c r="B648" s="6">
        <v>4051.7</v>
      </c>
      <c r="C648" s="6">
        <v>4122.6000000000004</v>
      </c>
      <c r="D648" s="6">
        <v>4024.8</v>
      </c>
      <c r="E648" s="6">
        <v>4029.2</v>
      </c>
      <c r="F648" s="8">
        <v>4025200000</v>
      </c>
      <c r="G648" s="8">
        <v>21550900000</v>
      </c>
    </row>
    <row r="649" spans="1:7" x14ac:dyDescent="0.25">
      <c r="A649" s="7">
        <v>41061</v>
      </c>
      <c r="B649" s="6">
        <v>4029.2</v>
      </c>
      <c r="C649" s="6">
        <v>4118</v>
      </c>
      <c r="D649" s="6">
        <v>4029.2</v>
      </c>
      <c r="E649" s="6">
        <v>4063.9</v>
      </c>
      <c r="F649" s="8">
        <v>4019400000</v>
      </c>
      <c r="G649" s="8">
        <v>20225300000</v>
      </c>
    </row>
    <row r="650" spans="1:7" x14ac:dyDescent="0.25">
      <c r="A650" s="7">
        <v>41068</v>
      </c>
      <c r="B650" s="6">
        <v>4063.9</v>
      </c>
      <c r="C650" s="6">
        <v>4121.3999999999996</v>
      </c>
      <c r="D650" s="6">
        <v>3985</v>
      </c>
      <c r="E650" s="6">
        <v>4063.7</v>
      </c>
      <c r="F650" s="8">
        <v>4424100000</v>
      </c>
      <c r="G650" s="8">
        <v>20795500000</v>
      </c>
    </row>
    <row r="651" spans="1:7" x14ac:dyDescent="0.25">
      <c r="A651" s="7">
        <v>41075</v>
      </c>
      <c r="B651" s="6">
        <v>4062.3</v>
      </c>
      <c r="C651" s="6">
        <v>4087.8</v>
      </c>
      <c r="D651" s="6">
        <v>4026.5</v>
      </c>
      <c r="E651" s="6">
        <v>4057.3</v>
      </c>
      <c r="F651" s="8">
        <v>3362700000</v>
      </c>
      <c r="G651" s="8">
        <v>13902200000</v>
      </c>
    </row>
    <row r="652" spans="1:7" x14ac:dyDescent="0.25">
      <c r="A652" s="7">
        <v>41082</v>
      </c>
      <c r="B652" s="6">
        <v>4057.3</v>
      </c>
      <c r="C652" s="6">
        <v>4159.3</v>
      </c>
      <c r="D652" s="6">
        <v>4038.6</v>
      </c>
      <c r="E652" s="6">
        <v>4048.2</v>
      </c>
      <c r="F652" s="8">
        <v>4431800000</v>
      </c>
      <c r="G652" s="8">
        <v>21883200000</v>
      </c>
    </row>
    <row r="653" spans="1:7" x14ac:dyDescent="0.25">
      <c r="A653" s="7">
        <v>41089</v>
      </c>
      <c r="B653" s="6">
        <v>4048.2</v>
      </c>
      <c r="C653" s="6">
        <v>4117</v>
      </c>
      <c r="D653" s="6">
        <v>3993.8</v>
      </c>
      <c r="E653" s="6">
        <v>4094.6</v>
      </c>
      <c r="F653" s="8">
        <v>4081700000</v>
      </c>
      <c r="G653" s="8">
        <v>20994800000</v>
      </c>
    </row>
    <row r="654" spans="1:7" x14ac:dyDescent="0.25">
      <c r="A654" s="7">
        <v>41096</v>
      </c>
      <c r="B654" s="6">
        <v>4098</v>
      </c>
      <c r="C654" s="6">
        <v>4175.8</v>
      </c>
      <c r="D654" s="6">
        <v>4098</v>
      </c>
      <c r="E654" s="6">
        <v>4157.8</v>
      </c>
      <c r="F654" s="8">
        <v>3086800000</v>
      </c>
      <c r="G654" s="8">
        <v>15569300000</v>
      </c>
    </row>
    <row r="655" spans="1:7" x14ac:dyDescent="0.25">
      <c r="A655" s="7">
        <v>41103</v>
      </c>
      <c r="B655" s="6">
        <v>4148.3999999999996</v>
      </c>
      <c r="C655" s="6">
        <v>4148.3999999999996</v>
      </c>
      <c r="D655" s="6">
        <v>4062.3</v>
      </c>
      <c r="E655" s="6">
        <v>4082.2</v>
      </c>
      <c r="F655" s="8">
        <v>3119700000</v>
      </c>
      <c r="G655" s="8">
        <v>15882500000</v>
      </c>
    </row>
    <row r="656" spans="1:7" x14ac:dyDescent="0.25">
      <c r="A656" s="7">
        <v>41110</v>
      </c>
      <c r="B656" s="6">
        <v>4082.2</v>
      </c>
      <c r="C656" s="6">
        <v>4215.6000000000004</v>
      </c>
      <c r="D656" s="6">
        <v>4082.2</v>
      </c>
      <c r="E656" s="6">
        <v>4199.1000000000004</v>
      </c>
      <c r="F656" s="8">
        <v>3395300000</v>
      </c>
      <c r="G656" s="8">
        <v>17449400000</v>
      </c>
    </row>
    <row r="657" spans="1:7" x14ac:dyDescent="0.25">
      <c r="A657" s="7">
        <v>41117</v>
      </c>
      <c r="B657" s="6">
        <v>4199.1000000000004</v>
      </c>
      <c r="C657" s="6">
        <v>4209.8</v>
      </c>
      <c r="D657" s="6">
        <v>4084.4</v>
      </c>
      <c r="E657" s="6">
        <v>4209.8</v>
      </c>
      <c r="F657" s="8">
        <v>3342800000</v>
      </c>
      <c r="G657" s="8">
        <v>18333100000</v>
      </c>
    </row>
    <row r="658" spans="1:7" x14ac:dyDescent="0.25">
      <c r="A658" s="7">
        <v>41124</v>
      </c>
      <c r="B658" s="6">
        <v>4219.3999999999996</v>
      </c>
      <c r="C658" s="6">
        <v>4288.1000000000004</v>
      </c>
      <c r="D658" s="6">
        <v>4212.7</v>
      </c>
      <c r="E658" s="6">
        <v>4221.5</v>
      </c>
      <c r="F658" s="8">
        <v>3530300000</v>
      </c>
      <c r="G658" s="8">
        <v>18046100000</v>
      </c>
    </row>
    <row r="659" spans="1:7" x14ac:dyDescent="0.25">
      <c r="A659" s="7">
        <v>41131</v>
      </c>
      <c r="B659" s="6">
        <v>4221.5</v>
      </c>
      <c r="C659" s="6">
        <v>4330.3999999999996</v>
      </c>
      <c r="D659" s="6">
        <v>4221.5</v>
      </c>
      <c r="E659" s="6">
        <v>4277.3</v>
      </c>
      <c r="F659" s="8">
        <v>3490200000</v>
      </c>
      <c r="G659" s="8">
        <v>17311100000</v>
      </c>
    </row>
    <row r="660" spans="1:7" x14ac:dyDescent="0.25">
      <c r="A660" s="7">
        <v>41138</v>
      </c>
      <c r="B660" s="6">
        <v>4284.3999999999996</v>
      </c>
      <c r="C660" s="6">
        <v>4370.1000000000004</v>
      </c>
      <c r="D660" s="6">
        <v>4267.1000000000004</v>
      </c>
      <c r="E660" s="6">
        <v>4370.1000000000004</v>
      </c>
      <c r="F660" s="8">
        <v>4028100000</v>
      </c>
      <c r="G660" s="8">
        <v>18493000000</v>
      </c>
    </row>
    <row r="661" spans="1:7" x14ac:dyDescent="0.25">
      <c r="A661" s="7">
        <v>41145</v>
      </c>
      <c r="B661" s="6">
        <v>4372.5</v>
      </c>
      <c r="C661" s="6">
        <v>4403.8999999999996</v>
      </c>
      <c r="D661" s="6">
        <v>4339.1000000000004</v>
      </c>
      <c r="E661" s="6">
        <v>4349</v>
      </c>
      <c r="F661" s="8">
        <v>3944800000</v>
      </c>
      <c r="G661" s="8">
        <v>20967300000</v>
      </c>
    </row>
    <row r="662" spans="1:7" x14ac:dyDescent="0.25">
      <c r="A662" s="7">
        <v>41152</v>
      </c>
      <c r="B662" s="6">
        <v>4351.3999999999996</v>
      </c>
      <c r="C662" s="6">
        <v>4375.8</v>
      </c>
      <c r="D662" s="6">
        <v>4302.5</v>
      </c>
      <c r="E662" s="6">
        <v>4316.1000000000004</v>
      </c>
      <c r="F662" s="8">
        <v>4111600000</v>
      </c>
      <c r="G662" s="8">
        <v>21075000000</v>
      </c>
    </row>
    <row r="663" spans="1:7" x14ac:dyDescent="0.25">
      <c r="A663" s="7">
        <v>41159</v>
      </c>
      <c r="B663" s="6">
        <v>4310</v>
      </c>
      <c r="C663" s="6">
        <v>4358.3</v>
      </c>
      <c r="D663" s="6">
        <v>4261.2</v>
      </c>
      <c r="E663" s="6">
        <v>4325.8</v>
      </c>
      <c r="F663" s="8">
        <v>4532900000</v>
      </c>
      <c r="G663" s="8">
        <v>20948200000</v>
      </c>
    </row>
    <row r="664" spans="1:7" x14ac:dyDescent="0.25">
      <c r="A664" s="7">
        <v>41166</v>
      </c>
      <c r="B664" s="6">
        <v>4325.8</v>
      </c>
      <c r="C664" s="6">
        <v>4398.3</v>
      </c>
      <c r="D664" s="6">
        <v>4316.7</v>
      </c>
      <c r="E664" s="6">
        <v>4390</v>
      </c>
      <c r="F664" s="8">
        <v>3645900000</v>
      </c>
      <c r="G664" s="8">
        <v>18221900000</v>
      </c>
    </row>
    <row r="665" spans="1:7" x14ac:dyDescent="0.25">
      <c r="A665" s="7">
        <v>41173</v>
      </c>
      <c r="B665" s="6">
        <v>4404.2</v>
      </c>
      <c r="C665" s="6">
        <v>4421</v>
      </c>
      <c r="D665" s="6">
        <v>4383.3</v>
      </c>
      <c r="E665" s="6">
        <v>4408.3</v>
      </c>
      <c r="F665" s="8">
        <v>4845500000</v>
      </c>
      <c r="G665" s="8">
        <v>23914500000</v>
      </c>
    </row>
    <row r="666" spans="1:7" x14ac:dyDescent="0.25">
      <c r="A666" s="7">
        <v>41180</v>
      </c>
      <c r="B666" s="6">
        <v>4408.3</v>
      </c>
      <c r="C666" s="6">
        <v>4408.3</v>
      </c>
      <c r="D666" s="6">
        <v>4336.8999999999996</v>
      </c>
      <c r="E666" s="6">
        <v>4387</v>
      </c>
      <c r="F666" s="8">
        <v>3500800000</v>
      </c>
      <c r="G666" s="8">
        <v>20707700000</v>
      </c>
    </row>
    <row r="667" spans="1:7" x14ac:dyDescent="0.25">
      <c r="A667" s="7">
        <v>41187</v>
      </c>
      <c r="B667" s="6">
        <v>4387</v>
      </c>
      <c r="C667" s="6">
        <v>4495.8</v>
      </c>
      <c r="D667" s="6">
        <v>4375</v>
      </c>
      <c r="E667" s="6">
        <v>4494.3999999999996</v>
      </c>
      <c r="F667" s="8">
        <v>2948500000</v>
      </c>
      <c r="G667" s="8">
        <v>14100800000</v>
      </c>
    </row>
    <row r="668" spans="1:7" x14ac:dyDescent="0.25">
      <c r="A668" s="7">
        <v>41194</v>
      </c>
      <c r="B668" s="6">
        <v>4494.3999999999996</v>
      </c>
      <c r="C668" s="6">
        <v>4512.8</v>
      </c>
      <c r="D668" s="6">
        <v>4460.3999999999996</v>
      </c>
      <c r="E668" s="6">
        <v>4486.6000000000004</v>
      </c>
      <c r="F668" s="8">
        <v>3014900000</v>
      </c>
      <c r="G668" s="8">
        <v>14982700000</v>
      </c>
    </row>
    <row r="669" spans="1:7" x14ac:dyDescent="0.25">
      <c r="A669" s="7">
        <v>41201</v>
      </c>
      <c r="B669" s="6">
        <v>4486.6000000000004</v>
      </c>
      <c r="C669" s="6">
        <v>4581.8</v>
      </c>
      <c r="D669" s="6">
        <v>4479.2</v>
      </c>
      <c r="E669" s="6">
        <v>4571.1000000000004</v>
      </c>
      <c r="F669" s="8">
        <v>3650500000</v>
      </c>
      <c r="G669" s="8">
        <v>19463600000</v>
      </c>
    </row>
    <row r="670" spans="1:7" x14ac:dyDescent="0.25">
      <c r="A670" s="7">
        <v>41208</v>
      </c>
      <c r="B670" s="6">
        <v>4558.5</v>
      </c>
      <c r="C670" s="6">
        <v>4565</v>
      </c>
      <c r="D670" s="6">
        <v>4472.1000000000004</v>
      </c>
      <c r="E670" s="6">
        <v>4472.3999999999996</v>
      </c>
      <c r="F670" s="8">
        <v>3655100000</v>
      </c>
      <c r="G670" s="8">
        <v>20260600000</v>
      </c>
    </row>
    <row r="671" spans="1:7" x14ac:dyDescent="0.25">
      <c r="A671" s="7">
        <v>41215</v>
      </c>
      <c r="B671" s="6">
        <v>4475.3999999999996</v>
      </c>
      <c r="C671" s="6">
        <v>4524.8</v>
      </c>
      <c r="D671" s="6">
        <v>4457.3</v>
      </c>
      <c r="E671" s="6">
        <v>4460.1000000000004</v>
      </c>
      <c r="F671" s="8">
        <v>3674300000</v>
      </c>
      <c r="G671" s="8">
        <v>18085700000</v>
      </c>
    </row>
    <row r="672" spans="1:7" x14ac:dyDescent="0.25">
      <c r="A672" s="7">
        <v>41222</v>
      </c>
      <c r="B672" s="6">
        <v>4457.3999999999996</v>
      </c>
      <c r="C672" s="6">
        <v>4519.3</v>
      </c>
      <c r="D672" s="6">
        <v>4436.2</v>
      </c>
      <c r="E672" s="6">
        <v>4462</v>
      </c>
      <c r="F672" s="8">
        <v>3130800000</v>
      </c>
      <c r="G672" s="8">
        <v>19048300000</v>
      </c>
    </row>
    <row r="673" spans="1:7" x14ac:dyDescent="0.25">
      <c r="A673" s="7">
        <v>41229</v>
      </c>
      <c r="B673" s="6">
        <v>4458.5</v>
      </c>
      <c r="C673" s="6">
        <v>4465.2</v>
      </c>
      <c r="D673" s="6">
        <v>4334.3</v>
      </c>
      <c r="E673" s="6">
        <v>4336.8</v>
      </c>
      <c r="F673" s="8">
        <v>3653600000</v>
      </c>
      <c r="G673" s="8">
        <v>18486700000</v>
      </c>
    </row>
    <row r="674" spans="1:7" x14ac:dyDescent="0.25">
      <c r="A674" s="7">
        <v>41236</v>
      </c>
      <c r="B674" s="6">
        <v>4345.1000000000004</v>
      </c>
      <c r="C674" s="6">
        <v>4428.6000000000004</v>
      </c>
      <c r="D674" s="6">
        <v>4340</v>
      </c>
      <c r="E674" s="6">
        <v>4413</v>
      </c>
      <c r="F674" s="8">
        <v>3157200000</v>
      </c>
      <c r="G674" s="8">
        <v>14589800000</v>
      </c>
    </row>
    <row r="675" spans="1:7" x14ac:dyDescent="0.25">
      <c r="A675" s="7">
        <v>41243</v>
      </c>
      <c r="B675" s="6">
        <v>4413</v>
      </c>
      <c r="C675" s="6">
        <v>4514.2</v>
      </c>
      <c r="D675" s="6">
        <v>4413</v>
      </c>
      <c r="E675" s="6">
        <v>4506</v>
      </c>
      <c r="F675" s="8">
        <v>4297900000</v>
      </c>
      <c r="G675" s="8">
        <v>20407300000</v>
      </c>
    </row>
    <row r="676" spans="1:7" x14ac:dyDescent="0.25">
      <c r="A676" s="7">
        <v>41250</v>
      </c>
      <c r="B676" s="6">
        <v>4506</v>
      </c>
      <c r="C676" s="6">
        <v>4554.1000000000004</v>
      </c>
      <c r="D676" s="6">
        <v>4500.2</v>
      </c>
      <c r="E676" s="6">
        <v>4551.8</v>
      </c>
      <c r="F676" s="8">
        <v>3284600000</v>
      </c>
      <c r="G676" s="8">
        <v>16367200000</v>
      </c>
    </row>
    <row r="677" spans="1:7" x14ac:dyDescent="0.25">
      <c r="A677" s="7">
        <v>41257</v>
      </c>
      <c r="B677" s="6">
        <v>4552.2</v>
      </c>
      <c r="C677" s="6">
        <v>4603.5</v>
      </c>
      <c r="D677" s="6">
        <v>4552.2</v>
      </c>
      <c r="E677" s="6">
        <v>4583.1000000000004</v>
      </c>
      <c r="F677" s="8">
        <v>3725500000</v>
      </c>
      <c r="G677" s="8">
        <v>18370300000</v>
      </c>
    </row>
    <row r="678" spans="1:7" x14ac:dyDescent="0.25">
      <c r="A678" s="7">
        <v>41264</v>
      </c>
      <c r="B678" s="6">
        <v>4583.1000000000004</v>
      </c>
      <c r="C678" s="6">
        <v>4658.7</v>
      </c>
      <c r="D678" s="6">
        <v>4569.3999999999996</v>
      </c>
      <c r="E678" s="6">
        <v>4623.6000000000004</v>
      </c>
      <c r="F678" s="8">
        <v>4665600000</v>
      </c>
      <c r="G678" s="8">
        <v>25589600000</v>
      </c>
    </row>
    <row r="679" spans="1:7" x14ac:dyDescent="0.25">
      <c r="A679" s="7">
        <v>41271</v>
      </c>
      <c r="B679" s="6">
        <v>4625.7</v>
      </c>
      <c r="C679" s="6">
        <v>4688.6000000000004</v>
      </c>
      <c r="D679" s="6">
        <v>4625.7</v>
      </c>
      <c r="E679" s="6">
        <v>4671.3</v>
      </c>
      <c r="F679" s="8">
        <v>663900000</v>
      </c>
      <c r="G679" s="8">
        <v>3378900000</v>
      </c>
    </row>
    <row r="680" spans="1:7" x14ac:dyDescent="0.25">
      <c r="A680" s="7">
        <v>41278</v>
      </c>
      <c r="B680" s="6">
        <v>4666</v>
      </c>
      <c r="C680" s="6">
        <v>4743.3999999999996</v>
      </c>
      <c r="D680" s="6">
        <v>4644.8</v>
      </c>
      <c r="E680" s="6">
        <v>4723.8</v>
      </c>
      <c r="F680" s="8">
        <v>1663300000</v>
      </c>
      <c r="G680" s="8">
        <v>8076200000</v>
      </c>
    </row>
    <row r="681" spans="1:7" x14ac:dyDescent="0.25">
      <c r="A681" s="7">
        <v>41285</v>
      </c>
      <c r="B681" s="6">
        <v>4726.8</v>
      </c>
      <c r="C681" s="6">
        <v>4750.7</v>
      </c>
      <c r="D681" s="6">
        <v>4689.8</v>
      </c>
      <c r="E681" s="6">
        <v>4709.5</v>
      </c>
      <c r="F681" s="8">
        <v>2846400000</v>
      </c>
      <c r="G681" s="8">
        <v>16229900000</v>
      </c>
    </row>
    <row r="682" spans="1:7" x14ac:dyDescent="0.25">
      <c r="A682" s="7">
        <v>41292</v>
      </c>
      <c r="B682" s="6">
        <v>4709.5</v>
      </c>
      <c r="C682" s="6">
        <v>4787.2</v>
      </c>
      <c r="D682" s="6">
        <v>4706.3999999999996</v>
      </c>
      <c r="E682" s="6">
        <v>4771.2</v>
      </c>
      <c r="F682" s="8">
        <v>3174300000</v>
      </c>
      <c r="G682" s="8">
        <v>17212900000</v>
      </c>
    </row>
    <row r="683" spans="1:7" x14ac:dyDescent="0.25">
      <c r="A683" s="7">
        <v>41299</v>
      </c>
      <c r="B683" s="6">
        <v>4773.3</v>
      </c>
      <c r="C683" s="6">
        <v>4835.2</v>
      </c>
      <c r="D683" s="6">
        <v>4762.6000000000004</v>
      </c>
      <c r="E683" s="6">
        <v>4835.2</v>
      </c>
      <c r="F683" s="8">
        <v>3219000000</v>
      </c>
      <c r="G683" s="8">
        <v>19899100000</v>
      </c>
    </row>
    <row r="684" spans="1:7" x14ac:dyDescent="0.25">
      <c r="A684" s="7">
        <v>41306</v>
      </c>
      <c r="B684" s="6">
        <v>4842.3999999999996</v>
      </c>
      <c r="C684" s="6">
        <v>4922.6000000000004</v>
      </c>
      <c r="D684" s="6">
        <v>4841.6000000000004</v>
      </c>
      <c r="E684" s="6">
        <v>4921.1000000000004</v>
      </c>
      <c r="F684" s="8">
        <v>2864400000</v>
      </c>
      <c r="G684" s="8">
        <v>16443800000</v>
      </c>
    </row>
    <row r="685" spans="1:7" x14ac:dyDescent="0.25">
      <c r="A685" s="7">
        <v>41313</v>
      </c>
      <c r="B685" s="6">
        <v>4921.1000000000004</v>
      </c>
      <c r="C685" s="6">
        <v>4971.3</v>
      </c>
      <c r="D685" s="6">
        <v>4869.5</v>
      </c>
      <c r="E685" s="6">
        <v>4971.3</v>
      </c>
      <c r="F685" s="8">
        <v>3379000000</v>
      </c>
      <c r="G685" s="8">
        <v>19482100000</v>
      </c>
    </row>
    <row r="686" spans="1:7" x14ac:dyDescent="0.25">
      <c r="A686" s="7">
        <v>41320</v>
      </c>
      <c r="B686" s="6">
        <v>4971.3</v>
      </c>
      <c r="C686" s="6">
        <v>5045.3999999999996</v>
      </c>
      <c r="D686" s="6">
        <v>4959</v>
      </c>
      <c r="E686" s="6">
        <v>5033.8999999999996</v>
      </c>
      <c r="F686" s="8">
        <v>3425900000</v>
      </c>
      <c r="G686" s="8">
        <v>20141200000</v>
      </c>
    </row>
    <row r="687" spans="1:7" x14ac:dyDescent="0.25">
      <c r="A687" s="7">
        <v>41327</v>
      </c>
      <c r="B687" s="6">
        <v>5041.2</v>
      </c>
      <c r="C687" s="6">
        <v>5106.6000000000004</v>
      </c>
      <c r="D687" s="6">
        <v>4975.8999999999996</v>
      </c>
      <c r="E687" s="6">
        <v>5018.1000000000004</v>
      </c>
      <c r="F687" s="8">
        <v>4429400000</v>
      </c>
      <c r="G687" s="8">
        <v>31018000000</v>
      </c>
    </row>
    <row r="688" spans="1:7" x14ac:dyDescent="0.25">
      <c r="A688" s="7">
        <v>41334</v>
      </c>
      <c r="B688" s="6">
        <v>5016.8</v>
      </c>
      <c r="C688" s="6">
        <v>5112.5</v>
      </c>
      <c r="D688" s="6">
        <v>4978.3999999999996</v>
      </c>
      <c r="E688" s="6">
        <v>5086.1000000000004</v>
      </c>
      <c r="F688" s="8">
        <v>4263600000</v>
      </c>
      <c r="G688" s="8">
        <v>23978200000</v>
      </c>
    </row>
    <row r="689" spans="1:7" x14ac:dyDescent="0.25">
      <c r="A689" s="7">
        <v>41341</v>
      </c>
      <c r="B689" s="6">
        <v>5086.1000000000004</v>
      </c>
      <c r="C689" s="6">
        <v>5135.7</v>
      </c>
      <c r="D689" s="6">
        <v>5009.6000000000004</v>
      </c>
      <c r="E689" s="6">
        <v>5123.3999999999996</v>
      </c>
      <c r="F689" s="8">
        <v>3776800000</v>
      </c>
      <c r="G689" s="8">
        <v>23121500000</v>
      </c>
    </row>
    <row r="690" spans="1:7" x14ac:dyDescent="0.25">
      <c r="A690" s="7">
        <v>41348</v>
      </c>
      <c r="B690" s="6">
        <v>5120.8</v>
      </c>
      <c r="C690" s="6">
        <v>5163.5</v>
      </c>
      <c r="D690" s="6">
        <v>5032.2</v>
      </c>
      <c r="E690" s="6">
        <v>5120.2</v>
      </c>
      <c r="F690" s="8">
        <v>4155600000</v>
      </c>
      <c r="G690" s="8">
        <v>24195900000</v>
      </c>
    </row>
    <row r="691" spans="1:7" x14ac:dyDescent="0.25">
      <c r="A691" s="7">
        <v>41355</v>
      </c>
      <c r="B691" s="6">
        <v>5101.7</v>
      </c>
      <c r="C691" s="6">
        <v>5101.7</v>
      </c>
      <c r="D691" s="6">
        <v>4927.8999999999996</v>
      </c>
      <c r="E691" s="6">
        <v>4967.3</v>
      </c>
      <c r="F691" s="8">
        <v>3874400000</v>
      </c>
      <c r="G691" s="8">
        <v>25138400000</v>
      </c>
    </row>
    <row r="692" spans="1:7" x14ac:dyDescent="0.25">
      <c r="A692" s="7">
        <v>41361</v>
      </c>
      <c r="B692" s="6">
        <v>4968.8</v>
      </c>
      <c r="C692" s="6">
        <v>5023.2</v>
      </c>
      <c r="D692" s="6">
        <v>4942.5</v>
      </c>
      <c r="E692" s="6">
        <v>4966.5</v>
      </c>
      <c r="F692" s="8">
        <v>2548300000</v>
      </c>
      <c r="G692" s="8">
        <v>18393200000</v>
      </c>
    </row>
    <row r="693" spans="1:7" x14ac:dyDescent="0.25">
      <c r="A693" s="7">
        <v>41369</v>
      </c>
      <c r="B693" s="6">
        <v>4966.5</v>
      </c>
      <c r="C693" s="6">
        <v>5011.8999999999996</v>
      </c>
      <c r="D693" s="6">
        <v>4883.7</v>
      </c>
      <c r="E693" s="6">
        <v>4891.3999999999996</v>
      </c>
      <c r="F693" s="8">
        <v>2815100000</v>
      </c>
      <c r="G693" s="8">
        <v>17068700000</v>
      </c>
    </row>
    <row r="694" spans="1:7" x14ac:dyDescent="0.25">
      <c r="A694" s="7">
        <v>41376</v>
      </c>
      <c r="B694" s="6">
        <v>4891.3999999999996</v>
      </c>
      <c r="C694" s="6">
        <v>5023</v>
      </c>
      <c r="D694" s="6">
        <v>4889.6000000000004</v>
      </c>
      <c r="E694" s="6">
        <v>5013.5</v>
      </c>
      <c r="F694" s="8">
        <v>3937400000</v>
      </c>
      <c r="G694" s="8">
        <v>20374400000</v>
      </c>
    </row>
    <row r="695" spans="1:7" x14ac:dyDescent="0.25">
      <c r="A695" s="7">
        <v>41383</v>
      </c>
      <c r="B695" s="6">
        <v>5005.3</v>
      </c>
      <c r="C695" s="6">
        <v>5006.1000000000004</v>
      </c>
      <c r="D695" s="6">
        <v>4914</v>
      </c>
      <c r="E695" s="6">
        <v>4931.8999999999996</v>
      </c>
      <c r="F695" s="8">
        <v>4004200000</v>
      </c>
      <c r="G695" s="8">
        <v>21694700000</v>
      </c>
    </row>
    <row r="696" spans="1:7" x14ac:dyDescent="0.25">
      <c r="A696" s="7">
        <v>41390</v>
      </c>
      <c r="B696" s="6">
        <v>4931.8999999999996</v>
      </c>
      <c r="C696" s="6">
        <v>5135</v>
      </c>
      <c r="D696" s="6">
        <v>4931.8999999999996</v>
      </c>
      <c r="E696" s="6">
        <v>5097.5</v>
      </c>
      <c r="F696" s="8">
        <v>2742100000</v>
      </c>
      <c r="G696" s="8">
        <v>17828700000</v>
      </c>
    </row>
    <row r="697" spans="1:7" x14ac:dyDescent="0.25">
      <c r="A697" s="7">
        <v>41397</v>
      </c>
      <c r="B697" s="6">
        <v>5097.5</v>
      </c>
      <c r="C697" s="6">
        <v>5195.1000000000004</v>
      </c>
      <c r="D697" s="6">
        <v>5097.5</v>
      </c>
      <c r="E697" s="6">
        <v>5129.5</v>
      </c>
      <c r="F697" s="8">
        <v>2713400000</v>
      </c>
      <c r="G697" s="8">
        <v>17174200000</v>
      </c>
    </row>
    <row r="698" spans="1:7" x14ac:dyDescent="0.25">
      <c r="A698" s="7">
        <v>41404</v>
      </c>
      <c r="B698" s="6">
        <v>5146.7</v>
      </c>
      <c r="C698" s="6">
        <v>5242.5</v>
      </c>
      <c r="D698" s="6">
        <v>5118.8999999999996</v>
      </c>
      <c r="E698" s="6">
        <v>5206.1000000000004</v>
      </c>
      <c r="F698" s="8">
        <v>3398900000</v>
      </c>
      <c r="G698" s="8">
        <v>21836900000</v>
      </c>
    </row>
    <row r="699" spans="1:7" x14ac:dyDescent="0.25">
      <c r="A699" s="7">
        <v>41411</v>
      </c>
      <c r="B699" s="6">
        <v>5203.5</v>
      </c>
      <c r="C699" s="6">
        <v>5249.6</v>
      </c>
      <c r="D699" s="6">
        <v>5156.8</v>
      </c>
      <c r="E699" s="6">
        <v>5180.8</v>
      </c>
      <c r="F699" s="8">
        <v>3470300000</v>
      </c>
      <c r="G699" s="8">
        <v>22071100000</v>
      </c>
    </row>
    <row r="700" spans="1:7" x14ac:dyDescent="0.25">
      <c r="A700" s="7">
        <v>41418</v>
      </c>
      <c r="B700" s="6">
        <v>5187.2</v>
      </c>
      <c r="C700" s="6">
        <v>5246.9</v>
      </c>
      <c r="D700" s="6">
        <v>4954.8999999999996</v>
      </c>
      <c r="E700" s="6">
        <v>4983.5</v>
      </c>
      <c r="F700" s="8">
        <v>4605000000</v>
      </c>
      <c r="G700" s="8">
        <v>24408400000</v>
      </c>
    </row>
    <row r="701" spans="1:7" x14ac:dyDescent="0.25">
      <c r="A701" s="7">
        <v>41425</v>
      </c>
      <c r="B701" s="6">
        <v>4983.8</v>
      </c>
      <c r="C701" s="6">
        <v>4993.2</v>
      </c>
      <c r="D701" s="6">
        <v>4897.8999999999996</v>
      </c>
      <c r="E701" s="6">
        <v>4926.6000000000004</v>
      </c>
      <c r="F701" s="8">
        <v>4095800000</v>
      </c>
      <c r="G701" s="8">
        <v>26624500000</v>
      </c>
    </row>
    <row r="702" spans="1:7" x14ac:dyDescent="0.25">
      <c r="A702" s="7">
        <v>41432</v>
      </c>
      <c r="B702" s="6">
        <v>4926.6000000000004</v>
      </c>
      <c r="C702" s="6">
        <v>4933.3</v>
      </c>
      <c r="D702" s="6">
        <v>4732.3</v>
      </c>
      <c r="E702" s="6">
        <v>4737.7</v>
      </c>
      <c r="F702" s="8">
        <v>3632500000</v>
      </c>
      <c r="G702" s="8">
        <v>21134000000</v>
      </c>
    </row>
    <row r="703" spans="1:7" x14ac:dyDescent="0.25">
      <c r="A703" s="7">
        <v>41439</v>
      </c>
      <c r="B703" s="6">
        <v>4737.7</v>
      </c>
      <c r="C703" s="6">
        <v>4792.6000000000004</v>
      </c>
      <c r="D703" s="6">
        <v>4658.6000000000004</v>
      </c>
      <c r="E703" s="6">
        <v>4791.8</v>
      </c>
      <c r="F703" s="8">
        <v>2981300000</v>
      </c>
      <c r="G703" s="8">
        <v>18304900000</v>
      </c>
    </row>
    <row r="704" spans="1:7" x14ac:dyDescent="0.25">
      <c r="A704" s="7">
        <v>41446</v>
      </c>
      <c r="B704" s="6">
        <v>4791.8</v>
      </c>
      <c r="C704" s="6">
        <v>4861.3999999999996</v>
      </c>
      <c r="D704" s="6">
        <v>4683.3</v>
      </c>
      <c r="E704" s="6">
        <v>4738.8</v>
      </c>
      <c r="F704" s="8">
        <v>4442800000</v>
      </c>
      <c r="G704" s="8">
        <v>25219500000</v>
      </c>
    </row>
    <row r="705" spans="1:7" x14ac:dyDescent="0.25">
      <c r="A705" s="7">
        <v>41453</v>
      </c>
      <c r="B705" s="6">
        <v>4738.8</v>
      </c>
      <c r="C705" s="6">
        <v>4833.3999999999996</v>
      </c>
      <c r="D705" s="6">
        <v>4632.3</v>
      </c>
      <c r="E705" s="6">
        <v>4802.6000000000004</v>
      </c>
      <c r="F705" s="8">
        <v>4122600000</v>
      </c>
      <c r="G705" s="8">
        <v>24905300000</v>
      </c>
    </row>
    <row r="706" spans="1:7" x14ac:dyDescent="0.25">
      <c r="A706" s="7">
        <v>41460</v>
      </c>
      <c r="B706" s="6">
        <v>4802.6000000000004</v>
      </c>
      <c r="C706" s="6">
        <v>4853.3999999999996</v>
      </c>
      <c r="D706" s="6">
        <v>4702.7</v>
      </c>
      <c r="E706" s="6">
        <v>4841.7</v>
      </c>
      <c r="F706" s="8">
        <v>3043000000</v>
      </c>
      <c r="G706" s="8">
        <v>17361200000</v>
      </c>
    </row>
    <row r="707" spans="1:7" x14ac:dyDescent="0.25">
      <c r="A707" s="7">
        <v>41467</v>
      </c>
      <c r="B707" s="6">
        <v>4841.7</v>
      </c>
      <c r="C707" s="6">
        <v>5012.5</v>
      </c>
      <c r="D707" s="6">
        <v>4786.1000000000004</v>
      </c>
      <c r="E707" s="6">
        <v>4973.8999999999996</v>
      </c>
      <c r="F707" s="8">
        <v>3119800000</v>
      </c>
      <c r="G707" s="8">
        <v>17717000000</v>
      </c>
    </row>
    <row r="708" spans="1:7" x14ac:dyDescent="0.25">
      <c r="A708" s="7">
        <v>41474</v>
      </c>
      <c r="B708" s="6">
        <v>4973.8999999999996</v>
      </c>
      <c r="C708" s="6">
        <v>5010.1000000000004</v>
      </c>
      <c r="D708" s="6">
        <v>4960.1000000000004</v>
      </c>
      <c r="E708" s="6">
        <v>4972.1000000000004</v>
      </c>
      <c r="F708" s="8">
        <v>3038800000</v>
      </c>
      <c r="G708" s="8">
        <v>16428700000</v>
      </c>
    </row>
    <row r="709" spans="1:7" x14ac:dyDescent="0.25">
      <c r="A709" s="7">
        <v>41481</v>
      </c>
      <c r="B709" s="6">
        <v>4974.8999999999996</v>
      </c>
      <c r="C709" s="6">
        <v>5062.6000000000004</v>
      </c>
      <c r="D709" s="6">
        <v>4974.8999999999996</v>
      </c>
      <c r="E709" s="6">
        <v>5042</v>
      </c>
      <c r="F709" s="8">
        <v>3406700000</v>
      </c>
      <c r="G709" s="8">
        <v>20918600000</v>
      </c>
    </row>
    <row r="710" spans="1:7" x14ac:dyDescent="0.25">
      <c r="A710" s="7">
        <v>41488</v>
      </c>
      <c r="B710" s="6">
        <v>5042</v>
      </c>
      <c r="C710" s="6">
        <v>5116.8</v>
      </c>
      <c r="D710" s="6">
        <v>5025.6000000000004</v>
      </c>
      <c r="E710" s="6">
        <v>5116.8</v>
      </c>
      <c r="F710" s="8">
        <v>3063100000</v>
      </c>
      <c r="G710" s="8">
        <v>18328900000</v>
      </c>
    </row>
    <row r="711" spans="1:7" x14ac:dyDescent="0.25">
      <c r="A711" s="7">
        <v>41495</v>
      </c>
      <c r="B711" s="6">
        <v>5116.8</v>
      </c>
      <c r="C711" s="6">
        <v>5117.7</v>
      </c>
      <c r="D711" s="6">
        <v>5007.8999999999996</v>
      </c>
      <c r="E711" s="6">
        <v>5055.2</v>
      </c>
      <c r="F711" s="8">
        <v>3020900000</v>
      </c>
      <c r="G711" s="8">
        <v>17171600000</v>
      </c>
    </row>
    <row r="712" spans="1:7" x14ac:dyDescent="0.25">
      <c r="A712" s="7">
        <v>41502</v>
      </c>
      <c r="B712" s="6">
        <v>5055.2</v>
      </c>
      <c r="C712" s="6">
        <v>5168.2</v>
      </c>
      <c r="D712" s="6">
        <v>5048.1000000000004</v>
      </c>
      <c r="E712" s="6">
        <v>5113.8999999999996</v>
      </c>
      <c r="F712" s="8">
        <v>3402600000</v>
      </c>
      <c r="G712" s="8">
        <v>20946000000</v>
      </c>
    </row>
    <row r="713" spans="1:7" x14ac:dyDescent="0.25">
      <c r="A713" s="7">
        <v>41509</v>
      </c>
      <c r="B713" s="6">
        <v>5113.8999999999996</v>
      </c>
      <c r="C713" s="6">
        <v>5142.1000000000004</v>
      </c>
      <c r="D713" s="6">
        <v>5028</v>
      </c>
      <c r="E713" s="6">
        <v>5123.3999999999996</v>
      </c>
      <c r="F713" s="8">
        <v>3625700000</v>
      </c>
      <c r="G713" s="8">
        <v>21670000000</v>
      </c>
    </row>
    <row r="714" spans="1:7" x14ac:dyDescent="0.25">
      <c r="A714" s="7">
        <v>41516</v>
      </c>
      <c r="B714" s="6">
        <v>5123.3999999999996</v>
      </c>
      <c r="C714" s="6">
        <v>5157.1000000000004</v>
      </c>
      <c r="D714" s="6">
        <v>5064.1000000000004</v>
      </c>
      <c r="E714" s="6">
        <v>5135</v>
      </c>
      <c r="F714" s="8">
        <v>3594900000</v>
      </c>
      <c r="G714" s="8">
        <v>22450300000</v>
      </c>
    </row>
    <row r="715" spans="1:7" x14ac:dyDescent="0.25">
      <c r="A715" s="7">
        <v>41523</v>
      </c>
      <c r="B715" s="6">
        <v>5135</v>
      </c>
      <c r="C715" s="6">
        <v>5207.7</v>
      </c>
      <c r="D715" s="6">
        <v>5115.1000000000004</v>
      </c>
      <c r="E715" s="6">
        <v>5145</v>
      </c>
      <c r="F715" s="8">
        <v>3351600000</v>
      </c>
      <c r="G715" s="8">
        <v>19247100000</v>
      </c>
    </row>
    <row r="716" spans="1:7" x14ac:dyDescent="0.25">
      <c r="A716" s="7">
        <v>41530</v>
      </c>
      <c r="B716" s="6">
        <v>5145</v>
      </c>
      <c r="C716" s="6">
        <v>5252.1</v>
      </c>
      <c r="D716" s="6">
        <v>5145</v>
      </c>
      <c r="E716" s="6">
        <v>5219.6000000000004</v>
      </c>
      <c r="F716" s="8">
        <v>3189300000</v>
      </c>
      <c r="G716" s="8">
        <v>19121900000</v>
      </c>
    </row>
    <row r="717" spans="1:7" x14ac:dyDescent="0.25">
      <c r="A717" s="7">
        <v>41537</v>
      </c>
      <c r="B717" s="6">
        <v>5219.6000000000004</v>
      </c>
      <c r="C717" s="6">
        <v>5300.1</v>
      </c>
      <c r="D717" s="6">
        <v>5219.6000000000004</v>
      </c>
      <c r="E717" s="6">
        <v>5276.7</v>
      </c>
      <c r="F717" s="8">
        <v>4067400000</v>
      </c>
      <c r="G717" s="8">
        <v>23162300000</v>
      </c>
    </row>
    <row r="718" spans="1:7" x14ac:dyDescent="0.25">
      <c r="A718" s="7">
        <v>41544</v>
      </c>
      <c r="B718" s="6">
        <v>5276.7</v>
      </c>
      <c r="C718" s="6">
        <v>5314.3</v>
      </c>
      <c r="D718" s="6">
        <v>5217.8999999999996</v>
      </c>
      <c r="E718" s="6">
        <v>5307.1</v>
      </c>
      <c r="F718" s="8">
        <v>2551600000</v>
      </c>
      <c r="G718" s="8">
        <v>18757900000</v>
      </c>
    </row>
    <row r="719" spans="1:7" x14ac:dyDescent="0.25">
      <c r="A719" s="7">
        <v>41551</v>
      </c>
      <c r="B719" s="6">
        <v>5307.1</v>
      </c>
      <c r="C719" s="6">
        <v>5307.1</v>
      </c>
      <c r="D719" s="6">
        <v>5197.7</v>
      </c>
      <c r="E719" s="6">
        <v>5208</v>
      </c>
      <c r="F719" s="8">
        <v>2446600000</v>
      </c>
      <c r="G719" s="8">
        <v>15350900000</v>
      </c>
    </row>
    <row r="720" spans="1:7" x14ac:dyDescent="0.25">
      <c r="A720" s="7">
        <v>41558</v>
      </c>
      <c r="B720" s="6">
        <v>5208</v>
      </c>
      <c r="C720" s="6">
        <v>5239.6000000000004</v>
      </c>
      <c r="D720" s="6">
        <v>5118.8999999999996</v>
      </c>
      <c r="E720" s="6">
        <v>5230.8999999999996</v>
      </c>
      <c r="F720" s="8">
        <v>2488800000</v>
      </c>
      <c r="G720" s="8">
        <v>15258300000</v>
      </c>
    </row>
    <row r="721" spans="1:7" x14ac:dyDescent="0.25">
      <c r="A721" s="7">
        <v>41565</v>
      </c>
      <c r="B721" s="6">
        <v>5230.8999999999996</v>
      </c>
      <c r="C721" s="6">
        <v>5326.5</v>
      </c>
      <c r="D721" s="6">
        <v>5186.8</v>
      </c>
      <c r="E721" s="6">
        <v>5321.5</v>
      </c>
      <c r="F721" s="8">
        <v>2878300000</v>
      </c>
      <c r="G721" s="8">
        <v>16950100000</v>
      </c>
    </row>
    <row r="722" spans="1:7" x14ac:dyDescent="0.25">
      <c r="A722" s="7">
        <v>41572</v>
      </c>
      <c r="B722" s="6">
        <v>5321.5</v>
      </c>
      <c r="C722" s="6">
        <v>5402.4</v>
      </c>
      <c r="D722" s="6">
        <v>5321.5</v>
      </c>
      <c r="E722" s="6">
        <v>5386.3</v>
      </c>
      <c r="F722" s="8">
        <v>3131900000</v>
      </c>
      <c r="G722" s="8">
        <v>19399300000</v>
      </c>
    </row>
    <row r="723" spans="1:7" x14ac:dyDescent="0.25">
      <c r="A723" s="7">
        <v>41579</v>
      </c>
      <c r="B723" s="6">
        <v>5386.3</v>
      </c>
      <c r="C723" s="6">
        <v>5457.3</v>
      </c>
      <c r="D723" s="6">
        <v>5386.3</v>
      </c>
      <c r="E723" s="6">
        <v>5411.1</v>
      </c>
      <c r="F723" s="8">
        <v>3162900000</v>
      </c>
      <c r="G723" s="8">
        <v>20934100000</v>
      </c>
    </row>
    <row r="724" spans="1:7" x14ac:dyDescent="0.25">
      <c r="A724" s="7">
        <v>41586</v>
      </c>
      <c r="B724" s="6">
        <v>5411.1</v>
      </c>
      <c r="C724" s="6">
        <v>5438.4</v>
      </c>
      <c r="D724" s="6">
        <v>5379.9</v>
      </c>
      <c r="E724" s="6">
        <v>5400.7</v>
      </c>
      <c r="F724" s="8">
        <v>2738000000</v>
      </c>
      <c r="G724" s="8">
        <v>18765100000</v>
      </c>
    </row>
    <row r="725" spans="1:7" x14ac:dyDescent="0.25">
      <c r="A725" s="7">
        <v>41593</v>
      </c>
      <c r="B725" s="6">
        <v>5400.7</v>
      </c>
      <c r="C725" s="6">
        <v>5439.2</v>
      </c>
      <c r="D725" s="6">
        <v>5308.5</v>
      </c>
      <c r="E725" s="6">
        <v>5401.7</v>
      </c>
      <c r="F725" s="8">
        <v>3100300000</v>
      </c>
      <c r="G725" s="8">
        <v>18290500000</v>
      </c>
    </row>
    <row r="726" spans="1:7" x14ac:dyDescent="0.25">
      <c r="A726" s="7">
        <v>41600</v>
      </c>
      <c r="B726" s="6">
        <v>5401.7</v>
      </c>
      <c r="C726" s="6">
        <v>5404</v>
      </c>
      <c r="D726" s="6">
        <v>5284.9</v>
      </c>
      <c r="E726" s="6">
        <v>5335.9</v>
      </c>
      <c r="F726" s="8">
        <v>2880900000</v>
      </c>
      <c r="G726" s="8">
        <v>16631200000</v>
      </c>
    </row>
    <row r="727" spans="1:7" x14ac:dyDescent="0.25">
      <c r="A727" s="7">
        <v>41607</v>
      </c>
      <c r="B727" s="6">
        <v>5335.9</v>
      </c>
      <c r="C727" s="6">
        <v>5375.1</v>
      </c>
      <c r="D727" s="6">
        <v>5308.1</v>
      </c>
      <c r="E727" s="6">
        <v>5320</v>
      </c>
      <c r="F727" s="8">
        <v>3290800000</v>
      </c>
      <c r="G727" s="8">
        <v>21616300000</v>
      </c>
    </row>
    <row r="728" spans="1:7" x14ac:dyDescent="0.25">
      <c r="A728" s="7">
        <v>41614</v>
      </c>
      <c r="B728" s="6">
        <v>5320</v>
      </c>
      <c r="C728" s="6">
        <v>5332.7</v>
      </c>
      <c r="D728" s="6">
        <v>5154.6000000000004</v>
      </c>
      <c r="E728" s="6">
        <v>5186</v>
      </c>
      <c r="F728" s="8">
        <v>3396600000</v>
      </c>
      <c r="G728" s="8">
        <v>19361900000</v>
      </c>
    </row>
    <row r="729" spans="1:7" x14ac:dyDescent="0.25">
      <c r="A729" s="7">
        <v>41621</v>
      </c>
      <c r="B729" s="6">
        <v>5186</v>
      </c>
      <c r="C729" s="6">
        <v>5207.6000000000004</v>
      </c>
      <c r="D729" s="6">
        <v>5028.2</v>
      </c>
      <c r="E729" s="6">
        <v>5098.3999999999996</v>
      </c>
      <c r="F729" s="8">
        <v>3547500000</v>
      </c>
      <c r="G729" s="8">
        <v>21871300000</v>
      </c>
    </row>
    <row r="730" spans="1:7" x14ac:dyDescent="0.25">
      <c r="A730" s="7">
        <v>41628</v>
      </c>
      <c r="B730" s="6">
        <v>5098.3999999999996</v>
      </c>
      <c r="C730" s="6">
        <v>5265.2</v>
      </c>
      <c r="D730" s="6">
        <v>5059.7</v>
      </c>
      <c r="E730" s="6">
        <v>5265.2</v>
      </c>
      <c r="F730" s="8">
        <v>3968300000</v>
      </c>
      <c r="G730" s="8">
        <v>25906300000</v>
      </c>
    </row>
    <row r="731" spans="1:7" x14ac:dyDescent="0.25">
      <c r="A731" s="7">
        <v>41635</v>
      </c>
      <c r="B731" s="6">
        <v>5265.2</v>
      </c>
      <c r="C731" s="6">
        <v>5365.3</v>
      </c>
      <c r="D731" s="6">
        <v>5257.4</v>
      </c>
      <c r="E731" s="6">
        <v>5324.1</v>
      </c>
      <c r="F731" s="8">
        <v>956100000</v>
      </c>
      <c r="G731" s="8">
        <v>5817100000</v>
      </c>
    </row>
    <row r="732" spans="1:7" x14ac:dyDescent="0.25">
      <c r="A732" s="7">
        <v>41642</v>
      </c>
      <c r="B732" s="6">
        <v>5324.1</v>
      </c>
      <c r="C732" s="6">
        <v>5383.4</v>
      </c>
      <c r="D732" s="6">
        <v>5324.1</v>
      </c>
      <c r="E732" s="6">
        <v>5350.1</v>
      </c>
      <c r="F732" s="8">
        <v>1173000000</v>
      </c>
      <c r="G732" s="8">
        <v>6485400000</v>
      </c>
    </row>
    <row r="733" spans="1:7" x14ac:dyDescent="0.25">
      <c r="A733" s="7">
        <v>41649</v>
      </c>
      <c r="B733" s="6">
        <v>5350.1</v>
      </c>
      <c r="C733" s="6">
        <v>5362</v>
      </c>
      <c r="D733" s="6">
        <v>5295.4</v>
      </c>
      <c r="E733" s="6">
        <v>5312.4</v>
      </c>
      <c r="F733" s="8">
        <v>2288700000</v>
      </c>
      <c r="G733" s="8">
        <v>12486400000</v>
      </c>
    </row>
    <row r="734" spans="1:7" x14ac:dyDescent="0.25">
      <c r="A734" s="7">
        <v>41656</v>
      </c>
      <c r="B734" s="6">
        <v>5312.4</v>
      </c>
      <c r="C734" s="6">
        <v>5319.3</v>
      </c>
      <c r="D734" s="6">
        <v>5207.5</v>
      </c>
      <c r="E734" s="6">
        <v>5305.9</v>
      </c>
      <c r="F734" s="8">
        <v>2709700000</v>
      </c>
      <c r="G734" s="8">
        <v>16394800000</v>
      </c>
    </row>
    <row r="735" spans="1:7" x14ac:dyDescent="0.25">
      <c r="A735" s="7">
        <v>41663</v>
      </c>
      <c r="B735" s="6">
        <v>5305.9</v>
      </c>
      <c r="C735" s="6">
        <v>5331.5</v>
      </c>
      <c r="D735" s="6">
        <v>5240.8999999999996</v>
      </c>
      <c r="E735" s="6">
        <v>5240.8999999999996</v>
      </c>
      <c r="F735" s="8">
        <v>2676100000</v>
      </c>
      <c r="G735" s="8">
        <v>16092200000</v>
      </c>
    </row>
    <row r="736" spans="1:7" x14ac:dyDescent="0.25">
      <c r="A736" s="7">
        <v>41670</v>
      </c>
      <c r="B736" s="6">
        <v>5240.8999999999996</v>
      </c>
      <c r="C736" s="6">
        <v>5240.8999999999996</v>
      </c>
      <c r="D736" s="6">
        <v>5158.8999999999996</v>
      </c>
      <c r="E736" s="6">
        <v>5190</v>
      </c>
      <c r="F736" s="8">
        <v>2587500000</v>
      </c>
      <c r="G736" s="8">
        <v>18246200000</v>
      </c>
    </row>
    <row r="737" spans="1:7" x14ac:dyDescent="0.25">
      <c r="A737" s="7">
        <v>41677</v>
      </c>
      <c r="B737" s="6">
        <v>5190</v>
      </c>
      <c r="C737" s="6">
        <v>5198.3</v>
      </c>
      <c r="D737" s="6">
        <v>5052.2</v>
      </c>
      <c r="E737" s="6">
        <v>5166.5</v>
      </c>
      <c r="F737" s="8">
        <v>3142000000</v>
      </c>
      <c r="G737" s="8">
        <v>20833000000</v>
      </c>
    </row>
    <row r="738" spans="1:7" x14ac:dyDescent="0.25">
      <c r="A738" s="7">
        <v>41684</v>
      </c>
      <c r="B738" s="6">
        <v>5166.5</v>
      </c>
      <c r="C738" s="6">
        <v>5356.3</v>
      </c>
      <c r="D738" s="6">
        <v>5166.5</v>
      </c>
      <c r="E738" s="6">
        <v>5356.3</v>
      </c>
      <c r="F738" s="8">
        <v>2980000000</v>
      </c>
      <c r="G738" s="8">
        <v>19727300000</v>
      </c>
    </row>
    <row r="739" spans="1:7" x14ac:dyDescent="0.25">
      <c r="A739" s="7">
        <v>41691</v>
      </c>
      <c r="B739" s="6">
        <v>5359.9</v>
      </c>
      <c r="C739" s="6">
        <v>5452.4</v>
      </c>
      <c r="D739" s="6">
        <v>5355.4</v>
      </c>
      <c r="E739" s="6">
        <v>5438.7</v>
      </c>
      <c r="F739" s="8">
        <v>3722400000</v>
      </c>
      <c r="G739" s="8">
        <v>23922600000</v>
      </c>
    </row>
    <row r="740" spans="1:7" x14ac:dyDescent="0.25">
      <c r="A740" s="7">
        <v>41698</v>
      </c>
      <c r="B740" s="6">
        <v>5438.7</v>
      </c>
      <c r="C740" s="6">
        <v>5461.7</v>
      </c>
      <c r="D740" s="6">
        <v>5401.6</v>
      </c>
      <c r="E740" s="6">
        <v>5404.8</v>
      </c>
      <c r="F740" s="8">
        <v>3833600000</v>
      </c>
      <c r="G740" s="8">
        <v>25211600000</v>
      </c>
    </row>
    <row r="741" spans="1:7" x14ac:dyDescent="0.25">
      <c r="A741" s="7">
        <v>41705</v>
      </c>
      <c r="B741" s="6">
        <v>5404.8</v>
      </c>
      <c r="C741" s="6">
        <v>5462.3</v>
      </c>
      <c r="D741" s="6">
        <v>5340.3</v>
      </c>
      <c r="E741" s="6">
        <v>5462.3</v>
      </c>
      <c r="F741" s="8">
        <v>3413900000</v>
      </c>
      <c r="G741" s="8">
        <v>20763800000</v>
      </c>
    </row>
    <row r="742" spans="1:7" x14ac:dyDescent="0.25">
      <c r="A742" s="7">
        <v>41712</v>
      </c>
      <c r="B742" s="6">
        <v>5462.3</v>
      </c>
      <c r="C742" s="6">
        <v>5462.3</v>
      </c>
      <c r="D742" s="6">
        <v>5329.4</v>
      </c>
      <c r="E742" s="6">
        <v>5329.4</v>
      </c>
      <c r="F742" s="8">
        <v>3370500000</v>
      </c>
      <c r="G742" s="8">
        <v>20196600000</v>
      </c>
    </row>
    <row r="743" spans="1:7" x14ac:dyDescent="0.25">
      <c r="A743" s="7">
        <v>41719</v>
      </c>
      <c r="B743" s="6">
        <v>5329.4</v>
      </c>
      <c r="C743" s="6">
        <v>5362.2</v>
      </c>
      <c r="D743" s="6">
        <v>5288.5</v>
      </c>
      <c r="E743" s="6">
        <v>5338.1</v>
      </c>
      <c r="F743" s="8">
        <v>4353200000</v>
      </c>
      <c r="G743" s="8">
        <v>24876700000</v>
      </c>
    </row>
    <row r="744" spans="1:7" x14ac:dyDescent="0.25">
      <c r="A744" s="7">
        <v>41726</v>
      </c>
      <c r="B744" s="6">
        <v>5338.1</v>
      </c>
      <c r="C744" s="6">
        <v>5394.2</v>
      </c>
      <c r="D744" s="6">
        <v>5301.4</v>
      </c>
      <c r="E744" s="6">
        <v>5366.9</v>
      </c>
      <c r="F744" s="8">
        <v>3230700000</v>
      </c>
      <c r="G744" s="8">
        <v>21567300000</v>
      </c>
    </row>
    <row r="745" spans="1:7" x14ac:dyDescent="0.25">
      <c r="A745" s="7">
        <v>41733</v>
      </c>
      <c r="B745" s="6">
        <v>5366.9</v>
      </c>
      <c r="C745" s="6">
        <v>5422.8</v>
      </c>
      <c r="D745" s="6">
        <v>5350.5</v>
      </c>
      <c r="E745" s="6">
        <v>5422.8</v>
      </c>
      <c r="F745" s="8">
        <v>2858400000</v>
      </c>
      <c r="G745" s="8">
        <v>17295600000</v>
      </c>
    </row>
    <row r="746" spans="1:7" x14ac:dyDescent="0.25">
      <c r="A746" s="7">
        <v>41740</v>
      </c>
      <c r="B746" s="6">
        <v>5422.8</v>
      </c>
      <c r="C746" s="6">
        <v>5503.5</v>
      </c>
      <c r="D746" s="6">
        <v>5391.3</v>
      </c>
      <c r="E746" s="6">
        <v>5428.6</v>
      </c>
      <c r="F746" s="8">
        <v>2819200000</v>
      </c>
      <c r="G746" s="8">
        <v>17113200000</v>
      </c>
    </row>
    <row r="747" spans="1:7" x14ac:dyDescent="0.25">
      <c r="A747" s="7">
        <v>41746</v>
      </c>
      <c r="B747" s="6">
        <v>5428.6</v>
      </c>
      <c r="C747" s="6">
        <v>5459.4</v>
      </c>
      <c r="D747" s="6">
        <v>5358.9</v>
      </c>
      <c r="E747" s="6">
        <v>5454.2</v>
      </c>
      <c r="F747" s="8">
        <v>2083900000</v>
      </c>
      <c r="G747" s="8">
        <v>12996900000</v>
      </c>
    </row>
    <row r="748" spans="1:7" x14ac:dyDescent="0.25">
      <c r="A748" s="7">
        <v>41753</v>
      </c>
      <c r="B748" s="6">
        <v>5454.2</v>
      </c>
      <c r="C748" s="6">
        <v>5537.8</v>
      </c>
      <c r="D748" s="6">
        <v>5452.4</v>
      </c>
      <c r="E748" s="6">
        <v>5531</v>
      </c>
      <c r="F748" s="8">
        <v>1518000000</v>
      </c>
      <c r="G748" s="8">
        <v>12143600000</v>
      </c>
    </row>
    <row r="749" spans="1:7" x14ac:dyDescent="0.25">
      <c r="A749" s="7">
        <v>41761</v>
      </c>
      <c r="B749" s="6">
        <v>5531</v>
      </c>
      <c r="C749" s="6">
        <v>5554.5</v>
      </c>
      <c r="D749" s="6">
        <v>5430.4</v>
      </c>
      <c r="E749" s="6">
        <v>5458.1</v>
      </c>
      <c r="F749" s="8">
        <v>2948800000</v>
      </c>
      <c r="G749" s="8">
        <v>19817300000</v>
      </c>
    </row>
    <row r="750" spans="1:7" x14ac:dyDescent="0.25">
      <c r="A750" s="7">
        <v>41768</v>
      </c>
      <c r="B750" s="6">
        <v>5464.1</v>
      </c>
      <c r="C750" s="6">
        <v>5493</v>
      </c>
      <c r="D750" s="6">
        <v>5417.4</v>
      </c>
      <c r="E750" s="6">
        <v>5460.8</v>
      </c>
      <c r="F750" s="8">
        <v>2507800000</v>
      </c>
      <c r="G750" s="8">
        <v>15875100000</v>
      </c>
    </row>
    <row r="751" spans="1:7" x14ac:dyDescent="0.25">
      <c r="A751" s="7">
        <v>41775</v>
      </c>
      <c r="B751" s="6">
        <v>5460.8</v>
      </c>
      <c r="C751" s="6">
        <v>5510.8</v>
      </c>
      <c r="D751" s="6">
        <v>5432</v>
      </c>
      <c r="E751" s="6">
        <v>5479</v>
      </c>
      <c r="F751" s="8">
        <v>2820200000</v>
      </c>
      <c r="G751" s="8">
        <v>17460700000</v>
      </c>
    </row>
    <row r="752" spans="1:7" x14ac:dyDescent="0.25">
      <c r="A752" s="7">
        <v>41782</v>
      </c>
      <c r="B752" s="6">
        <v>5479</v>
      </c>
      <c r="C752" s="6">
        <v>5507.4</v>
      </c>
      <c r="D752" s="6">
        <v>5372.1</v>
      </c>
      <c r="E752" s="6">
        <v>5492.8</v>
      </c>
      <c r="F752" s="8">
        <v>3045800000</v>
      </c>
      <c r="G752" s="8">
        <v>18227500000</v>
      </c>
    </row>
    <row r="753" spans="1:7" x14ac:dyDescent="0.25">
      <c r="A753" s="7">
        <v>41789</v>
      </c>
      <c r="B753" s="6">
        <v>5492.8</v>
      </c>
      <c r="C753" s="6">
        <v>5541.7</v>
      </c>
      <c r="D753" s="6">
        <v>5492.5</v>
      </c>
      <c r="E753" s="6">
        <v>5492.5</v>
      </c>
      <c r="F753" s="8">
        <v>2950300000</v>
      </c>
      <c r="G753" s="8">
        <v>18305500000</v>
      </c>
    </row>
    <row r="754" spans="1:7" x14ac:dyDescent="0.25">
      <c r="A754" s="7">
        <v>41796</v>
      </c>
      <c r="B754" s="6">
        <v>5484.1</v>
      </c>
      <c r="C754" s="6">
        <v>5526</v>
      </c>
      <c r="D754" s="6">
        <v>5416.8</v>
      </c>
      <c r="E754" s="6">
        <v>5464</v>
      </c>
      <c r="F754" s="8">
        <v>2904700000</v>
      </c>
      <c r="G754" s="8">
        <v>18032100000</v>
      </c>
    </row>
    <row r="755" spans="1:7" x14ac:dyDescent="0.25">
      <c r="A755" s="7">
        <v>41803</v>
      </c>
      <c r="B755" s="6">
        <v>5464</v>
      </c>
      <c r="C755" s="6">
        <v>5496.3</v>
      </c>
      <c r="D755" s="6">
        <v>5373.6</v>
      </c>
      <c r="E755" s="6">
        <v>5405.1</v>
      </c>
      <c r="F755" s="8">
        <v>2200800000</v>
      </c>
      <c r="G755" s="8">
        <v>13900500000</v>
      </c>
    </row>
    <row r="756" spans="1:7" x14ac:dyDescent="0.25">
      <c r="A756" s="7">
        <v>41810</v>
      </c>
      <c r="B756" s="6">
        <v>5405.1</v>
      </c>
      <c r="C756" s="6">
        <v>5468.2</v>
      </c>
      <c r="D756" s="6">
        <v>5380.3</v>
      </c>
      <c r="E756" s="6">
        <v>5419.5</v>
      </c>
      <c r="F756" s="8">
        <v>3649100000</v>
      </c>
      <c r="G756" s="8">
        <v>23828200000</v>
      </c>
    </row>
    <row r="757" spans="1:7" x14ac:dyDescent="0.25">
      <c r="A757" s="7">
        <v>41817</v>
      </c>
      <c r="B757" s="6">
        <v>5419.5</v>
      </c>
      <c r="C757" s="6">
        <v>5480.1</v>
      </c>
      <c r="D757" s="6">
        <v>5378.8</v>
      </c>
      <c r="E757" s="6">
        <v>5445.1</v>
      </c>
      <c r="F757" s="8">
        <v>3146400000</v>
      </c>
      <c r="G757" s="8">
        <v>21717300000</v>
      </c>
    </row>
    <row r="758" spans="1:7" x14ac:dyDescent="0.25">
      <c r="A758" s="7">
        <v>41824</v>
      </c>
      <c r="B758" s="6">
        <v>5444.8</v>
      </c>
      <c r="C758" s="6">
        <v>5531.7</v>
      </c>
      <c r="D758" s="6">
        <v>5370.9</v>
      </c>
      <c r="E758" s="6">
        <v>5525</v>
      </c>
      <c r="F758" s="8">
        <v>2832700000</v>
      </c>
      <c r="G758" s="8">
        <v>18136700000</v>
      </c>
    </row>
    <row r="759" spans="1:7" x14ac:dyDescent="0.25">
      <c r="A759" s="7">
        <v>41831</v>
      </c>
      <c r="B759" s="6">
        <v>5525</v>
      </c>
      <c r="C759" s="6">
        <v>5535.9</v>
      </c>
      <c r="D759" s="6">
        <v>5439.5</v>
      </c>
      <c r="E759" s="6">
        <v>5486.8</v>
      </c>
      <c r="F759" s="8">
        <v>2398500000</v>
      </c>
      <c r="G759" s="8">
        <v>14911600000</v>
      </c>
    </row>
    <row r="760" spans="1:7" x14ac:dyDescent="0.25">
      <c r="A760" s="7">
        <v>41838</v>
      </c>
      <c r="B760" s="6">
        <v>5486.8</v>
      </c>
      <c r="C760" s="6">
        <v>5561.1</v>
      </c>
      <c r="D760" s="6">
        <v>5484.1</v>
      </c>
      <c r="E760" s="6">
        <v>5531.7</v>
      </c>
      <c r="F760" s="8">
        <v>2663000000</v>
      </c>
      <c r="G760" s="8">
        <v>16444900000</v>
      </c>
    </row>
    <row r="761" spans="1:7" x14ac:dyDescent="0.25">
      <c r="A761" s="7">
        <v>41845</v>
      </c>
      <c r="B761" s="6">
        <v>5531.7</v>
      </c>
      <c r="C761" s="6">
        <v>5598.2</v>
      </c>
      <c r="D761" s="6">
        <v>5530.1</v>
      </c>
      <c r="E761" s="6">
        <v>5583.5</v>
      </c>
      <c r="F761" s="8">
        <v>2626600000</v>
      </c>
      <c r="G761" s="8">
        <v>18083300000</v>
      </c>
    </row>
    <row r="762" spans="1:7" x14ac:dyDescent="0.25">
      <c r="A762" s="7">
        <v>41852</v>
      </c>
      <c r="B762" s="6">
        <v>5583.5</v>
      </c>
      <c r="C762" s="6">
        <v>5644.2</v>
      </c>
      <c r="D762" s="6">
        <v>5544</v>
      </c>
      <c r="E762" s="6">
        <v>5556.4</v>
      </c>
      <c r="F762" s="8">
        <v>2733400000</v>
      </c>
      <c r="G762" s="8">
        <v>17474300000</v>
      </c>
    </row>
    <row r="763" spans="1:7" x14ac:dyDescent="0.25">
      <c r="A763" s="7">
        <v>41859</v>
      </c>
      <c r="B763" s="6">
        <v>5556.4</v>
      </c>
      <c r="C763" s="6">
        <v>5556.4</v>
      </c>
      <c r="D763" s="6">
        <v>5425.2</v>
      </c>
      <c r="E763" s="6">
        <v>5435.3</v>
      </c>
      <c r="F763" s="8">
        <v>2760900000</v>
      </c>
      <c r="G763" s="8">
        <v>17906000000</v>
      </c>
    </row>
    <row r="764" spans="1:7" x14ac:dyDescent="0.25">
      <c r="A764" s="7">
        <v>41866</v>
      </c>
      <c r="B764" s="6">
        <v>5435.3</v>
      </c>
      <c r="C764" s="6">
        <v>5578.5</v>
      </c>
      <c r="D764" s="6">
        <v>5435.3</v>
      </c>
      <c r="E764" s="6">
        <v>5566.5</v>
      </c>
      <c r="F764" s="8">
        <v>2675800000</v>
      </c>
      <c r="G764" s="8">
        <v>19465500000</v>
      </c>
    </row>
    <row r="765" spans="1:7" x14ac:dyDescent="0.25">
      <c r="A765" s="7">
        <v>41873</v>
      </c>
      <c r="B765" s="6">
        <v>5566.5</v>
      </c>
      <c r="C765" s="6">
        <v>5679.5</v>
      </c>
      <c r="D765" s="6">
        <v>5566.5</v>
      </c>
      <c r="E765" s="6">
        <v>5645.6</v>
      </c>
      <c r="F765" s="8">
        <v>2989400000</v>
      </c>
      <c r="G765" s="8">
        <v>21437500000</v>
      </c>
    </row>
    <row r="766" spans="1:7" x14ac:dyDescent="0.25">
      <c r="A766" s="7">
        <v>41880</v>
      </c>
      <c r="B766" s="6">
        <v>5645.6</v>
      </c>
      <c r="C766" s="6">
        <v>5652.3</v>
      </c>
      <c r="D766" s="6">
        <v>5614.3</v>
      </c>
      <c r="E766" s="6">
        <v>5625.9</v>
      </c>
      <c r="F766" s="8">
        <v>3599600000</v>
      </c>
      <c r="G766" s="8">
        <v>23522400000</v>
      </c>
    </row>
    <row r="767" spans="1:7" x14ac:dyDescent="0.25">
      <c r="A767" s="7">
        <v>41887</v>
      </c>
      <c r="B767" s="6">
        <v>5625.9</v>
      </c>
      <c r="C767" s="6">
        <v>5672.7</v>
      </c>
      <c r="D767" s="6">
        <v>5592.9</v>
      </c>
      <c r="E767" s="6">
        <v>5598.7</v>
      </c>
      <c r="F767" s="8">
        <v>2573900000</v>
      </c>
      <c r="G767" s="8">
        <v>15913800000</v>
      </c>
    </row>
    <row r="768" spans="1:7" x14ac:dyDescent="0.25">
      <c r="A768" s="7">
        <v>41894</v>
      </c>
      <c r="B768" s="6">
        <v>5598.7</v>
      </c>
      <c r="C768" s="6">
        <v>5607.9</v>
      </c>
      <c r="D768" s="6">
        <v>5509.8</v>
      </c>
      <c r="E768" s="6">
        <v>5531.1</v>
      </c>
      <c r="F768" s="8">
        <v>2557700000</v>
      </c>
      <c r="G768" s="8">
        <v>17087900000</v>
      </c>
    </row>
    <row r="769" spans="1:7" x14ac:dyDescent="0.25">
      <c r="A769" s="7">
        <v>41901</v>
      </c>
      <c r="B769" s="6">
        <v>5531.1</v>
      </c>
      <c r="C769" s="6">
        <v>5531.1</v>
      </c>
      <c r="D769" s="6">
        <v>5373.4</v>
      </c>
      <c r="E769" s="6">
        <v>5433.1</v>
      </c>
      <c r="F769" s="8">
        <v>3769400000</v>
      </c>
      <c r="G769" s="8">
        <v>22942100000</v>
      </c>
    </row>
    <row r="770" spans="1:7" x14ac:dyDescent="0.25">
      <c r="A770" s="7">
        <v>41908</v>
      </c>
      <c r="B770" s="6">
        <v>5433.2</v>
      </c>
      <c r="C770" s="6">
        <v>5434</v>
      </c>
      <c r="D770" s="6">
        <v>5309.8</v>
      </c>
      <c r="E770" s="6">
        <v>5313.4</v>
      </c>
      <c r="F770" s="8">
        <v>3019900000</v>
      </c>
      <c r="G770" s="8">
        <v>21373900000</v>
      </c>
    </row>
    <row r="771" spans="1:7" x14ac:dyDescent="0.25">
      <c r="A771" s="7">
        <v>41915</v>
      </c>
      <c r="B771" s="6">
        <v>5313.4</v>
      </c>
      <c r="C771" s="6">
        <v>5337.2</v>
      </c>
      <c r="D771" s="6">
        <v>5244</v>
      </c>
      <c r="E771" s="6">
        <v>5318.2</v>
      </c>
      <c r="F771" s="8">
        <v>2871700000</v>
      </c>
      <c r="G771" s="8">
        <v>17521000000</v>
      </c>
    </row>
    <row r="772" spans="1:7" x14ac:dyDescent="0.25">
      <c r="A772" s="7">
        <v>41922</v>
      </c>
      <c r="B772" s="6">
        <v>5318.2</v>
      </c>
      <c r="C772" s="6">
        <v>5324.6</v>
      </c>
      <c r="D772" s="6">
        <v>5187.6000000000004</v>
      </c>
      <c r="E772" s="6">
        <v>5188.3</v>
      </c>
      <c r="F772" s="8">
        <v>2933100000</v>
      </c>
      <c r="G772" s="8">
        <v>18618100000</v>
      </c>
    </row>
    <row r="773" spans="1:7" x14ac:dyDescent="0.25">
      <c r="A773" s="7">
        <v>41929</v>
      </c>
      <c r="B773" s="6">
        <v>5188.3</v>
      </c>
      <c r="C773" s="6">
        <v>5308.5</v>
      </c>
      <c r="D773" s="6">
        <v>5122</v>
      </c>
      <c r="E773" s="6">
        <v>5271.7</v>
      </c>
      <c r="F773" s="8">
        <v>3715900000</v>
      </c>
      <c r="G773" s="8">
        <v>22610600000</v>
      </c>
    </row>
    <row r="774" spans="1:7" x14ac:dyDescent="0.25">
      <c r="A774" s="7">
        <v>41936</v>
      </c>
      <c r="B774" s="6">
        <v>5271.7</v>
      </c>
      <c r="C774" s="6">
        <v>5425.7</v>
      </c>
      <c r="D774" s="6">
        <v>5271.7</v>
      </c>
      <c r="E774" s="6">
        <v>5412.2</v>
      </c>
      <c r="F774" s="8">
        <v>3003400000</v>
      </c>
      <c r="G774" s="8">
        <v>17082200000</v>
      </c>
    </row>
    <row r="775" spans="1:7" x14ac:dyDescent="0.25">
      <c r="A775" s="7">
        <v>41943</v>
      </c>
      <c r="B775" s="6">
        <v>5412.2</v>
      </c>
      <c r="C775" s="6">
        <v>5526.6</v>
      </c>
      <c r="D775" s="6">
        <v>5412.2</v>
      </c>
      <c r="E775" s="6">
        <v>5526.6</v>
      </c>
      <c r="F775" s="8">
        <v>3279400000</v>
      </c>
      <c r="G775" s="8">
        <v>21962300000</v>
      </c>
    </row>
    <row r="776" spans="1:7" x14ac:dyDescent="0.25">
      <c r="A776" s="7">
        <v>41950</v>
      </c>
      <c r="B776" s="6">
        <v>5526.6</v>
      </c>
      <c r="C776" s="6">
        <v>5549.1</v>
      </c>
      <c r="D776" s="6">
        <v>5481</v>
      </c>
      <c r="E776" s="6">
        <v>5549.1</v>
      </c>
      <c r="F776" s="8">
        <v>2907000000</v>
      </c>
      <c r="G776" s="8">
        <v>19280800000</v>
      </c>
    </row>
    <row r="777" spans="1:7" x14ac:dyDescent="0.25">
      <c r="A777" s="7">
        <v>41957</v>
      </c>
      <c r="B777" s="6">
        <v>5549.1</v>
      </c>
      <c r="C777" s="6">
        <v>5550.3</v>
      </c>
      <c r="D777" s="6">
        <v>5419.3</v>
      </c>
      <c r="E777" s="6">
        <v>5454.3</v>
      </c>
      <c r="F777" s="8">
        <v>2778700000</v>
      </c>
      <c r="G777" s="8">
        <v>18393500000</v>
      </c>
    </row>
    <row r="778" spans="1:7" x14ac:dyDescent="0.25">
      <c r="A778" s="7">
        <v>41964</v>
      </c>
      <c r="B778" s="6">
        <v>5454.3</v>
      </c>
      <c r="C778" s="6">
        <v>5460.3</v>
      </c>
      <c r="D778" s="6">
        <v>5292.9</v>
      </c>
      <c r="E778" s="6">
        <v>5304.3</v>
      </c>
      <c r="F778" s="8">
        <v>2728900000</v>
      </c>
      <c r="G778" s="8">
        <v>16853200000</v>
      </c>
    </row>
    <row r="779" spans="1:7" x14ac:dyDescent="0.25">
      <c r="A779" s="7">
        <v>41971</v>
      </c>
      <c r="B779" s="6">
        <v>5304.3</v>
      </c>
      <c r="C779" s="6">
        <v>5411.9</v>
      </c>
      <c r="D779" s="6">
        <v>5296.8</v>
      </c>
      <c r="E779" s="6">
        <v>5313</v>
      </c>
      <c r="F779" s="8">
        <v>3131700000</v>
      </c>
      <c r="G779" s="8">
        <v>20824600000</v>
      </c>
    </row>
    <row r="780" spans="1:7" x14ac:dyDescent="0.25">
      <c r="A780" s="7">
        <v>41978</v>
      </c>
      <c r="B780" s="6">
        <v>5313</v>
      </c>
      <c r="C780" s="6">
        <v>5389.4</v>
      </c>
      <c r="D780" s="6">
        <v>5207.7</v>
      </c>
      <c r="E780" s="6">
        <v>5335.3</v>
      </c>
      <c r="F780" s="8">
        <v>3360400000</v>
      </c>
      <c r="G780" s="8">
        <v>20297000000</v>
      </c>
    </row>
    <row r="781" spans="1:7" x14ac:dyDescent="0.25">
      <c r="A781" s="7">
        <v>41985</v>
      </c>
      <c r="B781" s="6">
        <v>5335.3</v>
      </c>
      <c r="C781" s="6">
        <v>5404.1</v>
      </c>
      <c r="D781" s="6">
        <v>5188</v>
      </c>
      <c r="E781" s="6">
        <v>5219.6000000000004</v>
      </c>
      <c r="F781" s="8">
        <v>3427700000</v>
      </c>
      <c r="G781" s="8">
        <v>21267800000</v>
      </c>
    </row>
    <row r="782" spans="1:7" x14ac:dyDescent="0.25">
      <c r="A782" s="7">
        <v>41992</v>
      </c>
      <c r="B782" s="6">
        <v>5219.6000000000004</v>
      </c>
      <c r="C782" s="6">
        <v>5343.1</v>
      </c>
      <c r="D782" s="6">
        <v>5142.8</v>
      </c>
      <c r="E782" s="6">
        <v>5338.6</v>
      </c>
      <c r="F782" s="8">
        <v>4091200000</v>
      </c>
      <c r="G782" s="8">
        <v>26696500000</v>
      </c>
    </row>
    <row r="783" spans="1:7" x14ac:dyDescent="0.25">
      <c r="A783" s="7">
        <v>41997</v>
      </c>
      <c r="B783" s="6">
        <v>5338.6</v>
      </c>
      <c r="C783" s="6">
        <v>5442</v>
      </c>
      <c r="D783" s="6">
        <v>5338.6</v>
      </c>
      <c r="E783" s="6">
        <v>5394.5</v>
      </c>
      <c r="F783" s="8">
        <v>1376600000</v>
      </c>
      <c r="G783" s="8">
        <v>8214300000</v>
      </c>
    </row>
    <row r="784" spans="1:7" x14ac:dyDescent="0.25">
      <c r="A784" s="7">
        <v>42006</v>
      </c>
      <c r="B784" s="6">
        <v>5394.5</v>
      </c>
      <c r="C784" s="6">
        <v>5486.7</v>
      </c>
      <c r="D784" s="6">
        <v>5387</v>
      </c>
      <c r="E784" s="6">
        <v>5435.9</v>
      </c>
      <c r="F784" s="8">
        <v>1228700000</v>
      </c>
      <c r="G784" s="8">
        <v>7028199000</v>
      </c>
    </row>
    <row r="785" spans="1:7" x14ac:dyDescent="0.25">
      <c r="A785" s="7">
        <v>42013</v>
      </c>
      <c r="B785" s="6">
        <v>5435.9</v>
      </c>
      <c r="C785" s="6">
        <v>5470.4</v>
      </c>
      <c r="D785" s="6">
        <v>5318.7</v>
      </c>
      <c r="E785" s="6">
        <v>5465.6</v>
      </c>
      <c r="F785" s="8">
        <v>2725900000</v>
      </c>
      <c r="G785" s="8">
        <v>16028500000</v>
      </c>
    </row>
    <row r="786" spans="1:7" x14ac:dyDescent="0.25">
      <c r="A786" s="7">
        <v>42020</v>
      </c>
      <c r="B786" s="6">
        <v>5465.6</v>
      </c>
      <c r="C786" s="6">
        <v>5465.6</v>
      </c>
      <c r="D786" s="6">
        <v>5267.4</v>
      </c>
      <c r="E786" s="6">
        <v>5299.2</v>
      </c>
      <c r="F786" s="8">
        <v>2819400000</v>
      </c>
      <c r="G786" s="8">
        <v>17768000000</v>
      </c>
    </row>
    <row r="787" spans="1:7" x14ac:dyDescent="0.25">
      <c r="A787" s="7">
        <v>42027</v>
      </c>
      <c r="B787" s="6">
        <v>5299.2</v>
      </c>
      <c r="C787" s="6">
        <v>5501.8</v>
      </c>
      <c r="D787" s="6">
        <v>5282.4</v>
      </c>
      <c r="E787" s="6">
        <v>5501.8</v>
      </c>
      <c r="F787" s="8">
        <v>2982200000</v>
      </c>
      <c r="G787" s="8">
        <v>18970800000</v>
      </c>
    </row>
    <row r="788" spans="1:7" x14ac:dyDescent="0.25">
      <c r="A788" s="7">
        <v>42034</v>
      </c>
      <c r="B788" s="6">
        <v>5501.8</v>
      </c>
      <c r="C788" s="6">
        <v>5619.5</v>
      </c>
      <c r="D788" s="6">
        <v>5497.3</v>
      </c>
      <c r="E788" s="6">
        <v>5588.3</v>
      </c>
      <c r="F788" s="8">
        <v>2892100000</v>
      </c>
      <c r="G788" s="8">
        <v>20728000000</v>
      </c>
    </row>
    <row r="789" spans="1:7" x14ac:dyDescent="0.25">
      <c r="A789" s="7">
        <v>42041</v>
      </c>
      <c r="B789" s="6">
        <v>5588.3</v>
      </c>
      <c r="C789" s="6">
        <v>5850.9</v>
      </c>
      <c r="D789" s="6">
        <v>5588.3</v>
      </c>
      <c r="E789" s="6">
        <v>5820.2</v>
      </c>
      <c r="F789" s="8">
        <v>3548500000</v>
      </c>
      <c r="G789" s="8">
        <v>23546600000</v>
      </c>
    </row>
    <row r="790" spans="1:7" x14ac:dyDescent="0.25">
      <c r="A790" s="7">
        <v>42048</v>
      </c>
      <c r="B790" s="6">
        <v>5820.2</v>
      </c>
      <c r="C790" s="6">
        <v>5893.5</v>
      </c>
      <c r="D790" s="6">
        <v>5739.8</v>
      </c>
      <c r="E790" s="6">
        <v>5877.5</v>
      </c>
      <c r="F790" s="8">
        <v>3632100000</v>
      </c>
      <c r="G790" s="8">
        <v>23373900000</v>
      </c>
    </row>
    <row r="791" spans="1:7" x14ac:dyDescent="0.25">
      <c r="A791" s="7">
        <v>42055</v>
      </c>
      <c r="B791" s="6">
        <v>5877.5</v>
      </c>
      <c r="C791" s="6">
        <v>5946.8</v>
      </c>
      <c r="D791" s="6">
        <v>5841.9</v>
      </c>
      <c r="E791" s="6">
        <v>5881.5</v>
      </c>
      <c r="F791" s="8">
        <v>3298000000</v>
      </c>
      <c r="G791" s="8">
        <v>22603700000</v>
      </c>
    </row>
    <row r="792" spans="1:7" x14ac:dyDescent="0.25">
      <c r="A792" s="7">
        <v>42062</v>
      </c>
      <c r="B792" s="6">
        <v>5881.5</v>
      </c>
      <c r="C792" s="6">
        <v>5955.5</v>
      </c>
      <c r="D792" s="6">
        <v>5869.2</v>
      </c>
      <c r="E792" s="6">
        <v>5928.8</v>
      </c>
      <c r="F792" s="8">
        <v>4054900000</v>
      </c>
      <c r="G792" s="8">
        <v>27356100000</v>
      </c>
    </row>
    <row r="793" spans="1:7" x14ac:dyDescent="0.25">
      <c r="A793" s="7">
        <v>42069</v>
      </c>
      <c r="B793" s="6">
        <v>5928.8</v>
      </c>
      <c r="C793" s="6">
        <v>5996.9</v>
      </c>
      <c r="D793" s="6">
        <v>5869.2</v>
      </c>
      <c r="E793" s="6">
        <v>5898.9</v>
      </c>
      <c r="F793" s="8">
        <v>3263000000</v>
      </c>
      <c r="G793" s="8">
        <v>22823000000</v>
      </c>
    </row>
    <row r="794" spans="1:7" x14ac:dyDescent="0.25">
      <c r="A794" s="7">
        <v>42076</v>
      </c>
      <c r="B794" s="6">
        <v>5898.9</v>
      </c>
      <c r="C794" s="6">
        <v>5898.9</v>
      </c>
      <c r="D794" s="6">
        <v>5748.7</v>
      </c>
      <c r="E794" s="6">
        <v>5814.5</v>
      </c>
      <c r="F794" s="8">
        <v>3222200000</v>
      </c>
      <c r="G794" s="8">
        <v>19859600000</v>
      </c>
    </row>
    <row r="795" spans="1:7" x14ac:dyDescent="0.25">
      <c r="A795" s="7">
        <v>42083</v>
      </c>
      <c r="B795" s="6">
        <v>5814.5</v>
      </c>
      <c r="C795" s="6">
        <v>5979.8</v>
      </c>
      <c r="D795" s="6">
        <v>5761.6</v>
      </c>
      <c r="E795" s="6">
        <v>5975.5</v>
      </c>
      <c r="F795" s="8">
        <v>4278405000</v>
      </c>
      <c r="G795" s="8">
        <v>25815400000</v>
      </c>
    </row>
    <row r="796" spans="1:7" x14ac:dyDescent="0.25">
      <c r="A796" s="7">
        <v>42090</v>
      </c>
      <c r="B796" s="6">
        <v>5975.5</v>
      </c>
      <c r="C796" s="6">
        <v>5995</v>
      </c>
      <c r="D796" s="6">
        <v>5877.1</v>
      </c>
      <c r="E796" s="6">
        <v>5919.9</v>
      </c>
      <c r="F796" s="8">
        <v>2853280000</v>
      </c>
      <c r="G796" s="8">
        <v>22217450000</v>
      </c>
    </row>
    <row r="797" spans="1:7" x14ac:dyDescent="0.25">
      <c r="A797" s="7">
        <v>42096</v>
      </c>
      <c r="B797" s="6">
        <v>5919.9</v>
      </c>
      <c r="C797" s="6">
        <v>5931.5</v>
      </c>
      <c r="D797" s="6">
        <v>5828.1</v>
      </c>
      <c r="E797" s="6">
        <v>5898.6</v>
      </c>
      <c r="F797" s="8">
        <v>2656092000</v>
      </c>
      <c r="G797" s="8">
        <v>23090620000</v>
      </c>
    </row>
    <row r="798" spans="1:7" x14ac:dyDescent="0.25">
      <c r="A798" s="7">
        <v>42104</v>
      </c>
      <c r="B798" s="6">
        <v>5898.6</v>
      </c>
      <c r="C798" s="6">
        <v>5981.7</v>
      </c>
      <c r="D798" s="6">
        <v>5898.6</v>
      </c>
      <c r="E798" s="6">
        <v>5968.4</v>
      </c>
      <c r="F798" s="8">
        <v>1942460000</v>
      </c>
      <c r="G798" s="8">
        <v>14788490000</v>
      </c>
    </row>
    <row r="799" spans="1:7" x14ac:dyDescent="0.25">
      <c r="A799" s="7">
        <v>42111</v>
      </c>
      <c r="B799" s="6">
        <v>5968.4</v>
      </c>
      <c r="C799" s="6">
        <v>5996.4</v>
      </c>
      <c r="D799" s="6">
        <v>5869.5</v>
      </c>
      <c r="E799" s="6">
        <v>5877.9</v>
      </c>
      <c r="F799" s="8">
        <v>2684244000</v>
      </c>
      <c r="G799" s="8">
        <v>19445630000</v>
      </c>
    </row>
    <row r="800" spans="1:7" x14ac:dyDescent="0.25">
      <c r="A800" s="7">
        <v>42118</v>
      </c>
      <c r="B800" s="6">
        <v>5877.9</v>
      </c>
      <c r="C800" s="6">
        <v>5935</v>
      </c>
      <c r="D800" s="6">
        <v>5807.8</v>
      </c>
      <c r="E800" s="6">
        <v>5933.3</v>
      </c>
      <c r="F800" s="8">
        <v>2844536000</v>
      </c>
      <c r="G800" s="8">
        <v>21457770000</v>
      </c>
    </row>
    <row r="801" spans="1:7" x14ac:dyDescent="0.25">
      <c r="A801" s="7">
        <v>42125</v>
      </c>
      <c r="B801" s="6">
        <v>5933.3</v>
      </c>
      <c r="C801" s="6">
        <v>5985.6</v>
      </c>
      <c r="D801" s="6">
        <v>5749.9</v>
      </c>
      <c r="E801" s="6">
        <v>5814.4</v>
      </c>
      <c r="F801" s="8">
        <v>3009897000</v>
      </c>
      <c r="G801" s="8">
        <v>23225660000</v>
      </c>
    </row>
    <row r="802" spans="1:7" x14ac:dyDescent="0.25">
      <c r="A802" s="7">
        <v>42132</v>
      </c>
      <c r="B802" s="6">
        <v>5814.4</v>
      </c>
      <c r="C802" s="6">
        <v>5901.8</v>
      </c>
      <c r="D802" s="6">
        <v>5606.7</v>
      </c>
      <c r="E802" s="6">
        <v>5634.6</v>
      </c>
      <c r="F802" s="8">
        <v>3126331000</v>
      </c>
      <c r="G802" s="8">
        <v>25243850000</v>
      </c>
    </row>
    <row r="803" spans="1:7" x14ac:dyDescent="0.25">
      <c r="A803" s="7">
        <v>42139</v>
      </c>
      <c r="B803" s="6">
        <v>5634.6</v>
      </c>
      <c r="C803" s="6">
        <v>5747</v>
      </c>
      <c r="D803" s="6">
        <v>5616</v>
      </c>
      <c r="E803" s="6">
        <v>5735.5</v>
      </c>
      <c r="F803" s="8">
        <v>3251495000</v>
      </c>
      <c r="G803" s="8">
        <v>24159530000</v>
      </c>
    </row>
    <row r="804" spans="1:7" x14ac:dyDescent="0.25">
      <c r="A804" s="7">
        <v>42146</v>
      </c>
      <c r="B804" s="6">
        <v>5735.5</v>
      </c>
      <c r="C804" s="6">
        <v>5735.5</v>
      </c>
      <c r="D804" s="6">
        <v>5574.6</v>
      </c>
      <c r="E804" s="6">
        <v>5664.7</v>
      </c>
      <c r="F804" s="8">
        <v>3376377000</v>
      </c>
      <c r="G804" s="8">
        <v>23117180000</v>
      </c>
    </row>
    <row r="805" spans="1:7" x14ac:dyDescent="0.25">
      <c r="A805" s="7">
        <v>42153</v>
      </c>
      <c r="B805" s="6">
        <v>5664.7</v>
      </c>
      <c r="C805" s="6">
        <v>5803</v>
      </c>
      <c r="D805" s="6">
        <v>5664.7</v>
      </c>
      <c r="E805" s="6">
        <v>5777.2</v>
      </c>
      <c r="F805" s="8">
        <v>3310058000</v>
      </c>
      <c r="G805" s="8">
        <v>24422390000</v>
      </c>
    </row>
    <row r="806" spans="1:7" x14ac:dyDescent="0.25">
      <c r="A806" s="7">
        <v>42160</v>
      </c>
      <c r="B806" s="6">
        <v>5777.2</v>
      </c>
      <c r="C806" s="6">
        <v>5777.2</v>
      </c>
      <c r="D806" s="6">
        <v>5470</v>
      </c>
      <c r="E806" s="6">
        <v>5498.5</v>
      </c>
      <c r="F806" s="8">
        <v>2984498000</v>
      </c>
      <c r="G806" s="8">
        <v>21324940000</v>
      </c>
    </row>
    <row r="807" spans="1:7" x14ac:dyDescent="0.25">
      <c r="A807" s="7">
        <v>42167</v>
      </c>
      <c r="B807" s="6">
        <v>5498.5</v>
      </c>
      <c r="C807" s="6">
        <v>5556.7</v>
      </c>
      <c r="D807" s="6">
        <v>5453.1</v>
      </c>
      <c r="E807" s="6">
        <v>5545.3</v>
      </c>
      <c r="F807" s="8">
        <v>2260442000</v>
      </c>
      <c r="G807" s="8">
        <v>14955940000</v>
      </c>
    </row>
    <row r="808" spans="1:7" x14ac:dyDescent="0.25">
      <c r="A808" s="7">
        <v>42174</v>
      </c>
      <c r="B808" s="6">
        <v>5545.3</v>
      </c>
      <c r="C808" s="6">
        <v>5612.2</v>
      </c>
      <c r="D808" s="6">
        <v>5492.1</v>
      </c>
      <c r="E808" s="6">
        <v>5597</v>
      </c>
      <c r="F808" s="8">
        <v>4002037000</v>
      </c>
      <c r="G808" s="8">
        <v>26140280000</v>
      </c>
    </row>
    <row r="809" spans="1:7" x14ac:dyDescent="0.25">
      <c r="A809" s="7">
        <v>42181</v>
      </c>
      <c r="B809" s="6">
        <v>5597</v>
      </c>
      <c r="C809" s="6">
        <v>5705.8</v>
      </c>
      <c r="D809" s="6">
        <v>5524.1</v>
      </c>
      <c r="E809" s="6">
        <v>5545.9</v>
      </c>
      <c r="F809" s="8">
        <v>3288528000</v>
      </c>
      <c r="G809" s="8">
        <v>23981460000</v>
      </c>
    </row>
    <row r="810" spans="1:7" x14ac:dyDescent="0.25">
      <c r="A810" s="7">
        <v>42188</v>
      </c>
      <c r="B810" s="6">
        <v>5545.9</v>
      </c>
      <c r="C810" s="6">
        <v>5609.9</v>
      </c>
      <c r="D810" s="6">
        <v>5390.5</v>
      </c>
      <c r="E810" s="6">
        <v>5538.3</v>
      </c>
      <c r="F810" s="8">
        <v>3399940000</v>
      </c>
      <c r="G810" s="8">
        <v>21705090000</v>
      </c>
    </row>
    <row r="811" spans="1:7" x14ac:dyDescent="0.25">
      <c r="A811" s="7">
        <v>42195</v>
      </c>
      <c r="B811" s="6">
        <v>5538.3</v>
      </c>
      <c r="C811" s="6">
        <v>5586.2</v>
      </c>
      <c r="D811" s="6">
        <v>5383.7</v>
      </c>
      <c r="E811" s="6">
        <v>5492</v>
      </c>
      <c r="F811" s="8">
        <v>2915049000</v>
      </c>
      <c r="G811" s="8">
        <v>19897660000</v>
      </c>
    </row>
    <row r="812" spans="1:7" x14ac:dyDescent="0.25">
      <c r="A812" s="7">
        <v>42202</v>
      </c>
      <c r="B812" s="6">
        <v>5492</v>
      </c>
      <c r="C812" s="6">
        <v>5691.2</v>
      </c>
      <c r="D812" s="6">
        <v>5451.1</v>
      </c>
      <c r="E812" s="6">
        <v>5670.1</v>
      </c>
      <c r="F812" s="8">
        <v>2596439000</v>
      </c>
      <c r="G812" s="8">
        <v>17602810000</v>
      </c>
    </row>
    <row r="813" spans="1:7" x14ac:dyDescent="0.25">
      <c r="A813" s="7">
        <v>42209</v>
      </c>
      <c r="B813" s="6">
        <v>5670.1</v>
      </c>
      <c r="C813" s="6">
        <v>5718.9</v>
      </c>
      <c r="D813" s="6">
        <v>5548</v>
      </c>
      <c r="E813" s="6">
        <v>5566.1</v>
      </c>
      <c r="F813" s="8">
        <v>2593404000</v>
      </c>
      <c r="G813" s="8">
        <v>17512910000</v>
      </c>
    </row>
    <row r="814" spans="1:7" x14ac:dyDescent="0.25">
      <c r="A814" s="7">
        <v>42216</v>
      </c>
      <c r="B814" s="6">
        <v>5565.9</v>
      </c>
      <c r="C814" s="6">
        <v>5699.5</v>
      </c>
      <c r="D814" s="6">
        <v>5530.9</v>
      </c>
      <c r="E814" s="6">
        <v>5699.2</v>
      </c>
      <c r="F814" s="8">
        <v>2884478000</v>
      </c>
      <c r="G814" s="8">
        <v>20920350000</v>
      </c>
    </row>
    <row r="815" spans="1:7" x14ac:dyDescent="0.25">
      <c r="A815" s="7">
        <v>42223</v>
      </c>
      <c r="B815" s="6">
        <v>5699.2</v>
      </c>
      <c r="C815" s="6">
        <v>5727.7</v>
      </c>
      <c r="D815" s="6">
        <v>5474.8</v>
      </c>
      <c r="E815" s="6">
        <v>5474.8</v>
      </c>
      <c r="F815" s="8">
        <v>2799559000</v>
      </c>
      <c r="G815" s="8">
        <v>19853080000</v>
      </c>
    </row>
    <row r="816" spans="1:7" x14ac:dyDescent="0.25">
      <c r="A816" s="7">
        <v>42230</v>
      </c>
      <c r="B816" s="6">
        <v>5474.8</v>
      </c>
      <c r="C816" s="6">
        <v>5543.2</v>
      </c>
      <c r="D816" s="6">
        <v>5351.5</v>
      </c>
      <c r="E816" s="6">
        <v>5356.5</v>
      </c>
      <c r="F816" s="8">
        <v>3074173000</v>
      </c>
      <c r="G816" s="8">
        <v>21542660000</v>
      </c>
    </row>
    <row r="817" spans="1:7" x14ac:dyDescent="0.25">
      <c r="A817" s="7">
        <v>42237</v>
      </c>
      <c r="B817" s="6">
        <v>5356.5</v>
      </c>
      <c r="C817" s="6">
        <v>5397</v>
      </c>
      <c r="D817" s="6">
        <v>5171.5</v>
      </c>
      <c r="E817" s="6">
        <v>5214.6000000000004</v>
      </c>
      <c r="F817" s="8">
        <v>3530497000</v>
      </c>
      <c r="G817" s="8">
        <v>26654030000</v>
      </c>
    </row>
    <row r="818" spans="1:7" x14ac:dyDescent="0.25">
      <c r="A818" s="7">
        <v>42244</v>
      </c>
      <c r="B818" s="6">
        <v>5207.6000000000004</v>
      </c>
      <c r="C818" s="6">
        <v>5305</v>
      </c>
      <c r="D818" s="6">
        <v>4928.3</v>
      </c>
      <c r="E818" s="6">
        <v>5263.6</v>
      </c>
      <c r="F818" s="8">
        <v>5153021000</v>
      </c>
      <c r="G818" s="8">
        <v>35264520000</v>
      </c>
    </row>
    <row r="819" spans="1:7" x14ac:dyDescent="0.25">
      <c r="A819" s="7">
        <v>42251</v>
      </c>
      <c r="B819" s="6">
        <v>5263.6</v>
      </c>
      <c r="C819" s="6">
        <v>5263.6</v>
      </c>
      <c r="D819" s="6">
        <v>4995.6000000000004</v>
      </c>
      <c r="E819" s="6">
        <v>5040.6000000000004</v>
      </c>
      <c r="F819" s="8">
        <v>4134574000</v>
      </c>
      <c r="G819" s="8">
        <v>25682070000</v>
      </c>
    </row>
    <row r="820" spans="1:7" x14ac:dyDescent="0.25">
      <c r="A820" s="7">
        <v>42258</v>
      </c>
      <c r="B820" s="6">
        <v>5040.6000000000004</v>
      </c>
      <c r="C820" s="6">
        <v>5221.1000000000004</v>
      </c>
      <c r="D820" s="6">
        <v>4973.3999999999996</v>
      </c>
      <c r="E820" s="6">
        <v>5071.1000000000004</v>
      </c>
      <c r="F820" s="8">
        <v>3619583000</v>
      </c>
      <c r="G820" s="8">
        <v>23291290000</v>
      </c>
    </row>
    <row r="821" spans="1:7" x14ac:dyDescent="0.25">
      <c r="A821" s="7">
        <v>42265</v>
      </c>
      <c r="B821" s="6">
        <v>5071.1000000000004</v>
      </c>
      <c r="C821" s="6">
        <v>5195</v>
      </c>
      <c r="D821" s="6">
        <v>5017.8</v>
      </c>
      <c r="E821" s="6">
        <v>5170.5</v>
      </c>
      <c r="F821" s="8">
        <v>3993982000</v>
      </c>
      <c r="G821" s="8">
        <v>24971320000</v>
      </c>
    </row>
    <row r="822" spans="1:7" x14ac:dyDescent="0.25">
      <c r="A822" s="7">
        <v>42272</v>
      </c>
      <c r="B822" s="6">
        <v>5170.5</v>
      </c>
      <c r="C822" s="6">
        <v>5170.5</v>
      </c>
      <c r="D822" s="6">
        <v>4988.8</v>
      </c>
      <c r="E822" s="6">
        <v>5042.1000000000004</v>
      </c>
      <c r="F822" s="8">
        <v>3110852000</v>
      </c>
      <c r="G822" s="8">
        <v>21608820000</v>
      </c>
    </row>
    <row r="823" spans="1:7" x14ac:dyDescent="0.25">
      <c r="A823" s="7">
        <v>42279</v>
      </c>
      <c r="B823" s="6">
        <v>5042.1000000000004</v>
      </c>
      <c r="C823" s="6">
        <v>5119.2</v>
      </c>
      <c r="D823" s="6">
        <v>4918.3999999999996</v>
      </c>
      <c r="E823" s="6">
        <v>5052</v>
      </c>
      <c r="F823" s="8">
        <v>3245816000</v>
      </c>
      <c r="G823" s="8">
        <v>21220890000</v>
      </c>
    </row>
    <row r="824" spans="1:7" x14ac:dyDescent="0.25">
      <c r="A824" s="7">
        <v>42286</v>
      </c>
      <c r="B824" s="6">
        <v>5052</v>
      </c>
      <c r="C824" s="6">
        <v>5284</v>
      </c>
      <c r="D824" s="6">
        <v>5052</v>
      </c>
      <c r="E824" s="6">
        <v>5279.7</v>
      </c>
      <c r="F824" s="8">
        <v>2846176000</v>
      </c>
      <c r="G824" s="8">
        <v>19634390000</v>
      </c>
    </row>
    <row r="825" spans="1:7" x14ac:dyDescent="0.25">
      <c r="A825" s="7">
        <v>42293</v>
      </c>
      <c r="B825" s="6">
        <v>5279.7</v>
      </c>
      <c r="C825" s="6">
        <v>5294.3</v>
      </c>
      <c r="D825" s="6">
        <v>5164.2</v>
      </c>
      <c r="E825" s="6">
        <v>5268.2</v>
      </c>
      <c r="F825" s="8">
        <v>3072248000</v>
      </c>
      <c r="G825" s="8">
        <v>19887090000</v>
      </c>
    </row>
    <row r="826" spans="1:7" x14ac:dyDescent="0.25">
      <c r="A826" s="7">
        <v>42300</v>
      </c>
      <c r="B826" s="6">
        <v>5268.2</v>
      </c>
      <c r="C826" s="6">
        <v>5374.5</v>
      </c>
      <c r="D826" s="6">
        <v>5195.3999999999996</v>
      </c>
      <c r="E826" s="6">
        <v>5351.6</v>
      </c>
      <c r="F826" s="8">
        <v>2879281000</v>
      </c>
      <c r="G826" s="8">
        <v>18837890000</v>
      </c>
    </row>
    <row r="827" spans="1:7" x14ac:dyDescent="0.25">
      <c r="A827" s="7">
        <v>42307</v>
      </c>
      <c r="B827" s="6">
        <v>5351.6</v>
      </c>
      <c r="C827" s="6">
        <v>5384.8</v>
      </c>
      <c r="D827" s="6">
        <v>5204</v>
      </c>
      <c r="E827" s="6">
        <v>5239.3999999999996</v>
      </c>
      <c r="F827" s="8">
        <v>3044601000</v>
      </c>
      <c r="G827" s="8">
        <v>22687240000</v>
      </c>
    </row>
    <row r="828" spans="1:7" x14ac:dyDescent="0.25">
      <c r="A828" s="7">
        <v>42314</v>
      </c>
      <c r="B828" s="6">
        <v>5239.3999999999996</v>
      </c>
      <c r="C828" s="6">
        <v>5313.7</v>
      </c>
      <c r="D828" s="6">
        <v>5152.8</v>
      </c>
      <c r="E828" s="6">
        <v>5215</v>
      </c>
      <c r="F828" s="8">
        <v>2758206000</v>
      </c>
      <c r="G828" s="8">
        <v>20532660000</v>
      </c>
    </row>
    <row r="829" spans="1:7" x14ac:dyDescent="0.25">
      <c r="A829" s="7">
        <v>42321</v>
      </c>
      <c r="B829" s="6">
        <v>5215</v>
      </c>
      <c r="C829" s="6">
        <v>5215</v>
      </c>
      <c r="D829" s="6">
        <v>5010.3999999999996</v>
      </c>
      <c r="E829" s="6">
        <v>5051.3</v>
      </c>
      <c r="F829" s="8">
        <v>3164264000</v>
      </c>
      <c r="G829" s="8">
        <v>22125480000</v>
      </c>
    </row>
    <row r="830" spans="1:7" x14ac:dyDescent="0.25">
      <c r="A830" s="7">
        <v>42328</v>
      </c>
      <c r="B830" s="6">
        <v>5051.3</v>
      </c>
      <c r="C830" s="6">
        <v>5272</v>
      </c>
      <c r="D830" s="6">
        <v>4979.2</v>
      </c>
      <c r="E830" s="6">
        <v>5256.1</v>
      </c>
      <c r="F830" s="8">
        <v>3061880000</v>
      </c>
      <c r="G830" s="8">
        <v>20542100000</v>
      </c>
    </row>
    <row r="831" spans="1:7" x14ac:dyDescent="0.25">
      <c r="A831" s="7">
        <v>42335</v>
      </c>
      <c r="B831" s="6">
        <v>5256.1</v>
      </c>
      <c r="C831" s="6">
        <v>5285.5</v>
      </c>
      <c r="D831" s="6">
        <v>5185.8</v>
      </c>
      <c r="E831" s="6">
        <v>5202.6000000000004</v>
      </c>
      <c r="F831" s="8">
        <v>3436125000</v>
      </c>
      <c r="G831" s="8">
        <v>20595240000</v>
      </c>
    </row>
    <row r="832" spans="1:7" x14ac:dyDescent="0.25">
      <c r="A832" s="7">
        <v>42342</v>
      </c>
      <c r="B832" s="6">
        <v>5202.6000000000004</v>
      </c>
      <c r="C832" s="6">
        <v>5279.3</v>
      </c>
      <c r="D832" s="6">
        <v>5117.6000000000004</v>
      </c>
      <c r="E832" s="6">
        <v>5151.6000000000004</v>
      </c>
      <c r="F832" s="8">
        <v>4347590000</v>
      </c>
      <c r="G832" s="8">
        <v>25699150000</v>
      </c>
    </row>
    <row r="833" spans="1:7" x14ac:dyDescent="0.25">
      <c r="A833" s="7">
        <v>42349</v>
      </c>
      <c r="B833" s="6">
        <v>5151.6000000000004</v>
      </c>
      <c r="C833" s="6">
        <v>5229.8999999999996</v>
      </c>
      <c r="D833" s="6">
        <v>4995.6000000000004</v>
      </c>
      <c r="E833" s="6">
        <v>5029.3999999999996</v>
      </c>
      <c r="F833" s="8">
        <v>3636746000</v>
      </c>
      <c r="G833" s="8">
        <v>20812930000</v>
      </c>
    </row>
    <row r="834" spans="1:7" x14ac:dyDescent="0.25">
      <c r="A834" s="7">
        <v>42356</v>
      </c>
      <c r="B834" s="6">
        <v>5029.5</v>
      </c>
      <c r="C834" s="6">
        <v>5129.1000000000004</v>
      </c>
      <c r="D834" s="6">
        <v>4909.6000000000004</v>
      </c>
      <c r="E834" s="6">
        <v>5106.7</v>
      </c>
      <c r="F834" s="8">
        <v>4342177000</v>
      </c>
      <c r="G834" s="8">
        <v>28115090000</v>
      </c>
    </row>
    <row r="835" spans="1:7" x14ac:dyDescent="0.25">
      <c r="A835" s="7">
        <v>42362</v>
      </c>
      <c r="B835" s="6">
        <v>5106.7</v>
      </c>
      <c r="C835" s="6">
        <v>5211.5</v>
      </c>
      <c r="D835" s="6">
        <v>5075.2</v>
      </c>
      <c r="E835" s="6">
        <v>5207.6000000000004</v>
      </c>
      <c r="F835" s="8">
        <v>1566529000</v>
      </c>
      <c r="G835" s="8">
        <v>10391490000</v>
      </c>
    </row>
    <row r="836" spans="1:7" x14ac:dyDescent="0.25">
      <c r="A836" s="7">
        <v>42369</v>
      </c>
      <c r="B836" s="6">
        <v>5207.6000000000004</v>
      </c>
      <c r="C836" s="6">
        <v>5325.8</v>
      </c>
      <c r="D836" s="6">
        <v>5189.1000000000004</v>
      </c>
      <c r="E836" s="6">
        <v>5295.9</v>
      </c>
      <c r="F836" s="8">
        <v>961458200</v>
      </c>
      <c r="G836" s="8">
        <v>7191158000</v>
      </c>
    </row>
    <row r="837" spans="1:7" x14ac:dyDescent="0.25">
      <c r="A837" s="7">
        <v>42377</v>
      </c>
      <c r="B837" s="6">
        <v>5295.9</v>
      </c>
      <c r="C837" s="6">
        <v>5331.4</v>
      </c>
      <c r="D837" s="6">
        <v>4940.3</v>
      </c>
      <c r="E837" s="6">
        <v>4990.8</v>
      </c>
      <c r="F837" s="8">
        <v>2622828000</v>
      </c>
      <c r="G837" s="8">
        <v>17930010000</v>
      </c>
    </row>
    <row r="838" spans="1:7" x14ac:dyDescent="0.25">
      <c r="A838" s="7">
        <v>42384</v>
      </c>
      <c r="B838" s="6">
        <v>4990.8</v>
      </c>
      <c r="C838" s="6">
        <v>4997.1000000000004</v>
      </c>
      <c r="D838" s="6">
        <v>4865</v>
      </c>
      <c r="E838" s="6">
        <v>4892.8</v>
      </c>
      <c r="F838" s="8">
        <v>2974969000</v>
      </c>
      <c r="G838" s="8">
        <v>18948490000</v>
      </c>
    </row>
    <row r="839" spans="1:7" x14ac:dyDescent="0.25">
      <c r="A839" s="7">
        <v>42391</v>
      </c>
      <c r="B839" s="6">
        <v>4892.8</v>
      </c>
      <c r="C839" s="6">
        <v>4932.1000000000004</v>
      </c>
      <c r="D839" s="6">
        <v>4803.8999999999996</v>
      </c>
      <c r="E839" s="6">
        <v>4916</v>
      </c>
      <c r="F839" s="8">
        <v>3117732000</v>
      </c>
      <c r="G839" s="8">
        <v>20800140000</v>
      </c>
    </row>
    <row r="840" spans="1:7" x14ac:dyDescent="0.25">
      <c r="A840" s="7">
        <v>42398</v>
      </c>
      <c r="B840" s="6">
        <v>4916</v>
      </c>
      <c r="C840" s="6">
        <v>5009.5</v>
      </c>
      <c r="D840" s="6">
        <v>4909.3999999999996</v>
      </c>
      <c r="E840" s="6">
        <v>5005.5</v>
      </c>
      <c r="F840" s="8">
        <v>2672769000</v>
      </c>
      <c r="G840" s="8">
        <v>17955070000</v>
      </c>
    </row>
    <row r="841" spans="1:7" x14ac:dyDescent="0.25">
      <c r="A841" s="7">
        <v>42405</v>
      </c>
      <c r="B841" s="6">
        <v>5005.5</v>
      </c>
      <c r="C841" s="6">
        <v>5073</v>
      </c>
      <c r="D841" s="6">
        <v>4873.6000000000004</v>
      </c>
      <c r="E841" s="6">
        <v>4976.2</v>
      </c>
      <c r="F841" s="8">
        <v>3362587000</v>
      </c>
      <c r="G841" s="8">
        <v>21715060000</v>
      </c>
    </row>
    <row r="842" spans="1:7" x14ac:dyDescent="0.25">
      <c r="A842" s="7">
        <v>42412</v>
      </c>
      <c r="B842" s="6">
        <v>4976.2</v>
      </c>
      <c r="C842" s="6">
        <v>4980</v>
      </c>
      <c r="D842" s="6">
        <v>4706.7</v>
      </c>
      <c r="E842" s="6">
        <v>4765.3</v>
      </c>
      <c r="F842" s="8">
        <v>3491737000</v>
      </c>
      <c r="G842" s="8">
        <v>23644500000</v>
      </c>
    </row>
    <row r="843" spans="1:7" x14ac:dyDescent="0.25">
      <c r="A843" s="7">
        <v>42419</v>
      </c>
      <c r="B843" s="6">
        <v>4765.3</v>
      </c>
      <c r="C843" s="6">
        <v>4992.6000000000004</v>
      </c>
      <c r="D843" s="6">
        <v>4765.3</v>
      </c>
      <c r="E843" s="6">
        <v>4952.8</v>
      </c>
      <c r="F843" s="8">
        <v>3728049000</v>
      </c>
      <c r="G843" s="8">
        <v>23782230000</v>
      </c>
    </row>
    <row r="844" spans="1:7" x14ac:dyDescent="0.25">
      <c r="A844" s="7">
        <v>42426</v>
      </c>
      <c r="B844" s="6">
        <v>4952.8</v>
      </c>
      <c r="C844" s="6">
        <v>5035.6000000000004</v>
      </c>
      <c r="D844" s="6">
        <v>4838.3</v>
      </c>
      <c r="E844" s="6">
        <v>4880</v>
      </c>
      <c r="F844" s="8">
        <v>3615045000</v>
      </c>
      <c r="G844" s="8">
        <v>24828630000</v>
      </c>
    </row>
    <row r="845" spans="1:7" x14ac:dyDescent="0.25">
      <c r="A845" s="7">
        <v>42433</v>
      </c>
      <c r="B845" s="6">
        <v>4880</v>
      </c>
      <c r="C845" s="6">
        <v>5105</v>
      </c>
      <c r="D845" s="6">
        <v>4868.1000000000004</v>
      </c>
      <c r="E845" s="6">
        <v>5090</v>
      </c>
      <c r="F845" s="8">
        <v>4076148000</v>
      </c>
      <c r="G845" s="8">
        <v>26372020000</v>
      </c>
    </row>
    <row r="846" spans="1:7" x14ac:dyDescent="0.25">
      <c r="A846" s="7">
        <v>42440</v>
      </c>
      <c r="B846" s="6">
        <v>5090</v>
      </c>
      <c r="C846" s="6">
        <v>5182.5</v>
      </c>
      <c r="D846" s="6">
        <v>5081.8999999999996</v>
      </c>
      <c r="E846" s="6">
        <v>5166.3999999999996</v>
      </c>
      <c r="F846" s="8">
        <v>3634562000</v>
      </c>
      <c r="G846" s="8">
        <v>22615610000</v>
      </c>
    </row>
    <row r="847" spans="1:7" x14ac:dyDescent="0.25">
      <c r="A847" s="7">
        <v>42447</v>
      </c>
      <c r="B847" s="6">
        <v>5166.3999999999996</v>
      </c>
      <c r="C847" s="6">
        <v>5216.2</v>
      </c>
      <c r="D847" s="6">
        <v>5088.2</v>
      </c>
      <c r="E847" s="6">
        <v>5183.1000000000004</v>
      </c>
      <c r="F847" s="8">
        <v>3911298000</v>
      </c>
      <c r="G847" s="8">
        <v>24717220000</v>
      </c>
    </row>
    <row r="848" spans="1:7" x14ac:dyDescent="0.25">
      <c r="A848" s="7">
        <v>42453</v>
      </c>
      <c r="B848" s="6">
        <v>5183.1000000000004</v>
      </c>
      <c r="C848" s="6">
        <v>5195.7</v>
      </c>
      <c r="D848" s="6">
        <v>5069.2</v>
      </c>
      <c r="E848" s="6">
        <v>5084.2</v>
      </c>
      <c r="F848" s="8">
        <v>2217786000</v>
      </c>
      <c r="G848" s="8">
        <v>17047970000</v>
      </c>
    </row>
    <row r="849" spans="1:7" x14ac:dyDescent="0.25">
      <c r="A849" s="7">
        <v>42461</v>
      </c>
      <c r="B849" s="6">
        <v>5084.2</v>
      </c>
      <c r="C849" s="6">
        <v>5098.2</v>
      </c>
      <c r="D849" s="6">
        <v>4976.3</v>
      </c>
      <c r="E849" s="6">
        <v>4999.3999999999996</v>
      </c>
      <c r="F849" s="8">
        <v>2209478000</v>
      </c>
      <c r="G849" s="8">
        <v>16089920000</v>
      </c>
    </row>
    <row r="850" spans="1:7" x14ac:dyDescent="0.25">
      <c r="A850" s="7">
        <v>42468</v>
      </c>
      <c r="B850" s="6">
        <v>4999.3999999999996</v>
      </c>
      <c r="C850" s="6">
        <v>5046.3</v>
      </c>
      <c r="D850" s="6">
        <v>4893.5</v>
      </c>
      <c r="E850" s="6">
        <v>4937.6000000000004</v>
      </c>
      <c r="F850" s="8">
        <v>2496564000</v>
      </c>
      <c r="G850" s="8">
        <v>17359850000</v>
      </c>
    </row>
    <row r="851" spans="1:7" x14ac:dyDescent="0.25">
      <c r="A851" s="7">
        <v>42475</v>
      </c>
      <c r="B851" s="6">
        <v>4937.6000000000004</v>
      </c>
      <c r="C851" s="6">
        <v>5157.5</v>
      </c>
      <c r="D851" s="6">
        <v>4910.8</v>
      </c>
      <c r="E851" s="6">
        <v>5157.5</v>
      </c>
      <c r="F851" s="8">
        <v>2706320000</v>
      </c>
      <c r="G851" s="8">
        <v>19472440000</v>
      </c>
    </row>
    <row r="852" spans="1:7" x14ac:dyDescent="0.25">
      <c r="A852" s="7">
        <v>42482</v>
      </c>
      <c r="B852" s="6">
        <v>5157.5</v>
      </c>
      <c r="C852" s="6">
        <v>5279.9</v>
      </c>
      <c r="D852" s="6">
        <v>5118.5</v>
      </c>
      <c r="E852" s="6">
        <v>5236.3999999999996</v>
      </c>
      <c r="F852" s="8">
        <v>3209001000</v>
      </c>
      <c r="G852" s="8">
        <v>22609270000</v>
      </c>
    </row>
    <row r="853" spans="1:7" x14ac:dyDescent="0.25">
      <c r="A853" s="7">
        <v>42489</v>
      </c>
      <c r="B853" s="6">
        <v>5236.3999999999996</v>
      </c>
      <c r="C853" s="6">
        <v>5281.6</v>
      </c>
      <c r="D853" s="6">
        <v>5179.5</v>
      </c>
      <c r="E853" s="6">
        <v>5252.2</v>
      </c>
      <c r="F853" s="8">
        <v>2630550000</v>
      </c>
      <c r="G853" s="8">
        <v>18905020000</v>
      </c>
    </row>
    <row r="854" spans="1:7" x14ac:dyDescent="0.25">
      <c r="A854" s="7">
        <v>42496</v>
      </c>
      <c r="B854" s="6">
        <v>5252.2</v>
      </c>
      <c r="C854" s="6">
        <v>5357</v>
      </c>
      <c r="D854" s="6">
        <v>5182.2</v>
      </c>
      <c r="E854" s="6">
        <v>5292</v>
      </c>
      <c r="F854" s="8">
        <v>3299945000</v>
      </c>
      <c r="G854" s="8">
        <v>24492880000</v>
      </c>
    </row>
    <row r="855" spans="1:7" x14ac:dyDescent="0.25">
      <c r="A855" s="7">
        <v>42503</v>
      </c>
      <c r="B855" s="6">
        <v>5292</v>
      </c>
      <c r="C855" s="6">
        <v>5425.2</v>
      </c>
      <c r="D855" s="6">
        <v>5264.4</v>
      </c>
      <c r="E855" s="6">
        <v>5329</v>
      </c>
      <c r="F855" s="8">
        <v>3201835000</v>
      </c>
      <c r="G855" s="8">
        <v>24592100000</v>
      </c>
    </row>
    <row r="856" spans="1:7" x14ac:dyDescent="0.25">
      <c r="A856" s="7">
        <v>42510</v>
      </c>
      <c r="B856" s="6">
        <v>5329</v>
      </c>
      <c r="C856" s="6">
        <v>5395.9</v>
      </c>
      <c r="D856" s="6">
        <v>5303.1</v>
      </c>
      <c r="E856" s="6">
        <v>5351.3</v>
      </c>
      <c r="F856" s="8">
        <v>2989193000</v>
      </c>
      <c r="G856" s="8">
        <v>21411420000</v>
      </c>
    </row>
    <row r="857" spans="1:7" x14ac:dyDescent="0.25">
      <c r="A857" s="7">
        <v>42517</v>
      </c>
      <c r="B857" s="6">
        <v>5351.3</v>
      </c>
      <c r="C857" s="6">
        <v>5427.7</v>
      </c>
      <c r="D857" s="6">
        <v>5295.6</v>
      </c>
      <c r="E857" s="6">
        <v>5405.9</v>
      </c>
      <c r="F857" s="8">
        <v>2897865000</v>
      </c>
      <c r="G857" s="8">
        <v>22106340000</v>
      </c>
    </row>
    <row r="858" spans="1:7" x14ac:dyDescent="0.25">
      <c r="A858" s="7">
        <v>42524</v>
      </c>
      <c r="B858" s="6">
        <v>5405.9</v>
      </c>
      <c r="C858" s="6">
        <v>5415</v>
      </c>
      <c r="D858" s="6">
        <v>5270.9</v>
      </c>
      <c r="E858" s="6">
        <v>5318.9</v>
      </c>
      <c r="F858" s="8">
        <v>3050592000</v>
      </c>
      <c r="G858" s="8">
        <v>21796100000</v>
      </c>
    </row>
    <row r="859" spans="1:7" x14ac:dyDescent="0.25">
      <c r="A859" s="7">
        <v>42531</v>
      </c>
      <c r="B859" s="6">
        <v>5318.9</v>
      </c>
      <c r="C859" s="6">
        <v>5392.5</v>
      </c>
      <c r="D859" s="6">
        <v>5294.2</v>
      </c>
      <c r="E859" s="6">
        <v>5312.6</v>
      </c>
      <c r="F859" s="8">
        <v>2783590000</v>
      </c>
      <c r="G859" s="8">
        <v>19498670000</v>
      </c>
    </row>
    <row r="860" spans="1:7" x14ac:dyDescent="0.25">
      <c r="A860" s="7">
        <v>42538</v>
      </c>
      <c r="B860" s="6">
        <v>5312.6</v>
      </c>
      <c r="C860" s="6">
        <v>5312.6</v>
      </c>
      <c r="D860" s="6">
        <v>5141</v>
      </c>
      <c r="E860" s="6">
        <v>5162.7</v>
      </c>
      <c r="F860" s="8">
        <v>3219285000</v>
      </c>
      <c r="G860" s="8">
        <v>20965730000</v>
      </c>
    </row>
    <row r="861" spans="1:7" x14ac:dyDescent="0.25">
      <c r="A861" s="7">
        <v>42545</v>
      </c>
      <c r="B861" s="6">
        <v>5162.7</v>
      </c>
      <c r="C861" s="6">
        <v>5325.4</v>
      </c>
      <c r="D861" s="6">
        <v>5080</v>
      </c>
      <c r="E861" s="6">
        <v>5113.2</v>
      </c>
      <c r="F861" s="8">
        <v>3224904000</v>
      </c>
      <c r="G861" s="8">
        <v>24221240000</v>
      </c>
    </row>
    <row r="862" spans="1:7" x14ac:dyDescent="0.25">
      <c r="A862" s="7">
        <v>42552</v>
      </c>
      <c r="B862" s="6">
        <v>5113.2</v>
      </c>
      <c r="C862" s="6">
        <v>5278.9</v>
      </c>
      <c r="D862" s="6">
        <v>5051</v>
      </c>
      <c r="E862" s="6">
        <v>5246.6</v>
      </c>
      <c r="F862" s="8">
        <v>3553670000</v>
      </c>
      <c r="G862" s="8">
        <v>25265770000</v>
      </c>
    </row>
    <row r="863" spans="1:7" x14ac:dyDescent="0.25">
      <c r="A863" s="7">
        <v>42559</v>
      </c>
      <c r="B863" s="6">
        <v>5246.6</v>
      </c>
      <c r="C863" s="6">
        <v>5282.3</v>
      </c>
      <c r="D863" s="6">
        <v>5148.7</v>
      </c>
      <c r="E863" s="6">
        <v>5230.5</v>
      </c>
      <c r="F863" s="8">
        <v>2646530000</v>
      </c>
      <c r="G863" s="8">
        <v>18999500000</v>
      </c>
    </row>
    <row r="864" spans="1:7" x14ac:dyDescent="0.25">
      <c r="A864" s="7">
        <v>42566</v>
      </c>
      <c r="B864" s="6">
        <v>5230.5</v>
      </c>
      <c r="C864" s="6">
        <v>5452.7</v>
      </c>
      <c r="D864" s="6">
        <v>5230.5</v>
      </c>
      <c r="E864" s="6">
        <v>5429.6</v>
      </c>
      <c r="F864" s="8">
        <v>2651613000</v>
      </c>
      <c r="G864" s="8">
        <v>18973370000</v>
      </c>
    </row>
    <row r="865" spans="1:7" x14ac:dyDescent="0.25">
      <c r="A865" s="7">
        <v>42573</v>
      </c>
      <c r="B865" s="6">
        <v>5429.6</v>
      </c>
      <c r="C865" s="6">
        <v>5531.9</v>
      </c>
      <c r="D865" s="6">
        <v>5428.9</v>
      </c>
      <c r="E865" s="6">
        <v>5498.2</v>
      </c>
      <c r="F865" s="8">
        <v>2723110000</v>
      </c>
      <c r="G865" s="8">
        <v>19421550000</v>
      </c>
    </row>
    <row r="866" spans="1:7" x14ac:dyDescent="0.25">
      <c r="A866" s="7">
        <v>42580</v>
      </c>
      <c r="B866" s="6">
        <v>5498.2</v>
      </c>
      <c r="C866" s="6">
        <v>5570.4</v>
      </c>
      <c r="D866" s="6">
        <v>5498.2</v>
      </c>
      <c r="E866" s="6">
        <v>5562.4</v>
      </c>
      <c r="F866" s="8">
        <v>2859549000</v>
      </c>
      <c r="G866" s="8">
        <v>22806790000</v>
      </c>
    </row>
    <row r="867" spans="1:7" x14ac:dyDescent="0.25">
      <c r="A867" s="7">
        <v>42587</v>
      </c>
      <c r="B867" s="6">
        <v>5562.4</v>
      </c>
      <c r="C867" s="6">
        <v>5611.2</v>
      </c>
      <c r="D867" s="6">
        <v>5465.7</v>
      </c>
      <c r="E867" s="6">
        <v>5497.4</v>
      </c>
      <c r="F867" s="8">
        <v>2760118000</v>
      </c>
      <c r="G867" s="8">
        <v>19919490000</v>
      </c>
    </row>
    <row r="868" spans="1:7" x14ac:dyDescent="0.25">
      <c r="A868" s="7">
        <v>42594</v>
      </c>
      <c r="B868" s="6">
        <v>5497.4</v>
      </c>
      <c r="C868" s="6">
        <v>5553.8</v>
      </c>
      <c r="D868" s="6">
        <v>5483.7</v>
      </c>
      <c r="E868" s="6">
        <v>5530.9</v>
      </c>
      <c r="F868" s="8">
        <v>2701534000</v>
      </c>
      <c r="G868" s="8">
        <v>21612380000</v>
      </c>
    </row>
    <row r="869" spans="1:7" x14ac:dyDescent="0.25">
      <c r="A869" s="7">
        <v>42601</v>
      </c>
      <c r="B869" s="6">
        <v>5530.9</v>
      </c>
      <c r="C869" s="6">
        <v>5549.8</v>
      </c>
      <c r="D869" s="6">
        <v>5498.7</v>
      </c>
      <c r="E869" s="6">
        <v>5526.7</v>
      </c>
      <c r="F869" s="8">
        <v>2814840000</v>
      </c>
      <c r="G869" s="8">
        <v>21593190000</v>
      </c>
    </row>
    <row r="870" spans="1:7" x14ac:dyDescent="0.25">
      <c r="A870" s="7">
        <v>42608</v>
      </c>
      <c r="B870" s="6">
        <v>5526.7</v>
      </c>
      <c r="C870" s="6">
        <v>5574</v>
      </c>
      <c r="D870" s="6">
        <v>5508.7</v>
      </c>
      <c r="E870" s="6">
        <v>5515.5</v>
      </c>
      <c r="F870" s="8">
        <v>3046142000</v>
      </c>
      <c r="G870" s="8">
        <v>22566670000</v>
      </c>
    </row>
    <row r="871" spans="1:7" x14ac:dyDescent="0.25">
      <c r="A871" s="7">
        <v>42615</v>
      </c>
      <c r="B871" s="6">
        <v>5515.5</v>
      </c>
      <c r="C871" s="6">
        <v>5516.7</v>
      </c>
      <c r="D871" s="6">
        <v>5361.7</v>
      </c>
      <c r="E871" s="6">
        <v>5372.8</v>
      </c>
      <c r="F871" s="8">
        <v>3082719000</v>
      </c>
      <c r="G871" s="8">
        <v>22520240000</v>
      </c>
    </row>
    <row r="872" spans="1:7" x14ac:dyDescent="0.25">
      <c r="A872" s="7">
        <v>42622</v>
      </c>
      <c r="B872" s="6">
        <v>5372.8</v>
      </c>
      <c r="C872" s="6">
        <v>5440.2</v>
      </c>
      <c r="D872" s="6">
        <v>5332.4</v>
      </c>
      <c r="E872" s="6">
        <v>5339.2</v>
      </c>
      <c r="F872" s="8">
        <v>3110912000</v>
      </c>
      <c r="G872" s="8">
        <v>21703350000</v>
      </c>
    </row>
    <row r="873" spans="1:7" x14ac:dyDescent="0.25">
      <c r="A873" s="7">
        <v>42629</v>
      </c>
      <c r="B873" s="6">
        <v>5339.2</v>
      </c>
      <c r="C873" s="6">
        <v>5339.2</v>
      </c>
      <c r="D873" s="6">
        <v>5192.2</v>
      </c>
      <c r="E873" s="6">
        <v>5296.7</v>
      </c>
      <c r="F873" s="8">
        <v>3818024000</v>
      </c>
      <c r="G873" s="8">
        <v>27310800000</v>
      </c>
    </row>
    <row r="874" spans="1:7" x14ac:dyDescent="0.25">
      <c r="A874" s="7">
        <v>42636</v>
      </c>
      <c r="B874" s="6">
        <v>5296.7</v>
      </c>
      <c r="C874" s="6">
        <v>5434.3</v>
      </c>
      <c r="D874" s="6">
        <v>5273</v>
      </c>
      <c r="E874" s="6">
        <v>5431.3</v>
      </c>
      <c r="F874" s="8">
        <v>2809475000</v>
      </c>
      <c r="G874" s="8">
        <v>19889620000</v>
      </c>
    </row>
    <row r="875" spans="1:7" x14ac:dyDescent="0.25">
      <c r="A875" s="7">
        <v>42643</v>
      </c>
      <c r="B875" s="6">
        <v>5431.3</v>
      </c>
      <c r="C875" s="6">
        <v>5473.3</v>
      </c>
      <c r="D875" s="6">
        <v>5372.3</v>
      </c>
      <c r="E875" s="6">
        <v>5435.9</v>
      </c>
      <c r="F875" s="8">
        <v>2929663000</v>
      </c>
      <c r="G875" s="8">
        <v>22145960000</v>
      </c>
    </row>
    <row r="876" spans="1:7" x14ac:dyDescent="0.25">
      <c r="A876" s="7">
        <v>42650</v>
      </c>
      <c r="B876" s="6">
        <v>5435.9</v>
      </c>
      <c r="C876" s="6">
        <v>5493.1</v>
      </c>
      <c r="D876" s="6">
        <v>5435.9</v>
      </c>
      <c r="E876" s="6">
        <v>5467.4</v>
      </c>
      <c r="F876" s="8">
        <v>2797313000</v>
      </c>
      <c r="G876" s="8">
        <v>18852450000</v>
      </c>
    </row>
    <row r="877" spans="1:7" x14ac:dyDescent="0.25">
      <c r="A877" s="7">
        <v>42657</v>
      </c>
      <c r="B877" s="6">
        <v>5467.4</v>
      </c>
      <c r="C877" s="6">
        <v>5498</v>
      </c>
      <c r="D877" s="6">
        <v>5420.8</v>
      </c>
      <c r="E877" s="6">
        <v>5434</v>
      </c>
      <c r="F877" s="8">
        <v>2838691000</v>
      </c>
      <c r="G877" s="8">
        <v>19379210000</v>
      </c>
    </row>
    <row r="878" spans="1:7" x14ac:dyDescent="0.25">
      <c r="A878" s="7">
        <v>42664</v>
      </c>
      <c r="B878" s="6">
        <v>5434</v>
      </c>
      <c r="C878" s="6">
        <v>5457.9</v>
      </c>
      <c r="D878" s="6">
        <v>5386.1</v>
      </c>
      <c r="E878" s="6">
        <v>5430.3</v>
      </c>
      <c r="F878" s="8">
        <v>2884131000</v>
      </c>
      <c r="G878" s="8">
        <v>19905800000</v>
      </c>
    </row>
    <row r="879" spans="1:7" x14ac:dyDescent="0.25">
      <c r="A879" s="7">
        <v>42671</v>
      </c>
      <c r="B879" s="6">
        <v>5430.3</v>
      </c>
      <c r="C879" s="6">
        <v>5455.7</v>
      </c>
      <c r="D879" s="6">
        <v>5261.4</v>
      </c>
      <c r="E879" s="6">
        <v>5283.8</v>
      </c>
      <c r="F879" s="8">
        <v>3171519000</v>
      </c>
      <c r="G879" s="8">
        <v>23298180000</v>
      </c>
    </row>
    <row r="880" spans="1:7" x14ac:dyDescent="0.25">
      <c r="A880" s="7">
        <v>42678</v>
      </c>
      <c r="B880" s="6">
        <v>5283.8</v>
      </c>
      <c r="C880" s="6">
        <v>5329.1</v>
      </c>
      <c r="D880" s="6">
        <v>5178</v>
      </c>
      <c r="E880" s="6">
        <v>5180.8</v>
      </c>
      <c r="F880" s="8">
        <v>2906541000</v>
      </c>
      <c r="G880" s="8">
        <v>19429650000</v>
      </c>
    </row>
    <row r="881" spans="1:7" x14ac:dyDescent="0.25">
      <c r="A881" s="7">
        <v>42685</v>
      </c>
      <c r="B881" s="6">
        <v>5180.8</v>
      </c>
      <c r="C881" s="6">
        <v>5370.7</v>
      </c>
      <c r="D881" s="6">
        <v>5052.1000000000004</v>
      </c>
      <c r="E881" s="6">
        <v>5370.7</v>
      </c>
      <c r="F881" s="8">
        <v>3936488000</v>
      </c>
      <c r="G881" s="8">
        <v>29062120000</v>
      </c>
    </row>
    <row r="882" spans="1:7" x14ac:dyDescent="0.25">
      <c r="A882" s="7">
        <v>42692</v>
      </c>
      <c r="B882" s="6">
        <v>5370.7</v>
      </c>
      <c r="C882" s="6">
        <v>5370.7</v>
      </c>
      <c r="D882" s="6">
        <v>5286.2</v>
      </c>
      <c r="E882" s="6">
        <v>5359.4</v>
      </c>
      <c r="F882" s="8">
        <v>3444248000</v>
      </c>
      <c r="G882" s="8">
        <v>24182970000</v>
      </c>
    </row>
    <row r="883" spans="1:7" x14ac:dyDescent="0.25">
      <c r="A883" s="7">
        <v>42699</v>
      </c>
      <c r="B883" s="6">
        <v>5359.4</v>
      </c>
      <c r="C883" s="6">
        <v>5520.9</v>
      </c>
      <c r="D883" s="6">
        <v>5334.9</v>
      </c>
      <c r="E883" s="6">
        <v>5507.8</v>
      </c>
      <c r="F883" s="8">
        <v>3200018000</v>
      </c>
      <c r="G883" s="8">
        <v>23077150000</v>
      </c>
    </row>
    <row r="884" spans="1:7" x14ac:dyDescent="0.25">
      <c r="A884" s="7">
        <v>42706</v>
      </c>
      <c r="B884" s="6">
        <v>5507.8</v>
      </c>
      <c r="C884" s="6">
        <v>5507.8</v>
      </c>
      <c r="D884" s="6">
        <v>5423.2</v>
      </c>
      <c r="E884" s="6">
        <v>5444</v>
      </c>
      <c r="F884" s="8">
        <v>3799215000</v>
      </c>
      <c r="G884" s="8">
        <v>27045170000</v>
      </c>
    </row>
    <row r="885" spans="1:7" x14ac:dyDescent="0.25">
      <c r="A885" s="7">
        <v>42713</v>
      </c>
      <c r="B885" s="6">
        <v>5444</v>
      </c>
      <c r="C885" s="6">
        <v>5566.1</v>
      </c>
      <c r="D885" s="6">
        <v>5383.8</v>
      </c>
      <c r="E885" s="6">
        <v>5560.6</v>
      </c>
      <c r="F885" s="8">
        <v>3253220000</v>
      </c>
      <c r="G885" s="8">
        <v>23268200000</v>
      </c>
    </row>
    <row r="886" spans="1:7" x14ac:dyDescent="0.25">
      <c r="A886" s="7">
        <v>42720</v>
      </c>
      <c r="B886" s="6">
        <v>5560.6</v>
      </c>
      <c r="C886" s="6">
        <v>5595.7</v>
      </c>
      <c r="D886" s="6">
        <v>5510</v>
      </c>
      <c r="E886" s="6">
        <v>5532.9</v>
      </c>
      <c r="F886" s="8">
        <v>3937451000</v>
      </c>
      <c r="G886" s="8">
        <v>26800400000</v>
      </c>
    </row>
    <row r="887" spans="1:7" x14ac:dyDescent="0.25">
      <c r="A887" s="7">
        <v>42727</v>
      </c>
      <c r="B887" s="6">
        <v>5532.9</v>
      </c>
      <c r="C887" s="6">
        <v>5649.8</v>
      </c>
      <c r="D887" s="6">
        <v>5530.9</v>
      </c>
      <c r="E887" s="6">
        <v>5627.9</v>
      </c>
      <c r="F887" s="8">
        <v>2704509000</v>
      </c>
      <c r="G887" s="8">
        <v>20512900000</v>
      </c>
    </row>
    <row r="888" spans="1:7" x14ac:dyDescent="0.25">
      <c r="A888" s="7">
        <v>42734</v>
      </c>
      <c r="B888" s="6">
        <v>5627.9</v>
      </c>
      <c r="C888" s="6">
        <v>5699.1</v>
      </c>
      <c r="D888" s="6">
        <v>5627.9</v>
      </c>
      <c r="E888" s="6">
        <v>5665.8</v>
      </c>
      <c r="F888" s="8">
        <v>996214500</v>
      </c>
      <c r="G888" s="8">
        <v>7206827000</v>
      </c>
    </row>
    <row r="889" spans="1:7" x14ac:dyDescent="0.25">
      <c r="A889" s="7">
        <v>42741</v>
      </c>
      <c r="B889" s="6">
        <v>5667.4</v>
      </c>
      <c r="C889" s="6">
        <v>5765.2</v>
      </c>
      <c r="D889" s="6">
        <v>5667.4</v>
      </c>
      <c r="E889" s="6">
        <v>5755.6</v>
      </c>
      <c r="F889" s="8">
        <v>1691182000</v>
      </c>
      <c r="G889" s="8">
        <v>12224610000</v>
      </c>
    </row>
    <row r="890" spans="1:7" x14ac:dyDescent="0.25">
      <c r="A890" s="7">
        <v>42748</v>
      </c>
      <c r="B890" s="6">
        <v>5755.6</v>
      </c>
      <c r="C890" s="6">
        <v>5827.5</v>
      </c>
      <c r="D890" s="6">
        <v>5710</v>
      </c>
      <c r="E890" s="6">
        <v>5721.1</v>
      </c>
      <c r="F890" s="8">
        <v>2762164000</v>
      </c>
      <c r="G890" s="8">
        <v>19863590000</v>
      </c>
    </row>
    <row r="891" spans="1:7" x14ac:dyDescent="0.25">
      <c r="A891" s="7">
        <v>42755</v>
      </c>
      <c r="B891" s="6">
        <v>5721.1</v>
      </c>
      <c r="C891" s="6">
        <v>5763.4</v>
      </c>
      <c r="D891" s="6">
        <v>5646.6</v>
      </c>
      <c r="E891" s="6">
        <v>5654.8</v>
      </c>
      <c r="F891" s="8">
        <v>2671620000</v>
      </c>
      <c r="G891" s="8">
        <v>19033840000</v>
      </c>
    </row>
    <row r="892" spans="1:7" x14ac:dyDescent="0.25">
      <c r="A892" s="7">
        <v>42762</v>
      </c>
      <c r="B892" s="6">
        <v>5654.8</v>
      </c>
      <c r="C892" s="6">
        <v>5714.2</v>
      </c>
      <c r="D892" s="6">
        <v>5604.3</v>
      </c>
      <c r="E892" s="6">
        <v>5714</v>
      </c>
      <c r="F892" s="8">
        <v>2345757000</v>
      </c>
      <c r="G892" s="8">
        <v>18754950000</v>
      </c>
    </row>
    <row r="893" spans="1:7" x14ac:dyDescent="0.25">
      <c r="A893" s="7">
        <v>42769</v>
      </c>
      <c r="B893" s="6">
        <v>5714</v>
      </c>
      <c r="C893" s="6">
        <v>5714</v>
      </c>
      <c r="D893" s="6">
        <v>5606.2</v>
      </c>
      <c r="E893" s="6">
        <v>5621.6</v>
      </c>
      <c r="F893" s="8">
        <v>2930653000</v>
      </c>
      <c r="G893" s="8">
        <v>20677290000</v>
      </c>
    </row>
    <row r="894" spans="1:7" x14ac:dyDescent="0.25">
      <c r="A894" s="7">
        <v>42776</v>
      </c>
      <c r="B894" s="6">
        <v>5621.6</v>
      </c>
      <c r="C894" s="6">
        <v>5721.4</v>
      </c>
      <c r="D894" s="6">
        <v>5582.7</v>
      </c>
      <c r="E894" s="6">
        <v>5720.6</v>
      </c>
      <c r="F894" s="8">
        <v>2924031000</v>
      </c>
      <c r="G894" s="8">
        <v>21080270000</v>
      </c>
    </row>
    <row r="895" spans="1:7" x14ac:dyDescent="0.25">
      <c r="A895" s="7">
        <v>42783</v>
      </c>
      <c r="B895" s="6">
        <v>5720.6</v>
      </c>
      <c r="C895" s="6">
        <v>5833.2</v>
      </c>
      <c r="D895" s="6">
        <v>5720.6</v>
      </c>
      <c r="E895" s="6">
        <v>5805.8</v>
      </c>
      <c r="F895" s="8">
        <v>3247702000</v>
      </c>
      <c r="G895" s="8">
        <v>24968180000</v>
      </c>
    </row>
    <row r="896" spans="1:7" x14ac:dyDescent="0.25">
      <c r="A896" s="7">
        <v>42790</v>
      </c>
      <c r="B896" s="6">
        <v>5805.8</v>
      </c>
      <c r="C896" s="6">
        <v>5810.1</v>
      </c>
      <c r="D896" s="6">
        <v>5729.9</v>
      </c>
      <c r="E896" s="6">
        <v>5739</v>
      </c>
      <c r="F896" s="8">
        <v>3617232000</v>
      </c>
      <c r="G896" s="8">
        <v>27866860000</v>
      </c>
    </row>
    <row r="897" spans="1:7" x14ac:dyDescent="0.25">
      <c r="A897" s="7">
        <v>42797</v>
      </c>
      <c r="B897" s="6">
        <v>5739</v>
      </c>
      <c r="C897" s="6">
        <v>5776.6</v>
      </c>
      <c r="D897" s="6">
        <v>5675</v>
      </c>
      <c r="E897" s="6">
        <v>5729.6</v>
      </c>
      <c r="F897" s="8">
        <v>3834069000</v>
      </c>
      <c r="G897" s="8">
        <v>26222250000</v>
      </c>
    </row>
    <row r="898" spans="1:7" x14ac:dyDescent="0.25">
      <c r="A898" s="7">
        <v>42804</v>
      </c>
      <c r="B898" s="6">
        <v>5729.6</v>
      </c>
      <c r="C898" s="6">
        <v>5781.2</v>
      </c>
      <c r="D898" s="6">
        <v>5715.5</v>
      </c>
      <c r="E898" s="6">
        <v>5775.6</v>
      </c>
      <c r="F898" s="8">
        <v>3105478000</v>
      </c>
      <c r="G898" s="8">
        <v>20538980000</v>
      </c>
    </row>
    <row r="899" spans="1:7" x14ac:dyDescent="0.25">
      <c r="A899" s="7">
        <v>42811</v>
      </c>
      <c r="B899" s="6">
        <v>5775.6</v>
      </c>
      <c r="C899" s="6">
        <v>5815</v>
      </c>
      <c r="D899" s="6">
        <v>5727.7</v>
      </c>
      <c r="E899" s="6">
        <v>5799.6</v>
      </c>
      <c r="F899" s="8">
        <v>3745836000</v>
      </c>
      <c r="G899" s="8">
        <v>26937720000</v>
      </c>
    </row>
    <row r="900" spans="1:7" x14ac:dyDescent="0.25">
      <c r="A900" s="7">
        <v>42818</v>
      </c>
      <c r="B900" s="6">
        <v>5799.6</v>
      </c>
      <c r="C900" s="6">
        <v>5799.6</v>
      </c>
      <c r="D900" s="6">
        <v>5681</v>
      </c>
      <c r="E900" s="6">
        <v>5753.5</v>
      </c>
      <c r="F900" s="8">
        <v>3148801000</v>
      </c>
      <c r="G900" s="8">
        <v>20689980000</v>
      </c>
    </row>
    <row r="901" spans="1:7" x14ac:dyDescent="0.25">
      <c r="A901" s="7">
        <v>42825</v>
      </c>
      <c r="B901" s="6">
        <v>5753.5</v>
      </c>
      <c r="C901" s="6">
        <v>5901.5</v>
      </c>
      <c r="D901" s="6">
        <v>5698.1</v>
      </c>
      <c r="E901" s="6">
        <v>5864.9</v>
      </c>
      <c r="F901" s="8">
        <v>3207492000</v>
      </c>
      <c r="G901" s="8">
        <v>23916030000</v>
      </c>
    </row>
    <row r="902" spans="1:7" x14ac:dyDescent="0.25">
      <c r="A902" s="7">
        <v>42832</v>
      </c>
      <c r="B902" s="6">
        <v>5864.9</v>
      </c>
      <c r="C902" s="6">
        <v>5888.6</v>
      </c>
      <c r="D902" s="6">
        <v>5833</v>
      </c>
      <c r="E902" s="6">
        <v>5862.5</v>
      </c>
      <c r="F902" s="8">
        <v>2810702000</v>
      </c>
      <c r="G902" s="8">
        <v>19397150000</v>
      </c>
    </row>
    <row r="903" spans="1:7" x14ac:dyDescent="0.25">
      <c r="A903" s="7">
        <v>42838</v>
      </c>
      <c r="B903" s="6">
        <v>5862.5</v>
      </c>
      <c r="C903" s="6">
        <v>5950.1</v>
      </c>
      <c r="D903" s="6">
        <v>5862.5</v>
      </c>
      <c r="E903" s="6">
        <v>5890</v>
      </c>
      <c r="F903" s="8">
        <v>2531033000</v>
      </c>
      <c r="G903" s="8">
        <v>18126450000</v>
      </c>
    </row>
    <row r="904" spans="1:7" x14ac:dyDescent="0.25">
      <c r="A904" s="7">
        <v>42846</v>
      </c>
      <c r="B904" s="6">
        <v>5889.9</v>
      </c>
      <c r="C904" s="6">
        <v>5889.9</v>
      </c>
      <c r="D904" s="6">
        <v>5790.6</v>
      </c>
      <c r="E904" s="6">
        <v>5854.1</v>
      </c>
      <c r="F904" s="8">
        <v>2747206000</v>
      </c>
      <c r="G904" s="8">
        <v>19172700000</v>
      </c>
    </row>
    <row r="905" spans="1:7" x14ac:dyDescent="0.25">
      <c r="A905" s="7">
        <v>42853</v>
      </c>
      <c r="B905" s="6">
        <v>5854.1</v>
      </c>
      <c r="C905" s="6">
        <v>5924.2</v>
      </c>
      <c r="D905" s="6">
        <v>5853.8</v>
      </c>
      <c r="E905" s="6">
        <v>5924.1</v>
      </c>
      <c r="F905" s="8">
        <v>2452967000</v>
      </c>
      <c r="G905" s="8">
        <v>19224710000</v>
      </c>
    </row>
    <row r="906" spans="1:7" x14ac:dyDescent="0.25">
      <c r="A906" s="7">
        <v>42860</v>
      </c>
      <c r="B906" s="6">
        <v>5924.1</v>
      </c>
      <c r="C906" s="6">
        <v>5956.5</v>
      </c>
      <c r="D906" s="6">
        <v>5827.2</v>
      </c>
      <c r="E906" s="6">
        <v>5836.6</v>
      </c>
      <c r="F906" s="8">
        <v>3542467000</v>
      </c>
      <c r="G906" s="8">
        <v>26468320000</v>
      </c>
    </row>
    <row r="907" spans="1:7" x14ac:dyDescent="0.25">
      <c r="A907" s="7">
        <v>42867</v>
      </c>
      <c r="B907" s="6">
        <v>5836.6</v>
      </c>
      <c r="C907" s="6">
        <v>5922.5</v>
      </c>
      <c r="D907" s="6">
        <v>5815.6</v>
      </c>
      <c r="E907" s="6">
        <v>5836.9</v>
      </c>
      <c r="F907" s="8">
        <v>3510308000</v>
      </c>
      <c r="G907" s="8">
        <v>27564320000</v>
      </c>
    </row>
    <row r="908" spans="1:7" x14ac:dyDescent="0.25">
      <c r="A908" s="7">
        <v>42874</v>
      </c>
      <c r="B908" s="6">
        <v>5836.9</v>
      </c>
      <c r="C908" s="6">
        <v>5871.6</v>
      </c>
      <c r="D908" s="6">
        <v>5697.6</v>
      </c>
      <c r="E908" s="6">
        <v>5727.4</v>
      </c>
      <c r="F908" s="8">
        <v>3264656000</v>
      </c>
      <c r="G908" s="8">
        <v>24216230000</v>
      </c>
    </row>
    <row r="909" spans="1:7" x14ac:dyDescent="0.25">
      <c r="A909" s="7">
        <v>42881</v>
      </c>
      <c r="B909" s="6">
        <v>5727.4</v>
      </c>
      <c r="C909" s="6">
        <v>5795.7</v>
      </c>
      <c r="D909" s="6">
        <v>5727.4</v>
      </c>
      <c r="E909" s="6">
        <v>5751.7</v>
      </c>
      <c r="F909" s="8">
        <v>3031933000</v>
      </c>
      <c r="G909" s="8">
        <v>23127210000</v>
      </c>
    </row>
    <row r="910" spans="1:7" x14ac:dyDescent="0.25">
      <c r="A910" s="7">
        <v>42888</v>
      </c>
      <c r="B910" s="6">
        <v>5751.2</v>
      </c>
      <c r="C910" s="6">
        <v>5793.7</v>
      </c>
      <c r="D910" s="6">
        <v>5679.8</v>
      </c>
      <c r="E910" s="6">
        <v>5788.1</v>
      </c>
      <c r="F910" s="8">
        <v>3138476000</v>
      </c>
      <c r="G910" s="8">
        <v>24694480000</v>
      </c>
    </row>
    <row r="911" spans="1:7" x14ac:dyDescent="0.25">
      <c r="A911" s="7">
        <v>42895</v>
      </c>
      <c r="B911" s="6">
        <v>5788.1</v>
      </c>
      <c r="C911" s="6">
        <v>5788.1</v>
      </c>
      <c r="D911" s="6">
        <v>5629.8</v>
      </c>
      <c r="E911" s="6">
        <v>5677.8</v>
      </c>
      <c r="F911" s="8">
        <v>3123952000</v>
      </c>
      <c r="G911" s="8">
        <v>23411640000</v>
      </c>
    </row>
    <row r="912" spans="1:7" x14ac:dyDescent="0.25">
      <c r="A912" s="7">
        <v>42902</v>
      </c>
      <c r="B912" s="6">
        <v>5677.8</v>
      </c>
      <c r="C912" s="6">
        <v>5836.4</v>
      </c>
      <c r="D912" s="6">
        <v>5677.8</v>
      </c>
      <c r="E912" s="6">
        <v>5774</v>
      </c>
      <c r="F912" s="8">
        <v>3985856000</v>
      </c>
      <c r="G912" s="8">
        <v>30291540000</v>
      </c>
    </row>
    <row r="913" spans="1:7" x14ac:dyDescent="0.25">
      <c r="A913" s="7">
        <v>42909</v>
      </c>
      <c r="B913" s="6">
        <v>5774</v>
      </c>
      <c r="C913" s="6">
        <v>5809.3</v>
      </c>
      <c r="D913" s="6">
        <v>5665.3</v>
      </c>
      <c r="E913" s="6">
        <v>5715.9</v>
      </c>
      <c r="F913" s="8">
        <v>3036077000</v>
      </c>
      <c r="G913" s="8">
        <v>22779970000</v>
      </c>
    </row>
    <row r="914" spans="1:7" x14ac:dyDescent="0.25">
      <c r="A914" s="7">
        <v>42916</v>
      </c>
      <c r="B914" s="6">
        <v>5715.9</v>
      </c>
      <c r="C914" s="6">
        <v>5819.7</v>
      </c>
      <c r="D914" s="6">
        <v>5685.2</v>
      </c>
      <c r="E914" s="6">
        <v>5721.5</v>
      </c>
      <c r="F914" s="8">
        <v>3356918000</v>
      </c>
      <c r="G914" s="8">
        <v>25778130000</v>
      </c>
    </row>
    <row r="915" spans="1:7" x14ac:dyDescent="0.25">
      <c r="A915" s="7">
        <v>42923</v>
      </c>
      <c r="B915" s="6">
        <v>5721.5</v>
      </c>
      <c r="C915" s="6">
        <v>5792</v>
      </c>
      <c r="D915" s="6">
        <v>5676</v>
      </c>
      <c r="E915" s="6">
        <v>5703.6</v>
      </c>
      <c r="F915" s="8">
        <v>2882244000</v>
      </c>
      <c r="G915" s="8">
        <v>21589130000</v>
      </c>
    </row>
    <row r="916" spans="1:7" x14ac:dyDescent="0.25">
      <c r="A916" s="7">
        <v>42930</v>
      </c>
      <c r="B916" s="6">
        <v>5703.6</v>
      </c>
      <c r="C916" s="6">
        <v>5778.8</v>
      </c>
      <c r="D916" s="6">
        <v>5665.6</v>
      </c>
      <c r="E916" s="6">
        <v>5765.1</v>
      </c>
      <c r="F916" s="8">
        <v>2771025000</v>
      </c>
      <c r="G916" s="8">
        <v>20985480000</v>
      </c>
    </row>
    <row r="917" spans="1:7" x14ac:dyDescent="0.25">
      <c r="A917" s="7">
        <v>42937</v>
      </c>
      <c r="B917" s="6">
        <v>5765.1</v>
      </c>
      <c r="C917" s="6">
        <v>5773.7</v>
      </c>
      <c r="D917" s="6">
        <v>5678.7</v>
      </c>
      <c r="E917" s="6">
        <v>5722.8</v>
      </c>
      <c r="F917" s="8">
        <v>2799117000</v>
      </c>
      <c r="G917" s="8">
        <v>21466670000</v>
      </c>
    </row>
    <row r="918" spans="1:7" x14ac:dyDescent="0.25">
      <c r="A918" s="7">
        <v>42944</v>
      </c>
      <c r="B918" s="6">
        <v>5722.8</v>
      </c>
      <c r="C918" s="6">
        <v>5799.6</v>
      </c>
      <c r="D918" s="6">
        <v>5653.3</v>
      </c>
      <c r="E918" s="6">
        <v>5702.8</v>
      </c>
      <c r="F918" s="8">
        <v>2791129000</v>
      </c>
      <c r="G918" s="8">
        <v>20642260000</v>
      </c>
    </row>
    <row r="919" spans="1:7" x14ac:dyDescent="0.25">
      <c r="A919" s="7">
        <v>42951</v>
      </c>
      <c r="B919" s="6">
        <v>5702.8</v>
      </c>
      <c r="C919" s="6">
        <v>5779.6</v>
      </c>
      <c r="D919" s="6">
        <v>5701.8</v>
      </c>
      <c r="E919" s="6">
        <v>5720.6</v>
      </c>
      <c r="F919" s="8">
        <v>2855582000</v>
      </c>
      <c r="G919" s="8">
        <v>21164450000</v>
      </c>
    </row>
    <row r="920" spans="1:7" x14ac:dyDescent="0.25">
      <c r="A920" s="7">
        <v>42958</v>
      </c>
      <c r="B920" s="6">
        <v>5720.6</v>
      </c>
      <c r="C920" s="6">
        <v>5795.5</v>
      </c>
      <c r="D920" s="6">
        <v>5674</v>
      </c>
      <c r="E920" s="6">
        <v>5693.1</v>
      </c>
      <c r="F920" s="8">
        <v>2553893000</v>
      </c>
      <c r="G920" s="8">
        <v>19684930000</v>
      </c>
    </row>
    <row r="921" spans="1:7" x14ac:dyDescent="0.25">
      <c r="A921" s="7">
        <v>42965</v>
      </c>
      <c r="B921" s="6">
        <v>5693.1</v>
      </c>
      <c r="C921" s="6">
        <v>5806.3</v>
      </c>
      <c r="D921" s="6">
        <v>5693.1</v>
      </c>
      <c r="E921" s="6">
        <v>5747.1</v>
      </c>
      <c r="F921" s="8">
        <v>2922916000</v>
      </c>
      <c r="G921" s="8">
        <v>22850730000</v>
      </c>
    </row>
    <row r="922" spans="1:7" x14ac:dyDescent="0.25">
      <c r="A922" s="7">
        <v>42972</v>
      </c>
      <c r="B922" s="6">
        <v>5747.1</v>
      </c>
      <c r="C922" s="6">
        <v>5781.4</v>
      </c>
      <c r="D922" s="6">
        <v>5699</v>
      </c>
      <c r="E922" s="6">
        <v>5743.9</v>
      </c>
      <c r="F922" s="8">
        <v>3447908000</v>
      </c>
      <c r="G922" s="8">
        <v>25258050000</v>
      </c>
    </row>
    <row r="923" spans="1:7" x14ac:dyDescent="0.25">
      <c r="A923" s="7">
        <v>42979</v>
      </c>
      <c r="B923" s="6">
        <v>5743.9</v>
      </c>
      <c r="C923" s="6">
        <v>5746.3</v>
      </c>
      <c r="D923" s="6">
        <v>5645.8</v>
      </c>
      <c r="E923" s="6">
        <v>5724.6</v>
      </c>
      <c r="F923" s="8">
        <v>3247003000</v>
      </c>
      <c r="G923" s="8">
        <v>23274110000</v>
      </c>
    </row>
    <row r="924" spans="1:7" x14ac:dyDescent="0.25">
      <c r="A924" s="7">
        <v>42986</v>
      </c>
      <c r="B924" s="6">
        <v>5724.6</v>
      </c>
      <c r="C924" s="6">
        <v>5724.6</v>
      </c>
      <c r="D924" s="6">
        <v>5661.4</v>
      </c>
      <c r="E924" s="6">
        <v>5672.6</v>
      </c>
      <c r="F924" s="8">
        <v>2532235000</v>
      </c>
      <c r="G924" s="8">
        <v>19065860000</v>
      </c>
    </row>
    <row r="925" spans="1:7" x14ac:dyDescent="0.25">
      <c r="A925" s="7">
        <v>42993</v>
      </c>
      <c r="B925" s="6">
        <v>5672.8</v>
      </c>
      <c r="C925" s="6">
        <v>5777.7</v>
      </c>
      <c r="D925" s="6">
        <v>5669.8</v>
      </c>
      <c r="E925" s="6">
        <v>5695</v>
      </c>
      <c r="F925" s="8">
        <v>2771038000</v>
      </c>
      <c r="G925" s="8">
        <v>20892580000</v>
      </c>
    </row>
    <row r="926" spans="1:7" x14ac:dyDescent="0.25">
      <c r="A926" s="7">
        <v>43000</v>
      </c>
      <c r="B926" s="6">
        <v>5695</v>
      </c>
      <c r="C926" s="6">
        <v>5742.2</v>
      </c>
      <c r="D926" s="6">
        <v>5639.4</v>
      </c>
      <c r="E926" s="6">
        <v>5682.1</v>
      </c>
      <c r="F926" s="8">
        <v>2633790000</v>
      </c>
      <c r="G926" s="8">
        <v>19902060000</v>
      </c>
    </row>
    <row r="927" spans="1:7" x14ac:dyDescent="0.25">
      <c r="A927" s="7">
        <v>43007</v>
      </c>
      <c r="B927" s="6">
        <v>5682.1</v>
      </c>
      <c r="C927" s="6">
        <v>5710.4</v>
      </c>
      <c r="D927" s="6">
        <v>5649.1</v>
      </c>
      <c r="E927" s="6">
        <v>5681.6</v>
      </c>
      <c r="F927" s="8">
        <v>2589911000</v>
      </c>
      <c r="G927" s="8">
        <v>20858500000</v>
      </c>
    </row>
    <row r="928" spans="1:7" x14ac:dyDescent="0.25">
      <c r="A928" s="7">
        <v>43014</v>
      </c>
      <c r="B928" s="6">
        <v>5681.6</v>
      </c>
      <c r="C928" s="6">
        <v>5751</v>
      </c>
      <c r="D928" s="6">
        <v>5650.9</v>
      </c>
      <c r="E928" s="6">
        <v>5710.7</v>
      </c>
      <c r="F928" s="8">
        <v>2289661000</v>
      </c>
      <c r="G928" s="8">
        <v>16596690000</v>
      </c>
    </row>
    <row r="929" spans="1:7" x14ac:dyDescent="0.25">
      <c r="A929" s="7">
        <v>43021</v>
      </c>
      <c r="B929" s="6">
        <v>5710.8</v>
      </c>
      <c r="C929" s="6">
        <v>5825.2</v>
      </c>
      <c r="D929" s="6">
        <v>5710.8</v>
      </c>
      <c r="E929" s="6">
        <v>5814.2</v>
      </c>
      <c r="F929" s="8">
        <v>2323485000</v>
      </c>
      <c r="G929" s="8">
        <v>17493850000</v>
      </c>
    </row>
    <row r="930" spans="1:7" x14ac:dyDescent="0.25">
      <c r="A930" s="7">
        <v>43028</v>
      </c>
      <c r="B930" s="6">
        <v>5814.2</v>
      </c>
      <c r="C930" s="6">
        <v>5924.9</v>
      </c>
      <c r="D930" s="6">
        <v>5814.2</v>
      </c>
      <c r="E930" s="6">
        <v>5907</v>
      </c>
      <c r="F930" s="8">
        <v>2625644000</v>
      </c>
      <c r="G930" s="8">
        <v>20044340000</v>
      </c>
    </row>
    <row r="931" spans="1:7" x14ac:dyDescent="0.25">
      <c r="A931" s="7">
        <v>43035</v>
      </c>
      <c r="B931" s="6">
        <v>5907</v>
      </c>
      <c r="C931" s="6">
        <v>5938.1</v>
      </c>
      <c r="D931" s="6">
        <v>5859.2</v>
      </c>
      <c r="E931" s="6">
        <v>5903.2</v>
      </c>
      <c r="F931" s="8">
        <v>2662808000</v>
      </c>
      <c r="G931" s="8">
        <v>20567970000</v>
      </c>
    </row>
    <row r="932" spans="1:7" x14ac:dyDescent="0.25">
      <c r="A932" s="7">
        <v>43042</v>
      </c>
      <c r="B932" s="6">
        <v>5903.6</v>
      </c>
      <c r="C932" s="6">
        <v>5968.2</v>
      </c>
      <c r="D932" s="6">
        <v>5903.6</v>
      </c>
      <c r="E932" s="6">
        <v>5959.9</v>
      </c>
      <c r="F932" s="8">
        <v>2618860000</v>
      </c>
      <c r="G932" s="8">
        <v>20583660000</v>
      </c>
    </row>
    <row r="933" spans="1:7" x14ac:dyDescent="0.25">
      <c r="A933" s="7">
        <v>43049</v>
      </c>
      <c r="B933" s="6">
        <v>5959.9</v>
      </c>
      <c r="C933" s="6">
        <v>6052.1</v>
      </c>
      <c r="D933" s="6">
        <v>5945.7</v>
      </c>
      <c r="E933" s="6">
        <v>6029.4</v>
      </c>
      <c r="F933" s="8">
        <v>2438894000</v>
      </c>
      <c r="G933" s="8">
        <v>20760670000</v>
      </c>
    </row>
    <row r="934" spans="1:7" x14ac:dyDescent="0.25">
      <c r="A934" s="7">
        <v>43056</v>
      </c>
      <c r="B934" s="6">
        <v>6029.4</v>
      </c>
      <c r="C934" s="6">
        <v>6029.4</v>
      </c>
      <c r="D934" s="6">
        <v>5916.1</v>
      </c>
      <c r="E934" s="6">
        <v>5957.3</v>
      </c>
      <c r="F934" s="8">
        <v>2703910000</v>
      </c>
      <c r="G934" s="8">
        <v>23422550000</v>
      </c>
    </row>
    <row r="935" spans="1:7" x14ac:dyDescent="0.25">
      <c r="A935" s="7">
        <v>43063</v>
      </c>
      <c r="B935" s="6">
        <v>5957.3</v>
      </c>
      <c r="C935" s="6">
        <v>5998.1</v>
      </c>
      <c r="D935" s="6">
        <v>5922.6</v>
      </c>
      <c r="E935" s="6">
        <v>5982.6</v>
      </c>
      <c r="F935" s="8">
        <v>2428465000</v>
      </c>
      <c r="G935" s="8">
        <v>21157480000</v>
      </c>
    </row>
    <row r="936" spans="1:7" x14ac:dyDescent="0.25">
      <c r="A936" s="7">
        <v>43070</v>
      </c>
      <c r="B936" s="6">
        <v>5982.6</v>
      </c>
      <c r="C936" s="6">
        <v>6031.4</v>
      </c>
      <c r="D936" s="6">
        <v>5949.2</v>
      </c>
      <c r="E936" s="6">
        <v>5989.8</v>
      </c>
      <c r="F936" s="8">
        <v>3028120000</v>
      </c>
      <c r="G936" s="8">
        <v>25275720000</v>
      </c>
    </row>
    <row r="937" spans="1:7" x14ac:dyDescent="0.25">
      <c r="A937" s="7">
        <v>43077</v>
      </c>
      <c r="B937" s="6">
        <v>5989.8</v>
      </c>
      <c r="C937" s="6">
        <v>6012</v>
      </c>
      <c r="D937" s="6">
        <v>5938.7</v>
      </c>
      <c r="E937" s="6">
        <v>5994.4</v>
      </c>
      <c r="F937" s="8">
        <v>2747216000</v>
      </c>
      <c r="G937" s="8">
        <v>21635440000</v>
      </c>
    </row>
    <row r="938" spans="1:7" x14ac:dyDescent="0.25">
      <c r="A938" s="7">
        <v>43084</v>
      </c>
      <c r="B938" s="6">
        <v>5994.4</v>
      </c>
      <c r="C938" s="6">
        <v>6043.4</v>
      </c>
      <c r="D938" s="6">
        <v>5989.8</v>
      </c>
      <c r="E938" s="6">
        <v>5997</v>
      </c>
      <c r="F938" s="8">
        <v>3345833000</v>
      </c>
      <c r="G938" s="8">
        <v>24857330000</v>
      </c>
    </row>
    <row r="939" spans="1:7" x14ac:dyDescent="0.25">
      <c r="A939" s="7">
        <v>43091</v>
      </c>
      <c r="B939" s="6">
        <v>5997</v>
      </c>
      <c r="C939" s="6">
        <v>6087.2</v>
      </c>
      <c r="D939" s="6">
        <v>5997</v>
      </c>
      <c r="E939" s="6">
        <v>6069.7</v>
      </c>
      <c r="F939" s="8">
        <v>3077338000</v>
      </c>
      <c r="G939" s="8">
        <v>25497750000</v>
      </c>
    </row>
    <row r="940" spans="1:7" x14ac:dyDescent="0.25">
      <c r="A940" s="7">
        <v>43098</v>
      </c>
      <c r="B940" s="6">
        <v>6069.7</v>
      </c>
      <c r="C940" s="6">
        <v>6092.8</v>
      </c>
      <c r="D940" s="6">
        <v>6051.6</v>
      </c>
      <c r="E940" s="6">
        <v>6065.1</v>
      </c>
      <c r="F940" s="8">
        <v>847752400</v>
      </c>
      <c r="G940" s="8">
        <v>6613778000</v>
      </c>
    </row>
    <row r="941" spans="1:7" x14ac:dyDescent="0.25">
      <c r="A941" s="7">
        <v>43105</v>
      </c>
      <c r="B941" s="6">
        <v>6065.1</v>
      </c>
      <c r="C941" s="6">
        <v>6124.8</v>
      </c>
      <c r="D941" s="6">
        <v>6035.8</v>
      </c>
      <c r="E941" s="6">
        <v>6122.3</v>
      </c>
      <c r="F941" s="8">
        <v>1401107000</v>
      </c>
      <c r="G941" s="8">
        <v>11050380000</v>
      </c>
    </row>
    <row r="942" spans="1:7" x14ac:dyDescent="0.25">
      <c r="A942" s="7">
        <v>43112</v>
      </c>
      <c r="B942" s="6">
        <v>6122.3</v>
      </c>
      <c r="C942" s="6">
        <v>6150</v>
      </c>
      <c r="D942" s="6">
        <v>6053.9</v>
      </c>
      <c r="E942" s="6">
        <v>6070.1</v>
      </c>
      <c r="F942" s="8">
        <v>2318966000</v>
      </c>
      <c r="G942" s="8">
        <v>18442470000</v>
      </c>
    </row>
    <row r="943" spans="1:7" x14ac:dyDescent="0.25">
      <c r="A943" s="7">
        <v>43119</v>
      </c>
      <c r="B943" s="6">
        <v>6070.1</v>
      </c>
      <c r="C943" s="6">
        <v>6103.6</v>
      </c>
      <c r="D943" s="6">
        <v>6002.2</v>
      </c>
      <c r="E943" s="6">
        <v>6005.8</v>
      </c>
      <c r="F943" s="8">
        <v>2454795000</v>
      </c>
      <c r="G943" s="8">
        <v>18387000000</v>
      </c>
    </row>
    <row r="944" spans="1:7" x14ac:dyDescent="0.25">
      <c r="A944" s="7">
        <v>43125</v>
      </c>
      <c r="B944" s="6">
        <v>6005.8</v>
      </c>
      <c r="C944" s="6">
        <v>6066.3</v>
      </c>
      <c r="D944" s="6">
        <v>5991.9</v>
      </c>
      <c r="E944" s="6">
        <v>6050</v>
      </c>
      <c r="F944" s="8">
        <v>1957722000</v>
      </c>
      <c r="G944" s="8">
        <v>16041480000</v>
      </c>
    </row>
    <row r="945" spans="1:7" x14ac:dyDescent="0.25">
      <c r="A945" s="7">
        <v>43133</v>
      </c>
      <c r="B945" s="6">
        <v>6050</v>
      </c>
      <c r="C945" s="6">
        <v>6121.4</v>
      </c>
      <c r="D945" s="6">
        <v>5993.6</v>
      </c>
      <c r="E945" s="6">
        <v>6121.4</v>
      </c>
      <c r="F945" s="8">
        <v>2818948000</v>
      </c>
      <c r="G945" s="8">
        <v>22530210000</v>
      </c>
    </row>
    <row r="946" spans="1:7" x14ac:dyDescent="0.25">
      <c r="A946" s="7">
        <v>43140</v>
      </c>
      <c r="B946" s="6">
        <v>6121.4</v>
      </c>
      <c r="C946" s="6">
        <v>6121.4</v>
      </c>
      <c r="D946" s="6">
        <v>5786.8</v>
      </c>
      <c r="E946" s="6">
        <v>5838</v>
      </c>
      <c r="F946" s="8">
        <v>3558862000</v>
      </c>
      <c r="G946" s="8">
        <v>28971580000</v>
      </c>
    </row>
    <row r="947" spans="1:7" x14ac:dyDescent="0.25">
      <c r="A947" s="7">
        <v>43147</v>
      </c>
      <c r="B947" s="6">
        <v>5838</v>
      </c>
      <c r="C947" s="6">
        <v>5938.1</v>
      </c>
      <c r="D947" s="6">
        <v>5791.3</v>
      </c>
      <c r="E947" s="6">
        <v>5904</v>
      </c>
      <c r="F947" s="8">
        <v>2988575000</v>
      </c>
      <c r="G947" s="8">
        <v>22915190000</v>
      </c>
    </row>
    <row r="948" spans="1:7" x14ac:dyDescent="0.25">
      <c r="A948" s="7">
        <v>43154</v>
      </c>
      <c r="B948" s="6">
        <v>5904.4</v>
      </c>
      <c r="C948" s="6">
        <v>6003.4</v>
      </c>
      <c r="D948" s="6">
        <v>5890.2</v>
      </c>
      <c r="E948" s="6">
        <v>5999.8</v>
      </c>
      <c r="F948" s="8">
        <v>3199269000</v>
      </c>
      <c r="G948" s="8">
        <v>25757920000</v>
      </c>
    </row>
    <row r="949" spans="1:7" x14ac:dyDescent="0.25">
      <c r="A949" s="7">
        <v>43161</v>
      </c>
      <c r="B949" s="6">
        <v>5999.8</v>
      </c>
      <c r="C949" s="6">
        <v>6083</v>
      </c>
      <c r="D949" s="6">
        <v>5902.2</v>
      </c>
      <c r="E949" s="6">
        <v>5928.9</v>
      </c>
      <c r="F949" s="8">
        <v>3316271000</v>
      </c>
      <c r="G949" s="8">
        <v>26715230000</v>
      </c>
    </row>
    <row r="950" spans="1:7" x14ac:dyDescent="0.25">
      <c r="A950" s="7">
        <v>43168</v>
      </c>
      <c r="B950" s="6">
        <v>5928.9</v>
      </c>
      <c r="C950" s="6">
        <v>5979.5</v>
      </c>
      <c r="D950" s="6">
        <v>5886.5</v>
      </c>
      <c r="E950" s="6">
        <v>5963.2</v>
      </c>
      <c r="F950" s="8">
        <v>2802410000</v>
      </c>
      <c r="G950" s="8">
        <v>21874230000</v>
      </c>
    </row>
    <row r="951" spans="1:7" x14ac:dyDescent="0.25">
      <c r="A951" s="7">
        <v>43175</v>
      </c>
      <c r="B951" s="6">
        <v>5971.3</v>
      </c>
      <c r="C951" s="6">
        <v>6026.1</v>
      </c>
      <c r="D951" s="6">
        <v>5906.1</v>
      </c>
      <c r="E951" s="6">
        <v>5949.4</v>
      </c>
      <c r="F951" s="8">
        <v>3333648000</v>
      </c>
      <c r="G951" s="8">
        <v>26002790000</v>
      </c>
    </row>
    <row r="952" spans="1:7" x14ac:dyDescent="0.25">
      <c r="A952" s="7">
        <v>43182</v>
      </c>
      <c r="B952" s="6">
        <v>5949.4</v>
      </c>
      <c r="C952" s="6">
        <v>5982.5</v>
      </c>
      <c r="D952" s="6">
        <v>5808.1</v>
      </c>
      <c r="E952" s="6">
        <v>5820.7</v>
      </c>
      <c r="F952" s="8">
        <v>2742764000</v>
      </c>
      <c r="G952" s="8">
        <v>21074370000</v>
      </c>
    </row>
    <row r="953" spans="1:7" x14ac:dyDescent="0.25">
      <c r="A953" s="7">
        <v>43188</v>
      </c>
      <c r="B953" s="6">
        <v>5820.7</v>
      </c>
      <c r="C953" s="6">
        <v>5837.5</v>
      </c>
      <c r="D953" s="6">
        <v>5752.7</v>
      </c>
      <c r="E953" s="6">
        <v>5759.4</v>
      </c>
      <c r="F953" s="8">
        <v>2336686000</v>
      </c>
      <c r="G953" s="8">
        <v>19863050000</v>
      </c>
    </row>
    <row r="954" spans="1:7" x14ac:dyDescent="0.25">
      <c r="A954" s="7">
        <v>43196</v>
      </c>
      <c r="B954" s="6">
        <v>5759.4</v>
      </c>
      <c r="C954" s="6">
        <v>5806</v>
      </c>
      <c r="D954" s="6">
        <v>5724.8</v>
      </c>
      <c r="E954" s="6">
        <v>5788.7</v>
      </c>
      <c r="F954" s="8">
        <v>2006425000</v>
      </c>
      <c r="G954" s="8">
        <v>16233210000</v>
      </c>
    </row>
    <row r="955" spans="1:7" x14ac:dyDescent="0.25">
      <c r="A955" s="7">
        <v>43203</v>
      </c>
      <c r="B955" s="6">
        <v>5788.7</v>
      </c>
      <c r="C955" s="6">
        <v>5864</v>
      </c>
      <c r="D955" s="6">
        <v>5771.1</v>
      </c>
      <c r="E955" s="6">
        <v>5829.1</v>
      </c>
      <c r="F955" s="8">
        <v>2378918000</v>
      </c>
      <c r="G955" s="8">
        <v>18230470000</v>
      </c>
    </row>
    <row r="956" spans="1:7" x14ac:dyDescent="0.25">
      <c r="A956" s="7">
        <v>43210</v>
      </c>
      <c r="B956" s="6">
        <v>5829.1</v>
      </c>
      <c r="C956" s="6">
        <v>5902.9</v>
      </c>
      <c r="D956" s="6">
        <v>5829.1</v>
      </c>
      <c r="E956" s="6">
        <v>5868.8</v>
      </c>
      <c r="F956" s="8">
        <v>2492938000</v>
      </c>
      <c r="G956" s="8">
        <v>18736470000</v>
      </c>
    </row>
    <row r="957" spans="1:7" x14ac:dyDescent="0.25">
      <c r="A957" s="7">
        <v>43217</v>
      </c>
      <c r="B957" s="6">
        <v>5868.8</v>
      </c>
      <c r="C957" s="6">
        <v>5953.6</v>
      </c>
      <c r="D957" s="6">
        <v>5868.8</v>
      </c>
      <c r="E957" s="6">
        <v>5953.6</v>
      </c>
      <c r="F957" s="8">
        <v>2499638000</v>
      </c>
      <c r="G957" s="8">
        <v>20763680000</v>
      </c>
    </row>
    <row r="958" spans="1:7" x14ac:dyDescent="0.25">
      <c r="A958" s="7">
        <v>43224</v>
      </c>
      <c r="B958" s="6">
        <v>5953.6</v>
      </c>
      <c r="C958" s="6">
        <v>6109.7</v>
      </c>
      <c r="D958" s="6">
        <v>5945.6</v>
      </c>
      <c r="E958" s="6">
        <v>6062.9</v>
      </c>
      <c r="F958" s="8">
        <v>3116735000</v>
      </c>
      <c r="G958" s="8">
        <v>24670210000</v>
      </c>
    </row>
    <row r="959" spans="1:7" x14ac:dyDescent="0.25">
      <c r="A959" s="7">
        <v>43231</v>
      </c>
      <c r="B959" s="6">
        <v>6063.2</v>
      </c>
      <c r="C959" s="6">
        <v>6145.2</v>
      </c>
      <c r="D959" s="6">
        <v>6063.2</v>
      </c>
      <c r="E959" s="6">
        <v>6116.2</v>
      </c>
      <c r="F959" s="8">
        <v>2634829000</v>
      </c>
      <c r="G959" s="8">
        <v>23143450000</v>
      </c>
    </row>
    <row r="960" spans="1:7" x14ac:dyDescent="0.25">
      <c r="A960" s="7">
        <v>43238</v>
      </c>
      <c r="B960" s="6">
        <v>6116.2</v>
      </c>
      <c r="C960" s="6">
        <v>6146.8</v>
      </c>
      <c r="D960" s="6">
        <v>6077.6</v>
      </c>
      <c r="E960" s="6">
        <v>6087.4</v>
      </c>
      <c r="F960" s="8">
        <v>2966533000</v>
      </c>
      <c r="G960" s="8">
        <v>25259290000</v>
      </c>
    </row>
    <row r="961" spans="1:7" x14ac:dyDescent="0.25">
      <c r="A961" s="7">
        <v>43245</v>
      </c>
      <c r="B961" s="6">
        <v>6087.4</v>
      </c>
      <c r="C961" s="6">
        <v>6094.9</v>
      </c>
      <c r="D961" s="6">
        <v>6011.9</v>
      </c>
      <c r="E961" s="6">
        <v>6032.8</v>
      </c>
      <c r="F961" s="8">
        <v>2608796000</v>
      </c>
      <c r="G961" s="8">
        <v>22210670000</v>
      </c>
    </row>
    <row r="962" spans="1:7" x14ac:dyDescent="0.25">
      <c r="A962" s="7">
        <v>43252</v>
      </c>
      <c r="B962" s="6">
        <v>6032.8</v>
      </c>
      <c r="C962" s="6">
        <v>6032.8</v>
      </c>
      <c r="D962" s="6">
        <v>5964.1</v>
      </c>
      <c r="E962" s="6">
        <v>5990.4</v>
      </c>
      <c r="F962" s="8">
        <v>3117594000</v>
      </c>
      <c r="G962" s="8">
        <v>25731030000</v>
      </c>
    </row>
    <row r="963" spans="1:7" x14ac:dyDescent="0.25">
      <c r="A963" s="7">
        <v>43259</v>
      </c>
      <c r="B963" s="6">
        <v>5990.4</v>
      </c>
      <c r="C963" s="6">
        <v>6070.7</v>
      </c>
      <c r="D963" s="6">
        <v>5982.2</v>
      </c>
      <c r="E963" s="6">
        <v>6045.2</v>
      </c>
      <c r="F963" s="8">
        <v>2707246000</v>
      </c>
      <c r="G963" s="8">
        <v>21174560000</v>
      </c>
    </row>
    <row r="964" spans="1:7" x14ac:dyDescent="0.25">
      <c r="A964" s="7">
        <v>43266</v>
      </c>
      <c r="B964" s="6">
        <v>6045.2</v>
      </c>
      <c r="C964" s="6">
        <v>6100.1</v>
      </c>
      <c r="D964" s="6">
        <v>6007.5</v>
      </c>
      <c r="E964" s="6">
        <v>6094</v>
      </c>
      <c r="F964" s="8">
        <v>2866714000</v>
      </c>
      <c r="G964" s="8">
        <v>23243040000</v>
      </c>
    </row>
    <row r="965" spans="1:7" x14ac:dyDescent="0.25">
      <c r="A965" s="7">
        <v>43273</v>
      </c>
      <c r="B965" s="6">
        <v>6094</v>
      </c>
      <c r="C965" s="6">
        <v>6249.3</v>
      </c>
      <c r="D965" s="6">
        <v>6085.2</v>
      </c>
      <c r="E965" s="6">
        <v>6225.2</v>
      </c>
      <c r="F965" s="8">
        <v>3201329000</v>
      </c>
      <c r="G965" s="8">
        <v>27927380000</v>
      </c>
    </row>
    <row r="966" spans="1:7" x14ac:dyDescent="0.25">
      <c r="A966" s="7">
        <v>43280</v>
      </c>
      <c r="B966" s="6">
        <v>6225.7</v>
      </c>
      <c r="C966" s="6">
        <v>6250.8</v>
      </c>
      <c r="D966" s="6">
        <v>6161.1</v>
      </c>
      <c r="E966" s="6">
        <v>6194.6</v>
      </c>
      <c r="F966" s="8">
        <v>3027047000</v>
      </c>
      <c r="G966" s="8">
        <v>26408400000</v>
      </c>
    </row>
    <row r="967" spans="1:7" x14ac:dyDescent="0.25">
      <c r="A967" s="7">
        <v>43287</v>
      </c>
      <c r="B967" s="6">
        <v>6194.6</v>
      </c>
      <c r="C967" s="6">
        <v>6273.5</v>
      </c>
      <c r="D967" s="6">
        <v>6174.4</v>
      </c>
      <c r="E967" s="6">
        <v>6272.3</v>
      </c>
      <c r="F967" s="8">
        <v>2562525000</v>
      </c>
      <c r="G967" s="8">
        <v>21294730000</v>
      </c>
    </row>
    <row r="968" spans="1:7" x14ac:dyDescent="0.25">
      <c r="A968" s="7">
        <v>43294</v>
      </c>
      <c r="B968" s="6">
        <v>6272.3</v>
      </c>
      <c r="C968" s="6">
        <v>6306.1</v>
      </c>
      <c r="D968" s="6">
        <v>6209.6</v>
      </c>
      <c r="E968" s="6">
        <v>6268.4</v>
      </c>
      <c r="F968" s="8">
        <v>2404457000</v>
      </c>
      <c r="G968" s="8">
        <v>21487760000</v>
      </c>
    </row>
    <row r="969" spans="1:7" x14ac:dyDescent="0.25">
      <c r="A969" s="7">
        <v>43301</v>
      </c>
      <c r="B969" s="6">
        <v>6267.6</v>
      </c>
      <c r="C969" s="6">
        <v>6297.9</v>
      </c>
      <c r="D969" s="6">
        <v>6199.9</v>
      </c>
      <c r="E969" s="6">
        <v>6285.9</v>
      </c>
      <c r="F969" s="8">
        <v>2346526000</v>
      </c>
      <c r="G969" s="8">
        <v>19424570000</v>
      </c>
    </row>
    <row r="970" spans="1:7" x14ac:dyDescent="0.25">
      <c r="A970" s="7">
        <v>43308</v>
      </c>
      <c r="B970" s="6">
        <v>6285.9</v>
      </c>
      <c r="C970" s="6">
        <v>6302.3</v>
      </c>
      <c r="D970" s="6">
        <v>6214.5</v>
      </c>
      <c r="E970" s="6">
        <v>6300.2</v>
      </c>
      <c r="F970" s="8">
        <v>2861114000</v>
      </c>
      <c r="G970" s="8">
        <v>23087060000</v>
      </c>
    </row>
    <row r="971" spans="1:7" x14ac:dyDescent="0.25">
      <c r="A971" s="7">
        <v>43315</v>
      </c>
      <c r="B971" s="6">
        <v>6297</v>
      </c>
      <c r="C971" s="6">
        <v>6300.2</v>
      </c>
      <c r="D971" s="6">
        <v>6231.2</v>
      </c>
      <c r="E971" s="6">
        <v>6234.8</v>
      </c>
      <c r="F971" s="8">
        <v>2491210000</v>
      </c>
      <c r="G971" s="8">
        <v>21126760000</v>
      </c>
    </row>
    <row r="972" spans="1:7" x14ac:dyDescent="0.25">
      <c r="A972" s="7">
        <v>43322</v>
      </c>
      <c r="B972" s="6">
        <v>6234.8</v>
      </c>
      <c r="C972" s="6">
        <v>6313.6</v>
      </c>
      <c r="D972" s="6">
        <v>6234.8</v>
      </c>
      <c r="E972" s="6">
        <v>6278.4</v>
      </c>
      <c r="F972" s="8">
        <v>2497179000</v>
      </c>
      <c r="G972" s="8">
        <v>21423740000</v>
      </c>
    </row>
    <row r="973" spans="1:7" x14ac:dyDescent="0.25">
      <c r="A973" s="7">
        <v>43329</v>
      </c>
      <c r="B973" s="6">
        <v>6278.1</v>
      </c>
      <c r="C973" s="6">
        <v>6348.1</v>
      </c>
      <c r="D973" s="6">
        <v>6239.6</v>
      </c>
      <c r="E973" s="6">
        <v>6339.2</v>
      </c>
      <c r="F973" s="8">
        <v>2893839000</v>
      </c>
      <c r="G973" s="8">
        <v>26652850000</v>
      </c>
    </row>
    <row r="974" spans="1:7" x14ac:dyDescent="0.25">
      <c r="A974" s="7">
        <v>43336</v>
      </c>
      <c r="B974" s="6">
        <v>6338.4</v>
      </c>
      <c r="C974" s="6">
        <v>6358</v>
      </c>
      <c r="D974" s="6">
        <v>6238</v>
      </c>
      <c r="E974" s="6">
        <v>6247.3</v>
      </c>
      <c r="F974" s="8">
        <v>3528387000</v>
      </c>
      <c r="G974" s="8">
        <v>28794440000</v>
      </c>
    </row>
    <row r="975" spans="1:7" x14ac:dyDescent="0.25">
      <c r="A975" s="7">
        <v>43343</v>
      </c>
      <c r="B975" s="6">
        <v>6247.5</v>
      </c>
      <c r="C975" s="6">
        <v>6373.5</v>
      </c>
      <c r="D975" s="6">
        <v>6230.9</v>
      </c>
      <c r="E975" s="6">
        <v>6319.5</v>
      </c>
      <c r="F975" s="8">
        <v>3484883000</v>
      </c>
      <c r="G975" s="8">
        <v>29821700000</v>
      </c>
    </row>
    <row r="976" spans="1:7" x14ac:dyDescent="0.25">
      <c r="A976" s="7">
        <v>43350</v>
      </c>
      <c r="B976" s="6">
        <v>6319.5</v>
      </c>
      <c r="C976" s="6">
        <v>6333.7</v>
      </c>
      <c r="D976" s="6">
        <v>6102</v>
      </c>
      <c r="E976" s="6">
        <v>6143.8</v>
      </c>
      <c r="F976" s="8">
        <v>2811572000</v>
      </c>
      <c r="G976" s="8">
        <v>22920200000</v>
      </c>
    </row>
    <row r="977" spans="1:7" x14ac:dyDescent="0.25">
      <c r="A977" s="7">
        <v>43357</v>
      </c>
      <c r="B977" s="6">
        <v>6143.8</v>
      </c>
      <c r="C977" s="6">
        <v>6181.5</v>
      </c>
      <c r="D977" s="6">
        <v>6123.8</v>
      </c>
      <c r="E977" s="6">
        <v>6165.3</v>
      </c>
      <c r="F977" s="8">
        <v>2662308000</v>
      </c>
      <c r="G977" s="8">
        <v>21953540000</v>
      </c>
    </row>
    <row r="978" spans="1:7" x14ac:dyDescent="0.25">
      <c r="A978" s="7">
        <v>43364</v>
      </c>
      <c r="B978" s="6">
        <v>6165.3</v>
      </c>
      <c r="C978" s="6">
        <v>6209.6</v>
      </c>
      <c r="D978" s="6">
        <v>6142.3</v>
      </c>
      <c r="E978" s="6">
        <v>6194.6</v>
      </c>
      <c r="F978" s="8">
        <v>3690516000</v>
      </c>
      <c r="G978" s="8">
        <v>29171230000</v>
      </c>
    </row>
    <row r="979" spans="1:7" x14ac:dyDescent="0.25">
      <c r="A979" s="7">
        <v>43371</v>
      </c>
      <c r="B979" s="6">
        <v>6194.6</v>
      </c>
      <c r="C979" s="6">
        <v>6234.4</v>
      </c>
      <c r="D979" s="6">
        <v>6166.8</v>
      </c>
      <c r="E979" s="6">
        <v>6207.6</v>
      </c>
      <c r="F979" s="8">
        <v>2915688000</v>
      </c>
      <c r="G979" s="8">
        <v>25591460000</v>
      </c>
    </row>
    <row r="980" spans="1:7" x14ac:dyDescent="0.25">
      <c r="A980" s="7">
        <v>43378</v>
      </c>
      <c r="B980" s="6">
        <v>6207.6</v>
      </c>
      <c r="C980" s="6">
        <v>6207.6</v>
      </c>
      <c r="D980" s="6">
        <v>6118.4</v>
      </c>
      <c r="E980" s="6">
        <v>6185.5</v>
      </c>
      <c r="F980" s="8">
        <v>2448748000</v>
      </c>
      <c r="G980" s="8">
        <v>20064740000</v>
      </c>
    </row>
    <row r="981" spans="1:7" x14ac:dyDescent="0.25">
      <c r="A981" s="7">
        <v>43385</v>
      </c>
      <c r="B981" s="6">
        <v>6177.4</v>
      </c>
      <c r="C981" s="6">
        <v>6177.4</v>
      </c>
      <c r="D981" s="6">
        <v>5846.7</v>
      </c>
      <c r="E981" s="6">
        <v>5895.7</v>
      </c>
      <c r="F981" s="8">
        <v>3284928000</v>
      </c>
      <c r="G981" s="8">
        <v>27023670000</v>
      </c>
    </row>
    <row r="982" spans="1:7" x14ac:dyDescent="0.25">
      <c r="A982" s="7">
        <v>43392</v>
      </c>
      <c r="B982" s="6">
        <v>5895.7</v>
      </c>
      <c r="C982" s="6">
        <v>5942.8</v>
      </c>
      <c r="D982" s="6">
        <v>5796</v>
      </c>
      <c r="E982" s="6">
        <v>5939.5</v>
      </c>
      <c r="F982" s="8">
        <v>2863586000</v>
      </c>
      <c r="G982" s="8">
        <v>22220840000</v>
      </c>
    </row>
    <row r="983" spans="1:7" x14ac:dyDescent="0.25">
      <c r="A983" s="7">
        <v>43399</v>
      </c>
      <c r="B983" s="6">
        <v>5939.5</v>
      </c>
      <c r="C983" s="6">
        <v>5939.5</v>
      </c>
      <c r="D983" s="6">
        <v>5624.6</v>
      </c>
      <c r="E983" s="6">
        <v>5665.2</v>
      </c>
      <c r="F983" s="8">
        <v>3443419000</v>
      </c>
      <c r="G983" s="8">
        <v>26977840000</v>
      </c>
    </row>
    <row r="984" spans="1:7" x14ac:dyDescent="0.25">
      <c r="A984" s="7">
        <v>43406</v>
      </c>
      <c r="B984" s="6">
        <v>5665.2</v>
      </c>
      <c r="C984" s="6">
        <v>5877.2</v>
      </c>
      <c r="D984" s="6">
        <v>5665.2</v>
      </c>
      <c r="E984" s="6">
        <v>5849.2</v>
      </c>
      <c r="F984" s="8">
        <v>3320405000</v>
      </c>
      <c r="G984" s="8">
        <v>26025540000</v>
      </c>
    </row>
    <row r="985" spans="1:7" x14ac:dyDescent="0.25">
      <c r="A985" s="7">
        <v>43413</v>
      </c>
      <c r="B985" s="6">
        <v>5849.2</v>
      </c>
      <c r="C985" s="6">
        <v>5935.5</v>
      </c>
      <c r="D985" s="6">
        <v>5817.7</v>
      </c>
      <c r="E985" s="6">
        <v>5921.8</v>
      </c>
      <c r="F985" s="8">
        <v>2564024000</v>
      </c>
      <c r="G985" s="8">
        <v>21799680000</v>
      </c>
    </row>
    <row r="986" spans="1:7" x14ac:dyDescent="0.25">
      <c r="A986" s="7">
        <v>43420</v>
      </c>
      <c r="B986" s="6">
        <v>5921.8</v>
      </c>
      <c r="C986" s="6">
        <v>5941.3</v>
      </c>
      <c r="D986" s="6">
        <v>5686.8</v>
      </c>
      <c r="E986" s="6">
        <v>5730.6</v>
      </c>
      <c r="F986" s="8">
        <v>3119025000</v>
      </c>
      <c r="G986" s="8">
        <v>25523330000</v>
      </c>
    </row>
    <row r="987" spans="1:7" x14ac:dyDescent="0.25">
      <c r="A987" s="7">
        <v>43427</v>
      </c>
      <c r="B987" s="6">
        <v>5730.6</v>
      </c>
      <c r="C987" s="6">
        <v>5731.3</v>
      </c>
      <c r="D987" s="6">
        <v>5594</v>
      </c>
      <c r="E987" s="6">
        <v>5716.2</v>
      </c>
      <c r="F987" s="8">
        <v>2997880000</v>
      </c>
      <c r="G987" s="8">
        <v>23083300000</v>
      </c>
    </row>
    <row r="988" spans="1:7" x14ac:dyDescent="0.25">
      <c r="A988" s="7">
        <v>43434</v>
      </c>
      <c r="B988" s="6">
        <v>5716.2</v>
      </c>
      <c r="C988" s="6">
        <v>5778.7</v>
      </c>
      <c r="D988" s="6">
        <v>5655.6</v>
      </c>
      <c r="E988" s="6">
        <v>5667.2</v>
      </c>
      <c r="F988" s="8">
        <v>3818630000</v>
      </c>
      <c r="G988" s="8">
        <v>31170610000</v>
      </c>
    </row>
    <row r="989" spans="1:7" x14ac:dyDescent="0.25">
      <c r="A989" s="7">
        <v>43441</v>
      </c>
      <c r="B989" s="6">
        <v>5667.2</v>
      </c>
      <c r="C989" s="6">
        <v>5771.2</v>
      </c>
      <c r="D989" s="6">
        <v>5610</v>
      </c>
      <c r="E989" s="6">
        <v>5681.5</v>
      </c>
      <c r="F989" s="8">
        <v>3167176000</v>
      </c>
      <c r="G989" s="8">
        <v>24621880000</v>
      </c>
    </row>
    <row r="990" spans="1:7" x14ac:dyDescent="0.25">
      <c r="A990" s="7">
        <v>43448</v>
      </c>
      <c r="B990" s="6">
        <v>5681.5</v>
      </c>
      <c r="C990" s="6">
        <v>5682.1</v>
      </c>
      <c r="D990" s="6">
        <v>5549.3</v>
      </c>
      <c r="E990" s="6">
        <v>5602</v>
      </c>
      <c r="F990" s="8">
        <v>3460482000</v>
      </c>
      <c r="G990" s="8">
        <v>26404810000</v>
      </c>
    </row>
    <row r="991" spans="1:7" x14ac:dyDescent="0.25">
      <c r="A991" s="7">
        <v>43455</v>
      </c>
      <c r="B991" s="6">
        <v>5602</v>
      </c>
      <c r="C991" s="6">
        <v>5665.6</v>
      </c>
      <c r="D991" s="6">
        <v>5426.6</v>
      </c>
      <c r="E991" s="6">
        <v>5467.6</v>
      </c>
      <c r="F991" s="8">
        <v>4479512000</v>
      </c>
      <c r="G991" s="8">
        <v>37053510000</v>
      </c>
    </row>
    <row r="992" spans="1:7" x14ac:dyDescent="0.25">
      <c r="A992" s="7">
        <v>43462</v>
      </c>
      <c r="B992" s="6">
        <v>5467.6</v>
      </c>
      <c r="C992" s="6">
        <v>5654.3</v>
      </c>
      <c r="D992" s="6">
        <v>5410.2</v>
      </c>
      <c r="E992" s="6">
        <v>5654.3</v>
      </c>
      <c r="F992" s="8">
        <v>1082852000</v>
      </c>
      <c r="G992" s="8">
        <v>9276226000</v>
      </c>
    </row>
    <row r="993" spans="1:7" x14ac:dyDescent="0.25">
      <c r="A993" s="7">
        <v>43469</v>
      </c>
      <c r="B993" s="6">
        <v>5654.3</v>
      </c>
      <c r="C993" s="6">
        <v>5700.6</v>
      </c>
      <c r="D993" s="6">
        <v>5552</v>
      </c>
      <c r="E993" s="6">
        <v>5619.4</v>
      </c>
      <c r="F993" s="8">
        <v>1537469000</v>
      </c>
      <c r="G993" s="8">
        <v>12558780000</v>
      </c>
    </row>
    <row r="994" spans="1:7" x14ac:dyDescent="0.25">
      <c r="A994" s="7">
        <v>43476</v>
      </c>
      <c r="B994" s="6">
        <v>5619.4</v>
      </c>
      <c r="C994" s="6">
        <v>5808.6</v>
      </c>
      <c r="D994" s="6">
        <v>5619.4</v>
      </c>
      <c r="E994" s="6">
        <v>5774.6</v>
      </c>
      <c r="F994" s="8">
        <v>2469413000</v>
      </c>
      <c r="G994" s="8">
        <v>19153610000</v>
      </c>
    </row>
    <row r="995" spans="1:7" x14ac:dyDescent="0.25">
      <c r="A995" s="7">
        <v>43483</v>
      </c>
      <c r="B995" s="6">
        <v>5774.6</v>
      </c>
      <c r="C995" s="6">
        <v>5888.1</v>
      </c>
      <c r="D995" s="6">
        <v>5756.9</v>
      </c>
      <c r="E995" s="6">
        <v>5879.6</v>
      </c>
      <c r="F995" s="8">
        <v>2295388000</v>
      </c>
      <c r="G995" s="8">
        <v>17736040000</v>
      </c>
    </row>
    <row r="996" spans="1:7" x14ac:dyDescent="0.25">
      <c r="A996" s="7">
        <v>43490</v>
      </c>
      <c r="B996" s="6">
        <v>5879.6</v>
      </c>
      <c r="C996" s="6">
        <v>5915.2</v>
      </c>
      <c r="D996" s="6">
        <v>5831.4</v>
      </c>
      <c r="E996" s="6">
        <v>5905.6</v>
      </c>
      <c r="F996" s="8">
        <v>2454720000</v>
      </c>
      <c r="G996" s="8">
        <v>20118670000</v>
      </c>
    </row>
    <row r="997" spans="1:7" x14ac:dyDescent="0.25">
      <c r="A997" s="7">
        <v>43497</v>
      </c>
      <c r="B997" s="6">
        <v>5905.6</v>
      </c>
      <c r="C997" s="6">
        <v>5912.6</v>
      </c>
      <c r="D997" s="6">
        <v>5857.4</v>
      </c>
      <c r="E997" s="6">
        <v>5862.8</v>
      </c>
      <c r="F997" s="8">
        <v>3066243000</v>
      </c>
      <c r="G997" s="8">
        <v>23756800000</v>
      </c>
    </row>
    <row r="998" spans="1:7" x14ac:dyDescent="0.25">
      <c r="A998" s="7">
        <v>43504</v>
      </c>
      <c r="B998" s="6">
        <v>5862.8</v>
      </c>
      <c r="C998" s="6">
        <v>6105.9</v>
      </c>
      <c r="D998" s="6">
        <v>5848.9</v>
      </c>
      <c r="E998" s="6">
        <v>6071.5</v>
      </c>
      <c r="F998" s="8">
        <v>3178371000</v>
      </c>
      <c r="G998" s="8">
        <v>26683150000</v>
      </c>
    </row>
    <row r="999" spans="1:7" x14ac:dyDescent="0.25">
      <c r="A999" s="7">
        <v>43511</v>
      </c>
      <c r="B999" s="6">
        <v>6071.5</v>
      </c>
      <c r="C999" s="6">
        <v>6094</v>
      </c>
      <c r="D999" s="6">
        <v>6028.6</v>
      </c>
      <c r="E999" s="6">
        <v>6066.1</v>
      </c>
      <c r="F999" s="8">
        <v>3248995000</v>
      </c>
      <c r="G999" s="8">
        <v>26092050000</v>
      </c>
    </row>
    <row r="1000" spans="1:7" x14ac:dyDescent="0.25">
      <c r="A1000" s="7">
        <v>43518</v>
      </c>
      <c r="B1000" s="6">
        <v>6066.1</v>
      </c>
      <c r="C1000" s="6">
        <v>6176.2</v>
      </c>
      <c r="D1000" s="6">
        <v>6066.1</v>
      </c>
      <c r="E1000" s="6">
        <v>6167.3</v>
      </c>
      <c r="F1000" s="8">
        <v>3569670000</v>
      </c>
      <c r="G1000" s="8">
        <v>30164720000</v>
      </c>
    </row>
    <row r="1001" spans="1:7" x14ac:dyDescent="0.25">
      <c r="A1001" s="7">
        <v>43525</v>
      </c>
      <c r="B1001" s="6">
        <v>6167.3</v>
      </c>
      <c r="C1001" s="6">
        <v>6209.9</v>
      </c>
      <c r="D1001" s="6">
        <v>6106</v>
      </c>
      <c r="E1001" s="6">
        <v>6192.7</v>
      </c>
      <c r="F1001" s="8">
        <v>3703121000</v>
      </c>
      <c r="G1001" s="8">
        <v>29879780000</v>
      </c>
    </row>
    <row r="1002" spans="1:7" x14ac:dyDescent="0.25">
      <c r="A1002" s="7">
        <v>43532</v>
      </c>
      <c r="B1002" s="6">
        <v>6192.7</v>
      </c>
      <c r="C1002" s="6">
        <v>6270.9</v>
      </c>
      <c r="D1002" s="6">
        <v>6175.7</v>
      </c>
      <c r="E1002" s="6">
        <v>6203.8</v>
      </c>
      <c r="F1002" s="8">
        <v>3558536000</v>
      </c>
      <c r="G1002" s="8">
        <v>28868510000</v>
      </c>
    </row>
    <row r="1003" spans="1:7" x14ac:dyDescent="0.25">
      <c r="A1003" s="7">
        <v>43539</v>
      </c>
      <c r="B1003" s="6">
        <v>6203.8</v>
      </c>
      <c r="C1003" s="6">
        <v>6222.9</v>
      </c>
      <c r="D1003" s="6">
        <v>6127.3</v>
      </c>
      <c r="E1003" s="6">
        <v>6175.2</v>
      </c>
      <c r="F1003" s="8">
        <v>3556582000</v>
      </c>
      <c r="G1003" s="8">
        <v>28531590000</v>
      </c>
    </row>
    <row r="1004" spans="1:7" x14ac:dyDescent="0.25">
      <c r="A1004" s="7">
        <v>43546</v>
      </c>
      <c r="B1004" s="6">
        <v>6175.2</v>
      </c>
      <c r="C1004" s="6">
        <v>6227.1</v>
      </c>
      <c r="D1004" s="6">
        <v>6134</v>
      </c>
      <c r="E1004" s="6">
        <v>6195.2</v>
      </c>
      <c r="F1004" s="8">
        <v>3248666000</v>
      </c>
      <c r="G1004" s="8">
        <v>25515960000</v>
      </c>
    </row>
    <row r="1005" spans="1:7" x14ac:dyDescent="0.25">
      <c r="A1005" s="7">
        <v>43553</v>
      </c>
      <c r="B1005" s="6">
        <v>6195.2</v>
      </c>
      <c r="C1005" s="6">
        <v>6213.4</v>
      </c>
      <c r="D1005" s="6">
        <v>6096.8</v>
      </c>
      <c r="E1005" s="6">
        <v>6180.7</v>
      </c>
      <c r="F1005" s="8">
        <v>3345787000</v>
      </c>
      <c r="G1005" s="8">
        <v>27212140000</v>
      </c>
    </row>
    <row r="1006" spans="1:7" x14ac:dyDescent="0.25">
      <c r="A1006" s="7">
        <v>43560</v>
      </c>
      <c r="B1006" s="6">
        <v>6180.7</v>
      </c>
      <c r="C1006" s="6">
        <v>6287.9</v>
      </c>
      <c r="D1006" s="6">
        <v>6169.8</v>
      </c>
      <c r="E1006" s="6">
        <v>6181.3</v>
      </c>
      <c r="F1006" s="8">
        <v>2985600000</v>
      </c>
      <c r="G1006" s="8">
        <v>23805210000</v>
      </c>
    </row>
    <row r="1007" spans="1:7" x14ac:dyDescent="0.25">
      <c r="A1007" s="7">
        <v>43567</v>
      </c>
      <c r="B1007" s="6">
        <v>6181.3</v>
      </c>
      <c r="C1007" s="6">
        <v>6251.3</v>
      </c>
      <c r="D1007" s="6">
        <v>6181.3</v>
      </c>
      <c r="E1007" s="6">
        <v>6251.3</v>
      </c>
      <c r="F1007" s="8">
        <v>2512905000</v>
      </c>
      <c r="G1007" s="8">
        <v>20412960000</v>
      </c>
    </row>
    <row r="1008" spans="1:7" x14ac:dyDescent="0.25">
      <c r="A1008" s="7">
        <v>43573</v>
      </c>
      <c r="B1008" s="6">
        <v>6251.3</v>
      </c>
      <c r="C1008" s="6">
        <v>6286</v>
      </c>
      <c r="D1008" s="6">
        <v>6237.6</v>
      </c>
      <c r="E1008" s="6">
        <v>6259.8</v>
      </c>
      <c r="F1008" s="8">
        <v>2139600000</v>
      </c>
      <c r="G1008" s="8">
        <v>17542510000</v>
      </c>
    </row>
    <row r="1009" spans="1:7" x14ac:dyDescent="0.25">
      <c r="A1009" s="7">
        <v>43581</v>
      </c>
      <c r="B1009" s="6">
        <v>6259.8</v>
      </c>
      <c r="C1009" s="6">
        <v>6390.5</v>
      </c>
      <c r="D1009" s="6">
        <v>6259.8</v>
      </c>
      <c r="E1009" s="6">
        <v>6385.6</v>
      </c>
      <c r="F1009" s="8">
        <v>1753445000</v>
      </c>
      <c r="G1009" s="8">
        <v>16594340000</v>
      </c>
    </row>
    <row r="1010" spans="1:7" x14ac:dyDescent="0.25">
      <c r="A1010" s="7">
        <v>43588</v>
      </c>
      <c r="B1010" s="6">
        <v>6385.6</v>
      </c>
      <c r="C1010" s="6">
        <v>6385.6</v>
      </c>
      <c r="D1010" s="6">
        <v>6316.3</v>
      </c>
      <c r="E1010" s="6">
        <v>6335.8</v>
      </c>
      <c r="F1010" s="8">
        <v>2841526000</v>
      </c>
      <c r="G1010" s="8">
        <v>22249080000</v>
      </c>
    </row>
    <row r="1011" spans="1:7" x14ac:dyDescent="0.25">
      <c r="A1011" s="7">
        <v>43595</v>
      </c>
      <c r="B1011" s="6">
        <v>6335.8</v>
      </c>
      <c r="C1011" s="6">
        <v>6341.9</v>
      </c>
      <c r="D1011" s="6">
        <v>6241.5</v>
      </c>
      <c r="E1011" s="6">
        <v>6310.9</v>
      </c>
      <c r="F1011" s="8">
        <v>2696804000</v>
      </c>
      <c r="G1011" s="8">
        <v>22875080000</v>
      </c>
    </row>
    <row r="1012" spans="1:7" x14ac:dyDescent="0.25">
      <c r="A1012" s="7">
        <v>43602</v>
      </c>
      <c r="B1012" s="6">
        <v>6310.9</v>
      </c>
      <c r="C1012" s="6">
        <v>6398.3</v>
      </c>
      <c r="D1012" s="6">
        <v>6203.1</v>
      </c>
      <c r="E1012" s="6">
        <v>6365.3</v>
      </c>
      <c r="F1012" s="8">
        <v>2986235000</v>
      </c>
      <c r="G1012" s="8">
        <v>25298180000</v>
      </c>
    </row>
    <row r="1013" spans="1:7" x14ac:dyDescent="0.25">
      <c r="A1013" s="7">
        <v>43609</v>
      </c>
      <c r="B1013" s="6">
        <v>6365.3</v>
      </c>
      <c r="C1013" s="6">
        <v>6510.9</v>
      </c>
      <c r="D1013" s="6">
        <v>6365.3</v>
      </c>
      <c r="E1013" s="6">
        <v>6456</v>
      </c>
      <c r="F1013" s="8">
        <v>3181239000</v>
      </c>
      <c r="G1013" s="8">
        <v>29263370000</v>
      </c>
    </row>
    <row r="1014" spans="1:7" x14ac:dyDescent="0.25">
      <c r="A1014" s="7">
        <v>43616</v>
      </c>
      <c r="B1014" s="6">
        <v>6455.8</v>
      </c>
      <c r="C1014" s="6">
        <v>6491.7</v>
      </c>
      <c r="D1014" s="6">
        <v>6362.2</v>
      </c>
      <c r="E1014" s="6">
        <v>6396.9</v>
      </c>
      <c r="F1014" s="8">
        <v>3253973000</v>
      </c>
      <c r="G1014" s="8">
        <v>29263090000</v>
      </c>
    </row>
    <row r="1015" spans="1:7" x14ac:dyDescent="0.25">
      <c r="A1015" s="7">
        <v>43623</v>
      </c>
      <c r="B1015" s="6">
        <v>6396.9</v>
      </c>
      <c r="C1015" s="6">
        <v>6443.9</v>
      </c>
      <c r="D1015" s="6">
        <v>6315.6</v>
      </c>
      <c r="E1015" s="6">
        <v>6443.9</v>
      </c>
      <c r="F1015" s="8">
        <v>3212106000</v>
      </c>
      <c r="G1015" s="8">
        <v>27641820000</v>
      </c>
    </row>
    <row r="1016" spans="1:7" x14ac:dyDescent="0.25">
      <c r="A1016" s="7">
        <v>43630</v>
      </c>
      <c r="B1016" s="6">
        <v>6443.9</v>
      </c>
      <c r="C1016" s="6">
        <v>6587.3</v>
      </c>
      <c r="D1016" s="6">
        <v>6443.9</v>
      </c>
      <c r="E1016" s="6">
        <v>6554</v>
      </c>
      <c r="F1016" s="8">
        <v>2632582000</v>
      </c>
      <c r="G1016" s="8">
        <v>22360390000</v>
      </c>
    </row>
    <row r="1017" spans="1:7" x14ac:dyDescent="0.25">
      <c r="A1017" s="7">
        <v>43637</v>
      </c>
      <c r="B1017" s="6">
        <v>6554</v>
      </c>
      <c r="C1017" s="6">
        <v>6691.5</v>
      </c>
      <c r="D1017" s="6">
        <v>6527</v>
      </c>
      <c r="E1017" s="6">
        <v>6650.8</v>
      </c>
      <c r="F1017" s="8">
        <v>4339040000</v>
      </c>
      <c r="G1017" s="8">
        <v>35676560000</v>
      </c>
    </row>
    <row r="1018" spans="1:7" x14ac:dyDescent="0.25">
      <c r="A1018" s="7">
        <v>43644</v>
      </c>
      <c r="B1018" s="6">
        <v>6650.8</v>
      </c>
      <c r="C1018" s="6">
        <v>6680.3</v>
      </c>
      <c r="D1018" s="6">
        <v>6606.3</v>
      </c>
      <c r="E1018" s="6">
        <v>6618.8</v>
      </c>
      <c r="F1018" s="8">
        <v>3400891000</v>
      </c>
      <c r="G1018" s="8">
        <v>28475480000</v>
      </c>
    </row>
    <row r="1019" spans="1:7" x14ac:dyDescent="0.25">
      <c r="A1019" s="7">
        <v>43651</v>
      </c>
      <c r="B1019" s="6">
        <v>6618.8</v>
      </c>
      <c r="C1019" s="6">
        <v>6769.6</v>
      </c>
      <c r="D1019" s="6">
        <v>6618.8</v>
      </c>
      <c r="E1019" s="6">
        <v>6751.3</v>
      </c>
      <c r="F1019" s="8">
        <v>2944302000</v>
      </c>
      <c r="G1019" s="8">
        <v>24238920000</v>
      </c>
    </row>
    <row r="1020" spans="1:7" x14ac:dyDescent="0.25">
      <c r="A1020" s="7">
        <v>43658</v>
      </c>
      <c r="B1020" s="6">
        <v>6740</v>
      </c>
      <c r="C1020" s="6">
        <v>6751.3</v>
      </c>
      <c r="D1020" s="6">
        <v>6641.4</v>
      </c>
      <c r="E1020" s="6">
        <v>6696.5</v>
      </c>
      <c r="F1020" s="8">
        <v>2850533000</v>
      </c>
      <c r="G1020" s="8">
        <v>23388000000</v>
      </c>
    </row>
    <row r="1021" spans="1:7" x14ac:dyDescent="0.25">
      <c r="A1021" s="7">
        <v>43665</v>
      </c>
      <c r="B1021" s="6">
        <v>6694.9</v>
      </c>
      <c r="C1021" s="6">
        <v>6705.4</v>
      </c>
      <c r="D1021" s="6">
        <v>6626.6</v>
      </c>
      <c r="E1021" s="6">
        <v>6700.3</v>
      </c>
      <c r="F1021" s="8">
        <v>2550978000</v>
      </c>
      <c r="G1021" s="8">
        <v>20350290000</v>
      </c>
    </row>
    <row r="1022" spans="1:7" x14ac:dyDescent="0.25">
      <c r="A1022" s="7">
        <v>43672</v>
      </c>
      <c r="B1022" s="6">
        <v>6700.3</v>
      </c>
      <c r="C1022" s="6">
        <v>6818</v>
      </c>
      <c r="D1022" s="6">
        <v>6673.2</v>
      </c>
      <c r="E1022" s="6">
        <v>6793.4</v>
      </c>
      <c r="F1022" s="8">
        <v>3099395000</v>
      </c>
      <c r="G1022" s="8">
        <v>28688080000</v>
      </c>
    </row>
    <row r="1023" spans="1:7" x14ac:dyDescent="0.25">
      <c r="A1023" s="7">
        <v>43679</v>
      </c>
      <c r="B1023" s="6">
        <v>6793.4</v>
      </c>
      <c r="C1023" s="6">
        <v>6875.5</v>
      </c>
      <c r="D1023" s="6">
        <v>6747.8</v>
      </c>
      <c r="E1023" s="6">
        <v>6768.6</v>
      </c>
      <c r="F1023" s="8">
        <v>3087725000</v>
      </c>
      <c r="G1023" s="8">
        <v>27588980000</v>
      </c>
    </row>
    <row r="1024" spans="1:7" x14ac:dyDescent="0.25">
      <c r="A1024" s="7">
        <v>43686</v>
      </c>
      <c r="B1024" s="6">
        <v>6768.6</v>
      </c>
      <c r="C1024" s="6">
        <v>6768.6</v>
      </c>
      <c r="D1024" s="6">
        <v>6444.4</v>
      </c>
      <c r="E1024" s="6">
        <v>6584.4</v>
      </c>
      <c r="F1024" s="8">
        <v>3476405000</v>
      </c>
      <c r="G1024" s="8">
        <v>30123930000</v>
      </c>
    </row>
    <row r="1025" spans="1:7" x14ac:dyDescent="0.25">
      <c r="A1025" s="7">
        <v>43693</v>
      </c>
      <c r="B1025" s="6">
        <v>6584.4</v>
      </c>
      <c r="C1025" s="6">
        <v>6600.7</v>
      </c>
      <c r="D1025" s="6">
        <v>6396</v>
      </c>
      <c r="E1025" s="6">
        <v>6405.5</v>
      </c>
      <c r="F1025" s="8">
        <v>3594935000</v>
      </c>
      <c r="G1025" s="8">
        <v>29509730000</v>
      </c>
    </row>
    <row r="1026" spans="1:7" x14ac:dyDescent="0.25">
      <c r="A1026" s="7">
        <v>43700</v>
      </c>
      <c r="B1026" s="6">
        <v>6405.5</v>
      </c>
      <c r="C1026" s="6">
        <v>6545</v>
      </c>
      <c r="D1026" s="6">
        <v>6405.5</v>
      </c>
      <c r="E1026" s="6">
        <v>6523.1</v>
      </c>
      <c r="F1026" s="8">
        <v>3253257000</v>
      </c>
      <c r="G1026" s="8">
        <v>27178400000</v>
      </c>
    </row>
    <row r="1027" spans="1:7" x14ac:dyDescent="0.25">
      <c r="A1027" s="7">
        <v>43707</v>
      </c>
      <c r="B1027" s="6">
        <v>6523.1</v>
      </c>
      <c r="C1027" s="6">
        <v>6612.1</v>
      </c>
      <c r="D1027" s="6">
        <v>6409.8</v>
      </c>
      <c r="E1027" s="6">
        <v>6604.2</v>
      </c>
      <c r="F1027" s="8">
        <v>3959812000</v>
      </c>
      <c r="G1027" s="8">
        <v>32544000000</v>
      </c>
    </row>
    <row r="1028" spans="1:7" x14ac:dyDescent="0.25">
      <c r="A1028" s="7">
        <v>43714</v>
      </c>
      <c r="B1028" s="6">
        <v>6604.2</v>
      </c>
      <c r="C1028" s="6">
        <v>6656.1</v>
      </c>
      <c r="D1028" s="6">
        <v>6503.9</v>
      </c>
      <c r="E1028" s="6">
        <v>6647.3</v>
      </c>
      <c r="F1028" s="8">
        <v>3199280000</v>
      </c>
      <c r="G1028" s="8">
        <v>24423360000</v>
      </c>
    </row>
    <row r="1029" spans="1:7" x14ac:dyDescent="0.25">
      <c r="A1029" s="7">
        <v>43721</v>
      </c>
      <c r="B1029" s="6">
        <v>6647.3</v>
      </c>
      <c r="C1029" s="6">
        <v>6687.4</v>
      </c>
      <c r="D1029" s="6">
        <v>6595.7</v>
      </c>
      <c r="E1029" s="6">
        <v>6669.2</v>
      </c>
      <c r="F1029" s="8">
        <v>3437230000</v>
      </c>
      <c r="G1029" s="8">
        <v>28279310000</v>
      </c>
    </row>
    <row r="1030" spans="1:7" x14ac:dyDescent="0.25">
      <c r="A1030" s="7">
        <v>43728</v>
      </c>
      <c r="B1030" s="6">
        <v>6669.2</v>
      </c>
      <c r="C1030" s="6">
        <v>6775.6</v>
      </c>
      <c r="D1030" s="6">
        <v>6646.6</v>
      </c>
      <c r="E1030" s="6">
        <v>6730.8</v>
      </c>
      <c r="F1030" s="8">
        <v>4501365000</v>
      </c>
      <c r="G1030" s="8">
        <v>40856180000</v>
      </c>
    </row>
    <row r="1031" spans="1:7" x14ac:dyDescent="0.25">
      <c r="A1031" s="7">
        <v>43735</v>
      </c>
      <c r="B1031" s="6">
        <v>6730.8</v>
      </c>
      <c r="C1031" s="6">
        <v>6770</v>
      </c>
      <c r="D1031" s="6">
        <v>6667.1</v>
      </c>
      <c r="E1031" s="6">
        <v>6716.1</v>
      </c>
      <c r="F1031" s="8">
        <v>2955242000</v>
      </c>
      <c r="G1031" s="8">
        <v>27133710000</v>
      </c>
    </row>
    <row r="1032" spans="1:7" x14ac:dyDescent="0.25">
      <c r="A1032" s="7">
        <v>43742</v>
      </c>
      <c r="B1032" s="6">
        <v>6715.9</v>
      </c>
      <c r="C1032" s="6">
        <v>6743.7</v>
      </c>
      <c r="D1032" s="6">
        <v>6475.4</v>
      </c>
      <c r="E1032" s="6">
        <v>6517.1</v>
      </c>
      <c r="F1032" s="8">
        <v>3018939000</v>
      </c>
      <c r="G1032" s="8">
        <v>25825140000</v>
      </c>
    </row>
    <row r="1033" spans="1:7" x14ac:dyDescent="0.25">
      <c r="A1033" s="7">
        <v>43749</v>
      </c>
      <c r="B1033" s="6">
        <v>6517.1</v>
      </c>
      <c r="C1033" s="6">
        <v>6614.6</v>
      </c>
      <c r="D1033" s="6">
        <v>6517.1</v>
      </c>
      <c r="E1033" s="6">
        <v>6606.8</v>
      </c>
      <c r="F1033" s="8">
        <v>2329895000</v>
      </c>
      <c r="G1033" s="8">
        <v>19364770000</v>
      </c>
    </row>
    <row r="1034" spans="1:7" x14ac:dyDescent="0.25">
      <c r="A1034" s="7">
        <v>43756</v>
      </c>
      <c r="B1034" s="6">
        <v>6606.8</v>
      </c>
      <c r="C1034" s="6">
        <v>6737.8</v>
      </c>
      <c r="D1034" s="6">
        <v>6606.8</v>
      </c>
      <c r="E1034" s="6">
        <v>6649.7</v>
      </c>
      <c r="F1034" s="8">
        <v>3175113000</v>
      </c>
      <c r="G1034" s="8">
        <v>25846970000</v>
      </c>
    </row>
    <row r="1035" spans="1:7" x14ac:dyDescent="0.25">
      <c r="A1035" s="7">
        <v>43763</v>
      </c>
      <c r="B1035" s="6">
        <v>6649.7</v>
      </c>
      <c r="C1035" s="6">
        <v>6741.5</v>
      </c>
      <c r="D1035" s="6">
        <v>6612.4</v>
      </c>
      <c r="E1035" s="6">
        <v>6739.2</v>
      </c>
      <c r="F1035" s="8">
        <v>2827750000</v>
      </c>
      <c r="G1035" s="8">
        <v>23030040000</v>
      </c>
    </row>
    <row r="1036" spans="1:7" x14ac:dyDescent="0.25">
      <c r="A1036" s="7">
        <v>43770</v>
      </c>
      <c r="B1036" s="6">
        <v>6739.9</v>
      </c>
      <c r="C1036" s="6">
        <v>6766.2</v>
      </c>
      <c r="D1036" s="6">
        <v>6634.7</v>
      </c>
      <c r="E1036" s="6">
        <v>6669.1</v>
      </c>
      <c r="F1036" s="8">
        <v>2857761000</v>
      </c>
      <c r="G1036" s="8">
        <v>23336150000</v>
      </c>
    </row>
    <row r="1037" spans="1:7" x14ac:dyDescent="0.25">
      <c r="A1037" s="7">
        <v>43777</v>
      </c>
      <c r="B1037" s="6">
        <v>6669.1</v>
      </c>
      <c r="C1037" s="6">
        <v>6742.2</v>
      </c>
      <c r="D1037" s="6">
        <v>6658.2</v>
      </c>
      <c r="E1037" s="6">
        <v>6724.1</v>
      </c>
      <c r="F1037" s="8">
        <v>2918432000</v>
      </c>
      <c r="G1037" s="8">
        <v>26830230000</v>
      </c>
    </row>
    <row r="1038" spans="1:7" x14ac:dyDescent="0.25">
      <c r="A1038" s="7">
        <v>43784</v>
      </c>
      <c r="B1038" s="6">
        <v>6724.1</v>
      </c>
      <c r="C1038" s="6">
        <v>6798.7</v>
      </c>
      <c r="D1038" s="6">
        <v>6687.7</v>
      </c>
      <c r="E1038" s="6">
        <v>6793.7</v>
      </c>
      <c r="F1038" s="8">
        <v>3023791000</v>
      </c>
      <c r="G1038" s="8">
        <v>27201500000</v>
      </c>
    </row>
    <row r="1039" spans="1:7" x14ac:dyDescent="0.25">
      <c r="A1039" s="7">
        <v>43791</v>
      </c>
      <c r="B1039" s="6">
        <v>6793.7</v>
      </c>
      <c r="C1039" s="6">
        <v>6814.2</v>
      </c>
      <c r="D1039" s="6">
        <v>6637.3</v>
      </c>
      <c r="E1039" s="6">
        <v>6709.8</v>
      </c>
      <c r="F1039" s="8">
        <v>2899644000</v>
      </c>
      <c r="G1039" s="8">
        <v>25831130000</v>
      </c>
    </row>
    <row r="1040" spans="1:7" x14ac:dyDescent="0.25">
      <c r="A1040" s="7">
        <v>43798</v>
      </c>
      <c r="B1040" s="6">
        <v>6712</v>
      </c>
      <c r="C1040" s="6">
        <v>6893.7</v>
      </c>
      <c r="D1040" s="6">
        <v>6712</v>
      </c>
      <c r="E1040" s="6">
        <v>6846</v>
      </c>
      <c r="F1040" s="8">
        <v>3269527000</v>
      </c>
      <c r="G1040" s="8">
        <v>30168250000</v>
      </c>
    </row>
    <row r="1041" spans="1:7" x14ac:dyDescent="0.25">
      <c r="A1041" s="7">
        <v>43805</v>
      </c>
      <c r="B1041" s="6">
        <v>6846</v>
      </c>
      <c r="C1041" s="6">
        <v>6890</v>
      </c>
      <c r="D1041" s="6">
        <v>6590.1</v>
      </c>
      <c r="E1041" s="6">
        <v>6707</v>
      </c>
      <c r="F1041" s="8">
        <v>3025099000</v>
      </c>
      <c r="G1041" s="8">
        <v>27360100000</v>
      </c>
    </row>
    <row r="1042" spans="1:7" x14ac:dyDescent="0.25">
      <c r="A1042" s="7">
        <v>43812</v>
      </c>
      <c r="B1042" s="6">
        <v>6707</v>
      </c>
      <c r="C1042" s="6">
        <v>6753.1</v>
      </c>
      <c r="D1042" s="6">
        <v>6701.2</v>
      </c>
      <c r="E1042" s="6">
        <v>6739.7</v>
      </c>
      <c r="F1042" s="8">
        <v>2893419000</v>
      </c>
      <c r="G1042" s="8">
        <v>24365900000</v>
      </c>
    </row>
    <row r="1043" spans="1:7" x14ac:dyDescent="0.25">
      <c r="A1043" s="7">
        <v>43819</v>
      </c>
      <c r="B1043" s="6">
        <v>6741.6</v>
      </c>
      <c r="C1043" s="6">
        <v>6872.8</v>
      </c>
      <c r="D1043" s="6">
        <v>6741.6</v>
      </c>
      <c r="E1043" s="6">
        <v>6816.3</v>
      </c>
      <c r="F1043" s="8">
        <v>3705434000</v>
      </c>
      <c r="G1043" s="8">
        <v>34089380000</v>
      </c>
    </row>
    <row r="1044" spans="1:7" x14ac:dyDescent="0.25">
      <c r="A1044" s="7">
        <v>43826</v>
      </c>
      <c r="B1044" s="6">
        <v>6816.3</v>
      </c>
      <c r="C1044" s="6">
        <v>6822.1</v>
      </c>
      <c r="D1044" s="6">
        <v>6776.2</v>
      </c>
      <c r="E1044" s="6">
        <v>6821.7</v>
      </c>
      <c r="F1044" s="8">
        <v>856616100</v>
      </c>
      <c r="G1044" s="8">
        <v>6985754000</v>
      </c>
    </row>
    <row r="1045" spans="1:7" x14ac:dyDescent="0.25">
      <c r="A1045" s="7">
        <v>43833</v>
      </c>
      <c r="B1045" s="6">
        <v>6821.7</v>
      </c>
      <c r="C1045" s="6">
        <v>6824.7</v>
      </c>
      <c r="D1045" s="6">
        <v>6669.2</v>
      </c>
      <c r="E1045" s="6">
        <v>6733.5</v>
      </c>
      <c r="F1045" s="8">
        <v>1279047000</v>
      </c>
      <c r="G1045" s="8">
        <v>10493730000</v>
      </c>
    </row>
    <row r="1046" spans="1:7" x14ac:dyDescent="0.25">
      <c r="A1046" s="7">
        <v>43840</v>
      </c>
      <c r="B1046" s="6">
        <v>6733.1</v>
      </c>
      <c r="C1046" s="6">
        <v>6933.2</v>
      </c>
      <c r="D1046" s="6">
        <v>6671.7</v>
      </c>
      <c r="E1046" s="6">
        <v>6929</v>
      </c>
      <c r="F1046" s="8">
        <v>2505965000</v>
      </c>
      <c r="G1046" s="8">
        <v>21149860000</v>
      </c>
    </row>
    <row r="1047" spans="1:7" x14ac:dyDescent="0.25">
      <c r="A1047" s="7">
        <v>43847</v>
      </c>
      <c r="B1047" s="6">
        <v>6929</v>
      </c>
      <c r="C1047" s="6">
        <v>7088.1</v>
      </c>
      <c r="D1047" s="6">
        <v>6880.7</v>
      </c>
      <c r="E1047" s="6">
        <v>7064.1</v>
      </c>
      <c r="F1047" s="8">
        <v>2529704000</v>
      </c>
      <c r="G1047" s="8">
        <v>21251080000</v>
      </c>
    </row>
    <row r="1048" spans="1:7" x14ac:dyDescent="0.25">
      <c r="A1048" s="7">
        <v>43854</v>
      </c>
      <c r="B1048" s="6">
        <v>7064.1</v>
      </c>
      <c r="C1048" s="6">
        <v>7144.9</v>
      </c>
      <c r="D1048" s="6">
        <v>7040.7</v>
      </c>
      <c r="E1048" s="6">
        <v>7090.5</v>
      </c>
      <c r="F1048" s="8">
        <v>2523519000</v>
      </c>
      <c r="G1048" s="8">
        <v>23986080000</v>
      </c>
    </row>
    <row r="1049" spans="1:7" x14ac:dyDescent="0.25">
      <c r="A1049" s="7">
        <v>43861</v>
      </c>
      <c r="B1049" s="6">
        <v>7051.2</v>
      </c>
      <c r="C1049" s="6">
        <v>7090.5</v>
      </c>
      <c r="D1049" s="6">
        <v>6964.7</v>
      </c>
      <c r="E1049" s="6">
        <v>7017.2</v>
      </c>
      <c r="F1049" s="8">
        <v>2651992000</v>
      </c>
      <c r="G1049" s="8">
        <v>24942240000</v>
      </c>
    </row>
    <row r="1050" spans="1:7" x14ac:dyDescent="0.25">
      <c r="A1050" s="7">
        <v>43868</v>
      </c>
      <c r="B1050" s="6">
        <v>7017.2</v>
      </c>
      <c r="C1050" s="6">
        <v>7051.6</v>
      </c>
      <c r="D1050" s="6">
        <v>6897</v>
      </c>
      <c r="E1050" s="6">
        <v>7022.6</v>
      </c>
      <c r="F1050" s="8">
        <v>3198891000</v>
      </c>
      <c r="G1050" s="8">
        <v>28144550000</v>
      </c>
    </row>
    <row r="1051" spans="1:7" x14ac:dyDescent="0.25">
      <c r="A1051" s="7">
        <v>43875</v>
      </c>
      <c r="B1051" s="6">
        <v>7022.6</v>
      </c>
      <c r="C1051" s="6">
        <v>7145.8</v>
      </c>
      <c r="D1051" s="6">
        <v>6982.6</v>
      </c>
      <c r="E1051" s="6">
        <v>7130.2</v>
      </c>
      <c r="F1051" s="8">
        <v>3329474000</v>
      </c>
      <c r="G1051" s="8">
        <v>30040250000</v>
      </c>
    </row>
    <row r="1052" spans="1:7" x14ac:dyDescent="0.25">
      <c r="A1052" s="7">
        <v>43882</v>
      </c>
      <c r="B1052" s="6">
        <v>7130.2</v>
      </c>
      <c r="C1052" s="6">
        <v>7197.2</v>
      </c>
      <c r="D1052" s="6">
        <v>7096.8</v>
      </c>
      <c r="E1052" s="6">
        <v>7139</v>
      </c>
      <c r="F1052" s="8">
        <v>3901446000</v>
      </c>
      <c r="G1052" s="8">
        <v>31727680000</v>
      </c>
    </row>
    <row r="1053" spans="1:7" x14ac:dyDescent="0.25">
      <c r="A1053" s="7">
        <v>43889</v>
      </c>
      <c r="B1053" s="6">
        <v>7139</v>
      </c>
      <c r="C1053" s="6">
        <v>7139</v>
      </c>
      <c r="D1053" s="6">
        <v>6426.8</v>
      </c>
      <c r="E1053" s="6">
        <v>6441.2</v>
      </c>
      <c r="F1053" s="8">
        <v>5404887000</v>
      </c>
      <c r="G1053" s="8">
        <v>45398040000</v>
      </c>
    </row>
    <row r="1054" spans="1:7" x14ac:dyDescent="0.25">
      <c r="A1054" s="7">
        <v>43896</v>
      </c>
      <c r="B1054" s="6">
        <v>6438.9</v>
      </c>
      <c r="C1054" s="6">
        <v>6524.3</v>
      </c>
      <c r="D1054" s="6">
        <v>6216.2</v>
      </c>
      <c r="E1054" s="6">
        <v>6216.2</v>
      </c>
      <c r="F1054" s="8">
        <v>5204254000</v>
      </c>
      <c r="G1054" s="8">
        <v>42150240000</v>
      </c>
    </row>
    <row r="1055" spans="1:7" x14ac:dyDescent="0.25">
      <c r="A1055" s="7">
        <v>43903</v>
      </c>
      <c r="B1055" s="6">
        <v>6216.2</v>
      </c>
      <c r="C1055" s="6">
        <v>6216.2</v>
      </c>
      <c r="D1055" s="6">
        <v>4873.7</v>
      </c>
      <c r="E1055" s="6">
        <v>5539.3</v>
      </c>
      <c r="F1055" s="8">
        <v>8733643000</v>
      </c>
      <c r="G1055" s="8">
        <v>63388360000</v>
      </c>
    </row>
    <row r="1056" spans="1:7" x14ac:dyDescent="0.25">
      <c r="A1056" s="7">
        <v>43910</v>
      </c>
      <c r="B1056" s="6">
        <v>5539.3</v>
      </c>
      <c r="C1056" s="6">
        <v>5539.3</v>
      </c>
      <c r="D1056" s="6">
        <v>4741</v>
      </c>
      <c r="E1056" s="6">
        <v>4816.6000000000004</v>
      </c>
      <c r="F1056" s="8">
        <v>9160127000</v>
      </c>
      <c r="G1056" s="8">
        <v>62409660000</v>
      </c>
    </row>
    <row r="1057" spans="1:7" x14ac:dyDescent="0.25">
      <c r="A1057" s="7">
        <v>43917</v>
      </c>
      <c r="B1057" s="6">
        <v>4816.6000000000004</v>
      </c>
      <c r="C1057" s="6">
        <v>5236.7</v>
      </c>
      <c r="D1057" s="6">
        <v>4402.5</v>
      </c>
      <c r="E1057" s="6">
        <v>4842.3999999999996</v>
      </c>
      <c r="F1057" s="8">
        <v>6918853000</v>
      </c>
      <c r="G1057" s="8">
        <v>47220110000</v>
      </c>
    </row>
    <row r="1058" spans="1:7" x14ac:dyDescent="0.25">
      <c r="A1058" s="7">
        <v>43924</v>
      </c>
      <c r="B1058" s="6">
        <v>4842.3999999999996</v>
      </c>
      <c r="C1058" s="6">
        <v>5366.4</v>
      </c>
      <c r="D1058" s="6">
        <v>4833.1000000000004</v>
      </c>
      <c r="E1058" s="6">
        <v>5067.5</v>
      </c>
      <c r="F1058" s="8">
        <v>5713155000</v>
      </c>
      <c r="G1058" s="8">
        <v>40613830000</v>
      </c>
    </row>
    <row r="1059" spans="1:7" x14ac:dyDescent="0.25">
      <c r="A1059" s="7">
        <v>43930</v>
      </c>
      <c r="B1059" s="6">
        <v>5067.5</v>
      </c>
      <c r="C1059" s="6">
        <v>5423.1</v>
      </c>
      <c r="D1059" s="6">
        <v>5067.5</v>
      </c>
      <c r="E1059" s="6">
        <v>5387.3</v>
      </c>
      <c r="F1059" s="8">
        <v>4098575000</v>
      </c>
      <c r="G1059" s="8">
        <v>27940750000</v>
      </c>
    </row>
    <row r="1060" spans="1:7" x14ac:dyDescent="0.25">
      <c r="A1060" s="7">
        <v>43938</v>
      </c>
      <c r="B1060" s="6">
        <v>5387.3</v>
      </c>
      <c r="C1060" s="6">
        <v>5563.6</v>
      </c>
      <c r="D1060" s="6">
        <v>5345</v>
      </c>
      <c r="E1060" s="6">
        <v>5487.5</v>
      </c>
      <c r="F1060" s="8">
        <v>4415913000</v>
      </c>
      <c r="G1060" s="8">
        <v>28861960000</v>
      </c>
    </row>
    <row r="1061" spans="1:7" x14ac:dyDescent="0.25">
      <c r="A1061" s="7">
        <v>43945</v>
      </c>
      <c r="B1061" s="6">
        <v>5486.3</v>
      </c>
      <c r="C1061" s="6">
        <v>5490.6</v>
      </c>
      <c r="D1061" s="6">
        <v>5100.7</v>
      </c>
      <c r="E1061" s="6">
        <v>5242.6000000000004</v>
      </c>
      <c r="F1061" s="8">
        <v>4463600000</v>
      </c>
      <c r="G1061" s="8">
        <v>29497730000</v>
      </c>
    </row>
    <row r="1062" spans="1:7" x14ac:dyDescent="0.25">
      <c r="A1062" s="7">
        <v>43952</v>
      </c>
      <c r="B1062" s="6">
        <v>5242.6000000000004</v>
      </c>
      <c r="C1062" s="6">
        <v>5549.1</v>
      </c>
      <c r="D1062" s="6">
        <v>5214.8</v>
      </c>
      <c r="E1062" s="6">
        <v>5245.9</v>
      </c>
      <c r="F1062" s="8">
        <v>4631251000</v>
      </c>
      <c r="G1062" s="8">
        <v>32634180000</v>
      </c>
    </row>
    <row r="1063" spans="1:7" x14ac:dyDescent="0.25">
      <c r="A1063" s="7">
        <v>43959</v>
      </c>
      <c r="B1063" s="6">
        <v>5245.9</v>
      </c>
      <c r="C1063" s="6">
        <v>5428</v>
      </c>
      <c r="D1063" s="6">
        <v>5169.6000000000004</v>
      </c>
      <c r="E1063" s="6">
        <v>5391.1</v>
      </c>
      <c r="F1063" s="8">
        <v>3901394000</v>
      </c>
      <c r="G1063" s="8">
        <v>27533440000</v>
      </c>
    </row>
    <row r="1064" spans="1:7" x14ac:dyDescent="0.25">
      <c r="A1064" s="7">
        <v>43966</v>
      </c>
      <c r="B1064" s="6">
        <v>5391.1</v>
      </c>
      <c r="C1064" s="6">
        <v>5489.5</v>
      </c>
      <c r="D1064" s="6">
        <v>5301.9</v>
      </c>
      <c r="E1064" s="6">
        <v>5404.8</v>
      </c>
      <c r="F1064" s="8">
        <v>4137562000</v>
      </c>
      <c r="G1064" s="8">
        <v>26527700000</v>
      </c>
    </row>
    <row r="1065" spans="1:7" x14ac:dyDescent="0.25">
      <c r="A1065" s="7">
        <v>43973</v>
      </c>
      <c r="B1065" s="6">
        <v>5404.8</v>
      </c>
      <c r="C1065" s="6">
        <v>5610.8</v>
      </c>
      <c r="D1065" s="6">
        <v>5404.8</v>
      </c>
      <c r="E1065" s="6">
        <v>5497</v>
      </c>
      <c r="F1065" s="8">
        <v>4086961000</v>
      </c>
      <c r="G1065" s="8">
        <v>27286670000</v>
      </c>
    </row>
    <row r="1066" spans="1:7" x14ac:dyDescent="0.25">
      <c r="A1066" s="7">
        <v>43980</v>
      </c>
      <c r="B1066" s="6">
        <v>5497</v>
      </c>
      <c r="C1066" s="6">
        <v>5922</v>
      </c>
      <c r="D1066" s="6">
        <v>5497</v>
      </c>
      <c r="E1066" s="6">
        <v>5755.7</v>
      </c>
      <c r="F1066" s="8">
        <v>6721227000</v>
      </c>
      <c r="G1066" s="8">
        <v>47494800000</v>
      </c>
    </row>
    <row r="1067" spans="1:7" x14ac:dyDescent="0.25">
      <c r="A1067" s="7">
        <v>43987</v>
      </c>
      <c r="B1067" s="6">
        <v>5755.7</v>
      </c>
      <c r="C1067" s="6">
        <v>6040.2</v>
      </c>
      <c r="D1067" s="6">
        <v>5705.4</v>
      </c>
      <c r="E1067" s="6">
        <v>5998.7</v>
      </c>
      <c r="F1067" s="8">
        <v>5106819000</v>
      </c>
      <c r="G1067" s="8">
        <v>34662790000</v>
      </c>
    </row>
    <row r="1068" spans="1:7" x14ac:dyDescent="0.25">
      <c r="A1068" s="7">
        <v>43994</v>
      </c>
      <c r="B1068" s="6">
        <v>5998.7</v>
      </c>
      <c r="C1068" s="6">
        <v>6198.6</v>
      </c>
      <c r="D1068" s="6">
        <v>5756.5</v>
      </c>
      <c r="E1068" s="6">
        <v>5847.8</v>
      </c>
      <c r="F1068" s="8">
        <v>4907468000</v>
      </c>
      <c r="G1068" s="8">
        <v>34150190000</v>
      </c>
    </row>
    <row r="1069" spans="1:7" x14ac:dyDescent="0.25">
      <c r="A1069" s="7">
        <v>44001</v>
      </c>
      <c r="B1069" s="6">
        <v>5847.8</v>
      </c>
      <c r="C1069" s="6">
        <v>6006.3</v>
      </c>
      <c r="D1069" s="6">
        <v>5719.8</v>
      </c>
      <c r="E1069" s="6">
        <v>5942.6</v>
      </c>
      <c r="F1069" s="8">
        <v>6196036000</v>
      </c>
      <c r="G1069" s="8">
        <v>44016050000</v>
      </c>
    </row>
    <row r="1070" spans="1:7" x14ac:dyDescent="0.25">
      <c r="A1070" s="7">
        <v>44008</v>
      </c>
      <c r="B1070" s="6">
        <v>5942.6</v>
      </c>
      <c r="C1070" s="6">
        <v>5999.2</v>
      </c>
      <c r="D1070" s="6">
        <v>5817.7</v>
      </c>
      <c r="E1070" s="6">
        <v>5904.1</v>
      </c>
      <c r="F1070" s="8">
        <v>4279813000</v>
      </c>
      <c r="G1070" s="8">
        <v>30242130000</v>
      </c>
    </row>
    <row r="1071" spans="1:7" x14ac:dyDescent="0.25">
      <c r="A1071" s="7">
        <v>44015</v>
      </c>
      <c r="B1071" s="6">
        <v>5904.1</v>
      </c>
      <c r="C1071" s="6">
        <v>6101.4</v>
      </c>
      <c r="D1071" s="6">
        <v>5773.2</v>
      </c>
      <c r="E1071" s="6">
        <v>6057.9</v>
      </c>
      <c r="F1071" s="8">
        <v>3926256000</v>
      </c>
      <c r="G1071" s="8">
        <v>27971250000</v>
      </c>
    </row>
    <row r="1072" spans="1:7" x14ac:dyDescent="0.25">
      <c r="A1072" s="7">
        <v>44022</v>
      </c>
      <c r="B1072" s="6">
        <v>6057.9</v>
      </c>
      <c r="C1072" s="6">
        <v>6078.3</v>
      </c>
      <c r="D1072" s="6">
        <v>5899.5</v>
      </c>
      <c r="E1072" s="6">
        <v>5919.2</v>
      </c>
      <c r="F1072" s="8">
        <v>3365418000</v>
      </c>
      <c r="G1072" s="8">
        <v>25473130000</v>
      </c>
    </row>
    <row r="1073" spans="1:7" x14ac:dyDescent="0.25">
      <c r="A1073" s="7">
        <v>44029</v>
      </c>
      <c r="B1073" s="6">
        <v>5998.4</v>
      </c>
      <c r="C1073" s="6">
        <v>6078</v>
      </c>
      <c r="D1073" s="6">
        <v>5918.8</v>
      </c>
      <c r="E1073" s="6">
        <v>6033.6</v>
      </c>
      <c r="F1073" s="8">
        <v>3235487000</v>
      </c>
      <c r="G1073" s="8">
        <v>25742140000</v>
      </c>
    </row>
    <row r="1074" spans="1:7" x14ac:dyDescent="0.25">
      <c r="A1074" s="7">
        <v>44036</v>
      </c>
      <c r="B1074" s="6">
        <v>6033.6</v>
      </c>
      <c r="C1074" s="6">
        <v>6160.6</v>
      </c>
      <c r="D1074" s="6">
        <v>5991.9</v>
      </c>
      <c r="E1074" s="6">
        <v>6024</v>
      </c>
      <c r="F1074" s="8">
        <v>2962388000</v>
      </c>
      <c r="G1074" s="8">
        <v>22028310000</v>
      </c>
    </row>
    <row r="1075" spans="1:7" x14ac:dyDescent="0.25">
      <c r="A1075" s="7">
        <v>44043</v>
      </c>
      <c r="B1075" s="6">
        <v>6024</v>
      </c>
      <c r="C1075" s="6">
        <v>6113.8</v>
      </c>
      <c r="D1075" s="6">
        <v>5893.2</v>
      </c>
      <c r="E1075" s="6">
        <v>5927.8</v>
      </c>
      <c r="F1075" s="8">
        <v>3533026000</v>
      </c>
      <c r="G1075" s="8">
        <v>26986360000</v>
      </c>
    </row>
    <row r="1076" spans="1:7" x14ac:dyDescent="0.25">
      <c r="A1076" s="7">
        <v>44050</v>
      </c>
      <c r="B1076" s="6">
        <v>5927.8</v>
      </c>
      <c r="C1076" s="6">
        <v>6059.5</v>
      </c>
      <c r="D1076" s="6">
        <v>5860.7</v>
      </c>
      <c r="E1076" s="6">
        <v>6004.8</v>
      </c>
      <c r="F1076" s="8">
        <v>3414718000</v>
      </c>
      <c r="G1076" s="8">
        <v>26238120000</v>
      </c>
    </row>
    <row r="1077" spans="1:7" x14ac:dyDescent="0.25">
      <c r="A1077" s="7">
        <v>44057</v>
      </c>
      <c r="B1077" s="6">
        <v>6004.8</v>
      </c>
      <c r="C1077" s="6">
        <v>6186.1</v>
      </c>
      <c r="D1077" s="6">
        <v>6004.8</v>
      </c>
      <c r="E1077" s="6">
        <v>6126.2</v>
      </c>
      <c r="F1077" s="8">
        <v>3752733000</v>
      </c>
      <c r="G1077" s="8">
        <v>29347880000</v>
      </c>
    </row>
    <row r="1078" spans="1:7" x14ac:dyDescent="0.25">
      <c r="A1078" s="7">
        <v>44064</v>
      </c>
      <c r="B1078" s="6">
        <v>6126.2</v>
      </c>
      <c r="C1078" s="6">
        <v>6196.6</v>
      </c>
      <c r="D1078" s="6">
        <v>6059.3</v>
      </c>
      <c r="E1078" s="6">
        <v>6111.2</v>
      </c>
      <c r="F1078" s="8">
        <v>4090026000</v>
      </c>
      <c r="G1078" s="8">
        <v>31908790000</v>
      </c>
    </row>
    <row r="1079" spans="1:7" x14ac:dyDescent="0.25">
      <c r="A1079" s="7">
        <v>44071</v>
      </c>
      <c r="B1079" s="6">
        <v>6111.2</v>
      </c>
      <c r="C1079" s="6">
        <v>6199.2</v>
      </c>
      <c r="D1079" s="6">
        <v>6056</v>
      </c>
      <c r="E1079" s="6">
        <v>6073.8</v>
      </c>
      <c r="F1079" s="8">
        <v>4236599000</v>
      </c>
      <c r="G1079" s="8">
        <v>31701440000</v>
      </c>
    </row>
    <row r="1080" spans="1:7" x14ac:dyDescent="0.25">
      <c r="A1080" s="7">
        <v>44078</v>
      </c>
      <c r="B1080" s="6">
        <v>6073.8</v>
      </c>
      <c r="C1080" s="6">
        <v>6130.8</v>
      </c>
      <c r="D1080" s="6">
        <v>5908.9</v>
      </c>
      <c r="E1080" s="6">
        <v>5925.5</v>
      </c>
      <c r="F1080" s="8">
        <v>3998766000</v>
      </c>
      <c r="G1080" s="8">
        <v>30826940000</v>
      </c>
    </row>
    <row r="1081" spans="1:7" x14ac:dyDescent="0.25">
      <c r="A1081" s="7">
        <v>44085</v>
      </c>
      <c r="B1081" s="6">
        <v>5925.5</v>
      </c>
      <c r="C1081" s="6">
        <v>6025.5</v>
      </c>
      <c r="D1081" s="6">
        <v>5836.2</v>
      </c>
      <c r="E1081" s="6">
        <v>5859.4</v>
      </c>
      <c r="F1081" s="8">
        <v>3390567000</v>
      </c>
      <c r="G1081" s="8">
        <v>24661500000</v>
      </c>
    </row>
    <row r="1082" spans="1:7" x14ac:dyDescent="0.25">
      <c r="A1082" s="7">
        <v>44092</v>
      </c>
      <c r="B1082" s="6">
        <v>5859.4</v>
      </c>
      <c r="C1082" s="6">
        <v>5958.5</v>
      </c>
      <c r="D1082" s="6">
        <v>5859.4</v>
      </c>
      <c r="E1082" s="6">
        <v>5864.5</v>
      </c>
      <c r="F1082" s="8">
        <v>4691381000</v>
      </c>
      <c r="G1082" s="8">
        <v>35864300000</v>
      </c>
    </row>
    <row r="1083" spans="1:7" x14ac:dyDescent="0.25">
      <c r="A1083" s="7">
        <v>44099</v>
      </c>
      <c r="B1083" s="6">
        <v>5864.5</v>
      </c>
      <c r="C1083" s="6">
        <v>5973.7</v>
      </c>
      <c r="D1083" s="6">
        <v>5763.2</v>
      </c>
      <c r="E1083" s="6">
        <v>5964.9</v>
      </c>
      <c r="F1083" s="8">
        <v>3701911000</v>
      </c>
      <c r="G1083" s="8">
        <v>28117470000</v>
      </c>
    </row>
    <row r="1084" spans="1:7" x14ac:dyDescent="0.25">
      <c r="A1084" s="7">
        <v>44106</v>
      </c>
      <c r="B1084" s="6">
        <v>5964.9</v>
      </c>
      <c r="C1084" s="6">
        <v>5995.4</v>
      </c>
      <c r="D1084" s="6">
        <v>5779.6</v>
      </c>
      <c r="E1084" s="6">
        <v>5791.5</v>
      </c>
      <c r="F1084" s="8">
        <v>3524037000</v>
      </c>
      <c r="G1084" s="8">
        <v>26000540000</v>
      </c>
    </row>
    <row r="1085" spans="1:7" x14ac:dyDescent="0.25">
      <c r="A1085" s="7">
        <v>44113</v>
      </c>
      <c r="B1085" s="6">
        <v>5791.5</v>
      </c>
      <c r="C1085" s="6">
        <v>6127.4</v>
      </c>
      <c r="D1085" s="6">
        <v>5791.5</v>
      </c>
      <c r="E1085" s="6">
        <v>6102.2</v>
      </c>
      <c r="F1085" s="8">
        <v>2884426000</v>
      </c>
      <c r="G1085" s="8">
        <v>22339420000</v>
      </c>
    </row>
    <row r="1086" spans="1:7" x14ac:dyDescent="0.25">
      <c r="A1086" s="7">
        <v>44120</v>
      </c>
      <c r="B1086" s="6">
        <v>6102.2</v>
      </c>
      <c r="C1086" s="6">
        <v>6233.4</v>
      </c>
      <c r="D1086" s="6">
        <v>6093.1</v>
      </c>
      <c r="E1086" s="6">
        <v>6176.8</v>
      </c>
      <c r="F1086" s="8">
        <v>3091978000</v>
      </c>
      <c r="G1086" s="8">
        <v>25742590000</v>
      </c>
    </row>
    <row r="1087" spans="1:7" x14ac:dyDescent="0.25">
      <c r="A1087" s="7">
        <v>44127</v>
      </c>
      <c r="B1087" s="6">
        <v>6176.8</v>
      </c>
      <c r="C1087" s="6">
        <v>6248.3</v>
      </c>
      <c r="D1087" s="6">
        <v>6100.6</v>
      </c>
      <c r="E1087" s="6">
        <v>6167</v>
      </c>
      <c r="F1087" s="8">
        <v>2982376000</v>
      </c>
      <c r="G1087" s="8">
        <v>23834210000</v>
      </c>
    </row>
    <row r="1088" spans="1:7" x14ac:dyDescent="0.25">
      <c r="A1088" s="7">
        <v>44134</v>
      </c>
      <c r="B1088" s="6">
        <v>6167</v>
      </c>
      <c r="C1088" s="6">
        <v>6206.5</v>
      </c>
      <c r="D1088" s="6">
        <v>5927.6</v>
      </c>
      <c r="E1088" s="6">
        <v>5927.6</v>
      </c>
      <c r="F1088" s="8">
        <v>3522298000</v>
      </c>
      <c r="G1088" s="8">
        <v>26596860000</v>
      </c>
    </row>
    <row r="1089" spans="1:7" x14ac:dyDescent="0.25">
      <c r="A1089" s="7">
        <v>44141</v>
      </c>
      <c r="B1089" s="6">
        <v>5927.6</v>
      </c>
      <c r="C1089" s="6">
        <v>6202.3</v>
      </c>
      <c r="D1089" s="6">
        <v>5904.1</v>
      </c>
      <c r="E1089" s="6">
        <v>6190.2</v>
      </c>
      <c r="F1089" s="8">
        <v>3251000000</v>
      </c>
      <c r="G1089" s="8">
        <v>26306740000</v>
      </c>
    </row>
    <row r="1090" spans="1:7" x14ac:dyDescent="0.25">
      <c r="A1090" s="7">
        <v>44148</v>
      </c>
      <c r="B1090" s="6">
        <v>6190.2</v>
      </c>
      <c r="C1090" s="6">
        <v>6470.9</v>
      </c>
      <c r="D1090" s="6">
        <v>6190.2</v>
      </c>
      <c r="E1090" s="6">
        <v>6405.2</v>
      </c>
      <c r="F1090" s="8">
        <v>4404154000</v>
      </c>
      <c r="G1090" s="8">
        <v>37319670000</v>
      </c>
    </row>
    <row r="1091" spans="1:7" x14ac:dyDescent="0.25">
      <c r="A1091" s="7">
        <v>44155</v>
      </c>
      <c r="B1091" s="6">
        <v>6405.2</v>
      </c>
      <c r="C1091" s="6">
        <v>6562.1</v>
      </c>
      <c r="D1091" s="6">
        <v>6405.2</v>
      </c>
      <c r="E1091" s="6">
        <v>6539.2</v>
      </c>
      <c r="F1091" s="8">
        <v>3187019000</v>
      </c>
      <c r="G1091" s="8">
        <v>28728260000</v>
      </c>
    </row>
    <row r="1092" spans="1:7" x14ac:dyDescent="0.25">
      <c r="A1092" s="7">
        <v>44162</v>
      </c>
      <c r="B1092" s="6">
        <v>6539.2</v>
      </c>
      <c r="C1092" s="6">
        <v>6713.3</v>
      </c>
      <c r="D1092" s="6">
        <v>6539.2</v>
      </c>
      <c r="E1092" s="6">
        <v>6601.1</v>
      </c>
      <c r="F1092" s="8">
        <v>3448874000</v>
      </c>
      <c r="G1092" s="8">
        <v>29857570000</v>
      </c>
    </row>
    <row r="1093" spans="1:7" x14ac:dyDescent="0.25">
      <c r="A1093" s="7">
        <v>44169</v>
      </c>
      <c r="B1093" s="6">
        <v>6601.1</v>
      </c>
      <c r="C1093" s="6">
        <v>6650.1</v>
      </c>
      <c r="D1093" s="6">
        <v>6511.4</v>
      </c>
      <c r="E1093" s="6">
        <v>6634.1</v>
      </c>
      <c r="F1093" s="8">
        <v>3881940000</v>
      </c>
      <c r="G1093" s="8">
        <v>36288610000</v>
      </c>
    </row>
    <row r="1094" spans="1:7" x14ac:dyDescent="0.25">
      <c r="A1094" s="7">
        <v>44176</v>
      </c>
      <c r="B1094" s="6">
        <v>6634.3</v>
      </c>
      <c r="C1094" s="6">
        <v>6745.3</v>
      </c>
      <c r="D1094" s="6">
        <v>6632.3</v>
      </c>
      <c r="E1094" s="6">
        <v>6642.6</v>
      </c>
      <c r="F1094" s="8">
        <v>3233633000</v>
      </c>
      <c r="G1094" s="8">
        <v>29662580000</v>
      </c>
    </row>
    <row r="1095" spans="1:7" x14ac:dyDescent="0.25">
      <c r="A1095" s="7">
        <v>44183</v>
      </c>
      <c r="B1095" s="6">
        <v>6642.6</v>
      </c>
      <c r="C1095" s="6">
        <v>6765.7</v>
      </c>
      <c r="D1095" s="6">
        <v>6625.7</v>
      </c>
      <c r="E1095" s="6">
        <v>6675.5</v>
      </c>
      <c r="F1095" s="8">
        <v>4092623000</v>
      </c>
      <c r="G1095" s="8">
        <v>37190230000</v>
      </c>
    </row>
    <row r="1096" spans="1:7" x14ac:dyDescent="0.25">
      <c r="A1096" s="7">
        <v>44189</v>
      </c>
      <c r="B1096" s="6">
        <v>6675.5</v>
      </c>
      <c r="C1096" s="6">
        <v>6704.9</v>
      </c>
      <c r="D1096" s="6">
        <v>6585</v>
      </c>
      <c r="E1096" s="6">
        <v>6664.8</v>
      </c>
      <c r="F1096" s="8">
        <v>1800196000</v>
      </c>
      <c r="G1096" s="8">
        <v>15704750000</v>
      </c>
    </row>
    <row r="1097" spans="1:7" x14ac:dyDescent="0.25">
      <c r="A1097" s="7">
        <v>44196</v>
      </c>
      <c r="B1097" s="6">
        <v>6664.8</v>
      </c>
      <c r="C1097" s="6">
        <v>6725.1</v>
      </c>
      <c r="D1097" s="6">
        <v>6587.1</v>
      </c>
      <c r="E1097" s="6">
        <v>6587.1</v>
      </c>
      <c r="F1097" s="8">
        <v>957437200</v>
      </c>
      <c r="G1097" s="8">
        <v>7779717000</v>
      </c>
    </row>
    <row r="1098" spans="1:7" x14ac:dyDescent="0.25">
      <c r="A1098" s="7">
        <v>44204</v>
      </c>
      <c r="B1098" s="6">
        <v>6587.1</v>
      </c>
      <c r="C1098" s="6">
        <v>6757.9</v>
      </c>
      <c r="D1098" s="6">
        <v>6587.1</v>
      </c>
      <c r="E1098" s="6">
        <v>6757.9</v>
      </c>
      <c r="F1098" s="8">
        <v>2552646000</v>
      </c>
      <c r="G1098" s="8">
        <v>23025020000</v>
      </c>
    </row>
    <row r="1099" spans="1:7" x14ac:dyDescent="0.25">
      <c r="A1099" s="7">
        <v>44211</v>
      </c>
      <c r="B1099" s="6">
        <v>6757.9</v>
      </c>
      <c r="C1099" s="6">
        <v>6761</v>
      </c>
      <c r="D1099" s="6">
        <v>6657.1</v>
      </c>
      <c r="E1099" s="6">
        <v>6715.4</v>
      </c>
      <c r="F1099" s="8">
        <v>2711402000</v>
      </c>
      <c r="G1099" s="8">
        <v>23449510000</v>
      </c>
    </row>
    <row r="1100" spans="1:7" x14ac:dyDescent="0.25">
      <c r="A1100" s="7">
        <v>44218</v>
      </c>
      <c r="B1100" s="6">
        <v>6715.4</v>
      </c>
      <c r="C1100" s="6">
        <v>6829.3</v>
      </c>
      <c r="D1100" s="6">
        <v>6651.6</v>
      </c>
      <c r="E1100" s="6">
        <v>6800.4</v>
      </c>
      <c r="F1100" s="8">
        <v>2741573000</v>
      </c>
      <c r="G1100" s="8">
        <v>25866830000</v>
      </c>
    </row>
    <row r="1101" spans="1:7" x14ac:dyDescent="0.25">
      <c r="A1101" s="7">
        <v>44225</v>
      </c>
      <c r="B1101" s="6">
        <v>6800.4</v>
      </c>
      <c r="C1101" s="6">
        <v>6832.6</v>
      </c>
      <c r="D1101" s="6">
        <v>6585.3</v>
      </c>
      <c r="E1101" s="6">
        <v>6607.4</v>
      </c>
      <c r="F1101" s="8">
        <v>2484589000</v>
      </c>
      <c r="G1101" s="8">
        <v>23394740000</v>
      </c>
    </row>
    <row r="1102" spans="1:7" x14ac:dyDescent="0.25">
      <c r="A1102" s="7">
        <v>44232</v>
      </c>
      <c r="B1102" s="6">
        <v>6607.4</v>
      </c>
      <c r="C1102" s="6">
        <v>6852.9</v>
      </c>
      <c r="D1102" s="6">
        <v>6517.2</v>
      </c>
      <c r="E1102" s="6">
        <v>6840.5</v>
      </c>
      <c r="F1102" s="8">
        <v>3059102000</v>
      </c>
      <c r="G1102" s="8">
        <v>26822880000</v>
      </c>
    </row>
    <row r="1103" spans="1:7" x14ac:dyDescent="0.25">
      <c r="A1103" s="7">
        <v>44239</v>
      </c>
      <c r="B1103" s="6">
        <v>6840.5</v>
      </c>
      <c r="C1103" s="6">
        <v>6901</v>
      </c>
      <c r="D1103" s="6">
        <v>6802.4</v>
      </c>
      <c r="E1103" s="6">
        <v>6806.7</v>
      </c>
      <c r="F1103" s="8">
        <v>2547057000</v>
      </c>
      <c r="G1103" s="8">
        <v>23410380000</v>
      </c>
    </row>
    <row r="1104" spans="1:7" x14ac:dyDescent="0.25">
      <c r="A1104" s="7">
        <v>44246</v>
      </c>
      <c r="B1104" s="6">
        <v>6806.7</v>
      </c>
      <c r="C1104" s="6">
        <v>6938</v>
      </c>
      <c r="D1104" s="6">
        <v>6769.9</v>
      </c>
      <c r="E1104" s="6">
        <v>6793.8</v>
      </c>
      <c r="F1104" s="8">
        <v>3345438000</v>
      </c>
      <c r="G1104" s="8">
        <v>32677980000</v>
      </c>
    </row>
    <row r="1105" spans="1:7" x14ac:dyDescent="0.25">
      <c r="A1105" s="7">
        <v>44253</v>
      </c>
      <c r="B1105" s="6">
        <v>6793.8</v>
      </c>
      <c r="C1105" s="6">
        <v>6857.3</v>
      </c>
      <c r="D1105" s="6">
        <v>6658.9</v>
      </c>
      <c r="E1105" s="6">
        <v>6673.3</v>
      </c>
      <c r="F1105" s="8">
        <v>3976485000</v>
      </c>
      <c r="G1105" s="8">
        <v>35106750000</v>
      </c>
    </row>
    <row r="1106" spans="1:7" x14ac:dyDescent="0.25">
      <c r="A1106" s="7">
        <v>44260</v>
      </c>
      <c r="B1106" s="6">
        <v>6673.3</v>
      </c>
      <c r="C1106" s="6">
        <v>6860.7</v>
      </c>
      <c r="D1106" s="6">
        <v>6660.5</v>
      </c>
      <c r="E1106" s="6">
        <v>6710.8</v>
      </c>
      <c r="F1106" s="8">
        <v>3504848000</v>
      </c>
      <c r="G1106" s="8">
        <v>31997490000</v>
      </c>
    </row>
    <row r="1107" spans="1:7" x14ac:dyDescent="0.25">
      <c r="A1107" s="7">
        <v>44267</v>
      </c>
      <c r="B1107" s="6">
        <v>6710.8</v>
      </c>
      <c r="C1107" s="6">
        <v>6835.6</v>
      </c>
      <c r="D1107" s="6">
        <v>6648.6</v>
      </c>
      <c r="E1107" s="6">
        <v>6766.8</v>
      </c>
      <c r="F1107" s="8">
        <v>3097216000</v>
      </c>
      <c r="G1107" s="8">
        <v>28890570000</v>
      </c>
    </row>
    <row r="1108" spans="1:7" x14ac:dyDescent="0.25">
      <c r="A1108" s="7">
        <v>44274</v>
      </c>
      <c r="B1108" s="6">
        <v>6766.8</v>
      </c>
      <c r="C1108" s="6">
        <v>6858.9</v>
      </c>
      <c r="D1108" s="6">
        <v>6673.7</v>
      </c>
      <c r="E1108" s="6">
        <v>6708.2</v>
      </c>
      <c r="F1108" s="8">
        <v>3636702000</v>
      </c>
      <c r="G1108" s="8">
        <v>33965640000</v>
      </c>
    </row>
    <row r="1109" spans="1:7" x14ac:dyDescent="0.25">
      <c r="A1109" s="7">
        <v>44281</v>
      </c>
      <c r="B1109" s="6">
        <v>6708.2</v>
      </c>
      <c r="C1109" s="6">
        <v>6835</v>
      </c>
      <c r="D1109" s="6">
        <v>6688.2</v>
      </c>
      <c r="E1109" s="6">
        <v>6824.2</v>
      </c>
      <c r="F1109" s="8">
        <v>2624186000</v>
      </c>
      <c r="G1109" s="8">
        <v>22639340000</v>
      </c>
    </row>
    <row r="1110" spans="1:7" x14ac:dyDescent="0.25">
      <c r="A1110" s="7">
        <v>44287</v>
      </c>
      <c r="B1110" s="6">
        <v>6824.2</v>
      </c>
      <c r="C1110" s="6">
        <v>6862.6</v>
      </c>
      <c r="D1110" s="6">
        <v>6738.4</v>
      </c>
      <c r="E1110" s="6">
        <v>6828.7</v>
      </c>
      <c r="F1110" s="8">
        <v>2206701000</v>
      </c>
      <c r="G1110" s="8">
        <v>19269230000</v>
      </c>
    </row>
    <row r="1111" spans="1:7" x14ac:dyDescent="0.25">
      <c r="A1111" s="7">
        <v>44295</v>
      </c>
      <c r="B1111" s="6">
        <v>6828.7</v>
      </c>
      <c r="C1111" s="6">
        <v>7012.4</v>
      </c>
      <c r="D1111" s="6">
        <v>6828.7</v>
      </c>
      <c r="E1111" s="6">
        <v>6995.2</v>
      </c>
      <c r="F1111" s="8">
        <v>2101078000</v>
      </c>
      <c r="G1111" s="8">
        <v>18802710000</v>
      </c>
    </row>
    <row r="1112" spans="1:7" x14ac:dyDescent="0.25">
      <c r="A1112" s="7">
        <v>44302</v>
      </c>
      <c r="B1112" s="6">
        <v>6996.7</v>
      </c>
      <c r="C1112" s="6">
        <v>7071.5</v>
      </c>
      <c r="D1112" s="6">
        <v>6957.4</v>
      </c>
      <c r="E1112" s="6">
        <v>7063.5</v>
      </c>
      <c r="F1112" s="8">
        <v>2802662000</v>
      </c>
      <c r="G1112" s="8">
        <v>24620630000</v>
      </c>
    </row>
    <row r="1113" spans="1:7" x14ac:dyDescent="0.25">
      <c r="A1113" s="7">
        <v>44309</v>
      </c>
      <c r="B1113" s="6">
        <v>7063.5</v>
      </c>
      <c r="C1113" s="6">
        <v>7094.8</v>
      </c>
      <c r="D1113" s="6">
        <v>6905.4</v>
      </c>
      <c r="E1113" s="6">
        <v>7060.7</v>
      </c>
      <c r="F1113" s="8">
        <v>2866637000</v>
      </c>
      <c r="G1113" s="8">
        <v>23838550000</v>
      </c>
    </row>
    <row r="1114" spans="1:7" x14ac:dyDescent="0.25">
      <c r="A1114" s="7">
        <v>44316</v>
      </c>
      <c r="B1114" s="6">
        <v>7060.7</v>
      </c>
      <c r="C1114" s="6">
        <v>7096.9</v>
      </c>
      <c r="D1114" s="6">
        <v>7005.9</v>
      </c>
      <c r="E1114" s="6">
        <v>7025.8</v>
      </c>
      <c r="F1114" s="8">
        <v>2894940000</v>
      </c>
      <c r="G1114" s="8">
        <v>24476850000</v>
      </c>
    </row>
    <row r="1115" spans="1:7" x14ac:dyDescent="0.25">
      <c r="A1115" s="7">
        <v>44323</v>
      </c>
      <c r="B1115" s="6">
        <v>7025.8</v>
      </c>
      <c r="C1115" s="6">
        <v>7122</v>
      </c>
      <c r="D1115" s="6">
        <v>7022</v>
      </c>
      <c r="E1115" s="6">
        <v>7080.8</v>
      </c>
      <c r="F1115" s="8">
        <v>2620289000</v>
      </c>
      <c r="G1115" s="8">
        <v>24528910000</v>
      </c>
    </row>
    <row r="1116" spans="1:7" x14ac:dyDescent="0.25">
      <c r="A1116" s="7">
        <v>44330</v>
      </c>
      <c r="B1116" s="6">
        <v>7080.8</v>
      </c>
      <c r="C1116" s="6">
        <v>7172.8</v>
      </c>
      <c r="D1116" s="6">
        <v>6966.5</v>
      </c>
      <c r="E1116" s="6">
        <v>7014.2</v>
      </c>
      <c r="F1116" s="8">
        <v>2930089000</v>
      </c>
      <c r="G1116" s="8">
        <v>26472200000</v>
      </c>
    </row>
    <row r="1117" spans="1:7" x14ac:dyDescent="0.25">
      <c r="A1117" s="7">
        <v>44337</v>
      </c>
      <c r="B1117" s="6">
        <v>7014.2</v>
      </c>
      <c r="C1117" s="6">
        <v>7083.6</v>
      </c>
      <c r="D1117" s="6">
        <v>6917.3</v>
      </c>
      <c r="E1117" s="6">
        <v>7030.3</v>
      </c>
      <c r="F1117" s="8">
        <v>2934607000</v>
      </c>
      <c r="G1117" s="8">
        <v>26290030000</v>
      </c>
    </row>
    <row r="1118" spans="1:7" x14ac:dyDescent="0.25">
      <c r="A1118" s="7">
        <v>44344</v>
      </c>
      <c r="B1118" s="6">
        <v>7030.3</v>
      </c>
      <c r="C1118" s="6">
        <v>7186.8</v>
      </c>
      <c r="D1118" s="6">
        <v>7015.5</v>
      </c>
      <c r="E1118" s="6">
        <v>7179.5</v>
      </c>
      <c r="F1118" s="8">
        <v>3459779000</v>
      </c>
      <c r="G1118" s="8">
        <v>30290560000</v>
      </c>
    </row>
    <row r="1119" spans="1:7" x14ac:dyDescent="0.25">
      <c r="A1119" s="7">
        <v>44351</v>
      </c>
      <c r="B1119" s="6">
        <v>7179.5</v>
      </c>
      <c r="C1119" s="6">
        <v>7300.5</v>
      </c>
      <c r="D1119" s="6">
        <v>7117.5</v>
      </c>
      <c r="E1119" s="6">
        <v>7295.4</v>
      </c>
      <c r="F1119" s="8">
        <v>2727909000</v>
      </c>
      <c r="G1119" s="8">
        <v>23510300000</v>
      </c>
    </row>
    <row r="1120" spans="1:7" x14ac:dyDescent="0.25">
      <c r="A1120" s="7">
        <v>44358</v>
      </c>
      <c r="B1120" s="6">
        <v>7295.4</v>
      </c>
      <c r="C1120" s="6">
        <v>7334.9</v>
      </c>
      <c r="D1120" s="6">
        <v>7265.6</v>
      </c>
      <c r="E1120" s="6">
        <v>7312.3</v>
      </c>
      <c r="F1120" s="8">
        <v>2730603000</v>
      </c>
      <c r="G1120" s="8">
        <v>23500440000</v>
      </c>
    </row>
    <row r="1121" spans="1:7" x14ac:dyDescent="0.25">
      <c r="A1121" s="7">
        <v>44365</v>
      </c>
      <c r="B1121" s="6">
        <v>7312.3</v>
      </c>
      <c r="C1121" s="6">
        <v>7406.2</v>
      </c>
      <c r="D1121" s="6">
        <v>7312.3</v>
      </c>
      <c r="E1121" s="6">
        <v>7368.9</v>
      </c>
      <c r="F1121" s="8">
        <v>3273882000</v>
      </c>
      <c r="G1121" s="8">
        <v>30534820000</v>
      </c>
    </row>
    <row r="1122" spans="1:7" x14ac:dyDescent="0.25">
      <c r="A1122" s="7">
        <v>44372</v>
      </c>
      <c r="B1122" s="6">
        <v>7368.9</v>
      </c>
      <c r="C1122" s="6">
        <v>7368.9</v>
      </c>
      <c r="D1122" s="6">
        <v>7216.6</v>
      </c>
      <c r="E1122" s="6">
        <v>7308</v>
      </c>
      <c r="F1122" s="8">
        <v>3129485000</v>
      </c>
      <c r="G1122" s="8">
        <v>28329640000</v>
      </c>
    </row>
    <row r="1123" spans="1:7" x14ac:dyDescent="0.25">
      <c r="A1123" s="7">
        <v>44379</v>
      </c>
      <c r="B1123" s="6">
        <v>7308</v>
      </c>
      <c r="C1123" s="6">
        <v>7370.1</v>
      </c>
      <c r="D1123" s="6">
        <v>7241.5</v>
      </c>
      <c r="E1123" s="6">
        <v>7308.6</v>
      </c>
      <c r="F1123" s="8">
        <v>2779872000</v>
      </c>
      <c r="G1123" s="8">
        <v>24011350000</v>
      </c>
    </row>
    <row r="1124" spans="1:7" x14ac:dyDescent="0.25">
      <c r="A1124" s="7">
        <v>44386</v>
      </c>
      <c r="B1124" s="6">
        <v>7308.6</v>
      </c>
      <c r="C1124" s="6">
        <v>7381.9</v>
      </c>
      <c r="D1124" s="6">
        <v>7226</v>
      </c>
      <c r="E1124" s="6">
        <v>7273.3</v>
      </c>
      <c r="F1124" s="8">
        <v>3003712000</v>
      </c>
      <c r="G1124" s="8">
        <v>26469790000</v>
      </c>
    </row>
    <row r="1125" spans="1:7" x14ac:dyDescent="0.25">
      <c r="A1125" s="7">
        <v>44393</v>
      </c>
      <c r="B1125" s="6">
        <v>7273.3</v>
      </c>
      <c r="C1125" s="6">
        <v>7382.2</v>
      </c>
      <c r="D1125" s="6">
        <v>7273.3</v>
      </c>
      <c r="E1125" s="6">
        <v>7348.1</v>
      </c>
      <c r="F1125" s="8">
        <v>2885482000</v>
      </c>
      <c r="G1125" s="8">
        <v>26842780000</v>
      </c>
    </row>
    <row r="1126" spans="1:7" x14ac:dyDescent="0.25">
      <c r="A1126" s="7">
        <v>44400</v>
      </c>
      <c r="B1126" s="6">
        <v>7348.1</v>
      </c>
      <c r="C1126" s="6">
        <v>7398.7</v>
      </c>
      <c r="D1126" s="6">
        <v>7205</v>
      </c>
      <c r="E1126" s="6">
        <v>7394.4</v>
      </c>
      <c r="F1126" s="8">
        <v>2775577000</v>
      </c>
      <c r="G1126" s="8">
        <v>24211550000</v>
      </c>
    </row>
    <row r="1127" spans="1:7" x14ac:dyDescent="0.25">
      <c r="A1127" s="7">
        <v>44407</v>
      </c>
      <c r="B1127" s="6">
        <v>7394.4</v>
      </c>
      <c r="C1127" s="6">
        <v>7447.9</v>
      </c>
      <c r="D1127" s="6">
        <v>7368.3</v>
      </c>
      <c r="E1127" s="6">
        <v>7392.6</v>
      </c>
      <c r="F1127" s="8">
        <v>2841126000</v>
      </c>
      <c r="G1127" s="8">
        <v>25315560000</v>
      </c>
    </row>
    <row r="1128" spans="1:7" x14ac:dyDescent="0.25">
      <c r="A1128" s="7">
        <v>44414</v>
      </c>
      <c r="B1128" s="6">
        <v>7415.9</v>
      </c>
      <c r="C1128" s="6">
        <v>7538.4</v>
      </c>
      <c r="D1128" s="6">
        <v>7414.9</v>
      </c>
      <c r="E1128" s="6">
        <v>7538.4</v>
      </c>
      <c r="F1128" s="8">
        <v>2748956000</v>
      </c>
      <c r="G1128" s="8">
        <v>28084510000</v>
      </c>
    </row>
    <row r="1129" spans="1:7" x14ac:dyDescent="0.25">
      <c r="A1129" s="7">
        <v>44421</v>
      </c>
      <c r="B1129" s="6">
        <v>7538.4</v>
      </c>
      <c r="C1129" s="6">
        <v>7632.8</v>
      </c>
      <c r="D1129" s="6">
        <v>7532.8</v>
      </c>
      <c r="E1129" s="6">
        <v>7628.9</v>
      </c>
      <c r="F1129" s="8">
        <v>2928004000</v>
      </c>
      <c r="G1129" s="8">
        <v>27472220000</v>
      </c>
    </row>
    <row r="1130" spans="1:7" x14ac:dyDescent="0.25">
      <c r="A1130" s="7">
        <v>44428</v>
      </c>
      <c r="B1130" s="6">
        <v>7628.9</v>
      </c>
      <c r="C1130" s="6">
        <v>7629</v>
      </c>
      <c r="D1130" s="6">
        <v>7429.2</v>
      </c>
      <c r="E1130" s="6">
        <v>7460.9</v>
      </c>
      <c r="F1130" s="8">
        <v>3319998000</v>
      </c>
      <c r="G1130" s="8">
        <v>34605880000</v>
      </c>
    </row>
    <row r="1131" spans="1:7" x14ac:dyDescent="0.25">
      <c r="A1131" s="7">
        <v>44435</v>
      </c>
      <c r="B1131" s="6">
        <v>7460.9</v>
      </c>
      <c r="C1131" s="6">
        <v>7542.4</v>
      </c>
      <c r="D1131" s="6">
        <v>7460.9</v>
      </c>
      <c r="E1131" s="6">
        <v>7488.3</v>
      </c>
      <c r="F1131" s="8">
        <v>3548741000</v>
      </c>
      <c r="G1131" s="8">
        <v>31679820000</v>
      </c>
    </row>
    <row r="1132" spans="1:7" x14ac:dyDescent="0.25">
      <c r="A1132" s="7">
        <v>44442</v>
      </c>
      <c r="B1132" s="6">
        <v>7488.3</v>
      </c>
      <c r="C1132" s="6">
        <v>7555.9</v>
      </c>
      <c r="D1132" s="6">
        <v>7437.2</v>
      </c>
      <c r="E1132" s="6">
        <v>7522.9</v>
      </c>
      <c r="F1132" s="8">
        <v>3291160000</v>
      </c>
      <c r="G1132" s="8">
        <v>30884410000</v>
      </c>
    </row>
    <row r="1133" spans="1:7" x14ac:dyDescent="0.25">
      <c r="A1133" s="7">
        <v>44449</v>
      </c>
      <c r="B1133" s="6">
        <v>7522.9</v>
      </c>
      <c r="C1133" s="6">
        <v>7536.9</v>
      </c>
      <c r="D1133" s="6">
        <v>7344.3</v>
      </c>
      <c r="E1133" s="6">
        <v>7406.6</v>
      </c>
      <c r="F1133" s="8">
        <v>3427717000</v>
      </c>
      <c r="G1133" s="8">
        <v>29443010000</v>
      </c>
    </row>
    <row r="1134" spans="1:7" x14ac:dyDescent="0.25">
      <c r="A1134" s="7">
        <v>44456</v>
      </c>
      <c r="B1134" s="6">
        <v>7406.6</v>
      </c>
      <c r="C1134" s="6">
        <v>7487.6</v>
      </c>
      <c r="D1134" s="6">
        <v>7376.1</v>
      </c>
      <c r="E1134" s="6">
        <v>7403.7</v>
      </c>
      <c r="F1134" s="8">
        <v>4705844000</v>
      </c>
      <c r="G1134" s="8">
        <v>40237640000</v>
      </c>
    </row>
    <row r="1135" spans="1:7" x14ac:dyDescent="0.25">
      <c r="A1135" s="7">
        <v>44463</v>
      </c>
      <c r="B1135" s="6">
        <v>7390.4</v>
      </c>
      <c r="C1135" s="6">
        <v>7390.4</v>
      </c>
      <c r="D1135" s="6">
        <v>7191.7</v>
      </c>
      <c r="E1135" s="6">
        <v>7342.6</v>
      </c>
      <c r="F1135" s="8">
        <v>3488233000</v>
      </c>
      <c r="G1135" s="8">
        <v>30745360000</v>
      </c>
    </row>
    <row r="1136" spans="1:7" x14ac:dyDescent="0.25">
      <c r="A1136" s="7">
        <v>44470</v>
      </c>
      <c r="B1136" s="6">
        <v>7342.6</v>
      </c>
      <c r="C1136" s="6">
        <v>7416.4</v>
      </c>
      <c r="D1136" s="6">
        <v>7145.7</v>
      </c>
      <c r="E1136" s="6">
        <v>7185.5</v>
      </c>
      <c r="F1136" s="8">
        <v>3822158000</v>
      </c>
      <c r="G1136" s="8">
        <v>34739400000</v>
      </c>
    </row>
    <row r="1137" spans="1:7" x14ac:dyDescent="0.25">
      <c r="A1137" s="7">
        <v>44477</v>
      </c>
      <c r="B1137" s="6">
        <v>7185.5</v>
      </c>
      <c r="C1137" s="6">
        <v>7322</v>
      </c>
      <c r="D1137" s="6">
        <v>7183.5</v>
      </c>
      <c r="E1137" s="6">
        <v>7320.1</v>
      </c>
      <c r="F1137" s="8">
        <v>3276190000</v>
      </c>
      <c r="G1137" s="8">
        <v>30425330000</v>
      </c>
    </row>
    <row r="1138" spans="1:7" x14ac:dyDescent="0.25">
      <c r="A1138" s="7">
        <v>44484</v>
      </c>
      <c r="B1138" s="6">
        <v>7320.1</v>
      </c>
      <c r="C1138" s="6">
        <v>7373.2</v>
      </c>
      <c r="D1138" s="6">
        <v>7250</v>
      </c>
      <c r="E1138" s="6">
        <v>7362</v>
      </c>
      <c r="F1138" s="8">
        <v>3085840000</v>
      </c>
      <c r="G1138" s="8">
        <v>27791700000</v>
      </c>
    </row>
    <row r="1139" spans="1:7" x14ac:dyDescent="0.25">
      <c r="A1139" s="7">
        <v>44491</v>
      </c>
      <c r="B1139" s="6">
        <v>7362</v>
      </c>
      <c r="C1139" s="6">
        <v>7449.5</v>
      </c>
      <c r="D1139" s="6">
        <v>7354.1</v>
      </c>
      <c r="E1139" s="6">
        <v>7415.5</v>
      </c>
      <c r="F1139" s="8">
        <v>3282618000</v>
      </c>
      <c r="G1139" s="8">
        <v>31315650000</v>
      </c>
    </row>
    <row r="1140" spans="1:7" x14ac:dyDescent="0.25">
      <c r="A1140" s="7">
        <v>44498</v>
      </c>
      <c r="B1140" s="6">
        <v>7415.5</v>
      </c>
      <c r="C1140" s="6">
        <v>7473.9</v>
      </c>
      <c r="D1140" s="6">
        <v>7318.8</v>
      </c>
      <c r="E1140" s="6">
        <v>7323.7</v>
      </c>
      <c r="F1140" s="8">
        <v>2852675000</v>
      </c>
      <c r="G1140" s="8">
        <v>26811240000</v>
      </c>
    </row>
    <row r="1141" spans="1:7" x14ac:dyDescent="0.25">
      <c r="A1141" s="7">
        <v>44505</v>
      </c>
      <c r="B1141" s="6">
        <v>7323.7</v>
      </c>
      <c r="C1141" s="6">
        <v>7477.2</v>
      </c>
      <c r="D1141" s="6">
        <v>7311.6</v>
      </c>
      <c r="E1141" s="6">
        <v>7456.9</v>
      </c>
      <c r="F1141" s="8">
        <v>2917453000</v>
      </c>
      <c r="G1141" s="8">
        <v>28435520000</v>
      </c>
    </row>
    <row r="1142" spans="1:7" x14ac:dyDescent="0.25">
      <c r="A1142" s="7">
        <v>44512</v>
      </c>
      <c r="B1142" s="6">
        <v>7456.9</v>
      </c>
      <c r="C1142" s="6">
        <v>7474.3</v>
      </c>
      <c r="D1142" s="6">
        <v>7329.5</v>
      </c>
      <c r="E1142" s="6">
        <v>7443</v>
      </c>
      <c r="F1142" s="8">
        <v>2913619000</v>
      </c>
      <c r="G1142" s="8">
        <v>27677910000</v>
      </c>
    </row>
    <row r="1143" spans="1:7" x14ac:dyDescent="0.25">
      <c r="A1143" s="7">
        <v>44519</v>
      </c>
      <c r="B1143" s="6">
        <v>7443</v>
      </c>
      <c r="C1143" s="6">
        <v>7479.1</v>
      </c>
      <c r="D1143" s="6">
        <v>7342.9</v>
      </c>
      <c r="E1143" s="6">
        <v>7396.5</v>
      </c>
      <c r="F1143" s="8">
        <v>2911138000</v>
      </c>
      <c r="G1143" s="8">
        <v>29106510000</v>
      </c>
    </row>
    <row r="1144" spans="1:7" x14ac:dyDescent="0.25">
      <c r="A1144" s="7">
        <v>44526</v>
      </c>
      <c r="B1144" s="6">
        <v>7396.5</v>
      </c>
      <c r="C1144" s="6">
        <v>7425</v>
      </c>
      <c r="D1144" s="6">
        <v>7260.3</v>
      </c>
      <c r="E1144" s="6">
        <v>7279.3</v>
      </c>
      <c r="F1144" s="8">
        <v>2862824000</v>
      </c>
      <c r="G1144" s="8">
        <v>26498180000</v>
      </c>
    </row>
    <row r="1145" spans="1:7" x14ac:dyDescent="0.25">
      <c r="A1145" s="7">
        <v>44533</v>
      </c>
      <c r="B1145" s="6">
        <v>7279.3</v>
      </c>
      <c r="C1145" s="6">
        <v>7332.6</v>
      </c>
      <c r="D1145" s="6">
        <v>7168.9</v>
      </c>
      <c r="E1145" s="6">
        <v>7241.2</v>
      </c>
      <c r="F1145" s="8">
        <v>3875334000</v>
      </c>
      <c r="G1145" s="8">
        <v>36787460000</v>
      </c>
    </row>
    <row r="1146" spans="1:7" x14ac:dyDescent="0.25">
      <c r="A1146" s="7">
        <v>44540</v>
      </c>
      <c r="B1146" s="6">
        <v>7241.2</v>
      </c>
      <c r="C1146" s="6">
        <v>7443.4</v>
      </c>
      <c r="D1146" s="6">
        <v>7207.8</v>
      </c>
      <c r="E1146" s="6">
        <v>7353.5</v>
      </c>
      <c r="F1146" s="8">
        <v>3072701000</v>
      </c>
      <c r="G1146" s="8">
        <v>28043740000</v>
      </c>
    </row>
    <row r="1147" spans="1:7" x14ac:dyDescent="0.25">
      <c r="A1147" s="7">
        <v>44547</v>
      </c>
      <c r="B1147" s="6">
        <v>7353.5</v>
      </c>
      <c r="C1147" s="6">
        <v>7417.7</v>
      </c>
      <c r="D1147" s="6">
        <v>7277.1</v>
      </c>
      <c r="E1147" s="6">
        <v>7304</v>
      </c>
      <c r="F1147" s="8">
        <v>3556214000</v>
      </c>
      <c r="G1147" s="8">
        <v>36242490000</v>
      </c>
    </row>
    <row r="1148" spans="1:7" x14ac:dyDescent="0.25">
      <c r="A1148" s="7">
        <v>44554</v>
      </c>
      <c r="B1148" s="6">
        <v>7304</v>
      </c>
      <c r="C1148" s="6">
        <v>7435.9</v>
      </c>
      <c r="D1148" s="6">
        <v>7257.8</v>
      </c>
      <c r="E1148" s="6">
        <v>7420.3</v>
      </c>
      <c r="F1148" s="8">
        <v>2274899000</v>
      </c>
      <c r="G1148" s="8">
        <v>21748020000</v>
      </c>
    </row>
    <row r="1149" spans="1:7" x14ac:dyDescent="0.25">
      <c r="A1149" s="7">
        <v>44561</v>
      </c>
      <c r="B1149" s="6">
        <v>7420.3</v>
      </c>
      <c r="C1149" s="6">
        <v>7520.6</v>
      </c>
      <c r="D1149" s="6">
        <v>7420.3</v>
      </c>
      <c r="E1149" s="6">
        <v>7444.6</v>
      </c>
      <c r="F1149" s="8">
        <v>1066360000</v>
      </c>
      <c r="G1149" s="8">
        <v>8996238000</v>
      </c>
    </row>
    <row r="1150" spans="1:7" x14ac:dyDescent="0.25">
      <c r="A1150" s="7">
        <v>44568</v>
      </c>
      <c r="B1150" s="6">
        <v>7444.6</v>
      </c>
      <c r="C1150" s="6">
        <v>7620.2</v>
      </c>
      <c r="D1150" s="6">
        <v>7340.4</v>
      </c>
      <c r="E1150" s="6">
        <v>7453.3</v>
      </c>
      <c r="F1150" s="8">
        <v>2069232000</v>
      </c>
      <c r="G1150" s="8">
        <v>19377690000</v>
      </c>
    </row>
    <row r="1151" spans="1:7" x14ac:dyDescent="0.25">
      <c r="A1151" s="7">
        <v>44575</v>
      </c>
      <c r="B1151" s="6">
        <v>7453.3</v>
      </c>
      <c r="C1151" s="6">
        <v>7487.3</v>
      </c>
      <c r="D1151" s="6">
        <v>7376.8</v>
      </c>
      <c r="E1151" s="6">
        <v>7393.9</v>
      </c>
      <c r="F1151" s="8">
        <v>2754333000</v>
      </c>
      <c r="G1151" s="8">
        <v>27923820000</v>
      </c>
    </row>
    <row r="1152" spans="1:7" x14ac:dyDescent="0.25">
      <c r="A1152" s="7">
        <v>44582</v>
      </c>
      <c r="B1152" s="6">
        <v>7393.9</v>
      </c>
      <c r="C1152" s="6">
        <v>7445.1</v>
      </c>
      <c r="D1152" s="6">
        <v>7153.3</v>
      </c>
      <c r="E1152" s="6">
        <v>7175.8</v>
      </c>
      <c r="F1152" s="8">
        <v>3315308000</v>
      </c>
      <c r="G1152" s="8">
        <v>34742150000</v>
      </c>
    </row>
    <row r="1153" spans="1:7" x14ac:dyDescent="0.25">
      <c r="A1153" s="7">
        <v>44589</v>
      </c>
      <c r="B1153" s="6">
        <v>7173.7</v>
      </c>
      <c r="C1153" s="6">
        <v>7173.7</v>
      </c>
      <c r="D1153" s="6">
        <v>6758.2</v>
      </c>
      <c r="E1153" s="6">
        <v>6988.1</v>
      </c>
      <c r="F1153" s="8">
        <v>5131653000</v>
      </c>
      <c r="G1153" s="8">
        <v>61388340000</v>
      </c>
    </row>
    <row r="1154" spans="1:7" x14ac:dyDescent="0.25">
      <c r="A1154" s="7">
        <v>44596</v>
      </c>
      <c r="B1154" s="6">
        <v>6988.1</v>
      </c>
      <c r="C1154" s="6">
        <v>7120.2</v>
      </c>
      <c r="D1154" s="6">
        <v>6932.7</v>
      </c>
      <c r="E1154" s="6">
        <v>7120.2</v>
      </c>
      <c r="F1154" s="8">
        <v>3550980000</v>
      </c>
      <c r="G1154" s="8">
        <v>35905830000</v>
      </c>
    </row>
    <row r="1155" spans="1:7" x14ac:dyDescent="0.25">
      <c r="A1155" s="7">
        <v>44603</v>
      </c>
      <c r="B1155" s="6">
        <v>7120.2</v>
      </c>
      <c r="C1155" s="6">
        <v>7336.6</v>
      </c>
      <c r="D1155" s="6">
        <v>7046.5</v>
      </c>
      <c r="E1155" s="6">
        <v>7217.3</v>
      </c>
      <c r="F1155" s="8">
        <v>3883726000</v>
      </c>
      <c r="G1155" s="8">
        <v>41663350000</v>
      </c>
    </row>
    <row r="1156" spans="1:7" x14ac:dyDescent="0.25">
      <c r="A1156" s="7">
        <v>44610</v>
      </c>
      <c r="B1156" s="6">
        <v>7217.3</v>
      </c>
      <c r="C1156" s="6">
        <v>7356.8</v>
      </c>
      <c r="D1156" s="6">
        <v>7181.7</v>
      </c>
      <c r="E1156" s="6">
        <v>7221.7</v>
      </c>
      <c r="F1156" s="8">
        <v>3886255000</v>
      </c>
      <c r="G1156" s="8">
        <v>38954480000</v>
      </c>
    </row>
    <row r="1157" spans="1:7" x14ac:dyDescent="0.25">
      <c r="A1157" s="7">
        <v>44617</v>
      </c>
      <c r="B1157" s="6">
        <v>7220.4</v>
      </c>
      <c r="C1157" s="6">
        <v>7248.8</v>
      </c>
      <c r="D1157" s="6">
        <v>6959.3</v>
      </c>
      <c r="E1157" s="6">
        <v>6997.8</v>
      </c>
      <c r="F1157" s="8">
        <v>4362401000</v>
      </c>
      <c r="G1157" s="8">
        <v>37769290000</v>
      </c>
    </row>
    <row r="1158" spans="1:7" x14ac:dyDescent="0.25">
      <c r="A1158" s="7">
        <v>44624</v>
      </c>
      <c r="B1158" s="6">
        <v>6997.8</v>
      </c>
      <c r="C1158" s="6">
        <v>7198.1</v>
      </c>
      <c r="D1158" s="6">
        <v>6979.4</v>
      </c>
      <c r="E1158" s="6">
        <v>7110.8</v>
      </c>
      <c r="F1158" s="8">
        <v>4590142000</v>
      </c>
      <c r="G1158" s="8">
        <v>43103770000</v>
      </c>
    </row>
    <row r="1159" spans="1:7" x14ac:dyDescent="0.25">
      <c r="A1159" s="7">
        <v>44631</v>
      </c>
      <c r="B1159" s="6">
        <v>7110.8</v>
      </c>
      <c r="C1159" s="6">
        <v>7161</v>
      </c>
      <c r="D1159" s="6">
        <v>6968.9</v>
      </c>
      <c r="E1159" s="6">
        <v>7063.6</v>
      </c>
      <c r="F1159" s="8">
        <v>4862151000</v>
      </c>
      <c r="G1159" s="8">
        <v>40277050000</v>
      </c>
    </row>
    <row r="1160" spans="1:7" x14ac:dyDescent="0.25">
      <c r="A1160" s="7">
        <v>44638</v>
      </c>
      <c r="B1160" s="6">
        <v>7063.6</v>
      </c>
      <c r="C1160" s="6">
        <v>7296.8</v>
      </c>
      <c r="D1160" s="6">
        <v>7063.6</v>
      </c>
      <c r="E1160" s="6">
        <v>7294.4</v>
      </c>
      <c r="F1160" s="8">
        <v>4488579000</v>
      </c>
      <c r="G1160" s="8">
        <v>40782710000</v>
      </c>
    </row>
    <row r="1161" spans="1:7" x14ac:dyDescent="0.25">
      <c r="A1161" s="7">
        <v>44645</v>
      </c>
      <c r="B1161" s="6">
        <v>7294.4</v>
      </c>
      <c r="C1161" s="6">
        <v>7431.3</v>
      </c>
      <c r="D1161" s="6">
        <v>7278.5</v>
      </c>
      <c r="E1161" s="6">
        <v>7406.2</v>
      </c>
      <c r="F1161" s="8">
        <v>3132639000</v>
      </c>
      <c r="G1161" s="8">
        <v>26746990000</v>
      </c>
    </row>
    <row r="1162" spans="1:7" x14ac:dyDescent="0.25">
      <c r="A1162" s="7">
        <v>44652</v>
      </c>
      <c r="B1162" s="6">
        <v>7406.2</v>
      </c>
      <c r="C1162" s="6">
        <v>7556.6</v>
      </c>
      <c r="D1162" s="6">
        <v>7406.2</v>
      </c>
      <c r="E1162" s="6">
        <v>7493.8</v>
      </c>
      <c r="F1162" s="8">
        <v>3411024000</v>
      </c>
      <c r="G1162" s="8">
        <v>31213450000</v>
      </c>
    </row>
    <row r="1163" spans="1:7" x14ac:dyDescent="0.25">
      <c r="A1163" s="7">
        <v>44659</v>
      </c>
      <c r="B1163" s="6">
        <v>7493.8</v>
      </c>
      <c r="C1163" s="6">
        <v>7573.4</v>
      </c>
      <c r="D1163" s="6">
        <v>7437.5</v>
      </c>
      <c r="E1163" s="6">
        <v>7478</v>
      </c>
      <c r="F1163" s="8">
        <v>3175003000</v>
      </c>
      <c r="G1163" s="8">
        <v>27005720000</v>
      </c>
    </row>
    <row r="1164" spans="1:7" x14ac:dyDescent="0.25">
      <c r="A1164" s="7">
        <v>44665</v>
      </c>
      <c r="B1164" s="6">
        <v>7478</v>
      </c>
      <c r="C1164" s="6">
        <v>7529.2</v>
      </c>
      <c r="D1164" s="6">
        <v>7430.8</v>
      </c>
      <c r="E1164" s="6">
        <v>7523.4</v>
      </c>
      <c r="F1164" s="8">
        <v>2462082000</v>
      </c>
      <c r="G1164" s="8">
        <v>19736170000</v>
      </c>
    </row>
    <row r="1165" spans="1:7" x14ac:dyDescent="0.25">
      <c r="A1165" s="7">
        <v>44673</v>
      </c>
      <c r="B1165" s="6">
        <v>7523.5</v>
      </c>
      <c r="C1165" s="6">
        <v>7624.8</v>
      </c>
      <c r="D1165" s="6">
        <v>7455</v>
      </c>
      <c r="E1165" s="6">
        <v>7473.3</v>
      </c>
      <c r="F1165" s="8">
        <v>2587969000</v>
      </c>
      <c r="G1165" s="8">
        <v>25131720000</v>
      </c>
    </row>
    <row r="1166" spans="1:7" x14ac:dyDescent="0.25">
      <c r="A1166" s="7">
        <v>44680</v>
      </c>
      <c r="B1166" s="6">
        <v>7473.3</v>
      </c>
      <c r="C1166" s="6">
        <v>7473.3</v>
      </c>
      <c r="D1166" s="6">
        <v>7233.3</v>
      </c>
      <c r="E1166" s="6">
        <v>7435</v>
      </c>
      <c r="F1166" s="8">
        <v>3152068000</v>
      </c>
      <c r="G1166" s="8">
        <v>26800490000</v>
      </c>
    </row>
    <row r="1167" spans="1:7" x14ac:dyDescent="0.25">
      <c r="A1167" s="7">
        <v>44687</v>
      </c>
      <c r="B1167" s="6">
        <v>7435</v>
      </c>
      <c r="C1167" s="6">
        <v>7435</v>
      </c>
      <c r="D1167" s="6">
        <v>7161.4</v>
      </c>
      <c r="E1167" s="6">
        <v>7205.6</v>
      </c>
      <c r="F1167" s="8">
        <v>3541493000</v>
      </c>
      <c r="G1167" s="8">
        <v>28886740000</v>
      </c>
    </row>
    <row r="1168" spans="1:7" x14ac:dyDescent="0.25">
      <c r="A1168" s="7">
        <v>44694</v>
      </c>
      <c r="B1168" s="6">
        <v>7205.6</v>
      </c>
      <c r="C1168" s="6">
        <v>7205.6</v>
      </c>
      <c r="D1168" s="6">
        <v>6930.2</v>
      </c>
      <c r="E1168" s="6">
        <v>7075.1</v>
      </c>
      <c r="F1168" s="8">
        <v>3860966000</v>
      </c>
      <c r="G1168" s="8">
        <v>33675000000</v>
      </c>
    </row>
    <row r="1169" spans="1:7" x14ac:dyDescent="0.25">
      <c r="A1169" s="7">
        <v>44701</v>
      </c>
      <c r="B1169" s="6">
        <v>7075.1</v>
      </c>
      <c r="C1169" s="6">
        <v>7199</v>
      </c>
      <c r="D1169" s="6">
        <v>7037.6</v>
      </c>
      <c r="E1169" s="6">
        <v>7145.6</v>
      </c>
      <c r="F1169" s="8">
        <v>3341418000</v>
      </c>
      <c r="G1169" s="8">
        <v>30987990000</v>
      </c>
    </row>
    <row r="1170" spans="1:7" x14ac:dyDescent="0.25">
      <c r="A1170" s="7">
        <v>44708</v>
      </c>
      <c r="B1170" s="6">
        <v>7145.6</v>
      </c>
      <c r="C1170" s="6">
        <v>7218.6</v>
      </c>
      <c r="D1170" s="6">
        <v>7105.9</v>
      </c>
      <c r="E1170" s="6">
        <v>7182.7</v>
      </c>
      <c r="F1170" s="8">
        <v>3300388000</v>
      </c>
      <c r="G1170" s="8">
        <v>26825260000</v>
      </c>
    </row>
    <row r="1171" spans="1:7" x14ac:dyDescent="0.25">
      <c r="A1171" s="7">
        <v>44715</v>
      </c>
      <c r="B1171" s="6">
        <v>7182.7</v>
      </c>
      <c r="C1171" s="6">
        <v>7288.4</v>
      </c>
      <c r="D1171" s="6">
        <v>7150.5</v>
      </c>
      <c r="E1171" s="6">
        <v>7238.8</v>
      </c>
      <c r="F1171" s="8">
        <v>4156920000</v>
      </c>
      <c r="G1171" s="8">
        <v>38188070000</v>
      </c>
    </row>
    <row r="1172" spans="1:7" x14ac:dyDescent="0.25">
      <c r="A1172" s="7">
        <v>44722</v>
      </c>
      <c r="B1172" s="6">
        <v>7238.8</v>
      </c>
      <c r="C1172" s="6">
        <v>7238.8</v>
      </c>
      <c r="D1172" s="6">
        <v>6926.9</v>
      </c>
      <c r="E1172" s="6">
        <v>6932</v>
      </c>
      <c r="F1172" s="8">
        <v>3383475000</v>
      </c>
      <c r="G1172" s="8">
        <v>30952070000</v>
      </c>
    </row>
    <row r="1173" spans="1:7" x14ac:dyDescent="0.25">
      <c r="A1173" s="7">
        <v>44729</v>
      </c>
      <c r="B1173" s="6">
        <v>6932</v>
      </c>
      <c r="C1173" s="6">
        <v>6932</v>
      </c>
      <c r="D1173" s="6">
        <v>6410.4</v>
      </c>
      <c r="E1173" s="6">
        <v>6474.8</v>
      </c>
      <c r="F1173" s="8">
        <v>4904579000</v>
      </c>
      <c r="G1173" s="8">
        <v>42217800000</v>
      </c>
    </row>
    <row r="1174" spans="1:7" x14ac:dyDescent="0.25">
      <c r="A1174" s="7">
        <v>44736</v>
      </c>
      <c r="B1174" s="6">
        <v>6474.8</v>
      </c>
      <c r="C1174" s="6">
        <v>6585.1</v>
      </c>
      <c r="D1174" s="6">
        <v>6407</v>
      </c>
      <c r="E1174" s="6">
        <v>6578.7</v>
      </c>
      <c r="F1174" s="8">
        <v>4392835000</v>
      </c>
      <c r="G1174" s="8">
        <v>29177590000</v>
      </c>
    </row>
    <row r="1175" spans="1:7" x14ac:dyDescent="0.25">
      <c r="A1175" s="7">
        <v>44743</v>
      </c>
      <c r="B1175" s="6">
        <v>6578.7</v>
      </c>
      <c r="C1175" s="6">
        <v>6763.6</v>
      </c>
      <c r="D1175" s="6">
        <v>6539.9</v>
      </c>
      <c r="E1175" s="6">
        <v>6539.9</v>
      </c>
      <c r="F1175" s="8">
        <v>3960433000</v>
      </c>
      <c r="G1175" s="8">
        <v>28744920000</v>
      </c>
    </row>
    <row r="1176" spans="1:7" x14ac:dyDescent="0.25">
      <c r="A1176" s="7">
        <v>44750</v>
      </c>
      <c r="B1176" s="6">
        <v>6539.9</v>
      </c>
      <c r="C1176" s="6">
        <v>6715</v>
      </c>
      <c r="D1176" s="6">
        <v>6539.9</v>
      </c>
      <c r="E1176" s="6">
        <v>6678</v>
      </c>
      <c r="F1176" s="8">
        <v>3146683000</v>
      </c>
      <c r="G1176" s="8">
        <v>24992670000</v>
      </c>
    </row>
    <row r="1177" spans="1:7" x14ac:dyDescent="0.25">
      <c r="A1177" s="7">
        <v>44757</v>
      </c>
      <c r="B1177" s="6">
        <v>6678</v>
      </c>
      <c r="C1177" s="6">
        <v>6678</v>
      </c>
      <c r="D1177" s="6">
        <v>6537.2</v>
      </c>
      <c r="E1177" s="6">
        <v>6605.6</v>
      </c>
      <c r="F1177" s="8">
        <v>3209454000</v>
      </c>
      <c r="G1177" s="8">
        <v>25208520000</v>
      </c>
    </row>
    <row r="1178" spans="1:7" x14ac:dyDescent="0.25">
      <c r="A1178" s="7">
        <v>44764</v>
      </c>
      <c r="B1178" s="6">
        <v>6605.6</v>
      </c>
      <c r="C1178" s="6">
        <v>6816.1</v>
      </c>
      <c r="D1178" s="6">
        <v>6605.6</v>
      </c>
      <c r="E1178" s="6">
        <v>6791.5</v>
      </c>
      <c r="F1178" s="8">
        <v>3590223000</v>
      </c>
      <c r="G1178" s="8">
        <v>27162730000</v>
      </c>
    </row>
    <row r="1179" spans="1:7" x14ac:dyDescent="0.25">
      <c r="A1179" s="7">
        <v>44771</v>
      </c>
      <c r="B1179" s="6">
        <v>6791.5</v>
      </c>
      <c r="C1179" s="6">
        <v>6973.6</v>
      </c>
      <c r="D1179" s="6">
        <v>6775.7</v>
      </c>
      <c r="E1179" s="6">
        <v>6945.2</v>
      </c>
      <c r="F1179" s="8">
        <v>3479533000</v>
      </c>
      <c r="G1179" s="8">
        <v>26021420000</v>
      </c>
    </row>
    <row r="1180" spans="1:7" x14ac:dyDescent="0.25">
      <c r="A1180" s="7">
        <v>44778</v>
      </c>
      <c r="B1180" s="6">
        <v>6945.2</v>
      </c>
      <c r="C1180" s="6">
        <v>7021.1</v>
      </c>
      <c r="D1180" s="6">
        <v>6918.2</v>
      </c>
      <c r="E1180" s="6">
        <v>7015.6</v>
      </c>
      <c r="F1180" s="8">
        <v>3260179000</v>
      </c>
      <c r="G1180" s="8">
        <v>24617150000</v>
      </c>
    </row>
    <row r="1181" spans="1:7" x14ac:dyDescent="0.25">
      <c r="A1181" s="7">
        <v>44785</v>
      </c>
      <c r="B1181" s="6">
        <v>7015.6</v>
      </c>
      <c r="C1181" s="6">
        <v>7077.1</v>
      </c>
      <c r="D1181" s="6">
        <v>6985.7</v>
      </c>
      <c r="E1181" s="6">
        <v>7032.5</v>
      </c>
      <c r="F1181" s="8">
        <v>3567774000</v>
      </c>
      <c r="G1181" s="8">
        <v>25652750000</v>
      </c>
    </row>
    <row r="1182" spans="1:7" x14ac:dyDescent="0.25">
      <c r="A1182" s="7">
        <v>44792</v>
      </c>
      <c r="B1182" s="6">
        <v>7032.5</v>
      </c>
      <c r="C1182" s="6">
        <v>7137.5</v>
      </c>
      <c r="D1182" s="6">
        <v>7032.5</v>
      </c>
      <c r="E1182" s="6">
        <v>7114.5</v>
      </c>
      <c r="F1182" s="8">
        <v>3444227000</v>
      </c>
      <c r="G1182" s="8">
        <v>28290370000</v>
      </c>
    </row>
    <row r="1183" spans="1:7" x14ac:dyDescent="0.25">
      <c r="A1183" s="7">
        <v>44799</v>
      </c>
      <c r="B1183" s="6">
        <v>7114.5</v>
      </c>
      <c r="C1183" s="6">
        <v>7130</v>
      </c>
      <c r="D1183" s="6">
        <v>6961.8</v>
      </c>
      <c r="E1183" s="6">
        <v>7104.1</v>
      </c>
      <c r="F1183" s="8">
        <v>3574700000</v>
      </c>
      <c r="G1183" s="8">
        <v>28442130000</v>
      </c>
    </row>
    <row r="1184" spans="1:7" x14ac:dyDescent="0.25">
      <c r="A1184" s="7">
        <v>44806</v>
      </c>
      <c r="B1184" s="6">
        <v>7104.1</v>
      </c>
      <c r="C1184" s="6">
        <v>7104.1</v>
      </c>
      <c r="D1184" s="6">
        <v>6820.5</v>
      </c>
      <c r="E1184" s="6">
        <v>6828.7</v>
      </c>
      <c r="F1184" s="8">
        <v>3844035000</v>
      </c>
      <c r="G1184" s="8">
        <v>31749650000</v>
      </c>
    </row>
    <row r="1185" spans="1:7" x14ac:dyDescent="0.25">
      <c r="A1185" s="7">
        <v>44813</v>
      </c>
      <c r="B1185" s="6">
        <v>6828.7</v>
      </c>
      <c r="C1185" s="6">
        <v>6898.5</v>
      </c>
      <c r="D1185" s="6">
        <v>6719.6</v>
      </c>
      <c r="E1185" s="6">
        <v>6894.2</v>
      </c>
      <c r="F1185" s="8">
        <v>3721787000</v>
      </c>
      <c r="G1185" s="8">
        <v>28765950000</v>
      </c>
    </row>
    <row r="1186" spans="1:7" x14ac:dyDescent="0.25">
      <c r="A1186" s="7">
        <v>44820</v>
      </c>
      <c r="B1186" s="6">
        <v>6894.2</v>
      </c>
      <c r="C1186" s="6">
        <v>7015.2</v>
      </c>
      <c r="D1186" s="6">
        <v>6736.3</v>
      </c>
      <c r="E1186" s="6">
        <v>6739.1</v>
      </c>
      <c r="F1186" s="8">
        <v>4849587000</v>
      </c>
      <c r="G1186" s="8">
        <v>36477230000</v>
      </c>
    </row>
    <row r="1187" spans="1:7" x14ac:dyDescent="0.25">
      <c r="A1187" s="7">
        <v>44827</v>
      </c>
      <c r="B1187" s="6">
        <v>6739.1</v>
      </c>
      <c r="C1187" s="6">
        <v>6808.3</v>
      </c>
      <c r="D1187" s="6">
        <v>6544.9</v>
      </c>
      <c r="E1187" s="6">
        <v>6574.7</v>
      </c>
      <c r="F1187" s="8">
        <v>3175678000</v>
      </c>
      <c r="G1187" s="8">
        <v>20812950000</v>
      </c>
    </row>
    <row r="1188" spans="1:7" x14ac:dyDescent="0.25">
      <c r="A1188" s="7">
        <v>44834</v>
      </c>
      <c r="B1188" s="6">
        <v>6574.7</v>
      </c>
      <c r="C1188" s="6">
        <v>6594.7</v>
      </c>
      <c r="D1188" s="6">
        <v>6433.1</v>
      </c>
      <c r="E1188" s="6">
        <v>6474.2</v>
      </c>
      <c r="F1188" s="8">
        <v>4928126000</v>
      </c>
      <c r="G1188" s="8">
        <v>32600390000</v>
      </c>
    </row>
    <row r="1189" spans="1:7" x14ac:dyDescent="0.25">
      <c r="A1189" s="7">
        <v>44841</v>
      </c>
      <c r="B1189" s="6">
        <v>6474.2</v>
      </c>
      <c r="C1189" s="6">
        <v>6828.3</v>
      </c>
      <c r="D1189" s="6">
        <v>6411.9</v>
      </c>
      <c r="E1189" s="6">
        <v>6762.8</v>
      </c>
      <c r="F1189" s="8">
        <v>4220003000</v>
      </c>
      <c r="G1189" s="8">
        <v>28546760000</v>
      </c>
    </row>
    <row r="1190" spans="1:7" x14ac:dyDescent="0.25">
      <c r="A1190" s="7">
        <v>44848</v>
      </c>
      <c r="B1190" s="6">
        <v>6762.8</v>
      </c>
      <c r="C1190" s="6">
        <v>6772.6</v>
      </c>
      <c r="D1190" s="6">
        <v>6633</v>
      </c>
      <c r="E1190" s="6">
        <v>6758.8</v>
      </c>
      <c r="F1190" s="8">
        <v>3449389000</v>
      </c>
      <c r="G1190" s="8">
        <v>26005270000</v>
      </c>
    </row>
    <row r="1191" spans="1:7" x14ac:dyDescent="0.25">
      <c r="A1191" s="7">
        <v>44855</v>
      </c>
      <c r="B1191" s="6">
        <v>6758.9</v>
      </c>
      <c r="C1191" s="6">
        <v>6822.2</v>
      </c>
      <c r="D1191" s="6">
        <v>6645.2</v>
      </c>
      <c r="E1191" s="6">
        <v>6676.8</v>
      </c>
      <c r="F1191" s="8">
        <v>3934175000</v>
      </c>
      <c r="G1191" s="8">
        <v>28985170000</v>
      </c>
    </row>
    <row r="1192" spans="1:7" x14ac:dyDescent="0.25">
      <c r="A1192" s="7">
        <v>44862</v>
      </c>
      <c r="B1192" s="6">
        <v>6676.8</v>
      </c>
      <c r="C1192" s="6">
        <v>6873.8</v>
      </c>
      <c r="D1192" s="6">
        <v>6676.8</v>
      </c>
      <c r="E1192" s="6">
        <v>6785.7</v>
      </c>
      <c r="F1192" s="8">
        <v>3821963000</v>
      </c>
      <c r="G1192" s="8">
        <v>26294670000</v>
      </c>
    </row>
    <row r="1193" spans="1:7" x14ac:dyDescent="0.25">
      <c r="A1193" s="7">
        <v>44869</v>
      </c>
      <c r="B1193" s="6">
        <v>6785.7</v>
      </c>
      <c r="C1193" s="6">
        <v>7011.7</v>
      </c>
      <c r="D1193" s="6">
        <v>6785.7</v>
      </c>
      <c r="E1193" s="6">
        <v>6892.5</v>
      </c>
      <c r="F1193" s="8">
        <v>3914762000</v>
      </c>
      <c r="G1193" s="8">
        <v>28748140000</v>
      </c>
    </row>
    <row r="1194" spans="1:7" x14ac:dyDescent="0.25">
      <c r="A1194" s="7">
        <v>44876</v>
      </c>
      <c r="B1194" s="6">
        <v>6892.5</v>
      </c>
      <c r="C1194" s="6">
        <v>7170.6</v>
      </c>
      <c r="D1194" s="6">
        <v>6892.5</v>
      </c>
      <c r="E1194" s="6">
        <v>7158</v>
      </c>
      <c r="F1194" s="8">
        <v>4073062000</v>
      </c>
      <c r="G1194" s="8">
        <v>32391600000</v>
      </c>
    </row>
    <row r="1195" spans="1:7" x14ac:dyDescent="0.25">
      <c r="A1195" s="7">
        <v>44883</v>
      </c>
      <c r="B1195" s="6">
        <v>7158</v>
      </c>
      <c r="C1195" s="6">
        <v>7196.5</v>
      </c>
      <c r="D1195" s="6">
        <v>7102.9</v>
      </c>
      <c r="E1195" s="6">
        <v>7151.8</v>
      </c>
      <c r="F1195" s="8">
        <v>4166162000</v>
      </c>
      <c r="G1195" s="8">
        <v>31729220000</v>
      </c>
    </row>
    <row r="1196" spans="1:7" x14ac:dyDescent="0.25">
      <c r="A1196" s="7">
        <v>44890</v>
      </c>
      <c r="B1196" s="6">
        <v>7151.8</v>
      </c>
      <c r="C1196" s="6">
        <v>7268.5</v>
      </c>
      <c r="D1196" s="6">
        <v>7131.7</v>
      </c>
      <c r="E1196" s="6">
        <v>7259.5</v>
      </c>
      <c r="F1196" s="8">
        <v>2997240000</v>
      </c>
      <c r="G1196" s="8">
        <v>23782610000</v>
      </c>
    </row>
    <row r="1197" spans="1:7" x14ac:dyDescent="0.25">
      <c r="A1197" s="7">
        <v>44897</v>
      </c>
      <c r="B1197" s="6">
        <v>7259.5</v>
      </c>
      <c r="C1197" s="6">
        <v>7375.2</v>
      </c>
      <c r="D1197" s="6">
        <v>7200.9</v>
      </c>
      <c r="E1197" s="6">
        <v>7301.5</v>
      </c>
      <c r="F1197" s="8">
        <v>4658551000</v>
      </c>
      <c r="G1197" s="8">
        <v>38476910000</v>
      </c>
    </row>
    <row r="1198" spans="1:7" x14ac:dyDescent="0.25">
      <c r="A1198" s="7">
        <v>44904</v>
      </c>
      <c r="B1198" s="6">
        <v>7301.5</v>
      </c>
      <c r="C1198" s="6">
        <v>7351</v>
      </c>
      <c r="D1198" s="6">
        <v>7170</v>
      </c>
      <c r="E1198" s="6">
        <v>7213.2</v>
      </c>
      <c r="F1198" s="8">
        <v>3717502000</v>
      </c>
      <c r="G1198" s="8">
        <v>29952960000</v>
      </c>
    </row>
    <row r="1199" spans="1:7" x14ac:dyDescent="0.25">
      <c r="A1199" s="7">
        <v>44911</v>
      </c>
      <c r="B1199" s="6">
        <v>7213.2</v>
      </c>
      <c r="C1199" s="6">
        <v>7253.5</v>
      </c>
      <c r="D1199" s="6">
        <v>7117.6</v>
      </c>
      <c r="E1199" s="6">
        <v>7148.7</v>
      </c>
      <c r="F1199" s="8">
        <v>4387481000</v>
      </c>
      <c r="G1199" s="8">
        <v>32691730000</v>
      </c>
    </row>
    <row r="1200" spans="1:7" x14ac:dyDescent="0.25">
      <c r="A1200" s="7">
        <v>44918</v>
      </c>
      <c r="B1200" s="6">
        <v>7148.7</v>
      </c>
      <c r="C1200" s="6">
        <v>7167.2</v>
      </c>
      <c r="D1200" s="6">
        <v>7019.5</v>
      </c>
      <c r="E1200" s="6">
        <v>7107.7</v>
      </c>
      <c r="F1200" s="8">
        <v>2827006000</v>
      </c>
      <c r="G1200" s="8">
        <v>20954580000</v>
      </c>
    </row>
    <row r="1201" spans="1:7" x14ac:dyDescent="0.25">
      <c r="A1201" s="7">
        <v>44925</v>
      </c>
      <c r="B1201" s="6">
        <v>7107.7</v>
      </c>
      <c r="C1201" s="6">
        <v>7124</v>
      </c>
      <c r="D1201" s="6">
        <v>6993.8</v>
      </c>
      <c r="E1201" s="6">
        <v>7038.7</v>
      </c>
      <c r="F1201" s="8">
        <v>1350444000</v>
      </c>
      <c r="G1201" s="8">
        <v>9411730000</v>
      </c>
    </row>
    <row r="1202" spans="1:7" x14ac:dyDescent="0.25">
      <c r="A1202" s="7">
        <v>44932</v>
      </c>
      <c r="B1202" s="6">
        <v>7038.7</v>
      </c>
      <c r="C1202" s="6">
        <v>7116.8</v>
      </c>
      <c r="D1202" s="6">
        <v>6905.3</v>
      </c>
      <c r="E1202" s="6">
        <v>7109.6</v>
      </c>
      <c r="F1202" s="8">
        <v>2113760000</v>
      </c>
      <c r="G1202" s="8">
        <v>16659930000</v>
      </c>
    </row>
    <row r="1203" spans="1:7" x14ac:dyDescent="0.25">
      <c r="A1203" s="7">
        <v>44939</v>
      </c>
      <c r="B1203" s="6">
        <v>7109.6</v>
      </c>
      <c r="C1203" s="6">
        <v>7357.8</v>
      </c>
      <c r="D1203" s="6">
        <v>7109.6</v>
      </c>
      <c r="E1203" s="6">
        <v>7328.1</v>
      </c>
      <c r="F1203" s="8">
        <v>2645156000</v>
      </c>
      <c r="G1203" s="8">
        <v>21610610000</v>
      </c>
    </row>
    <row r="1204" spans="1:7" x14ac:dyDescent="0.25">
      <c r="A1204" s="7">
        <v>44946</v>
      </c>
      <c r="B1204" s="6">
        <v>7328.1</v>
      </c>
      <c r="C1204" s="6">
        <v>7457.8</v>
      </c>
      <c r="D1204" s="6">
        <v>7328.1</v>
      </c>
      <c r="E1204" s="6">
        <v>7452.2</v>
      </c>
      <c r="F1204" s="8">
        <v>3066362000</v>
      </c>
      <c r="G1204" s="8">
        <v>26983940000</v>
      </c>
    </row>
    <row r="1205" spans="1:7" x14ac:dyDescent="0.25">
      <c r="A1205" s="7">
        <v>44953</v>
      </c>
      <c r="B1205" s="6">
        <v>7452.2</v>
      </c>
      <c r="C1205" s="6">
        <v>7508.5</v>
      </c>
      <c r="D1205" s="6">
        <v>7434.5</v>
      </c>
      <c r="E1205" s="6">
        <v>7493.8</v>
      </c>
      <c r="F1205" s="8">
        <v>2553843000</v>
      </c>
      <c r="G1205" s="8">
        <v>20428600000</v>
      </c>
    </row>
    <row r="1206" spans="1:7" x14ac:dyDescent="0.25">
      <c r="A1206" s="7">
        <v>44960</v>
      </c>
      <c r="B1206" s="6">
        <v>7493.8</v>
      </c>
      <c r="C1206" s="6">
        <v>7565</v>
      </c>
      <c r="D1206" s="6">
        <v>7463.7</v>
      </c>
      <c r="E1206" s="6">
        <v>7558.1</v>
      </c>
      <c r="F1206" s="8">
        <v>3926964000</v>
      </c>
      <c r="G1206" s="8">
        <v>29962630000</v>
      </c>
    </row>
    <row r="1207" spans="1:7" x14ac:dyDescent="0.25">
      <c r="A1207" s="7">
        <v>44967</v>
      </c>
      <c r="B1207" s="6">
        <v>7558.1</v>
      </c>
      <c r="C1207" s="6">
        <v>7567.7</v>
      </c>
      <c r="D1207" s="6">
        <v>7428.8</v>
      </c>
      <c r="E1207" s="6">
        <v>7433.7</v>
      </c>
      <c r="F1207" s="8">
        <v>3051103000</v>
      </c>
      <c r="G1207" s="8">
        <v>24387760000</v>
      </c>
    </row>
    <row r="1208" spans="1:7" x14ac:dyDescent="0.25">
      <c r="A1208" s="7">
        <v>44974</v>
      </c>
      <c r="B1208" s="6">
        <v>7433.7</v>
      </c>
      <c r="C1208" s="6">
        <v>7476.6</v>
      </c>
      <c r="D1208" s="6">
        <v>7337</v>
      </c>
      <c r="E1208" s="6">
        <v>7346.8</v>
      </c>
      <c r="F1208" s="8">
        <v>3770761000</v>
      </c>
      <c r="G1208" s="8">
        <v>32007020000</v>
      </c>
    </row>
    <row r="1209" spans="1:7" x14ac:dyDescent="0.25">
      <c r="A1209" s="7">
        <v>44981</v>
      </c>
      <c r="B1209" s="6">
        <v>7346.8</v>
      </c>
      <c r="C1209" s="6">
        <v>7357.5</v>
      </c>
      <c r="D1209" s="6">
        <v>7267.8</v>
      </c>
      <c r="E1209" s="6">
        <v>7307</v>
      </c>
      <c r="F1209" s="8">
        <v>3386871000</v>
      </c>
      <c r="G1209" s="8">
        <v>26221130000</v>
      </c>
    </row>
    <row r="1210" spans="1:7" x14ac:dyDescent="0.25">
      <c r="A1210" s="7">
        <v>44988</v>
      </c>
      <c r="B1210" s="6">
        <v>7307</v>
      </c>
      <c r="C1210" s="6">
        <v>7307</v>
      </c>
      <c r="D1210" s="6">
        <v>7193.4</v>
      </c>
      <c r="E1210" s="6">
        <v>7283.6</v>
      </c>
      <c r="F1210" s="8">
        <v>3889838000</v>
      </c>
      <c r="G1210" s="8">
        <v>33401860000</v>
      </c>
    </row>
    <row r="1211" spans="1:7" x14ac:dyDescent="0.25">
      <c r="A1211" s="7">
        <v>44995</v>
      </c>
      <c r="B1211" s="6">
        <v>7291.2</v>
      </c>
      <c r="C1211" s="6">
        <v>7370.3</v>
      </c>
      <c r="D1211" s="6">
        <v>7134.5</v>
      </c>
      <c r="E1211" s="6">
        <v>7144.7</v>
      </c>
      <c r="F1211" s="8">
        <v>3415586000</v>
      </c>
      <c r="G1211" s="8">
        <v>28153390000</v>
      </c>
    </row>
    <row r="1212" spans="1:7" x14ac:dyDescent="0.25">
      <c r="A1212" s="7">
        <v>45002</v>
      </c>
      <c r="B1212" s="6">
        <v>7144.7</v>
      </c>
      <c r="C1212" s="6">
        <v>7151.4</v>
      </c>
      <c r="D1212" s="6">
        <v>6911.1</v>
      </c>
      <c r="E1212" s="6">
        <v>6994.8</v>
      </c>
      <c r="F1212" s="8">
        <v>5229192000</v>
      </c>
      <c r="G1212" s="8">
        <v>43574570000</v>
      </c>
    </row>
    <row r="1213" spans="1:7" x14ac:dyDescent="0.25">
      <c r="A1213" s="7">
        <v>45009</v>
      </c>
      <c r="B1213" s="6">
        <v>6994.3</v>
      </c>
      <c r="C1213" s="6">
        <v>7032</v>
      </c>
      <c r="D1213" s="6">
        <v>6895</v>
      </c>
      <c r="E1213" s="6">
        <v>6955.2</v>
      </c>
      <c r="F1213" s="8">
        <v>3348767000</v>
      </c>
      <c r="G1213" s="8">
        <v>25075110000</v>
      </c>
    </row>
    <row r="1214" spans="1:7" x14ac:dyDescent="0.25">
      <c r="A1214" s="7">
        <v>45016</v>
      </c>
      <c r="B1214" s="6">
        <v>6955.2</v>
      </c>
      <c r="C1214" s="6">
        <v>7183.1</v>
      </c>
      <c r="D1214" s="6">
        <v>6955.2</v>
      </c>
      <c r="E1214" s="6">
        <v>7177.8</v>
      </c>
      <c r="F1214" s="8">
        <v>3883788000</v>
      </c>
      <c r="G1214" s="8">
        <v>29201870000</v>
      </c>
    </row>
    <row r="1215" spans="1:7" x14ac:dyDescent="0.25">
      <c r="A1215" s="7">
        <v>45022</v>
      </c>
      <c r="B1215" s="6">
        <v>7177.8</v>
      </c>
      <c r="C1215" s="6">
        <v>7262.1</v>
      </c>
      <c r="D1215" s="6">
        <v>7177.8</v>
      </c>
      <c r="E1215" s="6">
        <v>7219</v>
      </c>
      <c r="F1215" s="8">
        <v>2806114000</v>
      </c>
      <c r="G1215" s="8">
        <v>21392010000</v>
      </c>
    </row>
    <row r="1216" spans="1:7" x14ac:dyDescent="0.25">
      <c r="A1216" s="7">
        <v>45030</v>
      </c>
      <c r="B1216" s="6">
        <v>7219</v>
      </c>
      <c r="C1216" s="6">
        <v>7370.1</v>
      </c>
      <c r="D1216" s="6">
        <v>7219</v>
      </c>
      <c r="E1216" s="6">
        <v>7361.6</v>
      </c>
      <c r="F1216" s="8">
        <v>2607247000</v>
      </c>
      <c r="G1216" s="8">
        <v>21028460000</v>
      </c>
    </row>
    <row r="1217" spans="1:7" x14ac:dyDescent="0.25">
      <c r="A1217" s="7">
        <v>45037</v>
      </c>
      <c r="B1217" s="6">
        <v>7361.6</v>
      </c>
      <c r="C1217" s="6">
        <v>7391.2</v>
      </c>
      <c r="D1217" s="6">
        <v>7314.9</v>
      </c>
      <c r="E1217" s="6">
        <v>7330.4</v>
      </c>
      <c r="F1217" s="8">
        <v>3400534000</v>
      </c>
      <c r="G1217" s="8">
        <v>26893320000</v>
      </c>
    </row>
    <row r="1218" spans="1:7" x14ac:dyDescent="0.25">
      <c r="A1218" s="7">
        <v>45044</v>
      </c>
      <c r="B1218" s="6">
        <v>7330.4</v>
      </c>
      <c r="C1218" s="6">
        <v>7332.6</v>
      </c>
      <c r="D1218" s="6">
        <v>7275.3</v>
      </c>
      <c r="E1218" s="6">
        <v>7309.2</v>
      </c>
      <c r="F1218" s="8">
        <v>2617892000</v>
      </c>
      <c r="G1218" s="8">
        <v>21319060000</v>
      </c>
    </row>
    <row r="1219" spans="1:7" x14ac:dyDescent="0.25">
      <c r="A1219" s="7">
        <v>45051</v>
      </c>
      <c r="B1219" s="6">
        <v>7309.2</v>
      </c>
      <c r="C1219" s="6">
        <v>7368</v>
      </c>
      <c r="D1219" s="6">
        <v>7141.8</v>
      </c>
      <c r="E1219" s="6">
        <v>7220</v>
      </c>
      <c r="F1219" s="8">
        <v>3244136000</v>
      </c>
      <c r="G1219" s="8">
        <v>27057230000</v>
      </c>
    </row>
    <row r="1220" spans="1:7" x14ac:dyDescent="0.25">
      <c r="A1220" s="7">
        <v>45058</v>
      </c>
      <c r="B1220" s="6">
        <v>7220.2</v>
      </c>
      <c r="C1220" s="6">
        <v>7292.4</v>
      </c>
      <c r="D1220" s="6">
        <v>7220.2</v>
      </c>
      <c r="E1220" s="6">
        <v>7256.7</v>
      </c>
      <c r="F1220" s="8">
        <v>3240298000</v>
      </c>
      <c r="G1220" s="8">
        <v>26103590000</v>
      </c>
    </row>
    <row r="1221" spans="1:7" x14ac:dyDescent="0.25">
      <c r="A1221" s="7">
        <v>45065</v>
      </c>
      <c r="B1221" s="6">
        <v>7256.7</v>
      </c>
      <c r="C1221" s="6">
        <v>7292.6</v>
      </c>
      <c r="D1221" s="6">
        <v>7159.8</v>
      </c>
      <c r="E1221" s="6">
        <v>7279.5</v>
      </c>
      <c r="F1221" s="8">
        <v>3148357000</v>
      </c>
      <c r="G1221" s="8">
        <v>24281140000</v>
      </c>
    </row>
    <row r="1222" spans="1:7" x14ac:dyDescent="0.25">
      <c r="A1222" s="7">
        <v>45072</v>
      </c>
      <c r="B1222" s="6">
        <v>7279.5</v>
      </c>
      <c r="C1222" s="6">
        <v>7288.1</v>
      </c>
      <c r="D1222" s="6">
        <v>7129</v>
      </c>
      <c r="E1222" s="6">
        <v>7154.8</v>
      </c>
      <c r="F1222" s="8">
        <v>2912438000</v>
      </c>
      <c r="G1222" s="8">
        <v>24271860000</v>
      </c>
    </row>
    <row r="1223" spans="1:7" x14ac:dyDescent="0.25">
      <c r="A1223" s="7">
        <v>45079</v>
      </c>
      <c r="B1223" s="6">
        <v>7154.8</v>
      </c>
      <c r="C1223" s="6">
        <v>7254.8</v>
      </c>
      <c r="D1223" s="6">
        <v>7077.9</v>
      </c>
      <c r="E1223" s="6">
        <v>7145.1</v>
      </c>
      <c r="F1223" s="8">
        <v>4041506000</v>
      </c>
      <c r="G1223" s="8">
        <v>33600610000</v>
      </c>
    </row>
    <row r="1224" spans="1:7" x14ac:dyDescent="0.25">
      <c r="A1224" s="7">
        <v>45086</v>
      </c>
      <c r="B1224" s="6">
        <v>7145.1</v>
      </c>
      <c r="C1224" s="6">
        <v>7233.2</v>
      </c>
      <c r="D1224" s="6">
        <v>7093.5</v>
      </c>
      <c r="E1224" s="6">
        <v>7122.5</v>
      </c>
      <c r="F1224" s="8">
        <v>3418987000</v>
      </c>
      <c r="G1224" s="8">
        <v>26723790000</v>
      </c>
    </row>
    <row r="1225" spans="1:7" x14ac:dyDescent="0.25">
      <c r="A1225" s="7">
        <v>45093</v>
      </c>
      <c r="B1225" s="6">
        <v>7122.5</v>
      </c>
      <c r="C1225" s="6">
        <v>7262.1</v>
      </c>
      <c r="D1225" s="6">
        <v>7101.3</v>
      </c>
      <c r="E1225" s="6">
        <v>7251.2</v>
      </c>
      <c r="F1225" s="8">
        <v>3761908000</v>
      </c>
      <c r="G1225" s="8">
        <v>33952440000</v>
      </c>
    </row>
    <row r="1226" spans="1:7" x14ac:dyDescent="0.25">
      <c r="A1226" s="7">
        <v>45100</v>
      </c>
      <c r="B1226" s="6">
        <v>7251.2</v>
      </c>
      <c r="C1226" s="6">
        <v>7368.4</v>
      </c>
      <c r="D1226" s="6">
        <v>7087.9</v>
      </c>
      <c r="E1226" s="6">
        <v>7099.2</v>
      </c>
      <c r="F1226" s="8">
        <v>3312264000</v>
      </c>
      <c r="G1226" s="8">
        <v>26454480000</v>
      </c>
    </row>
    <row r="1227" spans="1:7" x14ac:dyDescent="0.25">
      <c r="A1227" s="7">
        <v>45107</v>
      </c>
      <c r="B1227" s="6">
        <v>7099.2</v>
      </c>
      <c r="C1227" s="6">
        <v>7223.2</v>
      </c>
      <c r="D1227" s="6">
        <v>7054.8</v>
      </c>
      <c r="E1227" s="6">
        <v>7203.3</v>
      </c>
      <c r="F1227" s="8">
        <v>3148526000</v>
      </c>
      <c r="G1227" s="8">
        <v>25034120000</v>
      </c>
    </row>
    <row r="1228" spans="1:7" x14ac:dyDescent="0.25">
      <c r="A1228" s="7">
        <v>45114</v>
      </c>
      <c r="B1228" s="6">
        <v>7203.3</v>
      </c>
      <c r="C1228" s="6">
        <v>7285.8</v>
      </c>
      <c r="D1228" s="6">
        <v>7023.6</v>
      </c>
      <c r="E1228" s="6">
        <v>7042.3</v>
      </c>
      <c r="F1228" s="8">
        <v>2847109000</v>
      </c>
      <c r="G1228" s="8">
        <v>23357120000</v>
      </c>
    </row>
    <row r="1229" spans="1:7" x14ac:dyDescent="0.25">
      <c r="A1229" s="7">
        <v>45121</v>
      </c>
      <c r="B1229" s="6">
        <v>7042.3</v>
      </c>
      <c r="C1229" s="6">
        <v>7313.7</v>
      </c>
      <c r="D1229" s="6">
        <v>6998.1</v>
      </c>
      <c r="E1229" s="6">
        <v>7303.1</v>
      </c>
      <c r="F1229" s="8">
        <v>2716256000</v>
      </c>
      <c r="G1229" s="8">
        <v>23324140000</v>
      </c>
    </row>
    <row r="1230" spans="1:7" x14ac:dyDescent="0.25">
      <c r="A1230" s="7">
        <v>45128</v>
      </c>
      <c r="B1230" s="6">
        <v>7303.1</v>
      </c>
      <c r="C1230" s="6">
        <v>7383.3</v>
      </c>
      <c r="D1230" s="6">
        <v>7261.1</v>
      </c>
      <c r="E1230" s="6">
        <v>7313.9</v>
      </c>
      <c r="F1230" s="8">
        <v>3078286000</v>
      </c>
      <c r="G1230" s="8">
        <v>27434560000</v>
      </c>
    </row>
    <row r="1231" spans="1:7" x14ac:dyDescent="0.25">
      <c r="A1231" s="7">
        <v>45135</v>
      </c>
      <c r="B1231" s="6">
        <v>7313.9</v>
      </c>
      <c r="C1231" s="6">
        <v>7472.3</v>
      </c>
      <c r="D1231" s="6">
        <v>7306.4</v>
      </c>
      <c r="E1231" s="6">
        <v>7403.6</v>
      </c>
      <c r="F1231" s="8">
        <v>3279632000</v>
      </c>
      <c r="G1231" s="8">
        <v>25877890000</v>
      </c>
    </row>
    <row r="1232" spans="1:7" x14ac:dyDescent="0.25">
      <c r="A1232" s="7">
        <v>45142</v>
      </c>
      <c r="B1232" s="6">
        <v>7403.6</v>
      </c>
      <c r="C1232" s="6">
        <v>7470.1</v>
      </c>
      <c r="D1232" s="6">
        <v>7285.5</v>
      </c>
      <c r="E1232" s="6">
        <v>7325.3</v>
      </c>
      <c r="F1232" s="8">
        <v>2840952000</v>
      </c>
      <c r="G1232" s="8">
        <v>23905460000</v>
      </c>
    </row>
    <row r="1233" spans="1:7" x14ac:dyDescent="0.25">
      <c r="A1233" s="7">
        <v>45149</v>
      </c>
      <c r="B1233" s="6">
        <v>7325.3</v>
      </c>
      <c r="C1233" s="6">
        <v>7361.2</v>
      </c>
      <c r="D1233" s="6">
        <v>7294.6</v>
      </c>
      <c r="E1233" s="6">
        <v>7340.1</v>
      </c>
      <c r="F1233" s="8">
        <v>2910892000</v>
      </c>
      <c r="G1233" s="8">
        <v>23327700000</v>
      </c>
    </row>
    <row r="1234" spans="1:7" x14ac:dyDescent="0.25">
      <c r="A1234" s="7">
        <v>45156</v>
      </c>
      <c r="B1234" s="6">
        <v>7340.1</v>
      </c>
      <c r="C1234" s="6">
        <v>7340.1</v>
      </c>
      <c r="D1234" s="6">
        <v>7106.8</v>
      </c>
      <c r="E1234" s="6">
        <v>7148.1</v>
      </c>
      <c r="F1234" s="8">
        <v>3636100000</v>
      </c>
      <c r="G1234" s="8">
        <v>29239900000</v>
      </c>
    </row>
    <row r="1235" spans="1:7" x14ac:dyDescent="0.25">
      <c r="A1235" s="7">
        <v>45163</v>
      </c>
      <c r="B1235" s="6">
        <v>7148.1</v>
      </c>
      <c r="C1235" s="6">
        <v>7194.4</v>
      </c>
      <c r="D1235" s="6">
        <v>7090</v>
      </c>
      <c r="E1235" s="6">
        <v>7115.2</v>
      </c>
      <c r="F1235" s="8">
        <v>3713947000</v>
      </c>
      <c r="G1235" s="8">
        <v>29725540000</v>
      </c>
    </row>
    <row r="1236" spans="1:7" x14ac:dyDescent="0.25">
      <c r="A1236" s="7">
        <v>45170</v>
      </c>
      <c r="B1236" s="6">
        <v>7115.2</v>
      </c>
      <c r="C1236" s="6">
        <v>7317.9</v>
      </c>
      <c r="D1236" s="6">
        <v>7115.2</v>
      </c>
      <c r="E1236" s="6">
        <v>7278.3</v>
      </c>
      <c r="F1236" s="8">
        <v>4275500000</v>
      </c>
      <c r="G1236" s="8">
        <v>29529710000</v>
      </c>
    </row>
    <row r="1237" spans="1:7" x14ac:dyDescent="0.25">
      <c r="A1237" s="7">
        <v>45177</v>
      </c>
      <c r="B1237" s="6">
        <v>7278.3</v>
      </c>
      <c r="C1237" s="6">
        <v>7340.9</v>
      </c>
      <c r="D1237" s="6">
        <v>7134.8</v>
      </c>
      <c r="E1237" s="6">
        <v>7156.7</v>
      </c>
      <c r="F1237" s="8">
        <v>3140717000</v>
      </c>
      <c r="G1237" s="8">
        <v>23701810000</v>
      </c>
    </row>
    <row r="1238" spans="1:7" x14ac:dyDescent="0.25">
      <c r="A1238" s="7">
        <v>45184</v>
      </c>
      <c r="B1238" s="6">
        <v>7156.7</v>
      </c>
      <c r="C1238" s="6">
        <v>7319.8</v>
      </c>
      <c r="D1238" s="6">
        <v>7134</v>
      </c>
      <c r="E1238" s="6">
        <v>7279</v>
      </c>
      <c r="F1238" s="8">
        <v>4959511000</v>
      </c>
      <c r="G1238" s="8">
        <v>30387280000</v>
      </c>
    </row>
    <row r="1239" spans="1:7" x14ac:dyDescent="0.25">
      <c r="A1239" s="7">
        <v>45191</v>
      </c>
      <c r="B1239" s="6">
        <v>7279</v>
      </c>
      <c r="C1239" s="6">
        <v>7279</v>
      </c>
      <c r="D1239" s="6">
        <v>6957.2</v>
      </c>
      <c r="E1239" s="6">
        <v>7068.8</v>
      </c>
      <c r="F1239" s="8">
        <v>3584165000</v>
      </c>
      <c r="G1239" s="8">
        <v>28579040000</v>
      </c>
    </row>
    <row r="1240" spans="1:7" x14ac:dyDescent="0.25">
      <c r="A1240" s="7">
        <v>45198</v>
      </c>
      <c r="B1240" s="6">
        <v>7068.8</v>
      </c>
      <c r="C1240" s="6">
        <v>7076.5</v>
      </c>
      <c r="D1240" s="6">
        <v>7002.8</v>
      </c>
      <c r="E1240" s="6">
        <v>7048.6</v>
      </c>
      <c r="F1240" s="8">
        <v>3426048000</v>
      </c>
      <c r="G1240" s="8">
        <v>23940740000</v>
      </c>
    </row>
    <row r="1241" spans="1:7" x14ac:dyDescent="0.25">
      <c r="A1241" s="7">
        <v>45205</v>
      </c>
      <c r="B1241" s="6">
        <v>7048.6</v>
      </c>
      <c r="C1241" s="6">
        <v>7051.5</v>
      </c>
      <c r="D1241" s="6">
        <v>6871</v>
      </c>
      <c r="E1241" s="6">
        <v>6954.2</v>
      </c>
      <c r="F1241" s="8">
        <v>3402043000</v>
      </c>
      <c r="G1241" s="8">
        <v>24441450000</v>
      </c>
    </row>
    <row r="1242" spans="1:7" x14ac:dyDescent="0.25">
      <c r="A1242" s="7">
        <v>45212</v>
      </c>
      <c r="B1242" s="6">
        <v>6954.2</v>
      </c>
      <c r="C1242" s="6">
        <v>7112.7</v>
      </c>
      <c r="D1242" s="6">
        <v>6954.2</v>
      </c>
      <c r="E1242" s="6">
        <v>7051</v>
      </c>
      <c r="F1242" s="8">
        <v>3506913000</v>
      </c>
      <c r="G1242" s="8">
        <v>25088860000</v>
      </c>
    </row>
    <row r="1243" spans="1:7" x14ac:dyDescent="0.25">
      <c r="A1243" s="7">
        <v>45219</v>
      </c>
      <c r="B1243" s="6">
        <v>7051</v>
      </c>
      <c r="C1243" s="6">
        <v>7100.3</v>
      </c>
      <c r="D1243" s="6">
        <v>6878.3</v>
      </c>
      <c r="E1243" s="6">
        <v>6900.7</v>
      </c>
      <c r="F1243" s="8">
        <v>3276528000</v>
      </c>
      <c r="G1243" s="8">
        <v>24950490000</v>
      </c>
    </row>
    <row r="1244" spans="1:7" x14ac:dyDescent="0.25">
      <c r="A1244" s="7">
        <v>45226</v>
      </c>
      <c r="B1244" s="6">
        <v>6900.7</v>
      </c>
      <c r="C1244" s="6">
        <v>6900.7</v>
      </c>
      <c r="D1244" s="6">
        <v>6777.4</v>
      </c>
      <c r="E1244" s="6">
        <v>6826.9</v>
      </c>
      <c r="F1244" s="8">
        <v>3452106000</v>
      </c>
      <c r="G1244" s="8">
        <v>26457070000</v>
      </c>
    </row>
    <row r="1245" spans="1:7" x14ac:dyDescent="0.25">
      <c r="A1245" s="7">
        <v>45233</v>
      </c>
      <c r="B1245" s="6">
        <v>6826.9</v>
      </c>
      <c r="C1245" s="6">
        <v>6989.4</v>
      </c>
      <c r="D1245" s="6">
        <v>6751.3</v>
      </c>
      <c r="E1245" s="6">
        <v>6978.2</v>
      </c>
      <c r="F1245" s="8">
        <v>3769993000</v>
      </c>
      <c r="G1245" s="8">
        <v>25784620000</v>
      </c>
    </row>
    <row r="1246" spans="1:7" x14ac:dyDescent="0.25">
      <c r="A1246" s="7">
        <v>45240</v>
      </c>
      <c r="B1246" s="6">
        <v>6978.2</v>
      </c>
      <c r="C1246" s="6">
        <v>7045.5</v>
      </c>
      <c r="D1246" s="6">
        <v>6951.9</v>
      </c>
      <c r="E1246" s="6">
        <v>6976.5</v>
      </c>
      <c r="F1246" s="8">
        <v>3272082000</v>
      </c>
      <c r="G1246" s="8">
        <v>25823830000</v>
      </c>
    </row>
    <row r="1247" spans="1:7" x14ac:dyDescent="0.25">
      <c r="A1247" s="7">
        <v>45247</v>
      </c>
      <c r="B1247" s="6">
        <v>6976.5</v>
      </c>
      <c r="C1247" s="6">
        <v>7125.6</v>
      </c>
      <c r="D1247" s="6">
        <v>6948.8</v>
      </c>
      <c r="E1247" s="6">
        <v>7049.4</v>
      </c>
      <c r="F1247" s="8">
        <v>3207877000</v>
      </c>
      <c r="G1247" s="8">
        <v>27066020000</v>
      </c>
    </row>
    <row r="1248" spans="1:7" x14ac:dyDescent="0.25">
      <c r="A1248" s="7">
        <v>45254</v>
      </c>
      <c r="B1248" s="6">
        <v>7049.4</v>
      </c>
      <c r="C1248" s="6">
        <v>7090.4</v>
      </c>
      <c r="D1248" s="6">
        <v>7026.9</v>
      </c>
      <c r="E1248" s="6">
        <v>7040.8</v>
      </c>
      <c r="F1248" s="8">
        <v>2639407000</v>
      </c>
      <c r="G1248" s="8">
        <v>19934860000</v>
      </c>
    </row>
    <row r="1249" spans="1:7" x14ac:dyDescent="0.25">
      <c r="A1249" s="7">
        <v>45261</v>
      </c>
      <c r="B1249" s="6">
        <v>7040.8</v>
      </c>
      <c r="C1249" s="6">
        <v>7087.3</v>
      </c>
      <c r="D1249" s="6">
        <v>6985.5</v>
      </c>
      <c r="E1249" s="6">
        <v>7073.2</v>
      </c>
      <c r="F1249" s="8">
        <v>3688430000</v>
      </c>
      <c r="G1249" s="8">
        <v>27996930000</v>
      </c>
    </row>
    <row r="1250" spans="1:7" x14ac:dyDescent="0.25">
      <c r="A1250" s="7">
        <v>45268</v>
      </c>
      <c r="B1250" s="6">
        <v>7073.2</v>
      </c>
      <c r="C1250" s="6">
        <v>7194.9</v>
      </c>
      <c r="D1250" s="6">
        <v>7041.1</v>
      </c>
      <c r="E1250" s="6">
        <v>7194.9</v>
      </c>
      <c r="F1250" s="8">
        <v>4185461000</v>
      </c>
      <c r="G1250" s="8">
        <v>26930800000</v>
      </c>
    </row>
    <row r="1251" spans="1:7" x14ac:dyDescent="0.25">
      <c r="A1251" s="7">
        <v>45275</v>
      </c>
      <c r="B1251" s="6">
        <v>7194.9</v>
      </c>
      <c r="C1251" s="6">
        <v>7462.2</v>
      </c>
      <c r="D1251" s="6">
        <v>7189.9</v>
      </c>
      <c r="E1251" s="6">
        <v>7442.7</v>
      </c>
      <c r="F1251" s="8">
        <v>4923276000</v>
      </c>
      <c r="G1251" s="8">
        <v>37294170000</v>
      </c>
    </row>
    <row r="1252" spans="1:7" x14ac:dyDescent="0.25">
      <c r="A1252" s="7">
        <v>45282</v>
      </c>
      <c r="B1252" s="6">
        <v>7442.7</v>
      </c>
      <c r="C1252" s="6">
        <v>7552.3</v>
      </c>
      <c r="D1252" s="6">
        <v>7406.4</v>
      </c>
      <c r="E1252" s="6">
        <v>7501.6</v>
      </c>
      <c r="F1252" s="8">
        <v>3487124000</v>
      </c>
      <c r="G1252" s="8">
        <v>27071590000</v>
      </c>
    </row>
    <row r="1253" spans="1:7" x14ac:dyDescent="0.25">
      <c r="A1253" s="7">
        <v>45289</v>
      </c>
      <c r="B1253" s="6">
        <v>7501.6</v>
      </c>
      <c r="C1253" s="6">
        <v>7614.3</v>
      </c>
      <c r="D1253" s="6">
        <v>7501.6</v>
      </c>
      <c r="E1253" s="6">
        <v>7590.8</v>
      </c>
      <c r="F1253" s="8">
        <v>1181727000</v>
      </c>
      <c r="G1253" s="8">
        <v>8933445000</v>
      </c>
    </row>
    <row r="1254" spans="1:7" x14ac:dyDescent="0.25">
      <c r="A1254" s="7">
        <v>45296</v>
      </c>
      <c r="B1254" s="6">
        <v>7590.8</v>
      </c>
      <c r="C1254" s="6">
        <v>7632.7</v>
      </c>
      <c r="D1254" s="6">
        <v>7481.1</v>
      </c>
      <c r="E1254" s="6">
        <v>7489.1</v>
      </c>
      <c r="F1254" s="8">
        <v>1691965000</v>
      </c>
      <c r="G1254" s="8">
        <v>13466550000</v>
      </c>
    </row>
    <row r="1255" spans="1:7" x14ac:dyDescent="0.25">
      <c r="A1255" s="7">
        <v>45303</v>
      </c>
      <c r="B1255" s="6">
        <v>7489.1</v>
      </c>
      <c r="C1255" s="6">
        <v>7541.9</v>
      </c>
      <c r="D1255" s="6">
        <v>7441.8</v>
      </c>
      <c r="E1255" s="6">
        <v>7498.3</v>
      </c>
      <c r="F1255" s="8">
        <v>2803061000</v>
      </c>
      <c r="G1255" s="8">
        <v>19398250000</v>
      </c>
    </row>
    <row r="1256" spans="1:7" x14ac:dyDescent="0.25">
      <c r="A1256" s="7">
        <v>45310</v>
      </c>
      <c r="B1256" s="6">
        <v>7498.3</v>
      </c>
      <c r="C1256" s="6">
        <v>7505.1</v>
      </c>
      <c r="D1256" s="6">
        <v>7322</v>
      </c>
      <c r="E1256" s="6">
        <v>7421.2</v>
      </c>
      <c r="F1256" s="8">
        <v>3199967000</v>
      </c>
      <c r="G1256" s="8">
        <v>23731720000</v>
      </c>
    </row>
    <row r="1257" spans="1:7" x14ac:dyDescent="0.25">
      <c r="A1257" s="7">
        <v>45316</v>
      </c>
      <c r="B1257" s="6">
        <v>7421.2</v>
      </c>
      <c r="C1257" s="6">
        <v>7558.8</v>
      </c>
      <c r="D1257" s="6">
        <v>7421.2</v>
      </c>
      <c r="E1257" s="6">
        <v>7555.4</v>
      </c>
      <c r="F1257" s="8">
        <v>2403871000</v>
      </c>
      <c r="G1257" s="8">
        <v>18161820000</v>
      </c>
    </row>
    <row r="1258" spans="1:7" x14ac:dyDescent="0.25">
      <c r="A1258" s="7">
        <v>45324</v>
      </c>
      <c r="B1258" s="6">
        <v>7555.4</v>
      </c>
      <c r="C1258" s="6">
        <v>7703.6</v>
      </c>
      <c r="D1258" s="6">
        <v>7544.3</v>
      </c>
      <c r="E1258" s="6">
        <v>7699.4</v>
      </c>
      <c r="F1258" s="8">
        <v>3445047000</v>
      </c>
      <c r="G1258" s="8">
        <v>27670750000</v>
      </c>
    </row>
    <row r="1259" spans="1:7" x14ac:dyDescent="0.25">
      <c r="A1259" s="7">
        <v>45331</v>
      </c>
      <c r="B1259" s="6">
        <v>7699.4</v>
      </c>
      <c r="C1259" s="6">
        <v>7699.4</v>
      </c>
      <c r="D1259" s="6">
        <v>7542</v>
      </c>
      <c r="E1259" s="6">
        <v>7644.8</v>
      </c>
      <c r="F1259" s="8">
        <v>2888982000</v>
      </c>
      <c r="G1259" s="8">
        <v>24146740000</v>
      </c>
    </row>
    <row r="1260" spans="1:7" x14ac:dyDescent="0.25">
      <c r="A1260" s="7">
        <v>45338</v>
      </c>
      <c r="B1260" s="6">
        <v>7644.8</v>
      </c>
      <c r="C1260" s="6">
        <v>7681.1</v>
      </c>
      <c r="D1260" s="6">
        <v>7489.4</v>
      </c>
      <c r="E1260" s="6">
        <v>7658.3</v>
      </c>
      <c r="F1260" s="8">
        <v>3777022000</v>
      </c>
      <c r="G1260" s="8">
        <v>28346060000</v>
      </c>
    </row>
    <row r="1261" spans="1:7" x14ac:dyDescent="0.25">
      <c r="A1261" s="7">
        <v>45345</v>
      </c>
      <c r="B1261" s="6">
        <v>7658.3</v>
      </c>
      <c r="C1261" s="6">
        <v>7683.3</v>
      </c>
      <c r="D1261" s="6">
        <v>7584.7</v>
      </c>
      <c r="E1261" s="6">
        <v>7643.6</v>
      </c>
      <c r="F1261" s="8">
        <v>4852742000</v>
      </c>
      <c r="G1261" s="8">
        <v>30096330000</v>
      </c>
    </row>
    <row r="1262" spans="1:7" x14ac:dyDescent="0.25">
      <c r="A1262" s="7">
        <v>45352</v>
      </c>
      <c r="B1262" s="6">
        <v>7643.6</v>
      </c>
      <c r="C1262" s="6">
        <v>7745.6</v>
      </c>
      <c r="D1262" s="6">
        <v>7610.8</v>
      </c>
      <c r="E1262" s="6">
        <v>7745.6</v>
      </c>
      <c r="F1262" s="8">
        <v>5311381000</v>
      </c>
      <c r="G1262" s="8">
        <v>35563150000</v>
      </c>
    </row>
    <row r="1263" spans="1:7" x14ac:dyDescent="0.25">
      <c r="A1263" s="7">
        <v>45359</v>
      </c>
      <c r="B1263" s="6">
        <v>7745.6</v>
      </c>
      <c r="C1263" s="6">
        <v>7853.1</v>
      </c>
      <c r="D1263" s="6">
        <v>7695.2</v>
      </c>
      <c r="E1263" s="6">
        <v>7847</v>
      </c>
      <c r="F1263" s="8">
        <v>3785026000</v>
      </c>
      <c r="G1263" s="8">
        <v>29361380000</v>
      </c>
    </row>
    <row r="1264" spans="1:7" x14ac:dyDescent="0.25">
      <c r="A1264" s="7">
        <v>45366</v>
      </c>
      <c r="B1264" s="6">
        <v>7847</v>
      </c>
      <c r="C1264" s="6">
        <v>7847</v>
      </c>
      <c r="D1264" s="6">
        <v>7591.4</v>
      </c>
      <c r="E1264" s="6">
        <v>7670.3</v>
      </c>
      <c r="F1264" s="8">
        <v>5019539000</v>
      </c>
      <c r="G1264" s="8">
        <v>38683680000</v>
      </c>
    </row>
    <row r="1265" spans="1:7" x14ac:dyDescent="0.25">
      <c r="A1265" s="7">
        <v>45373</v>
      </c>
      <c r="B1265" s="6">
        <v>7670.3</v>
      </c>
      <c r="C1265" s="6">
        <v>7787.2</v>
      </c>
      <c r="D1265" s="6">
        <v>7642</v>
      </c>
      <c r="E1265" s="6">
        <v>7770.6</v>
      </c>
      <c r="F1265" s="8">
        <v>3086422000</v>
      </c>
      <c r="G1265" s="8">
        <v>29177890000</v>
      </c>
    </row>
    <row r="1266" spans="1:7" x14ac:dyDescent="0.25">
      <c r="A1266" s="7">
        <v>45379</v>
      </c>
      <c r="B1266" s="6">
        <v>7770.6</v>
      </c>
      <c r="C1266" s="6">
        <v>7901.2</v>
      </c>
      <c r="D1266" s="6">
        <v>7770.6</v>
      </c>
      <c r="E1266" s="6">
        <v>7896.9</v>
      </c>
      <c r="F1266" s="8">
        <v>2220318000</v>
      </c>
      <c r="G1266" s="8">
        <v>20308190000</v>
      </c>
    </row>
    <row r="1267" spans="1:7" x14ac:dyDescent="0.25">
      <c r="A1267" s="7">
        <v>45387</v>
      </c>
      <c r="B1267" s="6">
        <v>7896.9</v>
      </c>
      <c r="C1267" s="6">
        <v>7910.5</v>
      </c>
      <c r="D1267" s="6">
        <v>7741.5</v>
      </c>
      <c r="E1267" s="6">
        <v>7773.3</v>
      </c>
      <c r="F1267" s="8">
        <v>2324015000</v>
      </c>
      <c r="G1267" s="8">
        <v>20604450000</v>
      </c>
    </row>
    <row r="1268" spans="1:7" x14ac:dyDescent="0.25">
      <c r="A1268" s="7">
        <v>45394</v>
      </c>
      <c r="B1268" s="6">
        <v>7773.3</v>
      </c>
      <c r="C1268" s="6">
        <v>7869.3</v>
      </c>
      <c r="D1268" s="6">
        <v>7752.1</v>
      </c>
      <c r="E1268" s="6">
        <v>7788.1</v>
      </c>
      <c r="F1268" s="8">
        <v>2668391000</v>
      </c>
      <c r="G1268" s="8">
        <v>23484570000</v>
      </c>
    </row>
    <row r="1269" spans="1:7" x14ac:dyDescent="0.25">
      <c r="A1269" s="7">
        <v>45401</v>
      </c>
      <c r="B1269" s="6">
        <v>7788.1</v>
      </c>
      <c r="C1269" s="6">
        <v>7788.9</v>
      </c>
      <c r="D1269" s="6">
        <v>7492.6</v>
      </c>
      <c r="E1269" s="6">
        <v>7567.3</v>
      </c>
      <c r="F1269" s="8">
        <v>3280276000</v>
      </c>
      <c r="G1269" s="8">
        <v>29781390000</v>
      </c>
    </row>
    <row r="1270" spans="1:7" x14ac:dyDescent="0.25">
      <c r="A1270" s="7">
        <v>45408</v>
      </c>
      <c r="B1270" s="6">
        <v>7567.3</v>
      </c>
      <c r="C1270" s="6">
        <v>7724</v>
      </c>
      <c r="D1270" s="6">
        <v>7567.3</v>
      </c>
      <c r="E1270" s="6">
        <v>7575.9</v>
      </c>
      <c r="F1270" s="8">
        <v>2143823000</v>
      </c>
      <c r="G1270" s="8">
        <v>19976270000</v>
      </c>
    </row>
    <row r="1271" spans="1:7" x14ac:dyDescent="0.25">
      <c r="A1271" s="7">
        <v>45415</v>
      </c>
      <c r="B1271" s="6">
        <v>7575.9</v>
      </c>
      <c r="C1271" s="6">
        <v>7664.1</v>
      </c>
      <c r="D1271" s="6">
        <v>7556.5</v>
      </c>
      <c r="E1271" s="6">
        <v>7629</v>
      </c>
      <c r="F1271" s="8">
        <v>3098678000</v>
      </c>
      <c r="G1271" s="8">
        <v>27528700000</v>
      </c>
    </row>
    <row r="1272" spans="1:7" x14ac:dyDescent="0.25">
      <c r="A1272" s="7">
        <v>45422</v>
      </c>
      <c r="B1272" s="6">
        <v>7629</v>
      </c>
      <c r="C1272" s="6">
        <v>7814.9</v>
      </c>
      <c r="D1272" s="6">
        <v>7629</v>
      </c>
      <c r="E1272" s="6">
        <v>7749</v>
      </c>
      <c r="F1272" s="8">
        <v>2597032000</v>
      </c>
      <c r="G1272" s="8">
        <v>25919180000</v>
      </c>
    </row>
    <row r="1273" spans="1:7" x14ac:dyDescent="0.25">
      <c r="A1273" s="7">
        <v>45429</v>
      </c>
      <c r="B1273" s="6">
        <v>7749</v>
      </c>
      <c r="C1273" s="6">
        <v>7900.2</v>
      </c>
      <c r="D1273" s="6">
        <v>7714.6</v>
      </c>
      <c r="E1273" s="6">
        <v>7814.4</v>
      </c>
      <c r="F1273" s="8">
        <v>2502793000</v>
      </c>
      <c r="G1273" s="8">
        <v>25375760000</v>
      </c>
    </row>
    <row r="1274" spans="1:7" x14ac:dyDescent="0.25">
      <c r="A1274" s="7">
        <v>45436</v>
      </c>
      <c r="B1274" s="6">
        <v>7814.4</v>
      </c>
      <c r="C1274" s="6">
        <v>7879.6</v>
      </c>
      <c r="D1274" s="6">
        <v>7716.9</v>
      </c>
      <c r="E1274" s="6">
        <v>7727.6</v>
      </c>
      <c r="F1274" s="8">
        <v>3062356000</v>
      </c>
      <c r="G1274" s="8">
        <v>26211090000</v>
      </c>
    </row>
    <row r="1275" spans="1:7" x14ac:dyDescent="0.25">
      <c r="A1275" s="7">
        <v>45443</v>
      </c>
      <c r="B1275" s="6">
        <v>7734.3</v>
      </c>
      <c r="C1275" s="6">
        <v>7801.4</v>
      </c>
      <c r="D1275" s="6">
        <v>7601.5</v>
      </c>
      <c r="E1275" s="6">
        <v>7701.7</v>
      </c>
      <c r="F1275" s="8">
        <v>3612681000</v>
      </c>
      <c r="G1275" s="8">
        <v>33228710000</v>
      </c>
    </row>
    <row r="1276" spans="1:7" x14ac:dyDescent="0.25">
      <c r="A1276" s="7">
        <v>45450</v>
      </c>
      <c r="B1276" s="6">
        <v>7701.7</v>
      </c>
      <c r="C1276" s="6">
        <v>7861.8</v>
      </c>
      <c r="D1276" s="6">
        <v>7701.7</v>
      </c>
      <c r="E1276" s="6">
        <v>7860</v>
      </c>
      <c r="F1276" s="8">
        <v>2546461000</v>
      </c>
      <c r="G1276" s="8">
        <v>25244470000</v>
      </c>
    </row>
    <row r="1277" spans="1:7" x14ac:dyDescent="0.25">
      <c r="A1277" s="7">
        <v>45457</v>
      </c>
      <c r="B1277" s="6">
        <v>7860</v>
      </c>
      <c r="C1277" s="6">
        <v>7860</v>
      </c>
      <c r="D1277" s="6">
        <v>7699.2</v>
      </c>
      <c r="E1277" s="6">
        <v>7724.3</v>
      </c>
      <c r="F1277" s="8">
        <v>2450790000</v>
      </c>
      <c r="G1277" s="8">
        <v>21316350000</v>
      </c>
    </row>
    <row r="1278" spans="1:7" x14ac:dyDescent="0.25">
      <c r="A1278" s="7">
        <v>45464</v>
      </c>
      <c r="B1278" s="6">
        <v>7724.3</v>
      </c>
      <c r="C1278" s="6">
        <v>7796.9</v>
      </c>
      <c r="D1278" s="6">
        <v>7698.2</v>
      </c>
      <c r="E1278" s="6">
        <v>7796</v>
      </c>
      <c r="F1278" s="8">
        <v>4386069000</v>
      </c>
      <c r="G1278" s="8">
        <v>37853630000</v>
      </c>
    </row>
    <row r="1279" spans="1:7" x14ac:dyDescent="0.25">
      <c r="A1279" s="7">
        <v>45471</v>
      </c>
      <c r="B1279" s="6">
        <v>7796</v>
      </c>
      <c r="C1279" s="6">
        <v>7838.8</v>
      </c>
      <c r="D1279" s="6">
        <v>7654.2</v>
      </c>
      <c r="E1279" s="6">
        <v>7767.5</v>
      </c>
      <c r="F1279" s="8">
        <v>3368589000</v>
      </c>
      <c r="G1279" s="8">
        <v>27773770000</v>
      </c>
    </row>
    <row r="1280" spans="1:7" x14ac:dyDescent="0.25">
      <c r="A1280" s="7">
        <v>45478</v>
      </c>
      <c r="B1280" s="6">
        <v>7767.5</v>
      </c>
      <c r="C1280" s="6">
        <v>7835.7</v>
      </c>
      <c r="D1280" s="6">
        <v>7702.5</v>
      </c>
      <c r="E1280" s="6">
        <v>7822.3</v>
      </c>
      <c r="F1280" s="8">
        <v>2509361000</v>
      </c>
      <c r="G1280" s="8">
        <v>21193020000</v>
      </c>
    </row>
    <row r="1281" spans="1:7" x14ac:dyDescent="0.25">
      <c r="A1281" s="7">
        <v>45485</v>
      </c>
      <c r="B1281" s="6">
        <v>7822.3</v>
      </c>
      <c r="C1281" s="6">
        <v>7969.1</v>
      </c>
      <c r="D1281" s="6">
        <v>7759.5</v>
      </c>
      <c r="E1281" s="6">
        <v>7959.3</v>
      </c>
      <c r="F1281" s="8">
        <v>2561558000</v>
      </c>
      <c r="G1281" s="8">
        <v>22217600000</v>
      </c>
    </row>
    <row r="1282" spans="1:7" x14ac:dyDescent="0.25">
      <c r="A1282" s="7">
        <v>45492</v>
      </c>
      <c r="B1282" s="6">
        <v>7959.3</v>
      </c>
      <c r="C1282" s="6">
        <v>8083.7</v>
      </c>
      <c r="D1282" s="6">
        <v>7923.6</v>
      </c>
      <c r="E1282" s="6">
        <v>7971.6</v>
      </c>
      <c r="F1282" s="8">
        <v>2790884000</v>
      </c>
      <c r="G1282" s="8">
        <v>27476160000</v>
      </c>
    </row>
    <row r="1283" spans="1:7" x14ac:dyDescent="0.25">
      <c r="A1283" s="7">
        <v>45499</v>
      </c>
      <c r="B1283" s="6">
        <v>7971.6</v>
      </c>
      <c r="C1283" s="6">
        <v>7993.3</v>
      </c>
      <c r="D1283" s="6">
        <v>7861.2</v>
      </c>
      <c r="E1283" s="6">
        <v>7921.3</v>
      </c>
      <c r="F1283" s="8">
        <v>3086665000</v>
      </c>
      <c r="G1283" s="8">
        <v>25170290000</v>
      </c>
    </row>
    <row r="1284" spans="1:7" x14ac:dyDescent="0.25">
      <c r="A1284" s="7">
        <v>45506</v>
      </c>
      <c r="B1284" s="6">
        <v>7921.3</v>
      </c>
      <c r="C1284" s="6">
        <v>8148.7</v>
      </c>
      <c r="D1284" s="6">
        <v>7894.3</v>
      </c>
      <c r="E1284" s="6">
        <v>7943.2</v>
      </c>
      <c r="F1284" s="8">
        <v>3117006000</v>
      </c>
      <c r="G1284" s="8">
        <v>28459550000</v>
      </c>
    </row>
    <row r="1285" spans="1:7" x14ac:dyDescent="0.25">
      <c r="A1285" s="7">
        <v>45513</v>
      </c>
      <c r="B1285" s="6">
        <v>7943.2</v>
      </c>
      <c r="C1285" s="6">
        <v>7943.2</v>
      </c>
      <c r="D1285" s="6">
        <v>7628.1</v>
      </c>
      <c r="E1285" s="6">
        <v>7777.7</v>
      </c>
      <c r="F1285" s="8">
        <v>3678624000</v>
      </c>
      <c r="G1285" s="8">
        <v>28214590000</v>
      </c>
    </row>
    <row r="1286" spans="1:7" x14ac:dyDescent="0.25">
      <c r="A1286" s="7">
        <v>45520</v>
      </c>
      <c r="B1286" s="6">
        <v>7777.7</v>
      </c>
      <c r="C1286" s="6">
        <v>7976.9</v>
      </c>
      <c r="D1286" s="6">
        <v>7777.7</v>
      </c>
      <c r="E1286" s="6">
        <v>7971.1</v>
      </c>
      <c r="F1286" s="8">
        <v>3162250000</v>
      </c>
      <c r="G1286" s="8">
        <v>27978220000</v>
      </c>
    </row>
    <row r="1287" spans="1:7" x14ac:dyDescent="0.25">
      <c r="A1287" s="7">
        <v>45527</v>
      </c>
      <c r="B1287" s="6">
        <v>7971.1</v>
      </c>
      <c r="C1287" s="6">
        <v>8039.7</v>
      </c>
      <c r="D1287" s="6">
        <v>7950.6</v>
      </c>
      <c r="E1287" s="6">
        <v>8023.9</v>
      </c>
      <c r="F1287" s="8">
        <v>3019790000</v>
      </c>
      <c r="G1287" s="8">
        <v>27329210000</v>
      </c>
    </row>
    <row r="1288" spans="1:7" x14ac:dyDescent="0.25">
      <c r="A1288" s="7">
        <v>45534</v>
      </c>
      <c r="B1288" s="6">
        <v>8023.9</v>
      </c>
      <c r="C1288" s="6">
        <v>8107.3</v>
      </c>
      <c r="D1288" s="6">
        <v>8008.9</v>
      </c>
      <c r="E1288" s="6">
        <v>8091.9</v>
      </c>
      <c r="F1288" s="8">
        <v>3895691000</v>
      </c>
      <c r="G1288" s="8">
        <v>34052270000</v>
      </c>
    </row>
    <row r="1289" spans="1:7" x14ac:dyDescent="0.25">
      <c r="A1289" s="7">
        <v>45541</v>
      </c>
      <c r="B1289" s="6">
        <v>8091.8</v>
      </c>
      <c r="C1289" s="6">
        <v>8116.9</v>
      </c>
      <c r="D1289" s="6">
        <v>7928.5</v>
      </c>
      <c r="E1289" s="6">
        <v>8013.4</v>
      </c>
      <c r="F1289" s="8">
        <v>3416267000</v>
      </c>
      <c r="G1289" s="8">
        <v>28215780000</v>
      </c>
    </row>
    <row r="1290" spans="1:7" x14ac:dyDescent="0.25">
      <c r="A1290" s="7">
        <v>45548</v>
      </c>
      <c r="B1290" s="6">
        <v>8013.4</v>
      </c>
      <c r="C1290" s="6">
        <v>8143.6</v>
      </c>
      <c r="D1290" s="6">
        <v>7918.9</v>
      </c>
      <c r="E1290" s="6">
        <v>8099.9</v>
      </c>
      <c r="F1290" s="8">
        <v>3373126000</v>
      </c>
      <c r="G1290" s="8">
        <v>28934350000</v>
      </c>
    </row>
    <row r="1291" spans="1:7" x14ac:dyDescent="0.25">
      <c r="A1291" s="7">
        <v>45555</v>
      </c>
      <c r="B1291" s="6">
        <v>8099.9</v>
      </c>
      <c r="C1291" s="6">
        <v>8246.2000000000007</v>
      </c>
      <c r="D1291" s="6">
        <v>8099.9</v>
      </c>
      <c r="E1291" s="6">
        <v>8209.5</v>
      </c>
      <c r="F1291" s="8">
        <v>4472164000</v>
      </c>
      <c r="G1291" s="8">
        <v>39612100000</v>
      </c>
    </row>
    <row r="1292" spans="1:7" x14ac:dyDescent="0.25">
      <c r="A1292" s="7">
        <v>45562</v>
      </c>
      <c r="B1292" s="6">
        <v>8209.5</v>
      </c>
      <c r="C1292" s="6">
        <v>8225.5</v>
      </c>
      <c r="D1292" s="6">
        <v>8111.3</v>
      </c>
      <c r="E1292" s="6">
        <v>8212.2000000000007</v>
      </c>
      <c r="F1292" s="8">
        <v>3581673000</v>
      </c>
      <c r="G1292" s="8">
        <v>32225700000</v>
      </c>
    </row>
    <row r="1293" spans="1:7" x14ac:dyDescent="0.25">
      <c r="A1293" s="7">
        <v>45569</v>
      </c>
      <c r="B1293" s="6">
        <v>8212.2000000000007</v>
      </c>
      <c r="C1293" s="6">
        <v>8285.7000000000007</v>
      </c>
      <c r="D1293" s="6">
        <v>8107.6</v>
      </c>
      <c r="E1293" s="6">
        <v>8150</v>
      </c>
      <c r="F1293" s="8">
        <v>3242337000</v>
      </c>
      <c r="G1293" s="8">
        <v>30160560000</v>
      </c>
    </row>
    <row r="1294" spans="1:7" x14ac:dyDescent="0.25">
      <c r="A1294" s="7">
        <v>45576</v>
      </c>
      <c r="B1294" s="6">
        <v>8150</v>
      </c>
      <c r="C1294" s="6">
        <v>8242.7999999999993</v>
      </c>
      <c r="D1294" s="6">
        <v>8147.5</v>
      </c>
      <c r="E1294" s="6">
        <v>8214.5</v>
      </c>
      <c r="F1294" s="8">
        <v>2595630000</v>
      </c>
      <c r="G1294" s="8">
        <v>23317010000</v>
      </c>
    </row>
    <row r="1295" spans="1:7" x14ac:dyDescent="0.25">
      <c r="A1295" s="7">
        <v>45583</v>
      </c>
      <c r="B1295" s="6">
        <v>8214.5</v>
      </c>
      <c r="C1295" s="6">
        <v>8384.5</v>
      </c>
      <c r="D1295" s="6">
        <v>8214.5</v>
      </c>
      <c r="E1295" s="6">
        <v>8283.2000000000007</v>
      </c>
      <c r="F1295" s="8">
        <v>3098488000</v>
      </c>
      <c r="G1295" s="8">
        <v>29082500000</v>
      </c>
    </row>
    <row r="1296" spans="1:7" x14ac:dyDescent="0.25">
      <c r="A1296" s="7">
        <v>45590</v>
      </c>
      <c r="B1296" s="6">
        <v>8283.7999999999993</v>
      </c>
      <c r="C1296" s="6">
        <v>8356.4</v>
      </c>
      <c r="D1296" s="6">
        <v>8183.8</v>
      </c>
      <c r="E1296" s="6">
        <v>8211.2999999999993</v>
      </c>
      <c r="F1296" s="8">
        <v>2763583000</v>
      </c>
      <c r="G1296" s="8">
        <v>25568120000</v>
      </c>
    </row>
    <row r="1297" spans="1:7" x14ac:dyDescent="0.25">
      <c r="A1297" s="7">
        <v>45597</v>
      </c>
      <c r="B1297" s="6">
        <v>8211.2999999999993</v>
      </c>
      <c r="C1297" s="6">
        <v>8272.1</v>
      </c>
      <c r="D1297" s="6">
        <v>8063.2</v>
      </c>
      <c r="E1297" s="6">
        <v>8118.8</v>
      </c>
      <c r="F1297" s="8">
        <v>2980036000</v>
      </c>
      <c r="G1297" s="8">
        <v>27012110000</v>
      </c>
    </row>
    <row r="1298" spans="1:7" x14ac:dyDescent="0.25">
      <c r="A1298" s="7">
        <v>45604</v>
      </c>
      <c r="B1298" s="6">
        <v>8118.8</v>
      </c>
      <c r="C1298" s="6">
        <v>8319.4</v>
      </c>
      <c r="D1298" s="6">
        <v>8113.4</v>
      </c>
      <c r="E1298" s="6">
        <v>8295.1</v>
      </c>
      <c r="F1298" s="8">
        <v>2661492000</v>
      </c>
      <c r="G1298" s="8">
        <v>24176930000</v>
      </c>
    </row>
    <row r="1299" spans="1:7" x14ac:dyDescent="0.25">
      <c r="A1299" s="7">
        <v>45611</v>
      </c>
      <c r="B1299" s="6">
        <v>8295.1</v>
      </c>
      <c r="C1299" s="6">
        <v>8295.1</v>
      </c>
      <c r="D1299" s="6">
        <v>8139.1</v>
      </c>
      <c r="E1299" s="6">
        <v>8285.2000000000007</v>
      </c>
      <c r="F1299" s="8">
        <v>2754699000</v>
      </c>
      <c r="G1299" s="8">
        <v>27239550000</v>
      </c>
    </row>
    <row r="1300" spans="1:7" x14ac:dyDescent="0.25">
      <c r="A1300" s="7">
        <v>45618</v>
      </c>
      <c r="B1300" s="6">
        <v>8285.2000000000007</v>
      </c>
      <c r="C1300" s="6">
        <v>8446.4</v>
      </c>
      <c r="D1300" s="6">
        <v>8244.2999999999993</v>
      </c>
      <c r="E1300" s="6">
        <v>8393.7999999999993</v>
      </c>
      <c r="F1300" s="8">
        <v>2681145000</v>
      </c>
      <c r="G1300" s="8">
        <v>28034870000</v>
      </c>
    </row>
    <row r="1301" spans="1:7" x14ac:dyDescent="0.25">
      <c r="A1301" s="7">
        <v>45625</v>
      </c>
      <c r="B1301" s="6">
        <v>8393.7999999999993</v>
      </c>
      <c r="C1301" s="6">
        <v>8477.1</v>
      </c>
      <c r="D1301" s="6">
        <v>8352.7999999999993</v>
      </c>
      <c r="E1301" s="6">
        <v>8436.2000000000007</v>
      </c>
      <c r="F1301" s="8">
        <v>3566451000</v>
      </c>
      <c r="G1301" s="8">
        <v>33898840000</v>
      </c>
    </row>
    <row r="1302" spans="1:7" x14ac:dyDescent="0.25">
      <c r="A1302" s="7">
        <v>45632</v>
      </c>
      <c r="B1302" s="6">
        <v>8436.2000000000007</v>
      </c>
      <c r="C1302" s="6">
        <v>8514.5</v>
      </c>
      <c r="D1302" s="6">
        <v>8419.1</v>
      </c>
      <c r="E1302" s="6">
        <v>8420.9</v>
      </c>
      <c r="F1302" s="8">
        <v>2900121000</v>
      </c>
      <c r="G1302" s="8">
        <v>26451990000</v>
      </c>
    </row>
    <row r="1303" spans="1:7" x14ac:dyDescent="0.25">
      <c r="A1303" s="7">
        <v>45639</v>
      </c>
      <c r="B1303" s="6">
        <v>8420.9</v>
      </c>
      <c r="C1303" s="6">
        <v>8447.7000000000007</v>
      </c>
      <c r="D1303" s="6">
        <v>8263.5</v>
      </c>
      <c r="E1303" s="6">
        <v>8296</v>
      </c>
      <c r="F1303" s="8">
        <v>3023133000</v>
      </c>
      <c r="G1303" s="8">
        <v>26176870000</v>
      </c>
    </row>
    <row r="1304" spans="1:7" x14ac:dyDescent="0.25">
      <c r="A1304" s="7">
        <v>45646</v>
      </c>
      <c r="B1304" s="6">
        <v>8296</v>
      </c>
      <c r="C1304" s="6">
        <v>8342.9</v>
      </c>
      <c r="D1304" s="6">
        <v>8051.2</v>
      </c>
      <c r="E1304" s="6">
        <v>8067</v>
      </c>
      <c r="F1304" s="8">
        <v>3807308000</v>
      </c>
      <c r="G1304" s="8">
        <v>36601540000</v>
      </c>
    </row>
    <row r="1305" spans="1:7" x14ac:dyDescent="0.25">
      <c r="A1305" s="7">
        <v>45653</v>
      </c>
      <c r="B1305" s="6">
        <v>8067</v>
      </c>
      <c r="C1305" s="6">
        <v>8281.4</v>
      </c>
      <c r="D1305" s="6">
        <v>8067</v>
      </c>
      <c r="E1305" s="6">
        <v>8261.7999999999993</v>
      </c>
      <c r="F1305" s="8">
        <v>830094300</v>
      </c>
      <c r="G1305" s="8">
        <v>7368209000</v>
      </c>
    </row>
    <row r="1306" spans="1:7" x14ac:dyDescent="0.25">
      <c r="A1306" s="7">
        <v>45660</v>
      </c>
      <c r="B1306" s="6">
        <v>8261.7999999999993</v>
      </c>
      <c r="C1306" s="6">
        <v>8263.9</v>
      </c>
      <c r="D1306" s="6">
        <v>8146.6</v>
      </c>
      <c r="E1306" s="6">
        <v>8250.5</v>
      </c>
      <c r="F1306" s="8">
        <v>1217952000</v>
      </c>
      <c r="G1306" s="8">
        <v>10137020000</v>
      </c>
    </row>
    <row r="1307" spans="1:7" x14ac:dyDescent="0.25">
      <c r="A1307" s="7">
        <v>45667</v>
      </c>
      <c r="B1307" s="6">
        <v>8250.5</v>
      </c>
      <c r="C1307" s="6">
        <v>8370.7000000000007</v>
      </c>
      <c r="D1307" s="6">
        <v>8242.4</v>
      </c>
      <c r="E1307" s="6">
        <v>8294.1</v>
      </c>
      <c r="F1307" s="8">
        <v>2453222000</v>
      </c>
      <c r="G1307" s="8">
        <v>19420110000</v>
      </c>
    </row>
    <row r="1308" spans="1:7" x14ac:dyDescent="0.25">
      <c r="A1308" s="7">
        <v>45674</v>
      </c>
      <c r="B1308" s="6">
        <v>8294.1</v>
      </c>
      <c r="C1308" s="6">
        <v>8346.7999999999993</v>
      </c>
      <c r="D1308" s="6">
        <v>8160.7</v>
      </c>
      <c r="E1308" s="6">
        <v>8310.4</v>
      </c>
      <c r="F1308" s="8">
        <v>2603642000</v>
      </c>
      <c r="G1308" s="8">
        <v>22748010000</v>
      </c>
    </row>
    <row r="1309" spans="1:7" x14ac:dyDescent="0.25">
      <c r="A1309" s="7">
        <v>45681</v>
      </c>
      <c r="B1309" s="6">
        <v>8310.4</v>
      </c>
      <c r="C1309" s="6">
        <v>8455.6</v>
      </c>
      <c r="D1309" s="6">
        <v>8310.4</v>
      </c>
      <c r="E1309" s="6">
        <v>8408.9</v>
      </c>
      <c r="F1309" s="8">
        <v>2509727000</v>
      </c>
      <c r="G1309" s="8">
        <v>20876710000</v>
      </c>
    </row>
    <row r="1310" spans="1:7" x14ac:dyDescent="0.25">
      <c r="A1310" s="7">
        <v>45688</v>
      </c>
      <c r="B1310" s="6">
        <v>8408.9</v>
      </c>
      <c r="C1310" s="6">
        <v>8566.9</v>
      </c>
      <c r="D1310" s="6">
        <v>8386.5</v>
      </c>
      <c r="E1310" s="6">
        <v>8532.2999999999993</v>
      </c>
      <c r="F1310" s="8">
        <v>2536158000</v>
      </c>
      <c r="G1310" s="8">
        <v>21052140000</v>
      </c>
    </row>
    <row r="1311" spans="1:7" x14ac:dyDescent="0.25">
      <c r="A1311" s="7">
        <v>45695</v>
      </c>
      <c r="B1311" s="6">
        <v>8532.2999999999993</v>
      </c>
      <c r="C1311" s="6">
        <v>8532.6</v>
      </c>
      <c r="D1311" s="6">
        <v>8353.9</v>
      </c>
      <c r="E1311" s="6">
        <v>8511.4</v>
      </c>
      <c r="F1311" s="8">
        <v>2882899000</v>
      </c>
      <c r="G1311" s="8">
        <v>25335420000</v>
      </c>
    </row>
    <row r="1312" spans="1:7" x14ac:dyDescent="0.25">
      <c r="A1312" s="7">
        <v>45702</v>
      </c>
      <c r="B1312" s="6">
        <v>8511.4</v>
      </c>
      <c r="C1312" s="6">
        <v>8615.2000000000007</v>
      </c>
      <c r="D1312" s="6">
        <v>8445.2999999999993</v>
      </c>
      <c r="E1312" s="6">
        <v>8555.7999999999993</v>
      </c>
      <c r="F1312" s="8">
        <v>3358219000</v>
      </c>
      <c r="G1312" s="8">
        <v>28902840000</v>
      </c>
    </row>
    <row r="1313" spans="1:7" x14ac:dyDescent="0.25">
      <c r="A1313" s="7">
        <v>45709</v>
      </c>
      <c r="B1313" s="6">
        <v>8555.7999999999993</v>
      </c>
      <c r="C1313" s="6">
        <v>8555.7999999999993</v>
      </c>
      <c r="D1313" s="6">
        <v>8287.7999999999993</v>
      </c>
      <c r="E1313" s="6">
        <v>8296.2000000000007</v>
      </c>
      <c r="F1313" s="8">
        <v>3639494000</v>
      </c>
      <c r="G1313" s="8">
        <v>36987380000</v>
      </c>
    </row>
    <row r="1314" spans="1:7" x14ac:dyDescent="0.25">
      <c r="A1314" s="7">
        <v>45716</v>
      </c>
      <c r="B1314" s="6">
        <v>8296.2000000000007</v>
      </c>
      <c r="C1314" s="6">
        <v>8310</v>
      </c>
      <c r="D1314" s="6">
        <v>8155.5</v>
      </c>
      <c r="E1314" s="6">
        <v>8172.4</v>
      </c>
      <c r="F1314" s="8">
        <v>4867165000</v>
      </c>
      <c r="G1314" s="8">
        <v>44955500000</v>
      </c>
    </row>
    <row r="1315" spans="1:7" x14ac:dyDescent="0.25">
      <c r="A1315" s="7">
        <v>45723</v>
      </c>
      <c r="B1315" s="6">
        <v>8172.4</v>
      </c>
      <c r="C1315" s="6">
        <v>8251.9</v>
      </c>
      <c r="D1315" s="6">
        <v>7946.4</v>
      </c>
      <c r="E1315" s="6">
        <v>7948.2</v>
      </c>
      <c r="F1315" s="8">
        <v>3555088000</v>
      </c>
      <c r="G1315" s="8">
        <v>32541840000</v>
      </c>
    </row>
    <row r="1316" spans="1:7" x14ac:dyDescent="0.25">
      <c r="A1316" s="7">
        <v>45730</v>
      </c>
      <c r="B1316" s="6">
        <v>7948.2</v>
      </c>
      <c r="C1316" s="6">
        <v>7978.6</v>
      </c>
      <c r="D1316" s="6">
        <v>7733.5</v>
      </c>
      <c r="E1316" s="6">
        <v>7789.7</v>
      </c>
      <c r="F1316" s="8">
        <v>4189201000</v>
      </c>
      <c r="G1316" s="8">
        <v>33386350000</v>
      </c>
    </row>
    <row r="1317" spans="1:7" x14ac:dyDescent="0.25">
      <c r="A1317" s="7">
        <v>45737</v>
      </c>
      <c r="B1317" s="6">
        <v>7792.3</v>
      </c>
      <c r="C1317" s="6">
        <v>7962.6</v>
      </c>
      <c r="D1317" s="6">
        <v>7792.3</v>
      </c>
      <c r="E1317" s="6">
        <v>7931.2</v>
      </c>
      <c r="F1317" s="8">
        <v>5353260000</v>
      </c>
      <c r="G1317" s="8">
        <v>43915300000</v>
      </c>
    </row>
    <row r="1318" spans="1:7" x14ac:dyDescent="0.25">
      <c r="A1318" s="7">
        <v>45744</v>
      </c>
      <c r="B1318" s="6">
        <v>7931.2</v>
      </c>
      <c r="C1318" s="6">
        <v>8014.9</v>
      </c>
      <c r="D1318" s="6">
        <v>7899.5</v>
      </c>
      <c r="E1318" s="6">
        <v>7982</v>
      </c>
      <c r="F1318" s="8">
        <v>3311388000</v>
      </c>
      <c r="G1318" s="8">
        <v>28774470000</v>
      </c>
    </row>
    <row r="1319" spans="1:7" x14ac:dyDescent="0.25">
      <c r="A1319" s="7">
        <v>45751</v>
      </c>
      <c r="B1319" s="6">
        <v>7982</v>
      </c>
      <c r="C1319" s="6">
        <v>7982</v>
      </c>
      <c r="D1319" s="6">
        <v>7664.2</v>
      </c>
      <c r="E1319" s="6">
        <v>7667.8</v>
      </c>
      <c r="F1319" s="8">
        <v>3858693000</v>
      </c>
      <c r="G1319" s="8">
        <v>33745400000</v>
      </c>
    </row>
    <row r="1320" spans="1:7" x14ac:dyDescent="0.25">
      <c r="A1320" s="7">
        <v>45758</v>
      </c>
      <c r="B1320" s="6">
        <v>7667.8</v>
      </c>
      <c r="C1320" s="6">
        <v>7842.9</v>
      </c>
      <c r="D1320" s="6">
        <v>7169.2</v>
      </c>
      <c r="E1320" s="6">
        <v>7646.5</v>
      </c>
      <c r="F1320" s="8">
        <v>5308969000</v>
      </c>
      <c r="G1320" s="8">
        <v>45317310000</v>
      </c>
    </row>
    <row r="1321" spans="1:7" x14ac:dyDescent="0.25">
      <c r="A1321" s="7">
        <v>45764</v>
      </c>
      <c r="B1321" s="6">
        <v>7646.5</v>
      </c>
      <c r="C1321" s="6">
        <v>7819.1</v>
      </c>
      <c r="D1321" s="6">
        <v>7646.5</v>
      </c>
      <c r="E1321" s="6">
        <v>7819.1</v>
      </c>
      <c r="F1321" s="8">
        <v>2747771000</v>
      </c>
      <c r="G1321" s="8">
        <v>22158080000</v>
      </c>
    </row>
    <row r="1322" spans="1:7" x14ac:dyDescent="0.25">
      <c r="A1322" s="7">
        <v>45771</v>
      </c>
      <c r="B1322" s="6">
        <v>7819.1</v>
      </c>
      <c r="C1322" s="6">
        <v>7983.8</v>
      </c>
      <c r="D1322" s="6">
        <v>7745.1</v>
      </c>
      <c r="E1322" s="6">
        <v>7968.2</v>
      </c>
      <c r="F1322" s="8">
        <v>2301147000</v>
      </c>
      <c r="G1322" s="8">
        <v>20106320000</v>
      </c>
    </row>
    <row r="1323" spans="1:7" x14ac:dyDescent="0.25">
      <c r="A1323" s="7">
        <v>45779</v>
      </c>
      <c r="B1323" s="6">
        <v>7968.2</v>
      </c>
      <c r="C1323" s="6">
        <v>8239.6</v>
      </c>
      <c r="D1323" s="6">
        <v>7968.2</v>
      </c>
      <c r="E1323" s="6">
        <v>8238</v>
      </c>
      <c r="F1323" s="8">
        <v>3818158000</v>
      </c>
      <c r="G1323" s="8">
        <v>34090320000</v>
      </c>
    </row>
    <row r="1324" spans="1:7" x14ac:dyDescent="0.25">
      <c r="A1324" s="7">
        <v>45786</v>
      </c>
      <c r="B1324" s="6">
        <v>8238</v>
      </c>
      <c r="C1324" s="6">
        <v>8242.9</v>
      </c>
      <c r="D1324" s="6">
        <v>8138.4</v>
      </c>
      <c r="E1324" s="6">
        <v>8231.2000000000007</v>
      </c>
      <c r="F1324" s="8">
        <v>3698362000</v>
      </c>
      <c r="G1324" s="8">
        <v>32407550000</v>
      </c>
    </row>
    <row r="1325" spans="1:7" x14ac:dyDescent="0.25">
      <c r="A1325" s="7">
        <v>45793</v>
      </c>
      <c r="B1325" s="6">
        <v>8231.2000000000007</v>
      </c>
      <c r="C1325" s="6">
        <v>8398.2000000000007</v>
      </c>
      <c r="D1325" s="6">
        <v>8231.2000000000007</v>
      </c>
      <c r="E1325" s="6">
        <v>8343.7000000000007</v>
      </c>
      <c r="F1325" s="8">
        <v>3834424000</v>
      </c>
      <c r="G1325" s="8">
        <v>34567960000</v>
      </c>
    </row>
    <row r="1326" spans="1:7" x14ac:dyDescent="0.25">
      <c r="A1326" s="7">
        <v>45800</v>
      </c>
      <c r="B1326" s="6">
        <v>8343.7000000000007</v>
      </c>
      <c r="C1326" s="6">
        <v>8422.9</v>
      </c>
      <c r="D1326" s="6">
        <v>8284</v>
      </c>
      <c r="E1326" s="6">
        <v>8360.9</v>
      </c>
      <c r="F1326" s="8">
        <v>3094745000</v>
      </c>
      <c r="G1326" s="8">
        <v>28117510000</v>
      </c>
    </row>
    <row r="1327" spans="1:7" x14ac:dyDescent="0.25">
      <c r="A1327" s="7">
        <v>45807</v>
      </c>
      <c r="B1327" s="6">
        <v>8360.7000000000007</v>
      </c>
      <c r="C1327" s="6">
        <v>8453</v>
      </c>
      <c r="D1327" s="6">
        <v>8345.5</v>
      </c>
      <c r="E1327" s="6">
        <v>8434.7000000000007</v>
      </c>
      <c r="F1327" s="8">
        <v>4561230000</v>
      </c>
      <c r="G1327" s="8">
        <v>39347580000</v>
      </c>
    </row>
    <row r="1328" spans="1:7" x14ac:dyDescent="0.25">
      <c r="A1328" s="7">
        <v>45814</v>
      </c>
      <c r="B1328" s="6">
        <v>8434.7000000000007</v>
      </c>
      <c r="C1328" s="6">
        <v>8567.2999999999993</v>
      </c>
      <c r="D1328" s="6">
        <v>8401.1</v>
      </c>
      <c r="E1328" s="6">
        <v>8515.7000000000007</v>
      </c>
      <c r="F1328" s="8">
        <v>3325413000</v>
      </c>
      <c r="G1328" s="8">
        <v>29300570000</v>
      </c>
    </row>
    <row r="1329" spans="1:7" x14ac:dyDescent="0.25">
      <c r="A1329" s="7">
        <v>45821</v>
      </c>
      <c r="B1329" s="6">
        <v>8515.7000000000007</v>
      </c>
      <c r="C1329" s="6">
        <v>8639.1</v>
      </c>
      <c r="D1329" s="6">
        <v>8515.7000000000007</v>
      </c>
      <c r="E1329" s="6">
        <v>8547.4</v>
      </c>
      <c r="F1329" s="8">
        <v>3212078000</v>
      </c>
      <c r="G1329" s="8">
        <v>26762250000</v>
      </c>
    </row>
    <row r="1330" spans="1:7" x14ac:dyDescent="0.25">
      <c r="A1330" s="7">
        <v>45828</v>
      </c>
      <c r="B1330" s="6">
        <v>8547.4</v>
      </c>
      <c r="C1330" s="6">
        <v>8579.1</v>
      </c>
      <c r="D1330" s="6">
        <v>8462.7000000000007</v>
      </c>
      <c r="E1330" s="6">
        <v>8505.5</v>
      </c>
      <c r="F1330" s="8">
        <v>4790109000</v>
      </c>
      <c r="G1330" s="8">
        <v>43313370000</v>
      </c>
    </row>
    <row r="1331" spans="1:7" x14ac:dyDescent="0.25">
      <c r="A1331" s="7">
        <v>45835</v>
      </c>
      <c r="B1331" s="6">
        <v>8505.5</v>
      </c>
      <c r="C1331" s="6">
        <v>8605.7000000000007</v>
      </c>
      <c r="D1331" s="6">
        <v>8421.1</v>
      </c>
      <c r="E1331" s="6">
        <v>8514.2000000000007</v>
      </c>
      <c r="F1331" s="8">
        <v>3474676000</v>
      </c>
      <c r="G1331" s="8">
        <v>31716180000</v>
      </c>
    </row>
    <row r="1332" spans="1:7" x14ac:dyDescent="0.25">
      <c r="A1332" s="7">
        <v>45842</v>
      </c>
      <c r="B1332" s="6">
        <v>8514.2000000000007</v>
      </c>
      <c r="C1332" s="6">
        <v>8623.6</v>
      </c>
      <c r="D1332" s="6">
        <v>8514.2000000000007</v>
      </c>
      <c r="E1332" s="6">
        <v>8603</v>
      </c>
      <c r="F1332" s="8">
        <v>3486018000</v>
      </c>
      <c r="G1332" s="8">
        <v>34942890000</v>
      </c>
    </row>
    <row r="1333" spans="1:7" x14ac:dyDescent="0.25">
      <c r="A1333" s="7">
        <v>45849</v>
      </c>
      <c r="B1333" s="6">
        <v>8603</v>
      </c>
      <c r="C1333" s="6">
        <v>8619.7999999999993</v>
      </c>
      <c r="D1333" s="6">
        <v>8531.4</v>
      </c>
      <c r="E1333" s="6">
        <v>8580.1</v>
      </c>
      <c r="F1333" s="8">
        <v>2870128000</v>
      </c>
      <c r="G1333" s="8">
        <v>25343070000</v>
      </c>
    </row>
    <row r="1334" spans="1:7" x14ac:dyDescent="0.25">
      <c r="A1334" s="7">
        <v>45856</v>
      </c>
      <c r="B1334" s="6">
        <v>8580.1</v>
      </c>
      <c r="C1334" s="6">
        <v>8776.4</v>
      </c>
      <c r="D1334" s="6">
        <v>8544.7000000000007</v>
      </c>
      <c r="E1334" s="6">
        <v>8757.2000000000007</v>
      </c>
      <c r="F1334" s="8">
        <v>3070040000</v>
      </c>
      <c r="G1334" s="8">
        <v>28758670000</v>
      </c>
    </row>
    <row r="1335" spans="1:7" x14ac:dyDescent="0.25">
      <c r="A1335" s="7">
        <v>45863</v>
      </c>
      <c r="B1335" s="6">
        <v>8757.2000000000007</v>
      </c>
      <c r="C1335" s="6">
        <v>8759.9</v>
      </c>
      <c r="D1335" s="6">
        <v>8648.4</v>
      </c>
      <c r="E1335" s="6">
        <v>8666.9</v>
      </c>
      <c r="F1335" s="8">
        <v>3399394000</v>
      </c>
      <c r="G1335" s="8">
        <v>30640420000</v>
      </c>
    </row>
    <row r="1336" spans="1:7" x14ac:dyDescent="0.25">
      <c r="A1336" s="7">
        <v>45870</v>
      </c>
      <c r="B1336" s="6">
        <v>8666.9</v>
      </c>
      <c r="C1336" s="6">
        <v>8773</v>
      </c>
      <c r="D1336" s="6">
        <v>8643.5</v>
      </c>
      <c r="E1336" s="6">
        <v>8662</v>
      </c>
      <c r="F1336" s="8">
        <v>3322301000</v>
      </c>
      <c r="G1336" s="8">
        <v>28024460000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2025-08-04T02:12:28Z</dcterms:modified>
</cp:coreProperties>
</file>