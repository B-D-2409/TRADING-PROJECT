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234BF814-1788-437D-AF66-EF04ECA6762C}" xr6:coauthVersionLast="47" xr6:coauthVersionMax="47" xr10:uidLastSave="{00000000-0000-0000-0000-000000000000}"/>
  <bookViews>
    <workbookView xWindow="-210" yWindow="-21720" windowWidth="38640" windowHeight="21120" activeTab="3"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E2" i="4"/>
  <c r="D2" i="4"/>
  <c r="C2" i="4"/>
  <c r="D1355" i="5"/>
  <c r="E1355" i="5" s="1"/>
  <c r="H1354" i="8"/>
  <c r="D1354" i="5"/>
  <c r="E1354" i="5" s="1"/>
  <c r="H2" i="6" l="1"/>
  <c r="J2" i="6" s="1"/>
  <c r="I2" i="6" s="1"/>
  <c r="H22" i="6"/>
  <c r="J22" i="6" s="1"/>
  <c r="I22" i="6" s="1"/>
  <c r="H1352" i="8"/>
  <c r="H1353" i="8"/>
  <c r="K2" i="3"/>
  <c r="K3" i="3"/>
  <c r="D1353" i="5"/>
  <c r="E1353" i="5" s="1"/>
  <c r="H1351" i="8"/>
  <c r="D1352" i="5"/>
  <c r="E1352" i="5" s="1"/>
  <c r="H23" i="6"/>
  <c r="J23" i="6"/>
  <c r="I23" i="6" s="1"/>
  <c r="H24" i="6"/>
  <c r="J24" i="6" s="1"/>
  <c r="I24" i="6" s="1"/>
  <c r="H25" i="6"/>
  <c r="J25" i="6" s="1"/>
  <c r="I25" i="6" s="1"/>
  <c r="H3" i="6"/>
  <c r="J3" i="6" s="1"/>
  <c r="I3" i="6" s="1"/>
  <c r="H4" i="6"/>
  <c r="J4" i="6" s="1"/>
  <c r="I4" i="6" s="1"/>
  <c r="H5" i="6"/>
  <c r="J5" i="6" s="1"/>
  <c r="I5" i="6" s="1"/>
  <c r="H1350" i="8"/>
  <c r="K12" i="3"/>
  <c r="K9" i="3"/>
  <c r="K8" i="3"/>
  <c r="K7" i="3"/>
  <c r="K6" i="3" l="1"/>
  <c r="K5" i="3"/>
  <c r="K4"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0" i="3"/>
  <c r="K11" i="3"/>
  <c r="D1347" i="5"/>
  <c r="E1347" i="5" s="1"/>
  <c r="D1346" i="5"/>
  <c r="E1346" i="5" s="1"/>
  <c r="H1345" i="8"/>
  <c r="H21" i="6"/>
  <c r="J21" i="6" s="1"/>
  <c r="I21" i="6" s="1"/>
  <c r="H26" i="6"/>
  <c r="J26" i="6" s="1"/>
  <c r="I26" i="6" s="1"/>
  <c r="H6" i="6"/>
  <c r="J6" i="6" s="1"/>
  <c r="I6" i="6" s="1"/>
  <c r="D1345" i="5"/>
  <c r="E1345" i="5" s="1"/>
  <c r="K18" i="3"/>
  <c r="K19" i="3"/>
  <c r="K20" i="3"/>
  <c r="K21" i="3"/>
  <c r="K22" i="3"/>
  <c r="D1344" i="5"/>
  <c r="E1344" i="5" s="1"/>
  <c r="H1344" i="8"/>
  <c r="D1343" i="5"/>
  <c r="E1343" i="5" s="1"/>
  <c r="H1343" i="8"/>
  <c r="K13" i="3"/>
  <c r="K14" i="3"/>
  <c r="D1342" i="5"/>
  <c r="E1342" i="5" s="1"/>
  <c r="D1341" i="5"/>
  <c r="E1341" i="5" s="1"/>
  <c r="H27" i="6"/>
  <c r="J27" i="6" s="1"/>
  <c r="I27" i="6" s="1"/>
  <c r="H7" i="6"/>
  <c r="J7" i="6" s="1"/>
  <c r="I7" i="6" s="1"/>
  <c r="H1341" i="8"/>
  <c r="H1342" i="8"/>
  <c r="D1339" i="5"/>
  <c r="E1339" i="5" s="1"/>
  <c r="D1340" i="5"/>
  <c r="E1340" i="5" s="1"/>
  <c r="H28" i="6"/>
  <c r="J28" i="6" s="1"/>
  <c r="I28" i="6" s="1"/>
  <c r="K15" i="3"/>
  <c r="K16" i="3"/>
  <c r="H1339" i="8"/>
  <c r="H1340" i="8" s="1"/>
  <c r="D1338" i="5"/>
  <c r="E1338" i="5" s="1"/>
  <c r="H1338" i="8"/>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7"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F2" i="4" l="1"/>
</calcChain>
</file>

<file path=xl/sharedStrings.xml><?xml version="1.0" encoding="utf-8"?>
<sst xmlns="http://schemas.openxmlformats.org/spreadsheetml/2006/main" count="3733" uniqueCount="1540">
  <si>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</si>
  <si>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</si>
  <si>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</si>
  <si>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</si>
  <si>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</si>
  <si>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</si>
  <si>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</si>
  <si>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</si>
  <si>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</si>
  <si>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</si>
  <si>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</si>
  <si>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</si>
  <si>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</si>
  <si>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</si>
  <si>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</si>
  <si>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</si>
  <si>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</si>
  <si>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</si>
  <si>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</si>
  <si>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</si>
  <si>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</si>
  <si>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</si>
  <si>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</si>
  <si>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</si>
  <si>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</si>
  <si>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</si>
  <si>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</si>
  <si>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</si>
  <si>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</si>
  <si>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</si>
  <si>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</si>
  <si>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</si>
  <si>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</si>
  <si>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</si>
  <si>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</si>
  <si>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</si>
  <si>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</si>
  <si>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</si>
  <si>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</si>
  <si>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</si>
  <si>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</si>
  <si>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</si>
  <si>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</si>
  <si>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</si>
  <si>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</si>
  <si>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</si>
  <si>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</si>
  <si>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</si>
  <si>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</si>
  <si>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</si>
  <si>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</si>
  <si>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</si>
  <si>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</si>
  <si>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</si>
  <si>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</si>
  <si>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</si>
  <si>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</si>
  <si>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</si>
  <si>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</si>
  <si>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</si>
  <si>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</si>
  <si>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</si>
  <si>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</si>
  <si>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</si>
  <si>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</si>
  <si>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</si>
  <si>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</si>
  <si>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</si>
  <si>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</si>
  <si>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</si>
  <si>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</si>
  <si>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</si>
  <si>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</si>
  <si>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</si>
  <si>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</si>
  <si>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</si>
  <si>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</si>
  <si>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</si>
  <si>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</si>
  <si>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</si>
  <si>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</si>
  <si>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</si>
  <si>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</si>
  <si>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</si>
  <si>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</si>
  <si>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</si>
  <si>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</si>
  <si>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</si>
  <si>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</si>
  <si>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</si>
  <si>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</si>
  <si>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</si>
  <si>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</si>
  <si>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</si>
  <si>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</si>
  <si>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</si>
  <si>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</si>
  <si>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</si>
  <si>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</si>
  <si>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</si>
  <si>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</si>
  <si>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</si>
  <si>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</si>
  <si>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</si>
  <si>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</si>
  <si>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</si>
  <si>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</si>
  <si>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</si>
  <si>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</si>
  <si>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</si>
  <si>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</si>
  <si>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</si>
  <si>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</si>
  <si>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</si>
  <si>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</si>
  <si>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</si>
  <si>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</si>
  <si>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</si>
  <si>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</si>
  <si>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</si>
  <si>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</si>
  <si>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</si>
  <si>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</si>
  <si>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</si>
  <si>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</si>
  <si>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</si>
  <si>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</si>
  <si>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</si>
  <si>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</si>
  <si>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</si>
  <si>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</si>
  <si>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</si>
  <si>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</si>
  <si>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</si>
  <si>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</si>
  <si>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</si>
  <si>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</si>
  <si>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</si>
  <si>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</si>
  <si>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</si>
  <si>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</si>
  <si>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</si>
  <si>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</si>
  <si>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</si>
  <si>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</si>
  <si>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</si>
  <si>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</si>
  <si>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</si>
  <si>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</si>
  <si>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</si>
  <si>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</si>
  <si>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</si>
  <si>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</si>
  <si>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</si>
  <si>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</si>
  <si>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</si>
  <si>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</si>
  <si>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</si>
  <si>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</si>
  <si>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</si>
  <si>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</si>
  <si>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</si>
  <si>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</si>
  <si>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</si>
  <si>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</si>
  <si>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</si>
  <si>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</si>
  <si>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</si>
  <si>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</si>
  <si>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</si>
  <si>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</si>
  <si>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</si>
  <si>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</si>
  <si>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</si>
  <si>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</si>
  <si>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</si>
  <si>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</si>
  <si>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</si>
  <si>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</si>
  <si>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</si>
  <si>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</si>
  <si>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</si>
  <si>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</si>
  <si>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</si>
  <si>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</si>
  <si>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</si>
  <si>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</si>
  <si>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</si>
  <si>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</si>
  <si>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</si>
  <si>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</si>
  <si>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</si>
  <si>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</si>
  <si>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</si>
  <si>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</si>
  <si>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</si>
  <si>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</si>
  <si>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</si>
  <si>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</si>
  <si>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</si>
  <si>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</si>
  <si>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</si>
  <si>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</si>
  <si>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</si>
  <si>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</si>
  <si>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</si>
  <si>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</si>
  <si>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</si>
  <si>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</si>
  <si>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</si>
  <si>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</si>
  <si>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</si>
  <si>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</si>
  <si>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</si>
  <si>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</si>
  <si>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</si>
  <si>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</si>
  <si>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</si>
  <si>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</si>
  <si>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</si>
  <si>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</si>
  <si>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</si>
  <si>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</si>
  <si>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</si>
  <si>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</si>
  <si>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</si>
  <si>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</si>
  <si>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</si>
  <si>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</si>
  <si>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</si>
  <si>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</si>
  <si>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</si>
  <si>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</si>
  <si>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</si>
  <si>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</si>
  <si>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</si>
  <si>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</si>
  <si>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</si>
  <si>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</si>
  <si>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</si>
  <si>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</si>
  <si>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</si>
  <si>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</si>
  <si>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</si>
  <si>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</si>
  <si>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</si>
  <si>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</si>
  <si>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</si>
  <si>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</si>
  <si>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</si>
  <si>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</si>
  <si>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</si>
  <si>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</si>
  <si>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</si>
  <si>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</si>
  <si>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</si>
  <si>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</si>
  <si>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</si>
  <si>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</si>
  <si>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</si>
  <si>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</si>
  <si>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</si>
  <si>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</si>
  <si>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</si>
  <si>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</si>
  <si>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</si>
  <si>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</si>
  <si>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</si>
  <si>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</si>
  <si>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</si>
  <si>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</si>
  <si>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</si>
  <si>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</si>
  <si>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</si>
  <si>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</si>
  <si>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</si>
  <si>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</si>
  <si>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</si>
  <si>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</si>
  <si>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</si>
  <si>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</si>
  <si>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</si>
  <si>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</si>
  <si>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</si>
  <si>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</si>
  <si>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</si>
  <si>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</si>
  <si>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</si>
  <si>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</si>
  <si>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</si>
  <si>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</si>
  <si>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</si>
  <si>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</si>
  <si>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</si>
  <si>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</si>
  <si>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</si>
  <si>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</si>
  <si>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</si>
  <si>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</si>
  <si>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</si>
  <si>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</si>
  <si>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</si>
  <si>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</si>
  <si>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</si>
  <si>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</si>
  <si>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</si>
  <si>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</si>
  <si>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</si>
  <si>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</si>
  <si>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</si>
  <si>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</si>
  <si>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</si>
  <si>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</si>
  <si>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</si>
  <si>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</si>
  <si>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</si>
  <si>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</si>
  <si>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</si>
  <si>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</si>
  <si>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</si>
  <si>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</si>
  <si>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</si>
  <si>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</si>
  <si>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</si>
  <si>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</si>
  <si>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</si>
  <si>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</si>
  <si>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</si>
  <si>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</si>
  <si>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</si>
  <si>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</si>
  <si>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</si>
  <si>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</si>
  <si>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</si>
  <si>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</si>
  <si>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</si>
  <si>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</si>
  <si>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</si>
  <si>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</si>
  <si>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</si>
  <si>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</si>
  <si>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</si>
  <si>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</si>
  <si>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</si>
  <si>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</si>
  <si>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</si>
  <si>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</si>
  <si>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</si>
  <si>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</si>
  <si>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</si>
  <si>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</si>
  <si>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</si>
  <si>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</si>
  <si>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</si>
  <si>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</si>
  <si>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</si>
  <si>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</si>
  <si>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</si>
  <si>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</si>
  <si>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</si>
  <si>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</si>
  <si>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</si>
  <si>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</si>
  <si>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</si>
  <si>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</si>
  <si>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</si>
  <si>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</si>
  <si>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</si>
  <si>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</si>
  <si>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</si>
  <si>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</si>
  <si>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</si>
  <si>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</si>
  <si>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</si>
  <si>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</si>
  <si>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</si>
  <si>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</si>
  <si>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</si>
  <si>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</si>
  <si>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</si>
  <si>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</si>
  <si>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</si>
  <si>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</si>
  <si>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</si>
  <si>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</si>
  <si>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</si>
  <si>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</si>
  <si>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</si>
  <si>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</si>
  <si>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</si>
  <si>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</si>
  <si>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</si>
  <si>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</si>
  <si>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</si>
  <si>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</si>
  <si>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</si>
  <si>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</si>
  <si>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</si>
  <si>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</si>
  <si>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</si>
  <si>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</si>
  <si>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</si>
  <si>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</si>
  <si>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</si>
  <si>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</si>
  <si>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</si>
  <si>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</si>
  <si>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</si>
  <si>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</si>
  <si>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</si>
  <si>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</si>
  <si>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</si>
  <si>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</si>
  <si>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</si>
  <si>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</si>
  <si>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</si>
  <si>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</si>
  <si>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</si>
  <si>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</si>
  <si>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</si>
  <si>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</si>
  <si>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</si>
  <si>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</si>
  <si>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</si>
  <si>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</si>
  <si>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</si>
  <si>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</si>
  <si>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</si>
  <si>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</si>
  <si>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</si>
  <si>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</si>
  <si>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</si>
  <si>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</si>
  <si>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</si>
  <si>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</si>
  <si>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</si>
  <si>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</si>
  <si>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</si>
  <si>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</si>
  <si>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</si>
  <si>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</si>
  <si>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</si>
  <si>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</si>
  <si>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</si>
  <si>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</si>
  <si>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</si>
  <si>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</si>
  <si>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</si>
  <si>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</si>
  <si>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</si>
  <si>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</si>
  <si>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</si>
  <si>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</si>
  <si>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</si>
  <si>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</si>
  <si>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</si>
  <si>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</si>
  <si>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</si>
  <si>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</si>
  <si>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</si>
  <si>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</si>
  <si>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</si>
  <si>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</si>
  <si>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</si>
  <si>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</si>
  <si>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</si>
  <si>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</si>
  <si>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</si>
  <si>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</si>
  <si>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</si>
  <si>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</si>
  <si>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</si>
  <si>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</si>
  <si>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</si>
  <si>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</si>
  <si>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</si>
  <si>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</si>
  <si>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</si>
  <si>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</si>
  <si>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</si>
  <si>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</si>
  <si>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</si>
  <si>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</si>
  <si>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</si>
  <si>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</si>
  <si>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</si>
  <si>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</si>
  <si>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</si>
  <si>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</si>
  <si>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</si>
  <si>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</si>
  <si>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</si>
  <si>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</si>
  <si>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</si>
  <si>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</si>
  <si>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</si>
  <si>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</si>
  <si>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</si>
  <si>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</si>
  <si>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</si>
  <si>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</si>
  <si>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</si>
  <si>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</si>
  <si>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</si>
  <si>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</si>
  <si>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</si>
  <si>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</si>
  <si>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</si>
  <si>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</si>
  <si>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</si>
  <si>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</si>
  <si>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</si>
  <si>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</si>
  <si>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</si>
  <si>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</si>
  <si>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</si>
  <si>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</si>
  <si>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</si>
  <si>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</si>
  <si>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</si>
  <si>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</si>
  <si>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</si>
  <si>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</si>
  <si>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</si>
  <si>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</si>
  <si>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</si>
  <si>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</si>
  <si>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</si>
  <si>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</si>
  <si>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</si>
  <si>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</si>
  <si>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</si>
  <si>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</si>
  <si>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</si>
  <si>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</si>
  <si>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</si>
  <si>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</si>
  <si>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</si>
  <si>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</si>
  <si>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</si>
  <si>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</si>
  <si>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</si>
  <si>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</si>
  <si>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</si>
  <si>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</si>
  <si>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</si>
  <si>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</si>
  <si>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</si>
  <si>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</si>
  <si>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</si>
  <si>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</si>
  <si>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</si>
  <si>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</si>
  <si>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</si>
  <si>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</si>
  <si>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</si>
  <si>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</si>
  <si>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</si>
  <si>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</si>
  <si>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</si>
  <si>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</si>
  <si>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</si>
  <si>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</si>
  <si>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</si>
  <si>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</si>
  <si>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</si>
  <si>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</si>
  <si>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</si>
  <si>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</si>
  <si>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</si>
  <si>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</si>
  <si>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</si>
  <si>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</si>
  <si>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</si>
  <si>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</si>
  <si>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</si>
  <si>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</si>
  <si>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</si>
  <si>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</si>
  <si>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</si>
  <si>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</si>
  <si>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</si>
  <si>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</si>
  <si>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</si>
  <si>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</si>
  <si>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</si>
  <si>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</si>
  <si>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</si>
  <si>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</si>
  <si>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</si>
  <si>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</si>
  <si>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</si>
  <si>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</si>
  <si>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</si>
  <si>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</si>
  <si>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</si>
  <si>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</si>
  <si>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</si>
  <si>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</si>
  <si>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</si>
  <si>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</si>
  <si>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</si>
  <si>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</si>
  <si>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</si>
  <si>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</si>
  <si>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</si>
  <si>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</si>
  <si>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</si>
  <si>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</si>
  <si>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</si>
  <si>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</si>
  <si>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</si>
  <si>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</si>
  <si>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</si>
  <si>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</si>
  <si>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</si>
  <si>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</si>
  <si>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</si>
  <si>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</si>
  <si>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</si>
  <si>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</si>
  <si>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</si>
  <si>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</si>
  <si>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</si>
  <si>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</si>
  <si>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</si>
  <si>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</si>
  <si>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</si>
  <si>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</si>
  <si>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</si>
  <si>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</si>
  <si>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</si>
  <si>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</si>
  <si>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</si>
  <si>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</si>
  <si>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</si>
  <si>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</si>
  <si>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</si>
  <si>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</si>
  <si>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</si>
  <si>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</si>
  <si>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</si>
  <si>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</si>
  <si>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</si>
  <si>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</si>
  <si>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</si>
  <si>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</si>
  <si>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</si>
  <si>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</si>
  <si>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</si>
  <si>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</si>
  <si>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</si>
  <si>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</si>
  <si>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</si>
  <si>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</si>
  <si>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</si>
  <si>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</si>
  <si>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</si>
  <si>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</si>
  <si>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</si>
  <si>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</si>
  <si>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</si>
  <si>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</si>
  <si>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</si>
  <si>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</si>
  <si>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</si>
  <si>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</si>
  <si>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</si>
  <si>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</si>
  <si>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</si>
  <si>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</si>
  <si>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</si>
  <si>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</si>
  <si>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</si>
  <si>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</si>
  <si>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</si>
  <si>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</si>
  <si>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</si>
  <si>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</si>
  <si>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</si>
  <si>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</si>
  <si>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</si>
  <si>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</si>
  <si>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</si>
  <si>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</si>
  <si>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</si>
  <si>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</si>
  <si>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</si>
  <si>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</si>
  <si>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</si>
  <si>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</si>
  <si>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</si>
  <si>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</si>
  <si>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</si>
  <si>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</si>
  <si>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</si>
  <si>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</si>
  <si>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</si>
  <si>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</si>
  <si>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</si>
  <si>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</si>
  <si>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</si>
  <si>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</si>
  <si>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</si>
  <si>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</si>
  <si>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</si>
  <si>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</si>
  <si>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</si>
  <si>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</si>
  <si>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</si>
  <si>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</si>
  <si>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</si>
  <si>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</si>
  <si>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</si>
  <si>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</si>
  <si>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</si>
  <si>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</si>
  <si>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</si>
  <si>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</si>
  <si>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</si>
  <si>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</si>
  <si>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</si>
  <si>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</si>
  <si>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</si>
  <si>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</si>
  <si>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</si>
  <si>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</si>
  <si>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</si>
  <si>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</si>
  <si>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</si>
  <si>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</si>
  <si>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</si>
  <si>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</si>
  <si>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</si>
  <si>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</si>
  <si>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</si>
  <si>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</si>
  <si>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</si>
  <si>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</si>
  <si>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</si>
  <si>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</si>
  <si>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</si>
  <si>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</si>
  <si>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</si>
  <si>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</si>
  <si>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</si>
  <si>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</si>
  <si>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</si>
  <si>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</si>
  <si>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</si>
  <si>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</si>
  <si>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</si>
  <si>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</si>
  <si>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</si>
  <si>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</si>
  <si>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</si>
  <si>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</si>
  <si>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</si>
  <si>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</si>
  <si>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</si>
  <si>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</si>
  <si>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</si>
  <si>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</si>
  <si>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</si>
  <si>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</si>
  <si>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</si>
  <si>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</si>
  <si>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</si>
  <si>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</si>
  <si>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</si>
  <si>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</si>
  <si>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</si>
  <si>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</si>
  <si>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</si>
  <si>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</si>
  <si>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</si>
  <si>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</si>
  <si>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</si>
  <si>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</si>
  <si>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</si>
  <si>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</si>
  <si>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</si>
  <si>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</si>
  <si>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</si>
  <si>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</si>
  <si>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</si>
  <si>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</si>
  <si>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</si>
  <si>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</si>
  <si>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</si>
  <si>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</si>
  <si>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</si>
  <si>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</si>
  <si>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</si>
  <si>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</si>
  <si>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</si>
  <si>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</si>
  <si>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</si>
  <si>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</si>
  <si>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</si>
  <si>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</si>
  <si>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</si>
  <si>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</si>
  <si>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</si>
  <si>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</si>
  <si>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</si>
  <si>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</si>
  <si>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</si>
  <si>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</si>
  <si>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</si>
  <si>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</si>
  <si>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</si>
  <si>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</si>
  <si>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</si>
  <si>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</si>
  <si>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</si>
  <si>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</si>
  <si>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</si>
  <si>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</si>
  <si>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</si>
  <si>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</si>
  <si>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</si>
  <si>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</si>
  <si>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</si>
  <si>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</si>
  <si>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</si>
  <si>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</si>
  <si>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</si>
  <si>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</si>
  <si>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</si>
  <si>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</si>
  <si>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</si>
  <si>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</si>
  <si>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</si>
  <si>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</si>
  <si>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</si>
  <si>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</si>
  <si>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</si>
  <si>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</si>
  <si>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</si>
  <si>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</si>
  <si>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</si>
  <si>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</si>
  <si>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</si>
  <si>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</si>
  <si>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</si>
  <si>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</si>
  <si>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</si>
  <si>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</si>
  <si>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</si>
  <si>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</si>
  <si>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</si>
  <si>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</si>
  <si>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</si>
  <si>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</si>
  <si>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</si>
  <si>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</si>
  <si>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</si>
  <si>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</si>
  <si>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</si>
  <si>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</si>
  <si>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</si>
  <si>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</si>
  <si>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</si>
  <si>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</si>
  <si>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</si>
  <si>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</si>
  <si>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</si>
  <si>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</si>
  <si>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</si>
  <si>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</si>
  <si>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</si>
  <si>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</si>
  <si>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</si>
  <si>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</si>
  <si>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</si>
  <si>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</si>
  <si>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</si>
  <si>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</si>
  <si>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</si>
  <si>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</si>
  <si>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</si>
  <si>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</si>
  <si>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</si>
  <si>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</si>
  <si>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</si>
  <si>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</si>
  <si>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</si>
  <si>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</si>
  <si>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</si>
  <si>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</si>
  <si>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</si>
  <si>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</si>
  <si>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</si>
  <si>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</si>
  <si>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</si>
  <si>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</si>
  <si>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</si>
  <si>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</si>
  <si>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</si>
  <si>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</si>
  <si>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</si>
  <si>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</si>
  <si>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</si>
  <si>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</si>
  <si>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</si>
  <si>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</si>
  <si>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</si>
  <si>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</si>
  <si>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</si>
  <si>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</si>
  <si>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</si>
  <si>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</si>
  <si>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</si>
  <si>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</si>
  <si>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</si>
  <si>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</si>
  <si>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</si>
  <si>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</si>
  <si>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</si>
  <si>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</si>
  <si>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</si>
  <si>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</si>
  <si>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</si>
  <si>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</si>
  <si>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</si>
  <si>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</si>
  <si>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</si>
  <si>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</si>
  <si>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</si>
  <si>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</si>
  <si>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</si>
  <si>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</si>
  <si>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</si>
  <si>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</si>
  <si>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</si>
  <si>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</si>
  <si>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</si>
  <si>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</si>
  <si>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</si>
  <si>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</si>
  <si>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</si>
  <si>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</si>
  <si>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</si>
  <si>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</si>
  <si>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</si>
  <si>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</si>
  <si>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</si>
  <si>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</si>
  <si>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</si>
  <si>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</si>
  <si>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</si>
  <si>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</si>
  <si>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</si>
  <si>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</si>
  <si>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</si>
  <si>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</si>
  <si>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</si>
  <si>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</si>
  <si>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</si>
  <si>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</si>
  <si>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</si>
  <si>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</si>
  <si>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</si>
  <si>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</si>
  <si>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</si>
  <si>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</si>
  <si>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</si>
  <si>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</si>
  <si>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</si>
  <si>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</si>
  <si>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</si>
  <si>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</si>
  <si>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</si>
  <si>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</si>
  <si>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</si>
  <si>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</si>
  <si>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</si>
  <si>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</si>
  <si>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</si>
  <si>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</si>
  <si>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</si>
  <si>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</si>
  <si>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</si>
  <si>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</si>
  <si>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</si>
  <si>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</si>
  <si>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</si>
  <si>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</si>
  <si>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</si>
  <si>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</si>
  <si>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</si>
  <si>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</si>
  <si>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</si>
  <si>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</si>
  <si>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</si>
  <si>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</si>
  <si>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</si>
  <si>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</si>
  <si>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</si>
  <si>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</si>
  <si>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</si>
  <si>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</si>
  <si>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</si>
  <si>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</si>
  <si>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</si>
  <si>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</si>
  <si>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</si>
  <si>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</si>
  <si>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</si>
  <si>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</si>
  <si>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</si>
  <si>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</si>
  <si>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</si>
  <si>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</si>
  <si>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</si>
  <si>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</si>
  <si>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</si>
  <si>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</si>
  <si>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</si>
  <si>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</si>
  <si>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</si>
  <si>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</si>
  <si>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</si>
  <si>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</si>
  <si>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</si>
  <si>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</si>
  <si>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</si>
  <si>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</si>
  <si>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</si>
  <si>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</si>
  <si>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</si>
  <si>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</si>
  <si>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</si>
  <si>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</si>
  <si>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</si>
  <si>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</si>
  <si>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</si>
  <si>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</si>
  <si>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</si>
  <si>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</si>
  <si>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</si>
  <si>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</si>
  <si>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</si>
  <si>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</si>
  <si>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</si>
  <si>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</si>
  <si>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</si>
  <si>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</si>
  <si>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</si>
  <si>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</si>
  <si>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</si>
  <si>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</si>
  <si>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</si>
  <si>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</si>
  <si>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</si>
  <si>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</si>
  <si>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</si>
  <si>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</si>
  <si>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</si>
  <si>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</si>
  <si>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</si>
  <si>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</si>
  <si>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</si>
  <si>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</si>
  <si>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</si>
  <si>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</si>
  <si>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</si>
  <si>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</si>
  <si>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</si>
  <si>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</si>
  <si>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</si>
  <si>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</si>
  <si>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</si>
  <si>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</si>
  <si>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</si>
  <si>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</si>
  <si>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</si>
  <si>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</si>
  <si>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</si>
  <si>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</si>
  <si>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</si>
  <si>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</si>
  <si>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</si>
  <si>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</si>
  <si>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</si>
  <si>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</si>
  <si>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</si>
  <si>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</si>
  <si>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</si>
  <si>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</si>
  <si>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</si>
  <si>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</si>
  <si>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</si>
  <si>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</si>
  <si>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</si>
  <si>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</si>
  <si>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</si>
  <si>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</si>
  <si>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</si>
  <si>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</si>
  <si>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</si>
  <si>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</si>
  <si>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</si>
  <si>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</si>
  <si>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</si>
  <si>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</si>
  <si>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</si>
  <si>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</si>
  <si>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</si>
  <si>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</si>
  <si>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</si>
  <si>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</si>
  <si>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</si>
  <si>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</si>
  <si>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</si>
  <si>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</si>
  <si>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</si>
  <si>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</si>
  <si>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</si>
  <si>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</si>
  <si>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</si>
  <si>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</si>
  <si>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</si>
  <si>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</si>
  <si>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</si>
  <si>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</si>
  <si>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</si>
  <si>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</si>
  <si>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</si>
  <si>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</si>
  <si>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</si>
  <si>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</si>
  <si>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</si>
  <si>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</si>
  <si>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</si>
  <si>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</si>
  <si>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</si>
  <si>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</si>
  <si>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</si>
  <si>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</si>
  <si>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</si>
  <si>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</si>
  <si>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</si>
  <si>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</si>
  <si>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</si>
  <si>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</si>
  <si>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</si>
  <si>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</si>
  <si>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</si>
  <si>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</si>
  <si>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</si>
  <si>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</si>
  <si>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</si>
  <si>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</si>
  <si>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</si>
  <si>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</si>
  <si>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</si>
  <si>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</si>
  <si>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</si>
  <si>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</si>
  <si>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</si>
  <si>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</si>
  <si>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</si>
  <si>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</si>
  <si>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</si>
  <si>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</si>
  <si>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</si>
  <si>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</si>
  <si>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</si>
  <si>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</si>
  <si>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</si>
  <si>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</si>
  <si>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</si>
  <si>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</si>
  <si>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</si>
  <si>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</si>
  <si>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</si>
  <si>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</si>
  <si>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</si>
  <si>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</si>
  <si>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</si>
  <si>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</si>
  <si>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</si>
  <si>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</si>
  <si>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</si>
  <si>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</si>
  <si>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</si>
  <si>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</si>
  <si>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</si>
  <si>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</si>
  <si>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</si>
  <si>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</si>
  <si>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</si>
  <si>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</si>
  <si>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</si>
  <si>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</si>
  <si>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</si>
  <si>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</si>
  <si>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</si>
  <si>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</si>
  <si>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</si>
  <si>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</si>
  <si>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</si>
  <si>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</si>
  <si>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</si>
  <si>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</si>
  <si>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</si>
  <si>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</si>
  <si>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</si>
  <si>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</si>
  <si>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</si>
  <si>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</si>
  <si>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</si>
  <si>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</si>
  <si>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</si>
  <si>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</si>
  <si>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</si>
  <si>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</si>
  <si>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</si>
  <si>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</si>
  <si>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</si>
  <si>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</si>
  <si>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</si>
  <si>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</si>
  <si>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</si>
  <si>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</si>
  <si>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</si>
  <si>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</si>
  <si>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</si>
  <si>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</si>
  <si>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</si>
  <si>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</si>
  <si>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</si>
  <si>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</si>
  <si>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</si>
  <si>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</si>
  <si>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</si>
  <si>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</si>
  <si>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</si>
  <si>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</si>
  <si>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</si>
  <si>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</si>
  <si>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</si>
  <si>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</si>
  <si>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</si>
  <si>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</si>
  <si>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</si>
  <si>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</si>
  <si>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</si>
  <si>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</si>
  <si>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</si>
  <si>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</si>
  <si>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</si>
  <si>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</si>
  <si>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</si>
  <si>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</si>
  <si>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</si>
  <si>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</si>
  <si>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</si>
  <si>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</si>
  <si>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</si>
  <si>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</si>
  <si>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</si>
  <si>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</si>
  <si>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</si>
  <si>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</si>
  <si>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</si>
  <si>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</si>
  <si>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</si>
  <si>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</si>
  <si>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</si>
  <si>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</si>
  <si>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</si>
  <si>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</si>
  <si>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</si>
  <si>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</si>
  <si>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</si>
  <si>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</si>
  <si>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</si>
  <si>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</si>
  <si>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</si>
  <si>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</si>
  <si>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</si>
  <si>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</si>
  <si>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</si>
  <si>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</si>
  <si>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</si>
  <si>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</si>
  <si>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</si>
  <si>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</si>
  <si>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</si>
  <si>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</si>
  <si>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</si>
  <si>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</si>
  <si>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</si>
  <si>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</si>
  <si>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</si>
  <si>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</si>
  <si>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</si>
  <si>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</si>
  <si>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</si>
  <si>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</si>
  <si>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</si>
  <si>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</si>
  <si>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</si>
  <si>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</si>
  <si>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</si>
  <si>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</si>
  <si>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</si>
  <si>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</si>
  <si>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</si>
  <si>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</si>
  <si>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</si>
  <si>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</si>
  <si>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</si>
  <si>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</si>
  <si>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</si>
  <si>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</si>
  <si>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</si>
  <si>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</si>
  <si>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</si>
  <si>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</si>
  <si>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</si>
  <si>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</si>
  <si>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</si>
  <si>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</si>
  <si>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</si>
  <si>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</si>
  <si>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</si>
  <si>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</si>
  <si>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</si>
  <si>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</si>
  <si>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</si>
  <si>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</si>
  <si>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</si>
  <si>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</si>
  <si>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</si>
  <si>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</si>
  <si>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</si>
  <si>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</si>
  <si>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</si>
  <si>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</si>
  <si>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</si>
  <si>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</si>
  <si>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</si>
  <si>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</si>
  <si>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</si>
  <si>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</si>
  <si>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</si>
  <si>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</si>
  <si>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</si>
  <si>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</si>
  <si>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</si>
  <si>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</si>
  <si>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</si>
  <si>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</si>
  <si>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</si>
  <si>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</si>
  <si>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</si>
  <si>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</si>
  <si>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</si>
  <si>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</si>
  <si>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</si>
  <si>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</si>
  <si>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</si>
  <si>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</si>
  <si>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</si>
  <si>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</si>
  <si>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</si>
  <si>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</si>
  <si>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</si>
  <si>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</si>
  <si>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</si>
  <si>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</si>
  <si>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</si>
  <si>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</si>
  <si>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</si>
  <si>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</si>
  <si>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</si>
  <si>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</si>
  <si>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</si>
  <si>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</si>
  <si>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</si>
  <si>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</si>
  <si>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</si>
  <si>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</si>
  <si>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</si>
  <si>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</si>
  <si>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</si>
  <si>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</si>
  <si>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</si>
  <si>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</si>
  <si>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</si>
  <si>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</si>
  <si>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</si>
  <si>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</si>
  <si>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</si>
  <si>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</si>
  <si>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</si>
  <si>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</si>
  <si>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</si>
  <si>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</si>
  <si>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</si>
  <si>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</si>
  <si>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</si>
  <si>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</si>
  <si>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</si>
  <si>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</si>
  <si>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</si>
  <si>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</si>
  <si>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</si>
  <si>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</si>
  <si>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</si>
  <si>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</si>
  <si>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</si>
  <si>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</si>
  <si>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</si>
  <si>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</si>
  <si>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</si>
  <si>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</si>
  <si>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</si>
  <si>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</si>
  <si>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</si>
  <si>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</si>
  <si>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</si>
  <si>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</si>
  <si>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</si>
  <si>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</si>
  <si>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</si>
  <si>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</si>
  <si>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</si>
  <si>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</si>
  <si>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</si>
  <si>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</si>
  <si>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</si>
  <si>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</si>
  <si>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</si>
  <si>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</si>
  <si>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</si>
  <si>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</si>
  <si>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</si>
  <si>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</si>
  <si>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</si>
  <si>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</si>
  <si>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</si>
  <si>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</si>
  <si>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</si>
  <si>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</si>
  <si>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</si>
  <si>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</si>
  <si>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</si>
  <si>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</si>
  <si>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</si>
  <si>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</si>
  <si>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</si>
  <si>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$112.6M</t>
  </si>
  <si>
    <t>$43.4M</t>
  </si>
  <si>
    <t>9.5x</t>
  </si>
  <si>
    <t>$222.4M</t>
  </si>
  <si>
    <t>$51.5M</t>
  </si>
  <si>
    <t>16.7x</t>
  </si>
  <si>
    <t>$-33.8M</t>
  </si>
  <si>
    <t>$22.5M</t>
  </si>
  <si>
    <t>287.9x</t>
  </si>
  <si>
    <t>$-193.6M</t>
  </si>
  <si>
    <t>15.8x</t>
  </si>
  <si>
    <t>$1283.7M</t>
  </si>
  <si>
    <t>$61.2M</t>
  </si>
  <si>
    <t>PNR.au</t>
  </si>
  <si>
    <t>ASG.au</t>
  </si>
  <si>
    <t>2.8x</t>
  </si>
  <si>
    <t>29.9x</t>
  </si>
  <si>
    <t>COF.au</t>
  </si>
  <si>
    <t>SVR.au</t>
  </si>
  <si>
    <t>ARX.au</t>
  </si>
  <si>
    <t>AFG.au</t>
  </si>
  <si>
    <t>0.7x</t>
  </si>
  <si>
    <t>DVP.au</t>
  </si>
  <si>
    <t>GDI.au</t>
  </si>
  <si>
    <t>EOS.au</t>
  </si>
  <si>
    <t>$1.5B</t>
  </si>
  <si>
    <t>$2.2B</t>
  </si>
  <si>
    <t>2708.8x</t>
  </si>
  <si>
    <t>KCN.au</t>
  </si>
  <si>
    <t>IGL.au</t>
  </si>
  <si>
    <t>OML.au</t>
  </si>
  <si>
    <t>1.3x</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</si>
  <si>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</si>
  <si>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</si>
  <si>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</si>
  <si>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</si>
  <si>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</si>
  <si>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</si>
  <si>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</si>
  <si>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</si>
  <si>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</si>
  <si>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</si>
  <si>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</si>
  <si>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</si>
  <si>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</si>
  <si>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</si>
  <si>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</si>
  <si>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</si>
  <si>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</si>
  <si>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</si>
  <si>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</si>
  <si>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1.4x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</si>
  <si>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</si>
  <si>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</si>
  <si>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</si>
  <si>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</si>
  <si>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</si>
  <si>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</si>
  <si>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</si>
  <si>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</si>
  <si>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</si>
  <si>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</si>
  <si>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</si>
  <si>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</si>
  <si>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</si>
  <si>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</si>
  <si>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14.2x</t>
  </si>
  <si>
    <t>10.4x</t>
  </si>
  <si>
    <t>155.7x</t>
  </si>
  <si>
    <t>8.4x</t>
  </si>
  <si>
    <t>3.1x</t>
  </si>
  <si>
    <t>9.6x</t>
  </si>
  <si>
    <t>10.0x</t>
  </si>
  <si>
    <t>4.7x</t>
  </si>
  <si>
    <t>11.7x</t>
  </si>
  <si>
    <t>80.0x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</si>
  <si>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</si>
  <si>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</si>
  <si>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</si>
  <si>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2.6x</t>
  </si>
  <si>
    <t>7.6x</t>
  </si>
  <si>
    <t>12.1x</t>
  </si>
  <si>
    <t>$1.7B</t>
  </si>
  <si>
    <t>29.1x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</si>
</sst>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xf numFmtId="14" fontId="1" fillId="0" borderId="0" xfId="0" applyNumberFormat="1" applyFont="1" applyAlignment="1">
      <alignment horizontal="center" vertical="top"/>
    </xf>
    <xf numFmtId="8" fontId="1" fillId="0" borderId="0" xfId="0" applyNumberFormat="1" applyFont="1" applyAlignment="1">
      <alignment horizontal="center" vertical="top"/>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topLeftCell="L1" workbookViewId="0">
      <selection activeCell="N2" activeCellId="1" sqref="B2:B21 N2:N2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1441</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1496</v>
      </c>
      <c r="B2" t="s">
        <v>1498</v>
      </c>
      <c r="C2" t="s">
        <v>21</v>
      </c>
      <c r="D2" s="4">
        <v>3.45</v>
      </c>
      <c r="E2" s="4">
        <v>3.88</v>
      </c>
      <c r="F2" s="13">
        <f t="shared" ref="F2:F5" si="0">(E2/D2-1)*100</f>
        <v>12.463768115942031</v>
      </c>
      <c r="G2">
        <v>1.9710144996643</v>
      </c>
      <c r="H2" s="4">
        <v>3.98</v>
      </c>
      <c r="I2" s="4">
        <v>1.325</v>
      </c>
      <c r="J2" t="s">
        <v>348</v>
      </c>
      <c r="K2" s="3">
        <v>1</v>
      </c>
      <c r="L2" t="s">
        <v>1499</v>
      </c>
      <c r="M2" t="s">
        <v>1500</v>
      </c>
      <c r="N2" s="3">
        <v>1.6E-2</v>
      </c>
      <c r="O2" t="s">
        <v>1327</v>
      </c>
      <c r="P2" t="s">
        <v>1522</v>
      </c>
      <c r="Q2" t="s">
        <v>1501</v>
      </c>
      <c r="R2" s="3">
        <v>0.34499999999999997</v>
      </c>
      <c r="S2" s="3">
        <v>1.2E-2</v>
      </c>
      <c r="T2" t="s">
        <v>1502</v>
      </c>
      <c r="U2" s="3">
        <v>5.2999999999999999E-2</v>
      </c>
      <c r="V2" s="3">
        <v>0.57399999999999995</v>
      </c>
      <c r="W2" s="3">
        <v>0.64600000000000002</v>
      </c>
      <c r="X2" s="3">
        <v>0.76800000000000002</v>
      </c>
    </row>
    <row r="3" spans="1:24" x14ac:dyDescent="0.25">
      <c r="A3" t="s">
        <v>1503</v>
      </c>
      <c r="B3" t="s">
        <v>1504</v>
      </c>
      <c r="C3" t="s">
        <v>21</v>
      </c>
      <c r="D3" s="4">
        <v>6.21</v>
      </c>
      <c r="E3" s="4">
        <v>6.3</v>
      </c>
      <c r="F3" s="13">
        <f t="shared" si="0"/>
        <v>1.449275362318847</v>
      </c>
      <c r="G3">
        <v>4.0799999237060502</v>
      </c>
      <c r="H3" s="4">
        <v>6.3</v>
      </c>
      <c r="I3" s="4">
        <v>2.27</v>
      </c>
      <c r="J3" t="s">
        <v>1366</v>
      </c>
      <c r="K3" s="3">
        <v>1</v>
      </c>
      <c r="L3" t="s">
        <v>1505</v>
      </c>
      <c r="M3" t="s">
        <v>1506</v>
      </c>
      <c r="N3" s="3">
        <v>4.0000000000000001E-3</v>
      </c>
      <c r="O3" t="s">
        <v>1507</v>
      </c>
      <c r="P3" t="s">
        <v>1523</v>
      </c>
      <c r="Q3" t="s">
        <v>1508</v>
      </c>
      <c r="R3" s="3">
        <v>0.32400000000000001</v>
      </c>
      <c r="S3" s="3">
        <v>1.2E-2</v>
      </c>
      <c r="T3" t="s">
        <v>1509</v>
      </c>
      <c r="U3" s="3">
        <v>4.7E-2</v>
      </c>
      <c r="V3" s="3">
        <v>0.185</v>
      </c>
      <c r="W3" s="3">
        <v>0.32300000000000001</v>
      </c>
      <c r="X3" s="3">
        <v>0.252</v>
      </c>
    </row>
    <row r="4" spans="1:24" x14ac:dyDescent="0.25">
      <c r="A4" t="s">
        <v>813</v>
      </c>
      <c r="B4" t="s">
        <v>1510</v>
      </c>
      <c r="C4" t="s">
        <v>1274</v>
      </c>
      <c r="D4" s="4">
        <v>3.2</v>
      </c>
      <c r="E4" s="4">
        <v>3.32</v>
      </c>
      <c r="F4" s="13">
        <f t="shared" si="0"/>
        <v>3.7499999999999867</v>
      </c>
      <c r="G4">
        <v>1.71000003814697</v>
      </c>
      <c r="H4" s="4">
        <v>3.8</v>
      </c>
      <c r="I4" s="4">
        <v>1.38</v>
      </c>
      <c r="J4" t="s">
        <v>1423</v>
      </c>
      <c r="L4" t="s">
        <v>1511</v>
      </c>
      <c r="N4" s="3">
        <v>0</v>
      </c>
      <c r="O4" t="s">
        <v>1524</v>
      </c>
      <c r="Q4" t="s">
        <v>1512</v>
      </c>
      <c r="R4" s="3">
        <v>6.0000000000000001E-3</v>
      </c>
      <c r="S4" s="3">
        <v>0.14299999999999999</v>
      </c>
      <c r="T4" t="s">
        <v>1513</v>
      </c>
      <c r="U4" s="3">
        <v>-8.7050000000000001</v>
      </c>
      <c r="X4" s="3">
        <v>-0.505</v>
      </c>
    </row>
    <row r="5" spans="1:24" x14ac:dyDescent="0.25">
      <c r="A5" t="s">
        <v>1414</v>
      </c>
      <c r="B5" t="s">
        <v>1480</v>
      </c>
      <c r="C5" t="s">
        <v>21</v>
      </c>
      <c r="D5">
        <v>6</v>
      </c>
      <c r="E5" s="4">
        <v>8.35</v>
      </c>
      <c r="F5" s="4">
        <f t="shared" si="0"/>
        <v>39.166666666666657</v>
      </c>
      <c r="G5">
        <v>2.54500007629394</v>
      </c>
      <c r="H5" s="4">
        <v>8.73</v>
      </c>
      <c r="I5" s="4">
        <v>0.995</v>
      </c>
      <c r="J5" t="s">
        <v>1481</v>
      </c>
      <c r="L5" t="s">
        <v>1415</v>
      </c>
      <c r="N5" s="3">
        <v>0</v>
      </c>
      <c r="O5" t="s">
        <v>1525</v>
      </c>
      <c r="Q5" t="s">
        <v>1437</v>
      </c>
      <c r="R5" s="3">
        <v>5.6000000000000001E-2</v>
      </c>
      <c r="S5" s="3">
        <v>4.3999999999999997E-2</v>
      </c>
      <c r="T5" t="s">
        <v>1416</v>
      </c>
      <c r="U5" s="3">
        <v>-0.98</v>
      </c>
      <c r="V5" s="3">
        <v>-0.06</v>
      </c>
      <c r="X5" s="3">
        <v>-0.29399999999999998</v>
      </c>
    </row>
    <row r="6" spans="1:24" x14ac:dyDescent="0.25">
      <c r="A6" t="s">
        <v>1408</v>
      </c>
      <c r="B6" t="s">
        <v>1475</v>
      </c>
      <c r="C6" t="s">
        <v>359</v>
      </c>
      <c r="D6" s="20">
        <v>0.625</v>
      </c>
      <c r="E6" s="4">
        <v>0.69</v>
      </c>
      <c r="F6">
        <f t="shared" ref="F6:F21" si="1">(E6/D6-1)*100</f>
        <v>10.399999999999988</v>
      </c>
      <c r="G6">
        <v>0.55500000715255704</v>
      </c>
      <c r="H6" s="4">
        <v>0.81499999999999995</v>
      </c>
      <c r="I6" s="4">
        <v>0.35</v>
      </c>
      <c r="J6" t="s">
        <v>1250</v>
      </c>
      <c r="L6" t="s">
        <v>1409</v>
      </c>
      <c r="N6" s="3">
        <v>0</v>
      </c>
      <c r="O6" t="s">
        <v>1526</v>
      </c>
      <c r="Q6" t="s">
        <v>1410</v>
      </c>
      <c r="R6" s="3">
        <v>6.9000000000000006E-2</v>
      </c>
      <c r="S6" s="3">
        <v>6.6000000000000003E-2</v>
      </c>
      <c r="T6" t="s">
        <v>1411</v>
      </c>
      <c r="U6" s="3">
        <v>-4.4999999999999998E-2</v>
      </c>
      <c r="V6" s="3">
        <v>0.28799999999999998</v>
      </c>
      <c r="X6" s="3">
        <v>-4.1000000000000002E-2</v>
      </c>
    </row>
    <row r="7" spans="1:24" x14ac:dyDescent="0.25">
      <c r="A7" t="s">
        <v>341</v>
      </c>
      <c r="B7" t="s">
        <v>1469</v>
      </c>
      <c r="C7" t="s">
        <v>342</v>
      </c>
      <c r="D7">
        <v>3.31</v>
      </c>
      <c r="E7" s="4">
        <v>5.92</v>
      </c>
      <c r="F7">
        <f t="shared" si="1"/>
        <v>78.851963746223561</v>
      </c>
      <c r="G7">
        <v>2.88000011444091</v>
      </c>
      <c r="H7" s="4">
        <v>6.07</v>
      </c>
      <c r="I7" s="4">
        <v>1.48</v>
      </c>
      <c r="J7" t="s">
        <v>1482</v>
      </c>
      <c r="L7" t="s">
        <v>343</v>
      </c>
      <c r="N7" s="3">
        <v>0</v>
      </c>
      <c r="O7" t="s">
        <v>1527</v>
      </c>
      <c r="Q7" t="s">
        <v>344</v>
      </c>
      <c r="R7" s="3">
        <v>0.151</v>
      </c>
      <c r="S7" s="3">
        <v>1.4999999999999999E-2</v>
      </c>
      <c r="T7" t="s">
        <v>345</v>
      </c>
      <c r="U7" s="3">
        <v>-9.2999999999999999E-2</v>
      </c>
      <c r="V7" s="3">
        <v>0.377</v>
      </c>
      <c r="X7" s="3">
        <v>-6.9000000000000006E-2</v>
      </c>
    </row>
    <row r="8" spans="1:24" x14ac:dyDescent="0.25">
      <c r="A8" t="s">
        <v>346</v>
      </c>
      <c r="B8" t="s">
        <v>1470</v>
      </c>
      <c r="C8" t="s">
        <v>347</v>
      </c>
      <c r="D8">
        <v>2.036613</v>
      </c>
      <c r="E8" s="4">
        <v>3.33</v>
      </c>
      <c r="F8">
        <f t="shared" si="1"/>
        <v>63.506763435173987</v>
      </c>
      <c r="G8">
        <v>2.25</v>
      </c>
      <c r="H8" s="4">
        <v>3.61</v>
      </c>
      <c r="I8" s="4">
        <v>1.58</v>
      </c>
      <c r="J8" t="s">
        <v>1423</v>
      </c>
      <c r="K8" s="3">
        <v>1</v>
      </c>
      <c r="L8" t="s">
        <v>1442</v>
      </c>
      <c r="M8" t="s">
        <v>1417</v>
      </c>
      <c r="N8" s="3">
        <v>3.5000000000000003E-2</v>
      </c>
      <c r="O8" t="s">
        <v>349</v>
      </c>
      <c r="P8" t="s">
        <v>1528</v>
      </c>
      <c r="Q8" t="s">
        <v>1418</v>
      </c>
      <c r="R8" s="3">
        <v>2.2029999999999998</v>
      </c>
      <c r="S8" s="3">
        <v>8.0000000000000002E-3</v>
      </c>
      <c r="T8" t="s">
        <v>1419</v>
      </c>
      <c r="U8" s="3">
        <v>1.0999999999999999E-2</v>
      </c>
      <c r="V8" s="3">
        <v>0.152</v>
      </c>
      <c r="W8" s="3">
        <v>-0.15</v>
      </c>
      <c r="X8" s="3">
        <v>6.6000000000000003E-2</v>
      </c>
    </row>
    <row r="9" spans="1:24" x14ac:dyDescent="0.25">
      <c r="A9" t="s">
        <v>353</v>
      </c>
      <c r="B9" t="s">
        <v>1473</v>
      </c>
      <c r="C9" t="s">
        <v>25</v>
      </c>
      <c r="D9">
        <v>1.26</v>
      </c>
      <c r="E9" s="4">
        <v>1.19</v>
      </c>
      <c r="F9">
        <f t="shared" si="1"/>
        <v>-5.555555555555558</v>
      </c>
      <c r="G9">
        <v>1.10651648044586</v>
      </c>
      <c r="H9" s="4">
        <v>1.2949999999999999</v>
      </c>
      <c r="I9" s="4">
        <v>1.01</v>
      </c>
      <c r="J9" t="s">
        <v>1423</v>
      </c>
      <c r="K9" s="3">
        <v>0</v>
      </c>
      <c r="L9" t="s">
        <v>354</v>
      </c>
      <c r="N9" s="3">
        <v>8.3000000000000004E-2</v>
      </c>
      <c r="O9" t="s">
        <v>1529</v>
      </c>
      <c r="Q9" t="s">
        <v>1424</v>
      </c>
      <c r="R9" s="3">
        <v>0.90500000000000003</v>
      </c>
      <c r="S9" s="3">
        <v>3.0000000000000001E-3</v>
      </c>
      <c r="T9" t="s">
        <v>1425</v>
      </c>
      <c r="U9" s="3">
        <v>-0.129</v>
      </c>
      <c r="V9" s="3">
        <v>-2.8000000000000001E-2</v>
      </c>
      <c r="X9" s="3">
        <v>-1.9E-2</v>
      </c>
    </row>
    <row r="10" spans="1:24" x14ac:dyDescent="0.25">
      <c r="A10" t="s">
        <v>355</v>
      </c>
      <c r="B10" t="s">
        <v>1474</v>
      </c>
      <c r="C10" t="s">
        <v>22</v>
      </c>
      <c r="D10">
        <v>1.79</v>
      </c>
      <c r="E10" s="4">
        <v>1.6</v>
      </c>
      <c r="F10">
        <f t="shared" si="1"/>
        <v>-10.614525139664799</v>
      </c>
      <c r="G10">
        <v>1.44950723648071</v>
      </c>
      <c r="H10" s="4">
        <v>1.7450000000000001</v>
      </c>
      <c r="I10" s="4">
        <v>1.1200000000000001</v>
      </c>
      <c r="J10" t="s">
        <v>356</v>
      </c>
      <c r="K10" s="3">
        <v>1</v>
      </c>
      <c r="L10" t="s">
        <v>357</v>
      </c>
      <c r="M10" t="s">
        <v>1443</v>
      </c>
      <c r="N10" s="3">
        <v>8.7999999999999995E-2</v>
      </c>
      <c r="O10" t="s">
        <v>381</v>
      </c>
      <c r="P10" t="s">
        <v>1530</v>
      </c>
      <c r="Q10" t="s">
        <v>1444</v>
      </c>
      <c r="R10" s="3">
        <v>1.6639999999999999</v>
      </c>
      <c r="T10" t="s">
        <v>1445</v>
      </c>
      <c r="U10" s="3">
        <v>0.152</v>
      </c>
      <c r="V10" s="3">
        <v>3.3000000000000002E-2</v>
      </c>
      <c r="W10" s="3">
        <v>-0.14199999999999999</v>
      </c>
      <c r="X10" s="3">
        <v>8.6999999999999994E-2</v>
      </c>
    </row>
    <row r="11" spans="1:24" x14ac:dyDescent="0.25">
      <c r="A11" t="s">
        <v>363</v>
      </c>
      <c r="B11" t="s">
        <v>1476</v>
      </c>
      <c r="C11" t="s">
        <v>22</v>
      </c>
      <c r="D11">
        <v>1.885</v>
      </c>
      <c r="E11" s="4">
        <v>2.6</v>
      </c>
      <c r="F11">
        <f t="shared" si="1"/>
        <v>37.931034482758633</v>
      </c>
      <c r="G11">
        <v>1.98924624919891</v>
      </c>
      <c r="H11" s="4">
        <v>2.86</v>
      </c>
      <c r="I11" s="4">
        <v>1.395</v>
      </c>
      <c r="J11" t="s">
        <v>1423</v>
      </c>
      <c r="K11" s="3">
        <v>1</v>
      </c>
      <c r="L11" t="s">
        <v>365</v>
      </c>
      <c r="M11" t="s">
        <v>1446</v>
      </c>
      <c r="N11" s="3">
        <v>3.5000000000000003E-2</v>
      </c>
      <c r="O11" t="s">
        <v>1477</v>
      </c>
      <c r="P11" t="s">
        <v>1531</v>
      </c>
      <c r="Q11" t="s">
        <v>1447</v>
      </c>
      <c r="R11" s="3">
        <v>25.291</v>
      </c>
      <c r="T11" t="s">
        <v>1448</v>
      </c>
      <c r="U11" s="3">
        <v>3.6999999999999998E-2</v>
      </c>
      <c r="V11" s="3">
        <v>0.03</v>
      </c>
      <c r="W11" s="3">
        <v>-3.6999999999999998E-2</v>
      </c>
      <c r="X11" s="3">
        <v>0.16800000000000001</v>
      </c>
    </row>
    <row r="12" spans="1:24" x14ac:dyDescent="0.25">
      <c r="A12" t="s">
        <v>1520</v>
      </c>
      <c r="B12" t="s">
        <v>1521</v>
      </c>
      <c r="C12" t="s">
        <v>342</v>
      </c>
      <c r="D12">
        <v>0.52</v>
      </c>
      <c r="E12" s="4">
        <v>0.52</v>
      </c>
      <c r="F12">
        <f t="shared" si="1"/>
        <v>0</v>
      </c>
      <c r="G12">
        <v>0.245000004768371</v>
      </c>
      <c r="H12" s="4">
        <v>0.55000000000000004</v>
      </c>
      <c r="I12" s="4">
        <v>0.105</v>
      </c>
      <c r="J12" t="s">
        <v>1423</v>
      </c>
      <c r="K12" s="3">
        <v>1</v>
      </c>
      <c r="L12" t="s">
        <v>1532</v>
      </c>
      <c r="N12" s="3">
        <v>0</v>
      </c>
      <c r="O12" t="s">
        <v>1487</v>
      </c>
      <c r="Q12" t="s">
        <v>1533</v>
      </c>
      <c r="R12" s="3">
        <v>0.54400000000000004</v>
      </c>
      <c r="S12" s="3">
        <v>1.7999999999999999E-2</v>
      </c>
      <c r="T12" t="s">
        <v>1534</v>
      </c>
      <c r="U12" s="3">
        <v>-5.7000000000000002E-2</v>
      </c>
      <c r="V12" s="3">
        <v>-2.8000000000000001E-2</v>
      </c>
      <c r="X12" s="3">
        <v>-8.5999999999999993E-2</v>
      </c>
    </row>
    <row r="13" spans="1:24" x14ac:dyDescent="0.25">
      <c r="A13" t="s">
        <v>367</v>
      </c>
      <c r="B13" t="s">
        <v>1478</v>
      </c>
      <c r="C13" t="s">
        <v>342</v>
      </c>
      <c r="D13">
        <v>3.32</v>
      </c>
      <c r="E13" s="4">
        <v>4.25</v>
      </c>
      <c r="F13">
        <f t="shared" si="1"/>
        <v>28.0120481927711</v>
      </c>
      <c r="G13">
        <v>3.4800000190734801</v>
      </c>
      <c r="H13" s="4">
        <v>5.19</v>
      </c>
      <c r="I13" s="4">
        <v>1.895</v>
      </c>
      <c r="J13" t="s">
        <v>1319</v>
      </c>
      <c r="L13" t="s">
        <v>368</v>
      </c>
      <c r="N13" s="3">
        <v>0</v>
      </c>
      <c r="O13" t="s">
        <v>1527</v>
      </c>
      <c r="Q13" t="s">
        <v>369</v>
      </c>
      <c r="R13" s="3">
        <v>0.44500000000000001</v>
      </c>
      <c r="S13" s="3">
        <v>2.1999999999999999E-2</v>
      </c>
      <c r="T13" t="s">
        <v>370</v>
      </c>
      <c r="U13" s="3">
        <v>-3.5999999999999997E-2</v>
      </c>
      <c r="V13" s="3">
        <v>22.808</v>
      </c>
      <c r="X13" s="3">
        <v>-2.1000000000000001E-2</v>
      </c>
    </row>
    <row r="14" spans="1:24" x14ac:dyDescent="0.25">
      <c r="A14" t="s">
        <v>371</v>
      </c>
      <c r="B14" t="s">
        <v>1479</v>
      </c>
      <c r="C14" t="s">
        <v>25</v>
      </c>
      <c r="D14">
        <v>0.68</v>
      </c>
      <c r="E14" s="4">
        <v>0.67</v>
      </c>
      <c r="F14">
        <f t="shared" si="1"/>
        <v>-1.4705882352941235</v>
      </c>
      <c r="G14">
        <v>0.64999997615814198</v>
      </c>
      <c r="H14" s="4">
        <v>0.72499999999999998</v>
      </c>
      <c r="I14" s="4">
        <v>0.53500000000000003</v>
      </c>
      <c r="J14" t="s">
        <v>348</v>
      </c>
      <c r="K14" s="3">
        <v>0</v>
      </c>
      <c r="L14" t="s">
        <v>372</v>
      </c>
      <c r="M14" t="s">
        <v>1453</v>
      </c>
      <c r="N14" s="3">
        <v>7.4999999999999997E-2</v>
      </c>
      <c r="O14" t="s">
        <v>1315</v>
      </c>
      <c r="Q14" t="s">
        <v>1454</v>
      </c>
      <c r="R14" s="3">
        <v>0.59699999999999998</v>
      </c>
      <c r="S14" s="3">
        <v>1.4E-2</v>
      </c>
      <c r="T14" t="s">
        <v>1455</v>
      </c>
      <c r="U14" s="3">
        <v>0.504</v>
      </c>
      <c r="V14" s="3">
        <v>0.22900000000000001</v>
      </c>
      <c r="W14" s="3">
        <v>-9.6000000000000002E-2</v>
      </c>
      <c r="X14" s="3">
        <v>5.3999999999999999E-2</v>
      </c>
    </row>
    <row r="15" spans="1:24" x14ac:dyDescent="0.25">
      <c r="A15" t="s">
        <v>379</v>
      </c>
      <c r="B15" t="s">
        <v>1484</v>
      </c>
      <c r="C15" t="s">
        <v>342</v>
      </c>
      <c r="D15">
        <v>1.8</v>
      </c>
      <c r="E15" s="4">
        <v>3.74</v>
      </c>
      <c r="F15">
        <f t="shared" si="1"/>
        <v>107.7777777777778</v>
      </c>
      <c r="G15">
        <v>2.13000011444091</v>
      </c>
      <c r="H15" s="4">
        <v>3.74</v>
      </c>
      <c r="I15" s="4">
        <v>1.21</v>
      </c>
      <c r="J15" t="s">
        <v>385</v>
      </c>
      <c r="L15" t="s">
        <v>380</v>
      </c>
      <c r="M15" t="s">
        <v>381</v>
      </c>
      <c r="N15" s="3">
        <v>0</v>
      </c>
      <c r="O15" t="s">
        <v>1535</v>
      </c>
      <c r="P15" t="s">
        <v>1506</v>
      </c>
      <c r="Q15" t="s">
        <v>1456</v>
      </c>
      <c r="R15" s="3">
        <v>0.435</v>
      </c>
      <c r="S15" s="3">
        <v>1.0999999999999999E-2</v>
      </c>
      <c r="T15" t="s">
        <v>1457</v>
      </c>
      <c r="U15" s="3">
        <v>1.0389999999999999</v>
      </c>
      <c r="V15" s="3">
        <v>1.2090000000000001</v>
      </c>
      <c r="X15" s="3">
        <v>1.337</v>
      </c>
    </row>
    <row r="16" spans="1:24" x14ac:dyDescent="0.25">
      <c r="A16" t="s">
        <v>382</v>
      </c>
      <c r="B16" t="s">
        <v>1485</v>
      </c>
      <c r="C16" t="s">
        <v>23</v>
      </c>
      <c r="D16">
        <v>2.66</v>
      </c>
      <c r="E16" s="4">
        <v>2.7</v>
      </c>
      <c r="F16">
        <f t="shared" si="1"/>
        <v>1.5037593984962516</v>
      </c>
      <c r="G16">
        <v>2.4979043006896902</v>
      </c>
      <c r="H16" s="4">
        <v>3.13</v>
      </c>
      <c r="I16" s="4">
        <v>1.895</v>
      </c>
      <c r="J16" t="s">
        <v>348</v>
      </c>
      <c r="K16" s="3">
        <v>1</v>
      </c>
      <c r="L16" t="s">
        <v>383</v>
      </c>
      <c r="M16" t="s">
        <v>1458</v>
      </c>
      <c r="N16" s="3">
        <v>6.7000000000000004E-2</v>
      </c>
      <c r="O16" t="s">
        <v>1368</v>
      </c>
      <c r="P16" t="s">
        <v>1386</v>
      </c>
      <c r="Q16" t="s">
        <v>1459</v>
      </c>
      <c r="R16" s="3">
        <v>1.2809999999999999</v>
      </c>
      <c r="S16" s="3">
        <v>1.4E-2</v>
      </c>
      <c r="T16" t="s">
        <v>1460</v>
      </c>
      <c r="U16" s="3">
        <v>4.9000000000000002E-2</v>
      </c>
      <c r="V16" s="3">
        <v>8.1000000000000003E-2</v>
      </c>
      <c r="W16" s="3">
        <v>0.17199999999999999</v>
      </c>
      <c r="X16" s="3">
        <v>0.22900000000000001</v>
      </c>
    </row>
    <row r="17" spans="1:24" x14ac:dyDescent="0.25">
      <c r="A17" t="s">
        <v>384</v>
      </c>
      <c r="B17" t="s">
        <v>1486</v>
      </c>
      <c r="C17" t="s">
        <v>23</v>
      </c>
      <c r="D17">
        <v>1.66</v>
      </c>
      <c r="E17" s="4">
        <v>1.51</v>
      </c>
      <c r="F17">
        <f t="shared" si="1"/>
        <v>-9.0361445783132428</v>
      </c>
      <c r="G17">
        <v>1.48706710338592</v>
      </c>
      <c r="H17" s="4">
        <v>1.8049999999999999</v>
      </c>
      <c r="I17" s="4">
        <v>1.07</v>
      </c>
      <c r="J17" t="s">
        <v>1251</v>
      </c>
      <c r="K17" s="3">
        <v>1</v>
      </c>
      <c r="L17" t="s">
        <v>386</v>
      </c>
      <c r="M17" t="s">
        <v>1428</v>
      </c>
      <c r="N17" s="3">
        <v>3.7999999999999999E-2</v>
      </c>
      <c r="O17" t="s">
        <v>1487</v>
      </c>
      <c r="P17" t="s">
        <v>1536</v>
      </c>
      <c r="Q17" t="s">
        <v>1429</v>
      </c>
      <c r="R17" s="3">
        <v>1.3260000000000001</v>
      </c>
      <c r="S17" s="3">
        <v>7.0000000000000001E-3</v>
      </c>
      <c r="T17" t="s">
        <v>387</v>
      </c>
      <c r="U17" s="3">
        <v>2.8000000000000001E-2</v>
      </c>
      <c r="V17" s="3">
        <v>8.1000000000000003E-2</v>
      </c>
      <c r="X17" s="3">
        <v>2.7E-2</v>
      </c>
    </row>
    <row r="18" spans="1:24" x14ac:dyDescent="0.25">
      <c r="A18" t="s">
        <v>388</v>
      </c>
      <c r="B18" t="s">
        <v>1488</v>
      </c>
      <c r="C18" t="s">
        <v>347</v>
      </c>
      <c r="D18">
        <v>2.9</v>
      </c>
      <c r="E18" s="4">
        <v>3.03</v>
      </c>
      <c r="F18">
        <f t="shared" si="1"/>
        <v>4.482758620689653</v>
      </c>
      <c r="G18">
        <v>2.3521754741668701</v>
      </c>
      <c r="H18" s="4">
        <v>3.07</v>
      </c>
      <c r="I18" s="4">
        <v>1.615</v>
      </c>
      <c r="J18" t="s">
        <v>356</v>
      </c>
      <c r="K18" s="3">
        <v>1</v>
      </c>
      <c r="L18" t="s">
        <v>389</v>
      </c>
      <c r="M18" t="s">
        <v>1461</v>
      </c>
      <c r="N18" s="3">
        <v>8.2000000000000003E-2</v>
      </c>
      <c r="O18" t="s">
        <v>395</v>
      </c>
      <c r="P18" t="s">
        <v>1537</v>
      </c>
      <c r="Q18" t="s">
        <v>1462</v>
      </c>
      <c r="R18" s="3">
        <v>0.104</v>
      </c>
      <c r="S18" s="3">
        <v>0.02</v>
      </c>
      <c r="T18" t="s">
        <v>1463</v>
      </c>
      <c r="U18" s="3">
        <v>2.9000000000000001E-2</v>
      </c>
      <c r="V18" s="3">
        <v>4.2000000000000003E-2</v>
      </c>
      <c r="X18" s="3">
        <v>8.7999999999999995E-2</v>
      </c>
    </row>
    <row r="19" spans="1:24" x14ac:dyDescent="0.25">
      <c r="A19" t="s">
        <v>393</v>
      </c>
      <c r="B19" t="s">
        <v>1491</v>
      </c>
      <c r="C19" t="s">
        <v>22</v>
      </c>
      <c r="D19">
        <v>1.425</v>
      </c>
      <c r="E19" s="4">
        <v>1.98</v>
      </c>
      <c r="F19">
        <f t="shared" si="1"/>
        <v>38.947368421052616</v>
      </c>
      <c r="G19">
        <v>1.7233636379241899</v>
      </c>
      <c r="H19" s="4">
        <v>2.25</v>
      </c>
      <c r="I19" s="4">
        <v>1.1100000000000001</v>
      </c>
      <c r="J19" t="s">
        <v>385</v>
      </c>
      <c r="K19" s="3">
        <v>1</v>
      </c>
      <c r="L19" t="s">
        <v>394</v>
      </c>
      <c r="M19" t="s">
        <v>1430</v>
      </c>
      <c r="N19" s="3">
        <v>6.6000000000000003E-2</v>
      </c>
      <c r="O19" t="s">
        <v>1273</v>
      </c>
      <c r="P19" t="s">
        <v>396</v>
      </c>
      <c r="Q19" t="s">
        <v>1431</v>
      </c>
      <c r="R19" s="3">
        <v>20.748999999999999</v>
      </c>
      <c r="T19" t="s">
        <v>397</v>
      </c>
      <c r="U19" s="3">
        <v>6.6000000000000003E-2</v>
      </c>
      <c r="V19" s="3">
        <v>0.27</v>
      </c>
      <c r="W19" s="3">
        <v>-0.10299999999999999</v>
      </c>
      <c r="X19" s="3">
        <v>0.121</v>
      </c>
    </row>
    <row r="20" spans="1:24" x14ac:dyDescent="0.25">
      <c r="A20" t="s">
        <v>398</v>
      </c>
      <c r="B20" t="s">
        <v>1492</v>
      </c>
      <c r="C20" t="s">
        <v>21</v>
      </c>
      <c r="D20">
        <v>0.52570839999999996</v>
      </c>
      <c r="E20" s="4">
        <v>0.52</v>
      </c>
      <c r="F20">
        <f t="shared" si="1"/>
        <v>-1.0858491133107107</v>
      </c>
      <c r="G20">
        <v>0.51327466964721602</v>
      </c>
      <c r="H20" s="4">
        <v>0.56999999999999995</v>
      </c>
      <c r="I20" s="4">
        <v>0.45500000000000002</v>
      </c>
      <c r="J20" t="s">
        <v>1538</v>
      </c>
      <c r="K20" s="3">
        <v>0</v>
      </c>
      <c r="L20" t="s">
        <v>399</v>
      </c>
      <c r="M20" t="s">
        <v>1466</v>
      </c>
      <c r="N20" s="3">
        <v>3.6999999999999998E-2</v>
      </c>
      <c r="O20" t="s">
        <v>396</v>
      </c>
      <c r="P20" t="s">
        <v>1539</v>
      </c>
      <c r="Q20" t="s">
        <v>1467</v>
      </c>
      <c r="R20" s="3">
        <v>1.458</v>
      </c>
      <c r="S20" s="3">
        <v>6.0000000000000001E-3</v>
      </c>
      <c r="T20" t="s">
        <v>1468</v>
      </c>
      <c r="U20" s="3">
        <v>1.9E-2</v>
      </c>
      <c r="V20" s="3">
        <v>0.35199999999999998</v>
      </c>
      <c r="X20" s="3">
        <v>6.4000000000000001E-2</v>
      </c>
    </row>
    <row r="21" spans="1:24" x14ac:dyDescent="0.25">
      <c r="A21" t="s">
        <v>400</v>
      </c>
      <c r="B21" t="s">
        <v>1493</v>
      </c>
      <c r="C21" t="s">
        <v>25</v>
      </c>
      <c r="D21">
        <v>4.8722630000000002</v>
      </c>
      <c r="E21" s="4">
        <v>6.95</v>
      </c>
      <c r="F21">
        <f t="shared" si="1"/>
        <v>42.644188131880398</v>
      </c>
      <c r="G21">
        <v>5.4161472320556596</v>
      </c>
      <c r="H21" s="4">
        <v>7.45</v>
      </c>
      <c r="I21" s="4">
        <v>4.34</v>
      </c>
      <c r="J21" t="s">
        <v>1423</v>
      </c>
      <c r="K21" s="3">
        <v>0.1</v>
      </c>
      <c r="L21" t="s">
        <v>401</v>
      </c>
      <c r="M21" t="s">
        <v>1432</v>
      </c>
      <c r="N21" s="3">
        <v>0.04</v>
      </c>
      <c r="O21" t="s">
        <v>1270</v>
      </c>
      <c r="P21" t="s">
        <v>1271</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workbookViewId="0">
      <selection activeCell="H33" sqref="H3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24">
        <v>45929</v>
      </c>
      <c r="B2" s="11" t="s">
        <v>1518</v>
      </c>
      <c r="C2" s="11">
        <v>0.52</v>
      </c>
      <c r="D2" s="11" t="s">
        <v>1262</v>
      </c>
      <c r="E2" t="s">
        <v>1268</v>
      </c>
      <c r="F2" t="s">
        <v>1265</v>
      </c>
      <c r="G2" t="s">
        <v>1263</v>
      </c>
      <c r="H2" t="s">
        <v>1520</v>
      </c>
      <c r="I2" t="s">
        <v>342</v>
      </c>
      <c r="J2" s="4">
        <v>0.52</v>
      </c>
      <c r="K2" s="25">
        <f t="shared" ref="K2:K3" si="0">(J2/C2-1)*100</f>
        <v>0</v>
      </c>
      <c r="L2" s="4">
        <v>0.55000000000000004</v>
      </c>
      <c r="M2" s="4">
        <v>0.105</v>
      </c>
      <c r="N2" t="s">
        <v>1423</v>
      </c>
      <c r="O2" s="3">
        <v>1</v>
      </c>
      <c r="P2" t="s">
        <v>1532</v>
      </c>
      <c r="R2" s="3">
        <v>0</v>
      </c>
      <c r="S2" t="s">
        <v>1487</v>
      </c>
      <c r="U2" t="s">
        <v>1533</v>
      </c>
      <c r="V2" s="3">
        <v>0.54400000000000004</v>
      </c>
      <c r="W2" s="3">
        <v>1.7999999999999999E-2</v>
      </c>
      <c r="X2" t="s">
        <v>1534</v>
      </c>
      <c r="Y2" s="3">
        <v>-5.7000000000000002E-2</v>
      </c>
      <c r="Z2" s="3">
        <v>-2.8000000000000001E-2</v>
      </c>
      <c r="AB2" s="3">
        <v>-8.5999999999999993E-2</v>
      </c>
    </row>
    <row r="3" spans="1:29" x14ac:dyDescent="0.25">
      <c r="A3" s="24">
        <v>45929</v>
      </c>
      <c r="B3" s="11" t="s">
        <v>121</v>
      </c>
      <c r="C3" s="11">
        <v>6.3</v>
      </c>
      <c r="D3" s="11" t="s">
        <v>1261</v>
      </c>
      <c r="E3" t="s">
        <v>1268</v>
      </c>
      <c r="F3" s="11" t="s">
        <v>1382</v>
      </c>
      <c r="G3" t="s">
        <v>1263</v>
      </c>
      <c r="H3" t="s">
        <v>366</v>
      </c>
      <c r="I3" t="s">
        <v>359</v>
      </c>
      <c r="J3" s="4">
        <v>6.3</v>
      </c>
      <c r="K3" s="4">
        <f t="shared" si="0"/>
        <v>0</v>
      </c>
      <c r="L3" s="4">
        <v>9.4</v>
      </c>
      <c r="M3" s="4">
        <v>5.73</v>
      </c>
      <c r="N3" t="s">
        <v>1514</v>
      </c>
      <c r="O3" s="3">
        <v>0.7</v>
      </c>
      <c r="P3" t="s">
        <v>1449</v>
      </c>
      <c r="Q3" t="s">
        <v>1450</v>
      </c>
      <c r="R3" s="3">
        <v>1.7999999999999999E-2</v>
      </c>
      <c r="S3" t="s">
        <v>1515</v>
      </c>
      <c r="T3" t="s">
        <v>1516</v>
      </c>
      <c r="U3" t="s">
        <v>1451</v>
      </c>
      <c r="W3" s="3">
        <v>1E-3</v>
      </c>
      <c r="X3" t="s">
        <v>1452</v>
      </c>
      <c r="Y3" s="3">
        <v>3.7999999999999999E-2</v>
      </c>
      <c r="Z3" s="3">
        <v>0.17599999999999999</v>
      </c>
      <c r="AB3" s="3">
        <v>-2.762</v>
      </c>
    </row>
    <row r="4" spans="1:29" x14ac:dyDescent="0.25">
      <c r="A4" s="12">
        <v>45922</v>
      </c>
      <c r="B4" t="s">
        <v>1494</v>
      </c>
      <c r="C4" s="4">
        <v>3.45</v>
      </c>
      <c r="D4" s="13" t="s">
        <v>1262</v>
      </c>
      <c r="E4" t="s">
        <v>1268</v>
      </c>
      <c r="F4" t="s">
        <v>1265</v>
      </c>
      <c r="G4" t="s">
        <v>1263</v>
      </c>
      <c r="H4" t="s">
        <v>1496</v>
      </c>
      <c r="I4" t="s">
        <v>21</v>
      </c>
      <c r="J4" s="4">
        <v>3.88</v>
      </c>
      <c r="K4">
        <f t="shared" ref="K4:K9" si="1">(J4/C4-1)*100</f>
        <v>12.463768115942031</v>
      </c>
      <c r="L4" s="4">
        <v>3.98</v>
      </c>
      <c r="M4" s="4">
        <v>1.325</v>
      </c>
      <c r="N4" t="s">
        <v>348</v>
      </c>
      <c r="O4" s="3">
        <v>1</v>
      </c>
      <c r="P4" t="s">
        <v>1499</v>
      </c>
      <c r="Q4" t="s">
        <v>1500</v>
      </c>
      <c r="R4" s="3">
        <v>1.6E-2</v>
      </c>
      <c r="S4" t="s">
        <v>1327</v>
      </c>
      <c r="T4" t="s">
        <v>1522</v>
      </c>
      <c r="U4" t="s">
        <v>1501</v>
      </c>
      <c r="V4" s="3">
        <v>0.34499999999999997</v>
      </c>
      <c r="W4" s="3">
        <v>1.2E-2</v>
      </c>
      <c r="X4" t="s">
        <v>1502</v>
      </c>
      <c r="Y4" s="3">
        <v>5.2999999999999999E-2</v>
      </c>
      <c r="Z4" s="3">
        <v>0.57399999999999995</v>
      </c>
      <c r="AA4" s="3">
        <v>0.64600000000000002</v>
      </c>
      <c r="AB4" s="3">
        <v>0.76800000000000002</v>
      </c>
    </row>
    <row r="5" spans="1:29" x14ac:dyDescent="0.25">
      <c r="A5" s="12">
        <v>45922</v>
      </c>
      <c r="B5" t="s">
        <v>1495</v>
      </c>
      <c r="C5" s="4">
        <v>6.21</v>
      </c>
      <c r="D5" s="13" t="s">
        <v>1262</v>
      </c>
      <c r="E5" t="s">
        <v>1268</v>
      </c>
      <c r="F5" t="s">
        <v>1265</v>
      </c>
      <c r="G5" t="s">
        <v>1263</v>
      </c>
      <c r="H5" t="s">
        <v>1503</v>
      </c>
      <c r="I5" t="s">
        <v>21</v>
      </c>
      <c r="J5" s="4">
        <v>6.3</v>
      </c>
      <c r="K5">
        <f t="shared" si="1"/>
        <v>1.449275362318847</v>
      </c>
      <c r="L5" s="4">
        <v>6.3</v>
      </c>
      <c r="M5" s="4">
        <v>2.27</v>
      </c>
      <c r="N5" t="s">
        <v>1366</v>
      </c>
      <c r="O5" s="3">
        <v>1</v>
      </c>
      <c r="P5" t="s">
        <v>1505</v>
      </c>
      <c r="Q5" t="s">
        <v>1506</v>
      </c>
      <c r="R5" s="3">
        <v>4.0000000000000001E-3</v>
      </c>
      <c r="S5" t="s">
        <v>1507</v>
      </c>
      <c r="T5" t="s">
        <v>1523</v>
      </c>
      <c r="U5" t="s">
        <v>1508</v>
      </c>
      <c r="V5" s="3">
        <v>0.32400000000000001</v>
      </c>
      <c r="W5" s="3">
        <v>1.2E-2</v>
      </c>
      <c r="X5" t="s">
        <v>1509</v>
      </c>
      <c r="Y5" s="3">
        <v>4.7E-2</v>
      </c>
      <c r="Z5" s="3">
        <v>0.185</v>
      </c>
      <c r="AA5" s="3">
        <v>0.32300000000000001</v>
      </c>
      <c r="AB5" s="3">
        <v>0.252</v>
      </c>
    </row>
    <row r="6" spans="1:29" x14ac:dyDescent="0.25">
      <c r="A6" s="12">
        <v>45922</v>
      </c>
      <c r="B6" t="s">
        <v>227</v>
      </c>
      <c r="C6" s="4">
        <v>3.2</v>
      </c>
      <c r="D6" s="13" t="s">
        <v>1262</v>
      </c>
      <c r="E6" t="s">
        <v>1268</v>
      </c>
      <c r="F6" t="s">
        <v>1265</v>
      </c>
      <c r="G6" t="s">
        <v>1263</v>
      </c>
      <c r="H6" t="s">
        <v>813</v>
      </c>
      <c r="I6" t="s">
        <v>1274</v>
      </c>
      <c r="J6" s="4">
        <v>3.32</v>
      </c>
      <c r="K6">
        <f t="shared" si="1"/>
        <v>3.7499999999999867</v>
      </c>
      <c r="L6" s="4">
        <v>3.8</v>
      </c>
      <c r="M6" s="4">
        <v>1.38</v>
      </c>
      <c r="N6" t="s">
        <v>1423</v>
      </c>
      <c r="P6" t="s">
        <v>1511</v>
      </c>
      <c r="R6" s="3">
        <v>0</v>
      </c>
      <c r="S6" t="s">
        <v>1524</v>
      </c>
      <c r="U6" t="s">
        <v>1512</v>
      </c>
      <c r="V6" s="3">
        <v>6.0000000000000001E-3</v>
      </c>
      <c r="W6" s="3">
        <v>0.14299999999999999</v>
      </c>
      <c r="X6" t="s">
        <v>1513</v>
      </c>
      <c r="Y6" s="3">
        <v>-8.7050000000000001</v>
      </c>
      <c r="AB6" s="3">
        <v>-0.505</v>
      </c>
    </row>
    <row r="7" spans="1:29" x14ac:dyDescent="0.25">
      <c r="A7" s="12">
        <v>45922</v>
      </c>
      <c r="B7" s="17" t="s">
        <v>1435</v>
      </c>
      <c r="C7" s="13">
        <v>6.45</v>
      </c>
      <c r="D7" s="13" t="s">
        <v>1261</v>
      </c>
      <c r="E7" s="13" t="s">
        <v>1517</v>
      </c>
      <c r="F7" s="13" t="s">
        <v>1382</v>
      </c>
      <c r="G7" t="s">
        <v>1263</v>
      </c>
      <c r="H7" t="s">
        <v>1436</v>
      </c>
      <c r="I7" t="s">
        <v>342</v>
      </c>
      <c r="J7" s="13">
        <v>6.45</v>
      </c>
      <c r="K7">
        <f t="shared" si="1"/>
        <v>0</v>
      </c>
      <c r="L7" s="4">
        <v>7.6</v>
      </c>
      <c r="M7" s="4">
        <v>2.0699999999999998</v>
      </c>
      <c r="N7" t="s">
        <v>1482</v>
      </c>
      <c r="P7" t="s">
        <v>1438</v>
      </c>
      <c r="R7" s="3">
        <v>0</v>
      </c>
      <c r="S7" t="s">
        <v>1483</v>
      </c>
      <c r="U7" t="s">
        <v>1439</v>
      </c>
      <c r="V7" s="3">
        <v>0.04</v>
      </c>
      <c r="W7" s="3">
        <v>0.11799999999999999</v>
      </c>
      <c r="X7" t="s">
        <v>1440</v>
      </c>
      <c r="Y7" s="3">
        <v>-5.8010000000000002</v>
      </c>
      <c r="Z7" s="3">
        <v>3.7549999999999999</v>
      </c>
      <c r="AB7" s="3">
        <v>-0.40699999999999997</v>
      </c>
    </row>
    <row r="8" spans="1:29" x14ac:dyDescent="0.25">
      <c r="A8" s="12">
        <v>45922</v>
      </c>
      <c r="B8" t="s">
        <v>116</v>
      </c>
      <c r="C8" s="13">
        <v>3.21</v>
      </c>
      <c r="D8" s="13" t="s">
        <v>1261</v>
      </c>
      <c r="E8" s="13" t="s">
        <v>1517</v>
      </c>
      <c r="F8" s="13" t="s">
        <v>1382</v>
      </c>
      <c r="G8" t="s">
        <v>1263</v>
      </c>
      <c r="H8" t="s">
        <v>350</v>
      </c>
      <c r="I8" t="s">
        <v>23</v>
      </c>
      <c r="J8" s="13">
        <v>3.21</v>
      </c>
      <c r="K8">
        <f t="shared" si="1"/>
        <v>0</v>
      </c>
      <c r="L8" s="4">
        <v>3.55</v>
      </c>
      <c r="M8" s="4">
        <v>1.635</v>
      </c>
      <c r="N8" t="s">
        <v>1259</v>
      </c>
      <c r="O8" s="3">
        <v>1</v>
      </c>
      <c r="P8" t="s">
        <v>351</v>
      </c>
      <c r="Q8" t="s">
        <v>1420</v>
      </c>
      <c r="R8" s="3">
        <v>0</v>
      </c>
      <c r="S8" t="s">
        <v>1471</v>
      </c>
      <c r="T8" t="s">
        <v>1472</v>
      </c>
      <c r="U8" t="s">
        <v>1421</v>
      </c>
      <c r="V8" s="3">
        <v>0.14000000000000001</v>
      </c>
      <c r="W8" s="3">
        <v>0.01</v>
      </c>
      <c r="X8" t="s">
        <v>1422</v>
      </c>
      <c r="Y8" s="3">
        <v>2E-3</v>
      </c>
      <c r="Z8" s="3">
        <v>0.30399999999999999</v>
      </c>
      <c r="AB8" s="3">
        <v>3.0000000000000001E-3</v>
      </c>
    </row>
    <row r="9" spans="1:29" x14ac:dyDescent="0.25">
      <c r="A9" s="12">
        <v>45922</v>
      </c>
      <c r="B9" t="s">
        <v>128</v>
      </c>
      <c r="C9" s="13">
        <v>3.22</v>
      </c>
      <c r="D9" s="13" t="s">
        <v>1261</v>
      </c>
      <c r="E9" s="13" t="s">
        <v>1517</v>
      </c>
      <c r="F9" s="13" t="s">
        <v>1382</v>
      </c>
      <c r="G9" t="s">
        <v>1263</v>
      </c>
      <c r="H9" t="s">
        <v>390</v>
      </c>
      <c r="I9" t="s">
        <v>21</v>
      </c>
      <c r="J9" s="13">
        <v>3.22</v>
      </c>
      <c r="K9">
        <f t="shared" si="1"/>
        <v>0</v>
      </c>
      <c r="L9" s="4">
        <v>4.3899999999999997</v>
      </c>
      <c r="M9" s="4">
        <v>0.58499999999999996</v>
      </c>
      <c r="N9" t="s">
        <v>1489</v>
      </c>
      <c r="P9" t="s">
        <v>391</v>
      </c>
      <c r="Q9" t="s">
        <v>1464</v>
      </c>
      <c r="R9" s="3">
        <v>0</v>
      </c>
      <c r="S9" t="s">
        <v>1490</v>
      </c>
      <c r="U9" t="s">
        <v>1465</v>
      </c>
      <c r="V9" s="3">
        <v>2.9000000000000001E-2</v>
      </c>
      <c r="W9" s="3">
        <v>0.127</v>
      </c>
      <c r="X9" t="s">
        <v>392</v>
      </c>
      <c r="Y9" s="3">
        <v>5.2999999999999999E-2</v>
      </c>
      <c r="Z9" s="3">
        <v>0.75700000000000001</v>
      </c>
      <c r="AB9" s="3">
        <v>2.1999999999999999E-2</v>
      </c>
    </row>
    <row r="10" spans="1:29" x14ac:dyDescent="0.25">
      <c r="A10" s="12">
        <v>45901</v>
      </c>
      <c r="B10" s="13" t="s">
        <v>1435</v>
      </c>
      <c r="C10" s="13">
        <v>6.63</v>
      </c>
      <c r="D10" s="13" t="s">
        <v>1262</v>
      </c>
      <c r="E10" t="s">
        <v>1268</v>
      </c>
      <c r="F10" t="s">
        <v>1265</v>
      </c>
      <c r="G10" t="s">
        <v>1263</v>
      </c>
      <c r="H10" t="s">
        <v>1436</v>
      </c>
      <c r="I10" t="s">
        <v>342</v>
      </c>
      <c r="J10" s="4">
        <v>6.63</v>
      </c>
      <c r="K10">
        <f t="shared" ref="K10:K11" si="2">(J10/C10-1)*100</f>
        <v>0</v>
      </c>
      <c r="L10" s="4">
        <v>7.6</v>
      </c>
      <c r="M10" s="4">
        <v>2.0699999999999998</v>
      </c>
      <c r="N10" t="s">
        <v>1482</v>
      </c>
      <c r="P10" t="s">
        <v>1438</v>
      </c>
      <c r="R10" s="3">
        <v>0</v>
      </c>
      <c r="S10" t="s">
        <v>1483</v>
      </c>
      <c r="U10" t="s">
        <v>1439</v>
      </c>
      <c r="V10" s="3">
        <v>0.04</v>
      </c>
      <c r="W10" s="3">
        <v>0.11799999999999999</v>
      </c>
      <c r="X10" t="s">
        <v>1440</v>
      </c>
      <c r="Y10" s="3">
        <v>-5.8010000000000002</v>
      </c>
      <c r="Z10" s="3">
        <v>3.7549999999999999</v>
      </c>
      <c r="AB10" s="3">
        <v>-0.40699999999999997</v>
      </c>
      <c r="AC10" s="3"/>
    </row>
    <row r="11" spans="1:29" x14ac:dyDescent="0.25">
      <c r="A11" s="12">
        <v>45901</v>
      </c>
      <c r="B11" s="13" t="s">
        <v>125</v>
      </c>
      <c r="C11" s="13">
        <v>1.42</v>
      </c>
      <c r="D11" s="13" t="s">
        <v>1261</v>
      </c>
      <c r="E11" t="s">
        <v>1268</v>
      </c>
      <c r="F11" s="13" t="s">
        <v>1382</v>
      </c>
      <c r="G11" t="s">
        <v>1263</v>
      </c>
      <c r="H11" t="s">
        <v>377</v>
      </c>
      <c r="I11" t="s">
        <v>25</v>
      </c>
      <c r="J11" s="13">
        <v>1.42</v>
      </c>
      <c r="K11" s="13">
        <f t="shared" si="2"/>
        <v>0</v>
      </c>
      <c r="L11" s="4">
        <v>1.615</v>
      </c>
      <c r="M11" s="4">
        <v>1.07</v>
      </c>
      <c r="N11" t="s">
        <v>1426</v>
      </c>
      <c r="O11" s="3">
        <v>0</v>
      </c>
      <c r="P11" t="s">
        <v>378</v>
      </c>
      <c r="Q11" t="s">
        <v>1405</v>
      </c>
      <c r="R11" s="3">
        <v>0.04</v>
      </c>
      <c r="S11" t="s">
        <v>1386</v>
      </c>
      <c r="T11" t="s">
        <v>1427</v>
      </c>
      <c r="U11" t="s">
        <v>1412</v>
      </c>
      <c r="V11" s="3">
        <v>0.49199999999999999</v>
      </c>
      <c r="W11" s="3">
        <v>1.7999999999999999E-2</v>
      </c>
      <c r="X11" t="s">
        <v>352</v>
      </c>
      <c r="Y11" s="3">
        <v>1.169</v>
      </c>
      <c r="Z11" s="3">
        <v>0.13300000000000001</v>
      </c>
      <c r="AA11" s="3">
        <v>0.64200000000000002</v>
      </c>
      <c r="AB11" s="3">
        <v>0.13</v>
      </c>
    </row>
    <row r="12" spans="1:29" x14ac:dyDescent="0.25">
      <c r="A12" s="12">
        <v>45887</v>
      </c>
      <c r="B12" s="13" t="s">
        <v>1413</v>
      </c>
      <c r="C12" s="13">
        <v>5.96</v>
      </c>
      <c r="D12" s="13" t="s">
        <v>1262</v>
      </c>
      <c r="E12" t="s">
        <v>1268</v>
      </c>
      <c r="F12" t="s">
        <v>1265</v>
      </c>
      <c r="G12" t="s">
        <v>1263</v>
      </c>
      <c r="H12" t="s">
        <v>1414</v>
      </c>
      <c r="I12" t="s">
        <v>21</v>
      </c>
      <c r="J12" s="4">
        <v>8.35</v>
      </c>
      <c r="K12" s="23">
        <f>(J12/C12-1)*100</f>
        <v>40.100671140939603</v>
      </c>
      <c r="L12" s="4">
        <v>8.73</v>
      </c>
      <c r="M12" s="4">
        <v>0.995</v>
      </c>
      <c r="N12" t="s">
        <v>1481</v>
      </c>
      <c r="P12" t="s">
        <v>1415</v>
      </c>
      <c r="R12" s="3">
        <v>0</v>
      </c>
      <c r="S12" t="s">
        <v>1525</v>
      </c>
      <c r="U12" t="s">
        <v>1437</v>
      </c>
      <c r="V12" s="3">
        <v>5.6000000000000001E-2</v>
      </c>
      <c r="W12" s="3">
        <v>4.3999999999999997E-2</v>
      </c>
      <c r="X12" t="s">
        <v>1416</v>
      </c>
      <c r="Y12" s="3">
        <v>-0.98</v>
      </c>
      <c r="Z12" s="3">
        <v>-0.06</v>
      </c>
      <c r="AB12" s="3">
        <v>-0.29399999999999998</v>
      </c>
    </row>
    <row r="13" spans="1:29" x14ac:dyDescent="0.25">
      <c r="A13" s="12">
        <v>45887</v>
      </c>
      <c r="B13" s="13" t="s">
        <v>84</v>
      </c>
      <c r="C13" s="13">
        <v>2.67</v>
      </c>
      <c r="D13" s="13" t="s">
        <v>1261</v>
      </c>
      <c r="E13" t="s">
        <v>1268</v>
      </c>
      <c r="F13" s="13" t="s">
        <v>1382</v>
      </c>
      <c r="G13" t="s">
        <v>1263</v>
      </c>
      <c r="H13" t="s">
        <v>738</v>
      </c>
      <c r="I13" t="s">
        <v>22</v>
      </c>
      <c r="J13" s="4">
        <v>2.67</v>
      </c>
      <c r="K13" s="13">
        <f t="shared" ref="K13:K57" si="3">(J13/C13-1)*100</f>
        <v>0</v>
      </c>
      <c r="L13" s="4">
        <v>3.37</v>
      </c>
      <c r="M13" s="4">
        <v>2.38</v>
      </c>
      <c r="N13" t="s">
        <v>1249</v>
      </c>
      <c r="O13" s="3">
        <v>1</v>
      </c>
      <c r="P13" t="s">
        <v>1385</v>
      </c>
      <c r="Q13" t="s">
        <v>1386</v>
      </c>
      <c r="R13" s="3">
        <v>0</v>
      </c>
      <c r="S13" t="s">
        <v>1338</v>
      </c>
      <c r="U13" t="s">
        <v>1387</v>
      </c>
      <c r="V13" s="3">
        <v>2.7189999999999999</v>
      </c>
      <c r="X13" t="s">
        <v>1388</v>
      </c>
      <c r="Y13" s="3">
        <v>9.8000000000000004E-2</v>
      </c>
      <c r="Z13" s="3">
        <v>5.5E-2</v>
      </c>
      <c r="AA13" s="3">
        <v>0.11600000000000001</v>
      </c>
      <c r="AB13" s="3">
        <v>0.122</v>
      </c>
    </row>
    <row r="14" spans="1:29" x14ac:dyDescent="0.25">
      <c r="A14" s="12">
        <v>45873</v>
      </c>
      <c r="B14" s="13" t="s">
        <v>1407</v>
      </c>
      <c r="C14" s="13">
        <v>0.64</v>
      </c>
      <c r="D14" s="13" t="s">
        <v>1262</v>
      </c>
      <c r="E14" t="s">
        <v>1268</v>
      </c>
      <c r="F14" t="s">
        <v>1265</v>
      </c>
      <c r="G14" t="s">
        <v>1263</v>
      </c>
      <c r="H14" t="s">
        <v>1408</v>
      </c>
      <c r="I14" t="s">
        <v>359</v>
      </c>
      <c r="J14" s="4">
        <v>0.69</v>
      </c>
      <c r="K14" s="13">
        <f t="shared" si="3"/>
        <v>7.8125</v>
      </c>
      <c r="L14" s="4">
        <v>0.81499999999999995</v>
      </c>
      <c r="M14" s="4">
        <v>0.35</v>
      </c>
      <c r="N14" t="s">
        <v>1250</v>
      </c>
      <c r="P14" t="s">
        <v>1409</v>
      </c>
      <c r="R14" s="3">
        <v>0</v>
      </c>
      <c r="S14" t="s">
        <v>1526</v>
      </c>
      <c r="U14" t="s">
        <v>1410</v>
      </c>
      <c r="V14" s="3">
        <v>6.9000000000000006E-2</v>
      </c>
      <c r="W14" s="3">
        <v>6.6000000000000003E-2</v>
      </c>
      <c r="X14" t="s">
        <v>1411</v>
      </c>
      <c r="Y14" s="3">
        <v>-4.4999999999999998E-2</v>
      </c>
      <c r="Z14" s="3">
        <v>0.28799999999999998</v>
      </c>
      <c r="AB14" s="3">
        <v>-4.1000000000000002E-2</v>
      </c>
      <c r="AC14" s="3"/>
    </row>
    <row r="15" spans="1:29" x14ac:dyDescent="0.25">
      <c r="A15" s="12">
        <v>45873</v>
      </c>
      <c r="B15" s="13" t="s">
        <v>119</v>
      </c>
      <c r="C15" s="13">
        <v>0.48</v>
      </c>
      <c r="D15" s="13" t="s">
        <v>1261</v>
      </c>
      <c r="E15" t="s">
        <v>1268</v>
      </c>
      <c r="F15" s="13" t="s">
        <v>1382</v>
      </c>
      <c r="G15" t="s">
        <v>1263</v>
      </c>
      <c r="H15" t="s">
        <v>358</v>
      </c>
      <c r="I15" t="s">
        <v>359</v>
      </c>
      <c r="J15" s="16">
        <v>0.48</v>
      </c>
      <c r="K15" s="13">
        <f t="shared" si="3"/>
        <v>0</v>
      </c>
      <c r="L15" s="4">
        <v>0.78500000000000003</v>
      </c>
      <c r="M15" s="4">
        <v>0.3</v>
      </c>
      <c r="N15" t="s">
        <v>356</v>
      </c>
      <c r="P15" t="s">
        <v>360</v>
      </c>
      <c r="R15" s="3">
        <v>0</v>
      </c>
      <c r="S15" t="s">
        <v>1406</v>
      </c>
      <c r="U15" t="s">
        <v>361</v>
      </c>
      <c r="V15" s="3">
        <v>2.1999999999999999E-2</v>
      </c>
      <c r="W15" s="3">
        <v>4.8000000000000001E-2</v>
      </c>
      <c r="X15" t="s">
        <v>362</v>
      </c>
      <c r="Y15" s="3">
        <v>-26.218</v>
      </c>
      <c r="Z15" s="3">
        <v>6.2839999999999998</v>
      </c>
      <c r="AB15" s="3">
        <v>-5.2469999999999999</v>
      </c>
    </row>
    <row r="16" spans="1:29" x14ac:dyDescent="0.25">
      <c r="A16" s="12">
        <v>45856</v>
      </c>
      <c r="B16" s="13" t="s">
        <v>84</v>
      </c>
      <c r="C16" s="13">
        <v>3.23</v>
      </c>
      <c r="D16" s="13" t="s">
        <v>1262</v>
      </c>
      <c r="E16" t="s">
        <v>1268</v>
      </c>
      <c r="F16" t="s">
        <v>1265</v>
      </c>
      <c r="G16" t="s">
        <v>1263</v>
      </c>
      <c r="H16" t="s">
        <v>738</v>
      </c>
      <c r="I16" t="s">
        <v>22</v>
      </c>
      <c r="J16" s="4">
        <v>2.67</v>
      </c>
      <c r="K16" s="13">
        <f t="shared" si="3"/>
        <v>-17.337461300309599</v>
      </c>
      <c r="L16" s="4">
        <v>3.37</v>
      </c>
      <c r="M16" s="4">
        <v>2.38</v>
      </c>
      <c r="N16" t="s">
        <v>1249</v>
      </c>
      <c r="O16" s="3">
        <v>1</v>
      </c>
      <c r="P16" t="s">
        <v>1385</v>
      </c>
      <c r="Q16" t="s">
        <v>1386</v>
      </c>
      <c r="R16" s="3">
        <v>0</v>
      </c>
      <c r="S16" t="s">
        <v>1338</v>
      </c>
      <c r="U16" t="s">
        <v>1387</v>
      </c>
      <c r="V16" s="3">
        <v>2.7189999999999999</v>
      </c>
      <c r="X16" t="s">
        <v>1388</v>
      </c>
      <c r="Y16" s="3">
        <v>9.8000000000000004E-2</v>
      </c>
      <c r="Z16" s="3">
        <v>5.5E-2</v>
      </c>
      <c r="AA16" s="3">
        <v>0.11600000000000001</v>
      </c>
      <c r="AB16" s="3">
        <v>0.122</v>
      </c>
    </row>
    <row r="17" spans="1:28" x14ac:dyDescent="0.25">
      <c r="A17" s="12">
        <v>45856</v>
      </c>
      <c r="B17" t="s">
        <v>124</v>
      </c>
      <c r="C17" s="13">
        <v>1.2649999999999999</v>
      </c>
      <c r="D17" s="13" t="s">
        <v>1261</v>
      </c>
      <c r="E17" t="s">
        <v>1268</v>
      </c>
      <c r="F17" s="11" t="s">
        <v>1382</v>
      </c>
      <c r="G17" t="s">
        <v>1263</v>
      </c>
      <c r="H17" t="s">
        <v>373</v>
      </c>
      <c r="I17" t="s">
        <v>359</v>
      </c>
      <c r="J17" s="4">
        <v>1.2649999999999999</v>
      </c>
      <c r="K17">
        <f t="shared" si="3"/>
        <v>0</v>
      </c>
      <c r="L17" s="4">
        <v>1.855</v>
      </c>
      <c r="M17" s="4">
        <v>0.46</v>
      </c>
      <c r="N17" t="s">
        <v>348</v>
      </c>
      <c r="P17" t="s">
        <v>374</v>
      </c>
      <c r="R17" s="3">
        <v>0</v>
      </c>
      <c r="S17" t="s">
        <v>1381</v>
      </c>
      <c r="U17" t="s">
        <v>375</v>
      </c>
      <c r="W17" s="3">
        <v>7.8E-2</v>
      </c>
      <c r="X17" t="s">
        <v>376</v>
      </c>
      <c r="Y17" s="3">
        <v>-30.948</v>
      </c>
      <c r="Z17" s="3">
        <v>0.113</v>
      </c>
    </row>
    <row r="18" spans="1:28" x14ac:dyDescent="0.25">
      <c r="A18" s="2">
        <v>45793</v>
      </c>
      <c r="B18" t="s">
        <v>114</v>
      </c>
      <c r="C18">
        <v>3.26</v>
      </c>
      <c r="D18" t="s">
        <v>1262</v>
      </c>
      <c r="E18" t="s">
        <v>1268</v>
      </c>
      <c r="F18" t="s">
        <v>1265</v>
      </c>
      <c r="G18" t="s">
        <v>1263</v>
      </c>
      <c r="H18" t="s">
        <v>341</v>
      </c>
      <c r="I18" t="s">
        <v>342</v>
      </c>
      <c r="J18" s="4">
        <v>5.92</v>
      </c>
      <c r="K18">
        <f t="shared" si="3"/>
        <v>81.595092024539895</v>
      </c>
      <c r="L18" s="4">
        <v>6.07</v>
      </c>
      <c r="M18" s="4">
        <v>1.48</v>
      </c>
      <c r="N18" t="s">
        <v>1482</v>
      </c>
      <c r="P18" t="s">
        <v>343</v>
      </c>
      <c r="R18" s="3">
        <v>0</v>
      </c>
      <c r="S18" t="s">
        <v>1527</v>
      </c>
      <c r="U18" t="s">
        <v>344</v>
      </c>
      <c r="V18" s="3">
        <v>0.151</v>
      </c>
      <c r="W18" s="3">
        <v>1.4999999999999999E-2</v>
      </c>
      <c r="X18" t="s">
        <v>345</v>
      </c>
      <c r="Y18" s="3">
        <v>-9.2999999999999999E-2</v>
      </c>
      <c r="Z18" s="3">
        <v>0.377</v>
      </c>
      <c r="AB18" s="3">
        <v>-6.9000000000000006E-2</v>
      </c>
    </row>
    <row r="19" spans="1:28" x14ac:dyDescent="0.25">
      <c r="A19" s="2">
        <v>45786</v>
      </c>
      <c r="B19" t="s">
        <v>115</v>
      </c>
      <c r="C19">
        <v>2.04</v>
      </c>
      <c r="D19" t="s">
        <v>1262</v>
      </c>
      <c r="E19" t="s">
        <v>1268</v>
      </c>
      <c r="F19" t="s">
        <v>1265</v>
      </c>
      <c r="G19" t="s">
        <v>1263</v>
      </c>
      <c r="H19" t="s">
        <v>346</v>
      </c>
      <c r="I19" t="s">
        <v>347</v>
      </c>
      <c r="J19" s="4">
        <v>3.33</v>
      </c>
      <c r="K19">
        <f t="shared" si="3"/>
        <v>63.235294117647058</v>
      </c>
      <c r="L19" s="4">
        <v>3.61</v>
      </c>
      <c r="M19" s="4">
        <v>1.58</v>
      </c>
      <c r="N19" t="s">
        <v>1423</v>
      </c>
      <c r="O19" s="3">
        <v>1</v>
      </c>
      <c r="P19" t="s">
        <v>1442</v>
      </c>
      <c r="Q19" t="s">
        <v>1417</v>
      </c>
      <c r="R19" s="3">
        <v>3.5000000000000003E-2</v>
      </c>
      <c r="S19" t="s">
        <v>349</v>
      </c>
      <c r="T19" t="s">
        <v>1528</v>
      </c>
      <c r="U19" t="s">
        <v>1418</v>
      </c>
      <c r="V19" s="3">
        <v>2.2029999999999998</v>
      </c>
      <c r="W19" s="3">
        <v>8.0000000000000002E-3</v>
      </c>
      <c r="X19" t="s">
        <v>1419</v>
      </c>
      <c r="Y19" s="3">
        <v>1.0999999999999999E-2</v>
      </c>
      <c r="Z19" s="3">
        <v>0.152</v>
      </c>
      <c r="AA19" s="3">
        <v>-0.15</v>
      </c>
      <c r="AB19" s="3">
        <v>6.6000000000000003E-2</v>
      </c>
    </row>
    <row r="20" spans="1:28" x14ac:dyDescent="0.25">
      <c r="A20" s="2">
        <v>45786</v>
      </c>
      <c r="B20" t="s">
        <v>116</v>
      </c>
      <c r="C20">
        <v>2.59</v>
      </c>
      <c r="D20" t="s">
        <v>1262</v>
      </c>
      <c r="E20" t="s">
        <v>1268</v>
      </c>
      <c r="F20" t="s">
        <v>1265</v>
      </c>
      <c r="G20" t="s">
        <v>1263</v>
      </c>
      <c r="H20" t="s">
        <v>350</v>
      </c>
      <c r="I20" t="s">
        <v>23</v>
      </c>
      <c r="J20" s="4">
        <v>3.05</v>
      </c>
      <c r="K20">
        <f t="shared" si="3"/>
        <v>17.76061776061777</v>
      </c>
      <c r="L20" s="4">
        <v>3.55</v>
      </c>
      <c r="M20" s="4">
        <v>1.635</v>
      </c>
      <c r="N20" t="s">
        <v>1259</v>
      </c>
      <c r="O20" s="3">
        <v>1</v>
      </c>
      <c r="P20" t="s">
        <v>351</v>
      </c>
      <c r="Q20" t="s">
        <v>1420</v>
      </c>
      <c r="R20" s="3">
        <v>0</v>
      </c>
      <c r="S20" t="s">
        <v>1471</v>
      </c>
      <c r="T20" t="s">
        <v>1472</v>
      </c>
      <c r="U20" t="s">
        <v>1421</v>
      </c>
      <c r="V20" s="3">
        <v>0.14000000000000001</v>
      </c>
      <c r="W20" s="3">
        <v>0.01</v>
      </c>
      <c r="X20" t="s">
        <v>1422</v>
      </c>
      <c r="Y20" s="3">
        <v>2E-3</v>
      </c>
      <c r="Z20" s="3">
        <v>0.30399999999999999</v>
      </c>
      <c r="AB20" s="3">
        <v>3.0000000000000001E-3</v>
      </c>
    </row>
    <row r="21" spans="1:28" x14ac:dyDescent="0.25">
      <c r="A21" s="2">
        <v>45786</v>
      </c>
      <c r="B21" t="s">
        <v>117</v>
      </c>
      <c r="C21">
        <v>1.2549999999999999</v>
      </c>
      <c r="D21" t="s">
        <v>1262</v>
      </c>
      <c r="E21" t="s">
        <v>1268</v>
      </c>
      <c r="F21" t="s">
        <v>1265</v>
      </c>
      <c r="G21" t="s">
        <v>1263</v>
      </c>
      <c r="H21" t="s">
        <v>353</v>
      </c>
      <c r="I21" t="s">
        <v>25</v>
      </c>
      <c r="J21" s="4">
        <v>1.19</v>
      </c>
      <c r="K21">
        <f t="shared" si="3"/>
        <v>-5.1792828685258918</v>
      </c>
      <c r="L21" s="4">
        <v>1.2949999999999999</v>
      </c>
      <c r="M21" s="4">
        <v>1.01</v>
      </c>
      <c r="N21" t="s">
        <v>1423</v>
      </c>
      <c r="O21" s="3">
        <v>0</v>
      </c>
      <c r="P21" t="s">
        <v>354</v>
      </c>
      <c r="R21" s="3">
        <v>8.3000000000000004E-2</v>
      </c>
      <c r="S21" t="s">
        <v>1529</v>
      </c>
      <c r="U21" t="s">
        <v>1424</v>
      </c>
      <c r="V21" s="3">
        <v>0.90500000000000003</v>
      </c>
      <c r="W21" s="3">
        <v>3.0000000000000001E-3</v>
      </c>
      <c r="X21" t="s">
        <v>1425</v>
      </c>
      <c r="Y21" s="3">
        <v>-0.129</v>
      </c>
      <c r="Z21" s="3">
        <v>-2.8000000000000001E-2</v>
      </c>
      <c r="AB21" s="3">
        <v>-1.9E-2</v>
      </c>
    </row>
    <row r="22" spans="1:28" x14ac:dyDescent="0.25">
      <c r="A22" s="2">
        <v>45786</v>
      </c>
      <c r="B22" t="s">
        <v>118</v>
      </c>
      <c r="C22">
        <v>1.7350000000000001</v>
      </c>
      <c r="D22" t="s">
        <v>1262</v>
      </c>
      <c r="E22" t="s">
        <v>1268</v>
      </c>
      <c r="F22" t="s">
        <v>1265</v>
      </c>
      <c r="G22" t="s">
        <v>1263</v>
      </c>
      <c r="H22" t="s">
        <v>355</v>
      </c>
      <c r="I22" t="s">
        <v>22</v>
      </c>
      <c r="J22" s="4">
        <v>1.6</v>
      </c>
      <c r="K22">
        <f t="shared" si="3"/>
        <v>-7.7809798270893404</v>
      </c>
      <c r="L22" s="4">
        <v>1.7450000000000001</v>
      </c>
      <c r="M22" s="4">
        <v>1.1200000000000001</v>
      </c>
      <c r="N22" t="s">
        <v>356</v>
      </c>
      <c r="O22" s="3">
        <v>1</v>
      </c>
      <c r="P22" t="s">
        <v>357</v>
      </c>
      <c r="Q22" t="s">
        <v>1443</v>
      </c>
      <c r="R22" s="3">
        <v>8.7999999999999995E-2</v>
      </c>
      <c r="S22" t="s">
        <v>381</v>
      </c>
      <c r="T22" t="s">
        <v>1530</v>
      </c>
      <c r="U22" t="s">
        <v>1444</v>
      </c>
      <c r="V22" s="3">
        <v>1.6639999999999999</v>
      </c>
      <c r="X22" t="s">
        <v>1445</v>
      </c>
      <c r="Y22" s="3">
        <v>0.152</v>
      </c>
      <c r="Z22" s="3">
        <v>3.3000000000000002E-2</v>
      </c>
      <c r="AA22" s="3">
        <v>-0.14199999999999999</v>
      </c>
      <c r="AB22" s="3">
        <v>8.6999999999999994E-2</v>
      </c>
    </row>
    <row r="23" spans="1:28" x14ac:dyDescent="0.25">
      <c r="A23" s="2">
        <v>45786</v>
      </c>
      <c r="B23" t="s">
        <v>119</v>
      </c>
      <c r="C23">
        <v>0.755</v>
      </c>
      <c r="D23" t="s">
        <v>1262</v>
      </c>
      <c r="E23" t="s">
        <v>1268</v>
      </c>
      <c r="F23" t="s">
        <v>1265</v>
      </c>
      <c r="G23" t="s">
        <v>1263</v>
      </c>
      <c r="H23" t="s">
        <v>358</v>
      </c>
      <c r="I23" t="s">
        <v>359</v>
      </c>
      <c r="J23" s="4">
        <v>0.52</v>
      </c>
      <c r="K23">
        <f t="shared" si="3"/>
        <v>-31.12582781456954</v>
      </c>
      <c r="L23" s="4">
        <v>0.78500000000000003</v>
      </c>
      <c r="M23" s="4">
        <v>0.3</v>
      </c>
      <c r="N23" t="s">
        <v>356</v>
      </c>
      <c r="P23" t="s">
        <v>360</v>
      </c>
      <c r="R23" s="3">
        <v>0</v>
      </c>
      <c r="S23" t="s">
        <v>1406</v>
      </c>
      <c r="U23" t="s">
        <v>361</v>
      </c>
      <c r="V23" s="3">
        <v>2.1999999999999999E-2</v>
      </c>
      <c r="W23" s="3">
        <v>4.8000000000000001E-2</v>
      </c>
      <c r="X23" t="s">
        <v>362</v>
      </c>
      <c r="Y23" s="3">
        <v>-26.218</v>
      </c>
      <c r="Z23" s="3">
        <v>6.2839999999999998</v>
      </c>
      <c r="AB23" s="3">
        <v>-5.2469999999999999</v>
      </c>
    </row>
    <row r="24" spans="1:28" x14ac:dyDescent="0.25">
      <c r="A24" s="2">
        <v>45786</v>
      </c>
      <c r="B24" t="s">
        <v>120</v>
      </c>
      <c r="C24">
        <v>1.865</v>
      </c>
      <c r="D24" t="s">
        <v>1262</v>
      </c>
      <c r="E24" t="s">
        <v>1268</v>
      </c>
      <c r="F24" t="s">
        <v>1265</v>
      </c>
      <c r="G24" t="s">
        <v>1263</v>
      </c>
      <c r="H24" t="s">
        <v>363</v>
      </c>
      <c r="I24" t="s">
        <v>22</v>
      </c>
      <c r="J24" s="4">
        <v>2.6</v>
      </c>
      <c r="K24">
        <f t="shared" si="3"/>
        <v>39.410187667560322</v>
      </c>
      <c r="L24" s="4">
        <v>2.86</v>
      </c>
      <c r="M24" s="4">
        <v>1.395</v>
      </c>
      <c r="N24" t="s">
        <v>1423</v>
      </c>
      <c r="O24" s="3">
        <v>1</v>
      </c>
      <c r="P24" t="s">
        <v>365</v>
      </c>
      <c r="Q24" t="s">
        <v>1446</v>
      </c>
      <c r="R24" s="3">
        <v>3.5000000000000003E-2</v>
      </c>
      <c r="S24" t="s">
        <v>1477</v>
      </c>
      <c r="T24" t="s">
        <v>1531</v>
      </c>
      <c r="U24" t="s">
        <v>1447</v>
      </c>
      <c r="V24" s="3">
        <v>25.291</v>
      </c>
      <c r="X24" t="s">
        <v>1448</v>
      </c>
      <c r="Y24" s="3">
        <v>3.6999999999999998E-2</v>
      </c>
      <c r="Z24" s="3">
        <v>0.03</v>
      </c>
      <c r="AA24" s="3">
        <v>-3.6999999999999998E-2</v>
      </c>
      <c r="AB24" s="3">
        <v>0.16800000000000001</v>
      </c>
    </row>
    <row r="25" spans="1:28" x14ac:dyDescent="0.25">
      <c r="A25" s="2">
        <v>45786</v>
      </c>
      <c r="B25" t="s">
        <v>121</v>
      </c>
      <c r="C25">
        <v>7.29</v>
      </c>
      <c r="D25" t="s">
        <v>1262</v>
      </c>
      <c r="E25" t="s">
        <v>1268</v>
      </c>
      <c r="F25" t="s">
        <v>1265</v>
      </c>
      <c r="G25" t="s">
        <v>1263</v>
      </c>
      <c r="H25" t="s">
        <v>366</v>
      </c>
      <c r="I25" t="s">
        <v>359</v>
      </c>
      <c r="J25" s="4">
        <v>9.2200000000000006</v>
      </c>
      <c r="K25">
        <f t="shared" si="3"/>
        <v>26.474622770919076</v>
      </c>
      <c r="L25" s="4">
        <v>9.4</v>
      </c>
      <c r="M25" s="4">
        <v>5.73</v>
      </c>
      <c r="N25" t="s">
        <v>1514</v>
      </c>
      <c r="O25" s="3">
        <v>0.7</v>
      </c>
      <c r="P25" t="s">
        <v>1449</v>
      </c>
      <c r="Q25" t="s">
        <v>1450</v>
      </c>
      <c r="R25" s="3">
        <v>1.7999999999999999E-2</v>
      </c>
      <c r="S25" t="s">
        <v>1515</v>
      </c>
      <c r="T25" t="s">
        <v>1516</v>
      </c>
      <c r="U25" t="s">
        <v>1451</v>
      </c>
      <c r="W25" s="3">
        <v>1E-3</v>
      </c>
      <c r="X25" t="s">
        <v>1452</v>
      </c>
      <c r="Y25" s="3">
        <v>3.7999999999999999E-2</v>
      </c>
      <c r="Z25" s="3">
        <v>0.17599999999999999</v>
      </c>
      <c r="AB25" s="3">
        <v>-2.762</v>
      </c>
    </row>
    <row r="26" spans="1:28" x14ac:dyDescent="0.25">
      <c r="A26" s="2">
        <v>45786</v>
      </c>
      <c r="B26" t="s">
        <v>122</v>
      </c>
      <c r="C26">
        <v>3.22</v>
      </c>
      <c r="D26" t="s">
        <v>1262</v>
      </c>
      <c r="E26" t="s">
        <v>1268</v>
      </c>
      <c r="F26" t="s">
        <v>1265</v>
      </c>
      <c r="G26" t="s">
        <v>1263</v>
      </c>
      <c r="H26" t="s">
        <v>367</v>
      </c>
      <c r="I26" t="s">
        <v>342</v>
      </c>
      <c r="J26" s="4">
        <v>4.25</v>
      </c>
      <c r="K26">
        <f t="shared" si="3"/>
        <v>31.987577639751553</v>
      </c>
      <c r="L26" s="4">
        <v>5.19</v>
      </c>
      <c r="M26" s="4">
        <v>1.895</v>
      </c>
      <c r="N26" t="s">
        <v>1319</v>
      </c>
      <c r="P26" t="s">
        <v>368</v>
      </c>
      <c r="R26" s="3">
        <v>0</v>
      </c>
      <c r="S26" t="s">
        <v>1527</v>
      </c>
      <c r="U26" t="s">
        <v>369</v>
      </c>
      <c r="V26" s="3">
        <v>0.44500000000000001</v>
      </c>
      <c r="W26" s="3">
        <v>2.1999999999999999E-2</v>
      </c>
      <c r="X26" t="s">
        <v>370</v>
      </c>
      <c r="Y26" s="3">
        <v>-3.5999999999999997E-2</v>
      </c>
      <c r="Z26" s="3">
        <v>22.808</v>
      </c>
      <c r="AB26" s="3">
        <v>-2.1000000000000001E-2</v>
      </c>
    </row>
    <row r="27" spans="1:28" x14ac:dyDescent="0.25">
      <c r="A27" s="2">
        <v>45786</v>
      </c>
      <c r="B27" t="s">
        <v>123</v>
      </c>
      <c r="C27">
        <v>0.67500000000000004</v>
      </c>
      <c r="D27" t="s">
        <v>1262</v>
      </c>
      <c r="E27" t="s">
        <v>1268</v>
      </c>
      <c r="F27" t="s">
        <v>1265</v>
      </c>
      <c r="G27" t="s">
        <v>1263</v>
      </c>
      <c r="H27" t="s">
        <v>371</v>
      </c>
      <c r="I27" t="s">
        <v>25</v>
      </c>
      <c r="J27" s="4">
        <v>0.67</v>
      </c>
      <c r="K27">
        <f t="shared" si="3"/>
        <v>-0.74074074074074181</v>
      </c>
      <c r="L27" s="4">
        <v>0.72499999999999998</v>
      </c>
      <c r="M27" s="4">
        <v>0.53500000000000003</v>
      </c>
      <c r="N27" t="s">
        <v>348</v>
      </c>
      <c r="O27" s="3">
        <v>0</v>
      </c>
      <c r="P27" t="s">
        <v>372</v>
      </c>
      <c r="Q27" t="s">
        <v>1453</v>
      </c>
      <c r="R27" s="3">
        <v>7.4999999999999997E-2</v>
      </c>
      <c r="S27" t="s">
        <v>1315</v>
      </c>
      <c r="U27" t="s">
        <v>1454</v>
      </c>
      <c r="V27" s="3">
        <v>0.59699999999999998</v>
      </c>
      <c r="W27" s="3">
        <v>1.4E-2</v>
      </c>
      <c r="X27" t="s">
        <v>1455</v>
      </c>
      <c r="Y27" s="3">
        <v>0.504</v>
      </c>
      <c r="Z27" s="3">
        <v>0.22900000000000001</v>
      </c>
      <c r="AA27" s="3">
        <v>-9.6000000000000002E-2</v>
      </c>
      <c r="AB27" s="3">
        <v>5.3999999999999999E-2</v>
      </c>
    </row>
    <row r="28" spans="1:28" x14ac:dyDescent="0.25">
      <c r="A28" s="2">
        <v>45786</v>
      </c>
      <c r="B28" t="s">
        <v>124</v>
      </c>
      <c r="C28">
        <v>1.7649999999999999</v>
      </c>
      <c r="D28" t="s">
        <v>1262</v>
      </c>
      <c r="E28" t="s">
        <v>1268</v>
      </c>
      <c r="F28" t="s">
        <v>1265</v>
      </c>
      <c r="G28" t="s">
        <v>1263</v>
      </c>
      <c r="H28" t="s">
        <v>373</v>
      </c>
      <c r="I28" t="s">
        <v>359</v>
      </c>
      <c r="J28" s="4">
        <v>1.26</v>
      </c>
      <c r="K28">
        <f t="shared" si="3"/>
        <v>-28.611898016997163</v>
      </c>
      <c r="L28" s="4">
        <v>1.855</v>
      </c>
      <c r="M28" s="4">
        <v>0.46</v>
      </c>
      <c r="N28" t="s">
        <v>348</v>
      </c>
      <c r="P28" t="s">
        <v>374</v>
      </c>
      <c r="R28" s="3">
        <v>0</v>
      </c>
      <c r="S28" t="s">
        <v>1381</v>
      </c>
      <c r="U28" t="s">
        <v>375</v>
      </c>
      <c r="W28" s="3">
        <v>7.8E-2</v>
      </c>
      <c r="X28" t="s">
        <v>376</v>
      </c>
      <c r="Y28" s="3">
        <v>-30.948</v>
      </c>
      <c r="Z28" s="3">
        <v>0.113</v>
      </c>
    </row>
    <row r="29" spans="1:28" x14ac:dyDescent="0.25">
      <c r="A29" s="2">
        <v>45786</v>
      </c>
      <c r="B29" t="s">
        <v>125</v>
      </c>
      <c r="C29">
        <v>1.51</v>
      </c>
      <c r="D29" t="s">
        <v>1262</v>
      </c>
      <c r="E29" t="s">
        <v>1268</v>
      </c>
      <c r="F29" t="s">
        <v>1265</v>
      </c>
      <c r="G29" t="s">
        <v>1263</v>
      </c>
      <c r="H29" t="s">
        <v>377</v>
      </c>
      <c r="I29" t="s">
        <v>25</v>
      </c>
      <c r="J29" s="4">
        <v>1.54</v>
      </c>
      <c r="K29">
        <f t="shared" si="3"/>
        <v>1.9867549668874274</v>
      </c>
      <c r="L29" s="4">
        <v>1.615</v>
      </c>
      <c r="M29" s="4">
        <v>1.07</v>
      </c>
      <c r="N29" t="s">
        <v>1426</v>
      </c>
      <c r="O29" s="3">
        <v>0</v>
      </c>
      <c r="P29" t="s">
        <v>378</v>
      </c>
      <c r="Q29" t="s">
        <v>1405</v>
      </c>
      <c r="R29" s="3">
        <v>0.04</v>
      </c>
      <c r="S29" t="s">
        <v>1386</v>
      </c>
      <c r="T29" t="s">
        <v>1427</v>
      </c>
      <c r="U29" t="s">
        <v>1412</v>
      </c>
      <c r="V29" s="3">
        <v>0.49199999999999999</v>
      </c>
      <c r="W29" s="3">
        <v>1.7999999999999999E-2</v>
      </c>
      <c r="X29" t="s">
        <v>352</v>
      </c>
      <c r="Y29" s="3">
        <v>1.169</v>
      </c>
      <c r="Z29" s="3">
        <v>0.13300000000000001</v>
      </c>
      <c r="AA29" s="3">
        <v>0.64200000000000002</v>
      </c>
      <c r="AB29" s="3">
        <v>0.13</v>
      </c>
    </row>
    <row r="30" spans="1:28" x14ac:dyDescent="0.25">
      <c r="A30" s="2">
        <v>45786</v>
      </c>
      <c r="B30" t="s">
        <v>100</v>
      </c>
      <c r="C30">
        <v>1.78</v>
      </c>
      <c r="D30" t="s">
        <v>1262</v>
      </c>
      <c r="E30" t="s">
        <v>1268</v>
      </c>
      <c r="F30" t="s">
        <v>1265</v>
      </c>
      <c r="G30" t="s">
        <v>1263</v>
      </c>
      <c r="H30" t="s">
        <v>379</v>
      </c>
      <c r="I30" t="s">
        <v>342</v>
      </c>
      <c r="J30" s="4">
        <v>3.74</v>
      </c>
      <c r="K30">
        <f t="shared" si="3"/>
        <v>110.11235955056181</v>
      </c>
      <c r="L30" s="4">
        <v>3.74</v>
      </c>
      <c r="M30" s="4">
        <v>1.21</v>
      </c>
      <c r="N30" t="s">
        <v>385</v>
      </c>
      <c r="P30" t="s">
        <v>380</v>
      </c>
      <c r="Q30" t="s">
        <v>381</v>
      </c>
      <c r="R30" s="3">
        <v>0</v>
      </c>
      <c r="S30" t="s">
        <v>1535</v>
      </c>
      <c r="T30" t="s">
        <v>1506</v>
      </c>
      <c r="U30" t="s">
        <v>1456</v>
      </c>
      <c r="V30" s="3">
        <v>0.435</v>
      </c>
      <c r="W30" s="3">
        <v>1.0999999999999999E-2</v>
      </c>
      <c r="X30" t="s">
        <v>1457</v>
      </c>
      <c r="Y30" s="3">
        <v>1.0389999999999999</v>
      </c>
      <c r="Z30" s="3">
        <v>1.2090000000000001</v>
      </c>
      <c r="AB30" s="3">
        <v>1.337</v>
      </c>
    </row>
    <row r="31" spans="1:28" x14ac:dyDescent="0.25">
      <c r="A31" s="2">
        <v>45786</v>
      </c>
      <c r="B31" t="s">
        <v>126</v>
      </c>
      <c r="C31">
        <v>2.62</v>
      </c>
      <c r="D31" t="s">
        <v>1262</v>
      </c>
      <c r="E31" t="s">
        <v>1268</v>
      </c>
      <c r="F31" t="s">
        <v>1265</v>
      </c>
      <c r="G31" t="s">
        <v>1263</v>
      </c>
      <c r="H31" t="s">
        <v>382</v>
      </c>
      <c r="I31" t="s">
        <v>23</v>
      </c>
      <c r="J31" s="4">
        <v>2.7</v>
      </c>
      <c r="K31">
        <f t="shared" si="3"/>
        <v>3.0534351145038219</v>
      </c>
      <c r="L31" s="4">
        <v>3.13</v>
      </c>
      <c r="M31" s="4">
        <v>1.895</v>
      </c>
      <c r="N31" t="s">
        <v>348</v>
      </c>
      <c r="O31" s="3">
        <v>1</v>
      </c>
      <c r="P31" t="s">
        <v>383</v>
      </c>
      <c r="Q31" t="s">
        <v>1458</v>
      </c>
      <c r="R31" s="3">
        <v>6.7000000000000004E-2</v>
      </c>
      <c r="S31" t="s">
        <v>1368</v>
      </c>
      <c r="T31" t="s">
        <v>1386</v>
      </c>
      <c r="U31" t="s">
        <v>1459</v>
      </c>
      <c r="V31" s="3">
        <v>1.2809999999999999</v>
      </c>
      <c r="W31" s="3">
        <v>1.4E-2</v>
      </c>
      <c r="X31" t="s">
        <v>1460</v>
      </c>
      <c r="Y31" s="3">
        <v>4.9000000000000002E-2</v>
      </c>
      <c r="Z31" s="3">
        <v>8.1000000000000003E-2</v>
      </c>
      <c r="AA31" s="3">
        <v>0.17199999999999999</v>
      </c>
      <c r="AB31" s="3">
        <v>0.22900000000000001</v>
      </c>
    </row>
    <row r="32" spans="1:28" x14ac:dyDescent="0.25">
      <c r="A32" s="2">
        <v>45786</v>
      </c>
      <c r="B32" t="s">
        <v>127</v>
      </c>
      <c r="C32">
        <v>1.595</v>
      </c>
      <c r="D32" t="s">
        <v>1262</v>
      </c>
      <c r="E32" t="s">
        <v>1268</v>
      </c>
      <c r="F32" t="s">
        <v>1265</v>
      </c>
      <c r="G32" t="s">
        <v>1263</v>
      </c>
      <c r="H32" t="s">
        <v>384</v>
      </c>
      <c r="I32" t="s">
        <v>23</v>
      </c>
      <c r="J32" s="4">
        <v>1.51</v>
      </c>
      <c r="K32">
        <f t="shared" si="3"/>
        <v>-5.3291536050156685</v>
      </c>
      <c r="L32" s="4">
        <v>1.8049999999999999</v>
      </c>
      <c r="M32" s="4">
        <v>1.07</v>
      </c>
      <c r="N32" t="s">
        <v>1251</v>
      </c>
      <c r="O32" s="3">
        <v>1</v>
      </c>
      <c r="P32" t="s">
        <v>386</v>
      </c>
      <c r="Q32" t="s">
        <v>1428</v>
      </c>
      <c r="R32" s="3">
        <v>3.7999999999999999E-2</v>
      </c>
      <c r="S32" t="s">
        <v>1487</v>
      </c>
      <c r="T32" t="s">
        <v>1536</v>
      </c>
      <c r="U32" t="s">
        <v>1429</v>
      </c>
      <c r="V32" s="3">
        <v>1.3260000000000001</v>
      </c>
      <c r="W32" s="3">
        <v>7.0000000000000001E-3</v>
      </c>
      <c r="X32" t="s">
        <v>387</v>
      </c>
      <c r="Y32" s="3">
        <v>2.8000000000000001E-2</v>
      </c>
      <c r="Z32" s="3">
        <v>8.1000000000000003E-2</v>
      </c>
      <c r="AB32" s="3">
        <v>2.7E-2</v>
      </c>
    </row>
    <row r="33" spans="1:28" x14ac:dyDescent="0.25">
      <c r="A33" s="2">
        <v>45786</v>
      </c>
      <c r="B33" t="s">
        <v>96</v>
      </c>
      <c r="C33">
        <v>2.81</v>
      </c>
      <c r="D33" t="s">
        <v>1262</v>
      </c>
      <c r="E33" t="s">
        <v>1268</v>
      </c>
      <c r="F33" t="s">
        <v>1265</v>
      </c>
      <c r="G33" t="s">
        <v>1263</v>
      </c>
      <c r="H33" t="s">
        <v>388</v>
      </c>
      <c r="I33" t="s">
        <v>347</v>
      </c>
      <c r="J33" s="4">
        <v>3.03</v>
      </c>
      <c r="K33">
        <f t="shared" si="3"/>
        <v>7.8291814946619187</v>
      </c>
      <c r="L33" s="4">
        <v>3.07</v>
      </c>
      <c r="M33" s="4">
        <v>1.615</v>
      </c>
      <c r="N33" t="s">
        <v>356</v>
      </c>
      <c r="O33" s="3">
        <v>1</v>
      </c>
      <c r="P33" t="s">
        <v>389</v>
      </c>
      <c r="Q33" t="s">
        <v>1461</v>
      </c>
      <c r="R33" s="3">
        <v>8.2000000000000003E-2</v>
      </c>
      <c r="S33" t="s">
        <v>395</v>
      </c>
      <c r="T33" t="s">
        <v>1537</v>
      </c>
      <c r="U33" t="s">
        <v>1462</v>
      </c>
      <c r="V33" s="3">
        <v>0.104</v>
      </c>
      <c r="W33" s="3">
        <v>0.02</v>
      </c>
      <c r="X33" t="s">
        <v>1463</v>
      </c>
      <c r="Y33" s="3">
        <v>2.9000000000000001E-2</v>
      </c>
      <c r="Z33" s="3">
        <v>4.2000000000000003E-2</v>
      </c>
      <c r="AB33" s="3">
        <v>8.7999999999999995E-2</v>
      </c>
    </row>
    <row r="34" spans="1:28" x14ac:dyDescent="0.25">
      <c r="A34" s="2">
        <v>45786</v>
      </c>
      <c r="B34" t="s">
        <v>128</v>
      </c>
      <c r="C34">
        <v>1.35</v>
      </c>
      <c r="D34" t="s">
        <v>1262</v>
      </c>
      <c r="E34" t="s">
        <v>1268</v>
      </c>
      <c r="F34" t="s">
        <v>1265</v>
      </c>
      <c r="G34" t="s">
        <v>1263</v>
      </c>
      <c r="H34" t="s">
        <v>390</v>
      </c>
      <c r="I34" t="s">
        <v>21</v>
      </c>
      <c r="J34" s="4">
        <v>3.22</v>
      </c>
      <c r="K34">
        <f t="shared" si="3"/>
        <v>138.51851851851853</v>
      </c>
      <c r="L34" s="4">
        <v>4.3899999999999997</v>
      </c>
      <c r="M34" s="4">
        <v>0.58499999999999996</v>
      </c>
      <c r="N34" t="s">
        <v>1489</v>
      </c>
      <c r="P34" t="s">
        <v>391</v>
      </c>
      <c r="Q34" t="s">
        <v>1464</v>
      </c>
      <c r="R34" s="3">
        <v>0</v>
      </c>
      <c r="S34" t="s">
        <v>1490</v>
      </c>
      <c r="U34" t="s">
        <v>1465</v>
      </c>
      <c r="V34" s="3">
        <v>2.9000000000000001E-2</v>
      </c>
      <c r="W34" s="3">
        <v>0.127</v>
      </c>
      <c r="X34" t="s">
        <v>392</v>
      </c>
      <c r="Y34" s="3">
        <v>5.2999999999999999E-2</v>
      </c>
      <c r="Z34" s="3">
        <v>0.75700000000000001</v>
      </c>
      <c r="AB34" s="3">
        <v>2.1999999999999999E-2</v>
      </c>
    </row>
    <row r="35" spans="1:28" x14ac:dyDescent="0.25">
      <c r="A35" s="2">
        <v>45702</v>
      </c>
      <c r="B35" t="s">
        <v>129</v>
      </c>
      <c r="C35">
        <v>1.57</v>
      </c>
      <c r="D35" t="s">
        <v>1262</v>
      </c>
      <c r="E35" t="s">
        <v>1268</v>
      </c>
      <c r="F35" t="s">
        <v>1265</v>
      </c>
      <c r="G35" t="s">
        <v>1263</v>
      </c>
      <c r="H35" t="s">
        <v>393</v>
      </c>
      <c r="I35" t="s">
        <v>22</v>
      </c>
      <c r="J35" s="4">
        <v>1.98</v>
      </c>
      <c r="K35">
        <f t="shared" si="3"/>
        <v>26.114649681528658</v>
      </c>
      <c r="L35" s="4">
        <v>2.25</v>
      </c>
      <c r="M35" s="4">
        <v>1.1100000000000001</v>
      </c>
      <c r="N35" t="s">
        <v>385</v>
      </c>
      <c r="O35" s="3">
        <v>1</v>
      </c>
      <c r="P35" t="s">
        <v>394</v>
      </c>
      <c r="Q35" t="s">
        <v>1430</v>
      </c>
      <c r="R35" s="3">
        <v>6.6000000000000003E-2</v>
      </c>
      <c r="S35" t="s">
        <v>1273</v>
      </c>
      <c r="T35" t="s">
        <v>396</v>
      </c>
      <c r="U35" t="s">
        <v>1431</v>
      </c>
      <c r="V35" s="3">
        <v>20.748999999999999</v>
      </c>
      <c r="X35" t="s">
        <v>397</v>
      </c>
      <c r="Y35" s="3">
        <v>6.6000000000000003E-2</v>
      </c>
      <c r="Z35" s="3">
        <v>0.27</v>
      </c>
      <c r="AA35" s="3">
        <v>-0.10299999999999999</v>
      </c>
      <c r="AB35" s="3">
        <v>0.121</v>
      </c>
    </row>
    <row r="36" spans="1:28" x14ac:dyDescent="0.25">
      <c r="A36" s="2">
        <v>45660</v>
      </c>
      <c r="B36" t="s">
        <v>130</v>
      </c>
      <c r="C36">
        <v>0.53500000000000003</v>
      </c>
      <c r="D36" t="s">
        <v>1262</v>
      </c>
      <c r="E36" t="s">
        <v>1268</v>
      </c>
      <c r="F36" t="s">
        <v>1265</v>
      </c>
      <c r="G36" t="s">
        <v>1263</v>
      </c>
      <c r="H36" t="s">
        <v>398</v>
      </c>
      <c r="I36" t="s">
        <v>21</v>
      </c>
      <c r="J36" s="4">
        <v>0.52</v>
      </c>
      <c r="K36">
        <f t="shared" si="3"/>
        <v>-2.8037383177570097</v>
      </c>
      <c r="L36" s="4">
        <v>0.56999999999999995</v>
      </c>
      <c r="M36" s="4">
        <v>0.45500000000000002</v>
      </c>
      <c r="N36" t="s">
        <v>1538</v>
      </c>
      <c r="O36" s="3">
        <v>0</v>
      </c>
      <c r="P36" t="s">
        <v>399</v>
      </c>
      <c r="Q36" t="s">
        <v>1466</v>
      </c>
      <c r="R36" s="3">
        <v>3.6999999999999998E-2</v>
      </c>
      <c r="S36" t="s">
        <v>396</v>
      </c>
      <c r="T36" t="s">
        <v>1539</v>
      </c>
      <c r="U36" t="s">
        <v>1467</v>
      </c>
      <c r="V36" s="3">
        <v>1.458</v>
      </c>
      <c r="W36" s="3">
        <v>6.0000000000000001E-3</v>
      </c>
      <c r="X36" t="s">
        <v>1468</v>
      </c>
      <c r="Y36" s="3">
        <v>1.9E-2</v>
      </c>
      <c r="Z36" s="3">
        <v>0.35199999999999998</v>
      </c>
      <c r="AB36" s="3">
        <v>6.4000000000000001E-2</v>
      </c>
    </row>
    <row r="37" spans="1:28" x14ac:dyDescent="0.25">
      <c r="A37" s="2">
        <v>45791</v>
      </c>
      <c r="B37" t="s">
        <v>132</v>
      </c>
      <c r="C37">
        <v>5.88</v>
      </c>
      <c r="D37" t="s">
        <v>1261</v>
      </c>
      <c r="E37" t="s">
        <v>1264</v>
      </c>
      <c r="F37" t="s">
        <v>1382</v>
      </c>
      <c r="G37" t="s">
        <v>1263</v>
      </c>
      <c r="H37" t="s">
        <v>684</v>
      </c>
      <c r="I37" t="s">
        <v>1274</v>
      </c>
      <c r="J37" s="4">
        <v>5.88</v>
      </c>
      <c r="K37">
        <f t="shared" si="3"/>
        <v>0</v>
      </c>
      <c r="L37" s="4">
        <v>5.89</v>
      </c>
      <c r="M37" s="4">
        <v>2.5</v>
      </c>
      <c r="N37" t="s">
        <v>348</v>
      </c>
      <c r="P37" t="s">
        <v>1275</v>
      </c>
      <c r="Q37" t="s">
        <v>1276</v>
      </c>
      <c r="R37" s="3">
        <v>0</v>
      </c>
      <c r="S37" t="s">
        <v>1277</v>
      </c>
      <c r="T37" t="s">
        <v>1278</v>
      </c>
      <c r="U37" t="s">
        <v>1279</v>
      </c>
      <c r="V37" s="3">
        <v>1.7999999999999999E-2</v>
      </c>
      <c r="W37" s="3">
        <v>0.06</v>
      </c>
      <c r="X37" t="s">
        <v>1280</v>
      </c>
      <c r="Y37" s="3">
        <v>0.02</v>
      </c>
      <c r="Z37" s="3">
        <v>0.53200000000000003</v>
      </c>
      <c r="AB37" s="3">
        <v>2.8000000000000001E-2</v>
      </c>
    </row>
    <row r="38" spans="1:28" x14ac:dyDescent="0.25">
      <c r="A38" s="2">
        <v>45764</v>
      </c>
      <c r="B38" t="s">
        <v>133</v>
      </c>
      <c r="C38">
        <v>1.2949999999999999</v>
      </c>
      <c r="D38" t="s">
        <v>1261</v>
      </c>
      <c r="E38" t="s">
        <v>1267</v>
      </c>
      <c r="F38" t="s">
        <v>1382</v>
      </c>
      <c r="G38" t="s">
        <v>1266</v>
      </c>
      <c r="H38" t="s">
        <v>685</v>
      </c>
      <c r="I38" t="s">
        <v>22</v>
      </c>
      <c r="J38" s="4">
        <v>1.38</v>
      </c>
      <c r="K38">
        <f t="shared" si="3"/>
        <v>6.5637065637065506</v>
      </c>
      <c r="L38" s="4">
        <v>1.9450000000000001</v>
      </c>
      <c r="M38" s="4">
        <v>0.81499999999999995</v>
      </c>
      <c r="N38" t="s">
        <v>348</v>
      </c>
      <c r="O38" s="3">
        <v>1</v>
      </c>
      <c r="P38" t="s">
        <v>1281</v>
      </c>
      <c r="R38" s="3">
        <v>0</v>
      </c>
      <c r="S38" t="s">
        <v>1282</v>
      </c>
      <c r="U38" t="s">
        <v>1283</v>
      </c>
      <c r="V38" s="3">
        <v>1.077</v>
      </c>
      <c r="W38" s="3">
        <v>3.9E-2</v>
      </c>
      <c r="X38" t="s">
        <v>1284</v>
      </c>
      <c r="Y38" s="3">
        <v>0.14000000000000001</v>
      </c>
      <c r="Z38" s="3">
        <v>0.73199999999999998</v>
      </c>
      <c r="AB38" s="3">
        <v>-0.26500000000000001</v>
      </c>
    </row>
    <row r="39" spans="1:28" x14ac:dyDescent="0.25">
      <c r="A39" s="2">
        <v>45764</v>
      </c>
      <c r="B39" t="s">
        <v>134</v>
      </c>
      <c r="C39">
        <v>6.04</v>
      </c>
      <c r="D39" t="s">
        <v>1261</v>
      </c>
      <c r="E39" t="s">
        <v>1267</v>
      </c>
      <c r="F39" t="s">
        <v>1382</v>
      </c>
      <c r="G39" t="s">
        <v>1266</v>
      </c>
      <c r="H39" t="s">
        <v>686</v>
      </c>
      <c r="I39" t="s">
        <v>25</v>
      </c>
      <c r="J39" s="4">
        <v>7.2</v>
      </c>
      <c r="K39">
        <f t="shared" si="3"/>
        <v>19.205298013245041</v>
      </c>
      <c r="L39" s="4">
        <v>7.44</v>
      </c>
      <c r="M39" s="4">
        <v>5.46</v>
      </c>
      <c r="N39" t="s">
        <v>1285</v>
      </c>
      <c r="O39" s="3">
        <v>0</v>
      </c>
      <c r="P39" t="s">
        <v>1286</v>
      </c>
      <c r="Q39" t="s">
        <v>1287</v>
      </c>
      <c r="R39" s="3">
        <v>0</v>
      </c>
      <c r="S39" t="s">
        <v>1288</v>
      </c>
      <c r="T39" t="s">
        <v>1289</v>
      </c>
      <c r="U39" t="s">
        <v>1290</v>
      </c>
      <c r="V39" s="3">
        <v>1.546</v>
      </c>
      <c r="W39" s="3">
        <v>1.4E-2</v>
      </c>
      <c r="X39" t="s">
        <v>1291</v>
      </c>
      <c r="Y39" s="3">
        <v>8.5000000000000006E-2</v>
      </c>
      <c r="Z39" s="3">
        <v>8.8999999999999996E-2</v>
      </c>
      <c r="AB39" s="3">
        <v>3.0000000000000001E-3</v>
      </c>
    </row>
    <row r="40" spans="1:28" x14ac:dyDescent="0.25">
      <c r="A40" s="2">
        <v>45758</v>
      </c>
      <c r="B40" t="s">
        <v>135</v>
      </c>
      <c r="C40">
        <v>15.01</v>
      </c>
      <c r="D40" t="s">
        <v>1261</v>
      </c>
      <c r="E40" t="s">
        <v>1267</v>
      </c>
      <c r="F40" t="s">
        <v>1382</v>
      </c>
      <c r="G40" t="s">
        <v>1266</v>
      </c>
      <c r="H40" t="s">
        <v>687</v>
      </c>
      <c r="I40" t="s">
        <v>347</v>
      </c>
      <c r="J40" s="4">
        <v>18.850000000000001</v>
      </c>
      <c r="K40">
        <f t="shared" si="3"/>
        <v>25.582944703530998</v>
      </c>
      <c r="L40" s="4">
        <v>19.62</v>
      </c>
      <c r="M40" s="4">
        <v>13</v>
      </c>
      <c r="N40" t="s">
        <v>1259</v>
      </c>
      <c r="O40" s="3">
        <v>1</v>
      </c>
      <c r="P40" t="s">
        <v>1292</v>
      </c>
      <c r="Q40" t="s">
        <v>1293</v>
      </c>
      <c r="R40" s="3">
        <v>3.3000000000000002E-2</v>
      </c>
      <c r="S40" t="s">
        <v>1294</v>
      </c>
      <c r="T40" t="s">
        <v>1295</v>
      </c>
      <c r="U40" t="s">
        <v>1296</v>
      </c>
      <c r="V40" s="3">
        <v>1.151</v>
      </c>
      <c r="W40" s="3">
        <v>0.01</v>
      </c>
      <c r="X40" t="s">
        <v>1297</v>
      </c>
      <c r="Y40" s="3">
        <v>0.13700000000000001</v>
      </c>
      <c r="Z40" s="3">
        <v>7.9000000000000001E-2</v>
      </c>
      <c r="AA40" s="3">
        <v>-1.7000000000000001E-2</v>
      </c>
      <c r="AB40" s="3">
        <v>0.29499999999999998</v>
      </c>
    </row>
    <row r="41" spans="1:28" x14ac:dyDescent="0.25">
      <c r="A41" s="2">
        <v>45758</v>
      </c>
      <c r="B41" t="s">
        <v>114</v>
      </c>
      <c r="C41">
        <v>2.42</v>
      </c>
      <c r="D41" t="s">
        <v>1261</v>
      </c>
      <c r="E41" t="s">
        <v>1267</v>
      </c>
      <c r="F41" t="s">
        <v>1382</v>
      </c>
      <c r="G41" t="s">
        <v>1266</v>
      </c>
      <c r="H41" t="s">
        <v>341</v>
      </c>
      <c r="I41" t="s">
        <v>342</v>
      </c>
      <c r="J41" s="4">
        <v>3.03</v>
      </c>
      <c r="K41">
        <f t="shared" si="3"/>
        <v>25.206611570247929</v>
      </c>
      <c r="L41" s="4">
        <v>4.05</v>
      </c>
      <c r="M41" s="4">
        <v>1.325</v>
      </c>
      <c r="N41" t="s">
        <v>1269</v>
      </c>
      <c r="P41" t="s">
        <v>343</v>
      </c>
      <c r="R41" s="3">
        <v>0</v>
      </c>
      <c r="S41" t="s">
        <v>1253</v>
      </c>
      <c r="U41" t="s">
        <v>344</v>
      </c>
      <c r="V41" s="3">
        <v>0.151</v>
      </c>
      <c r="W41" s="3">
        <v>1.4999999999999999E-2</v>
      </c>
      <c r="X41" t="s">
        <v>345</v>
      </c>
      <c r="Y41" s="3">
        <v>-9.2999999999999999E-2</v>
      </c>
      <c r="Z41" s="3">
        <v>0.377</v>
      </c>
      <c r="AB41" s="3">
        <v>-6.9000000000000006E-2</v>
      </c>
    </row>
    <row r="42" spans="1:28" x14ac:dyDescent="0.25">
      <c r="A42" s="2">
        <v>45751</v>
      </c>
      <c r="B42" t="s">
        <v>136</v>
      </c>
      <c r="C42">
        <v>1.79</v>
      </c>
      <c r="D42" t="s">
        <v>1261</v>
      </c>
      <c r="E42" t="s">
        <v>1267</v>
      </c>
      <c r="F42" t="s">
        <v>1382</v>
      </c>
      <c r="G42" t="s">
        <v>1266</v>
      </c>
      <c r="H42" t="s">
        <v>688</v>
      </c>
      <c r="I42" t="s">
        <v>359</v>
      </c>
      <c r="J42" s="4">
        <v>1.1499999999999999</v>
      </c>
      <c r="K42">
        <f t="shared" si="3"/>
        <v>-35.754189944134083</v>
      </c>
      <c r="L42" s="4">
        <v>2.08</v>
      </c>
      <c r="M42" s="4">
        <v>0.82</v>
      </c>
      <c r="N42" t="s">
        <v>364</v>
      </c>
      <c r="P42" t="s">
        <v>1298</v>
      </c>
      <c r="R42" s="3">
        <v>0</v>
      </c>
      <c r="U42" t="s">
        <v>1299</v>
      </c>
      <c r="V42" s="3">
        <v>2.7770000000000001</v>
      </c>
      <c r="W42" s="3">
        <v>7.9000000000000001E-2</v>
      </c>
      <c r="X42" t="s">
        <v>1300</v>
      </c>
      <c r="AB42" s="3">
        <v>-1.4730000000000001</v>
      </c>
    </row>
    <row r="43" spans="1:28" x14ac:dyDescent="0.25">
      <c r="A43" s="2">
        <v>45751</v>
      </c>
      <c r="B43" t="s">
        <v>137</v>
      </c>
      <c r="C43">
        <v>5.49</v>
      </c>
      <c r="D43" t="s">
        <v>1261</v>
      </c>
      <c r="E43" t="s">
        <v>1267</v>
      </c>
      <c r="F43" t="s">
        <v>1382</v>
      </c>
      <c r="G43" t="s">
        <v>1266</v>
      </c>
      <c r="H43" t="s">
        <v>689</v>
      </c>
      <c r="I43" t="s">
        <v>23</v>
      </c>
      <c r="J43" s="4">
        <v>5.51</v>
      </c>
      <c r="K43">
        <f t="shared" si="3"/>
        <v>0.36429872495444826</v>
      </c>
      <c r="L43" s="4">
        <v>6.89</v>
      </c>
      <c r="M43" s="4">
        <v>3.98</v>
      </c>
      <c r="N43" t="s">
        <v>1301</v>
      </c>
      <c r="P43" t="s">
        <v>1302</v>
      </c>
      <c r="Q43" t="s">
        <v>1303</v>
      </c>
      <c r="R43" s="3">
        <v>0</v>
      </c>
      <c r="S43" t="s">
        <v>1304</v>
      </c>
      <c r="T43" t="s">
        <v>1305</v>
      </c>
      <c r="U43" t="s">
        <v>1306</v>
      </c>
      <c r="V43" s="3">
        <v>3.0000000000000001E-3</v>
      </c>
      <c r="W43" s="3">
        <v>1.7000000000000001E-2</v>
      </c>
      <c r="X43" t="s">
        <v>1307</v>
      </c>
      <c r="Y43" s="3">
        <v>1.6E-2</v>
      </c>
      <c r="AB43" s="3">
        <v>5.0000000000000001E-3</v>
      </c>
    </row>
    <row r="44" spans="1:28" x14ac:dyDescent="0.25">
      <c r="A44" s="2">
        <v>45737</v>
      </c>
      <c r="B44" t="s">
        <v>138</v>
      </c>
      <c r="C44">
        <v>1.7050000000000001</v>
      </c>
      <c r="D44" t="s">
        <v>1261</v>
      </c>
      <c r="E44" t="s">
        <v>1267</v>
      </c>
      <c r="F44" t="s">
        <v>1382</v>
      </c>
      <c r="G44" t="s">
        <v>1266</v>
      </c>
      <c r="H44" t="s">
        <v>690</v>
      </c>
      <c r="I44" t="s">
        <v>347</v>
      </c>
      <c r="J44" s="4">
        <v>1.85</v>
      </c>
      <c r="K44">
        <f t="shared" si="3"/>
        <v>8.5043988269794646</v>
      </c>
      <c r="L44" s="4">
        <v>2.06</v>
      </c>
      <c r="M44" s="4">
        <v>1.2450000000000001</v>
      </c>
      <c r="N44" t="s">
        <v>1250</v>
      </c>
      <c r="O44" s="3">
        <v>1</v>
      </c>
      <c r="P44" t="s">
        <v>1308</v>
      </c>
      <c r="Q44" t="s">
        <v>1309</v>
      </c>
      <c r="R44" s="3">
        <v>0</v>
      </c>
      <c r="S44" t="s">
        <v>395</v>
      </c>
      <c r="T44" t="s">
        <v>1310</v>
      </c>
      <c r="U44" t="s">
        <v>1311</v>
      </c>
      <c r="V44" s="3">
        <v>1.577</v>
      </c>
      <c r="W44" s="3">
        <v>1.2E-2</v>
      </c>
      <c r="X44" t="s">
        <v>1312</v>
      </c>
      <c r="Y44" s="3">
        <v>6.0000000000000001E-3</v>
      </c>
      <c r="Z44" s="3">
        <v>2.1000000000000001E-2</v>
      </c>
      <c r="AA44" s="3">
        <v>-0.54100000000000004</v>
      </c>
      <c r="AB44" s="3">
        <v>2.8000000000000001E-2</v>
      </c>
    </row>
    <row r="45" spans="1:28" x14ac:dyDescent="0.25">
      <c r="A45" s="2">
        <v>45737</v>
      </c>
      <c r="B45" t="s">
        <v>139</v>
      </c>
      <c r="C45">
        <v>11.72</v>
      </c>
      <c r="D45" t="s">
        <v>1261</v>
      </c>
      <c r="E45" t="s">
        <v>1267</v>
      </c>
      <c r="F45" t="s">
        <v>1382</v>
      </c>
      <c r="G45" t="s">
        <v>1266</v>
      </c>
      <c r="H45" t="s">
        <v>691</v>
      </c>
      <c r="I45" t="s">
        <v>21</v>
      </c>
      <c r="J45" s="4">
        <v>10.96</v>
      </c>
      <c r="K45">
        <f t="shared" si="3"/>
        <v>-6.4846416382252521</v>
      </c>
      <c r="L45" s="4">
        <v>13.6</v>
      </c>
      <c r="M45" s="4">
        <v>7.06</v>
      </c>
      <c r="N45" t="s">
        <v>364</v>
      </c>
      <c r="O45" s="3">
        <v>1</v>
      </c>
      <c r="P45" t="s">
        <v>1313</v>
      </c>
      <c r="Q45" t="s">
        <v>1314</v>
      </c>
      <c r="R45" s="3">
        <v>0</v>
      </c>
      <c r="S45" t="s">
        <v>1315</v>
      </c>
      <c r="T45" t="s">
        <v>1316</v>
      </c>
      <c r="U45" t="s">
        <v>1317</v>
      </c>
      <c r="V45" s="3">
        <v>3.8769999999999998</v>
      </c>
      <c r="W45" s="3">
        <v>8.0000000000000002E-3</v>
      </c>
      <c r="X45" t="s">
        <v>1318</v>
      </c>
      <c r="Y45" s="3">
        <v>0.124</v>
      </c>
      <c r="Z45" s="3">
        <v>0.30299999999999999</v>
      </c>
      <c r="AA45" s="3">
        <v>-0.15</v>
      </c>
      <c r="AB45" s="3">
        <v>0.16500000000000001</v>
      </c>
    </row>
    <row r="46" spans="1:28" x14ac:dyDescent="0.25">
      <c r="A46" s="2">
        <v>45737</v>
      </c>
      <c r="B46" t="s">
        <v>140</v>
      </c>
      <c r="C46">
        <v>7.41</v>
      </c>
      <c r="D46" t="s">
        <v>1261</v>
      </c>
      <c r="E46" t="s">
        <v>1267</v>
      </c>
      <c r="F46" t="s">
        <v>1382</v>
      </c>
      <c r="G46" t="s">
        <v>1266</v>
      </c>
      <c r="H46" t="s">
        <v>692</v>
      </c>
      <c r="I46" t="s">
        <v>22</v>
      </c>
      <c r="J46" s="4">
        <v>7.94</v>
      </c>
      <c r="K46">
        <f t="shared" si="3"/>
        <v>7.1524966261808487</v>
      </c>
      <c r="L46" s="4">
        <v>8.4499999999999993</v>
      </c>
      <c r="M46" s="4">
        <v>3.81</v>
      </c>
      <c r="N46" t="s">
        <v>1319</v>
      </c>
      <c r="O46" s="3">
        <v>1</v>
      </c>
      <c r="P46" t="s">
        <v>1320</v>
      </c>
      <c r="Q46" t="s">
        <v>1321</v>
      </c>
      <c r="R46" s="3">
        <v>2.5000000000000001E-2</v>
      </c>
      <c r="S46" t="s">
        <v>1322</v>
      </c>
      <c r="U46" t="s">
        <v>1323</v>
      </c>
      <c r="V46" s="3">
        <v>10.917999999999999</v>
      </c>
      <c r="W46" s="3">
        <v>3.0000000000000001E-3</v>
      </c>
      <c r="X46" t="s">
        <v>1324</v>
      </c>
      <c r="Y46" s="3">
        <v>3.5000000000000003E-2</v>
      </c>
      <c r="Z46" s="3">
        <v>0.72499999999999998</v>
      </c>
      <c r="AA46" s="3">
        <v>5.7000000000000002E-2</v>
      </c>
      <c r="AB46" s="3">
        <v>0.10299999999999999</v>
      </c>
    </row>
    <row r="47" spans="1:28" x14ac:dyDescent="0.25">
      <c r="A47" s="2">
        <v>45730</v>
      </c>
      <c r="B47" t="s">
        <v>141</v>
      </c>
      <c r="C47">
        <v>1.0249999999999999</v>
      </c>
      <c r="D47" t="s">
        <v>1261</v>
      </c>
      <c r="E47" t="s">
        <v>1267</v>
      </c>
      <c r="F47" t="s">
        <v>1382</v>
      </c>
      <c r="G47" t="s">
        <v>1266</v>
      </c>
      <c r="H47" t="s">
        <v>693</v>
      </c>
      <c r="I47" t="s">
        <v>21</v>
      </c>
      <c r="J47" s="4">
        <v>0.98</v>
      </c>
      <c r="K47">
        <f t="shared" si="3"/>
        <v>-4.3902439024390176</v>
      </c>
      <c r="L47" s="4">
        <v>1.165</v>
      </c>
      <c r="M47" s="4">
        <v>0.86499999999999999</v>
      </c>
      <c r="N47" t="s">
        <v>356</v>
      </c>
      <c r="O47" s="3">
        <v>1</v>
      </c>
      <c r="P47" t="s">
        <v>1325</v>
      </c>
      <c r="Q47" t="s">
        <v>1326</v>
      </c>
      <c r="R47" s="3">
        <v>0.06</v>
      </c>
      <c r="S47" t="s">
        <v>1327</v>
      </c>
      <c r="U47" t="s">
        <v>1328</v>
      </c>
      <c r="V47" s="3">
        <v>0.91100000000000003</v>
      </c>
      <c r="W47" s="3">
        <v>1.2E-2</v>
      </c>
      <c r="X47" t="s">
        <v>1329</v>
      </c>
      <c r="Y47" s="3">
        <v>0.104</v>
      </c>
      <c r="Z47" s="3">
        <v>0.26900000000000002</v>
      </c>
      <c r="AA47" s="3">
        <v>0.69499999999999995</v>
      </c>
      <c r="AB47" s="3">
        <v>0.16800000000000001</v>
      </c>
    </row>
    <row r="48" spans="1:28" x14ac:dyDescent="0.25">
      <c r="A48" s="2">
        <v>45730</v>
      </c>
      <c r="B48" t="s">
        <v>142</v>
      </c>
      <c r="C48">
        <v>16</v>
      </c>
      <c r="D48" t="s">
        <v>1261</v>
      </c>
      <c r="E48" t="s">
        <v>1267</v>
      </c>
      <c r="F48" t="s">
        <v>1382</v>
      </c>
      <c r="G48" t="s">
        <v>1266</v>
      </c>
      <c r="H48" t="s">
        <v>694</v>
      </c>
      <c r="I48" t="s">
        <v>347</v>
      </c>
      <c r="J48" s="4">
        <v>21.8</v>
      </c>
      <c r="K48">
        <f t="shared" si="3"/>
        <v>36.250000000000007</v>
      </c>
      <c r="L48" s="4">
        <v>23.93</v>
      </c>
      <c r="M48" s="4">
        <v>8.7899999999999991</v>
      </c>
      <c r="N48" t="s">
        <v>1330</v>
      </c>
      <c r="P48" t="s">
        <v>1331</v>
      </c>
      <c r="Q48" t="s">
        <v>1332</v>
      </c>
      <c r="R48" s="3">
        <v>0</v>
      </c>
      <c r="S48" t="s">
        <v>1271</v>
      </c>
      <c r="T48" t="s">
        <v>1333</v>
      </c>
      <c r="U48" t="s">
        <v>1334</v>
      </c>
      <c r="V48" s="3">
        <v>0.16600000000000001</v>
      </c>
      <c r="W48" s="3">
        <v>1.7999999999999999E-2</v>
      </c>
      <c r="X48" t="s">
        <v>1335</v>
      </c>
      <c r="Y48" s="3">
        <v>1.2E-2</v>
      </c>
      <c r="Z48" s="3">
        <v>0.151</v>
      </c>
      <c r="AA48" s="3">
        <v>-0.49</v>
      </c>
      <c r="AB48" s="3">
        <v>5.7000000000000002E-2</v>
      </c>
    </row>
    <row r="49" spans="1:28" x14ac:dyDescent="0.25">
      <c r="A49" s="2">
        <v>45723</v>
      </c>
      <c r="B49" t="s">
        <v>143</v>
      </c>
      <c r="C49">
        <v>3.1</v>
      </c>
      <c r="D49" t="s">
        <v>1261</v>
      </c>
      <c r="E49" t="s">
        <v>1267</v>
      </c>
      <c r="F49" t="s">
        <v>1382</v>
      </c>
      <c r="G49" t="s">
        <v>1266</v>
      </c>
      <c r="H49" t="s">
        <v>695</v>
      </c>
      <c r="I49" t="s">
        <v>359</v>
      </c>
      <c r="J49" s="4">
        <v>2.76</v>
      </c>
      <c r="K49">
        <f t="shared" si="3"/>
        <v>-10.967741935483877</v>
      </c>
      <c r="L49" s="4">
        <v>3.81</v>
      </c>
      <c r="M49" s="4">
        <v>2.2400000000000002</v>
      </c>
      <c r="N49" t="s">
        <v>364</v>
      </c>
      <c r="O49" s="3">
        <v>1</v>
      </c>
      <c r="P49" t="s">
        <v>1336</v>
      </c>
      <c r="Q49" t="s">
        <v>1337</v>
      </c>
      <c r="R49" s="3">
        <v>4.4999999999999998E-2</v>
      </c>
      <c r="S49" t="s">
        <v>1338</v>
      </c>
      <c r="T49" t="s">
        <v>1339</v>
      </c>
      <c r="U49" t="s">
        <v>1340</v>
      </c>
      <c r="V49" s="3">
        <v>1.869</v>
      </c>
      <c r="W49" s="3">
        <v>6.0000000000000001E-3</v>
      </c>
      <c r="X49" t="s">
        <v>1341</v>
      </c>
      <c r="Y49" s="3">
        <v>4.2999999999999997E-2</v>
      </c>
      <c r="Z49" s="3">
        <v>2.5000000000000001E-2</v>
      </c>
      <c r="AA49" s="3">
        <v>-0.26200000000000001</v>
      </c>
      <c r="AB49" s="3">
        <v>0.184</v>
      </c>
    </row>
    <row r="50" spans="1:28" x14ac:dyDescent="0.25">
      <c r="A50" s="2">
        <v>45723</v>
      </c>
      <c r="B50" t="s">
        <v>144</v>
      </c>
      <c r="C50">
        <v>2.13</v>
      </c>
      <c r="D50" t="s">
        <v>1261</v>
      </c>
      <c r="E50" t="s">
        <v>1267</v>
      </c>
      <c r="F50" t="s">
        <v>1382</v>
      </c>
      <c r="G50" t="s">
        <v>1266</v>
      </c>
      <c r="H50" t="s">
        <v>696</v>
      </c>
      <c r="I50" t="s">
        <v>359</v>
      </c>
      <c r="J50" s="4">
        <v>2.6</v>
      </c>
      <c r="K50">
        <f t="shared" si="3"/>
        <v>22.065727699530523</v>
      </c>
      <c r="L50" s="4">
        <v>3.16</v>
      </c>
      <c r="M50" s="4">
        <v>1.89</v>
      </c>
      <c r="N50" t="s">
        <v>1272</v>
      </c>
      <c r="O50" s="3">
        <v>1</v>
      </c>
      <c r="P50" t="s">
        <v>1342</v>
      </c>
      <c r="Q50" t="s">
        <v>1343</v>
      </c>
      <c r="R50" s="3">
        <v>2.1999999999999999E-2</v>
      </c>
      <c r="S50" t="s">
        <v>1270</v>
      </c>
      <c r="T50" t="s">
        <v>1344</v>
      </c>
      <c r="U50" t="s">
        <v>1345</v>
      </c>
      <c r="V50" s="3">
        <v>0.76800000000000002</v>
      </c>
      <c r="W50" s="3">
        <v>6.0000000000000001E-3</v>
      </c>
      <c r="X50" t="s">
        <v>1346</v>
      </c>
      <c r="Y50" s="3">
        <v>1.2E-2</v>
      </c>
      <c r="Z50" s="3">
        <v>0.10199999999999999</v>
      </c>
      <c r="AB50" s="3">
        <v>1.0999999999999999E-2</v>
      </c>
    </row>
    <row r="51" spans="1:28" x14ac:dyDescent="0.25">
      <c r="A51" s="2">
        <v>45723</v>
      </c>
      <c r="B51" t="s">
        <v>90</v>
      </c>
      <c r="C51">
        <v>4.5599999999999996</v>
      </c>
      <c r="D51" t="s">
        <v>1261</v>
      </c>
      <c r="E51" t="s">
        <v>1267</v>
      </c>
      <c r="F51" t="s">
        <v>1382</v>
      </c>
      <c r="G51" t="s">
        <v>1266</v>
      </c>
      <c r="H51" t="s">
        <v>697</v>
      </c>
      <c r="I51" t="s">
        <v>1347</v>
      </c>
      <c r="J51" s="4">
        <v>3.91</v>
      </c>
      <c r="K51">
        <f t="shared" si="3"/>
        <v>-14.254385964912275</v>
      </c>
      <c r="L51" s="4">
        <v>5.45</v>
      </c>
      <c r="M51" s="4">
        <v>3.42</v>
      </c>
      <c r="N51" t="s">
        <v>1249</v>
      </c>
      <c r="O51" s="3">
        <v>1</v>
      </c>
      <c r="P51" t="s">
        <v>1348</v>
      </c>
      <c r="Q51" t="s">
        <v>1349</v>
      </c>
      <c r="R51" s="3">
        <v>0</v>
      </c>
      <c r="S51" t="s">
        <v>1350</v>
      </c>
      <c r="U51" t="s">
        <v>1351</v>
      </c>
      <c r="V51" s="3">
        <v>0.77</v>
      </c>
      <c r="W51" s="3">
        <v>2.1000000000000001E-2</v>
      </c>
      <c r="X51" t="s">
        <v>1352</v>
      </c>
      <c r="Y51" s="3">
        <v>8.5999999999999993E-2</v>
      </c>
      <c r="Z51" s="3">
        <v>0.13800000000000001</v>
      </c>
      <c r="AA51" s="3">
        <v>-0.61099999999999999</v>
      </c>
      <c r="AB51" s="3">
        <v>7.0000000000000007E-2</v>
      </c>
    </row>
    <row r="52" spans="1:28" x14ac:dyDescent="0.25">
      <c r="A52" s="2">
        <v>45716</v>
      </c>
      <c r="B52" t="s">
        <v>145</v>
      </c>
      <c r="C52">
        <v>4.76</v>
      </c>
      <c r="D52" t="s">
        <v>1261</v>
      </c>
      <c r="E52" t="s">
        <v>1267</v>
      </c>
      <c r="F52" t="s">
        <v>1382</v>
      </c>
      <c r="G52" t="s">
        <v>1266</v>
      </c>
      <c r="H52" t="s">
        <v>698</v>
      </c>
      <c r="I52" t="s">
        <v>21</v>
      </c>
      <c r="J52" s="4">
        <v>3.97</v>
      </c>
      <c r="K52">
        <f t="shared" si="3"/>
        <v>-16.596638655462183</v>
      </c>
      <c r="L52" s="4">
        <v>6.62</v>
      </c>
      <c r="M52" s="4">
        <v>2.2799999999999998</v>
      </c>
      <c r="N52" t="s">
        <v>385</v>
      </c>
      <c r="P52" t="s">
        <v>1353</v>
      </c>
      <c r="R52" s="3">
        <v>0</v>
      </c>
      <c r="S52" t="s">
        <v>1354</v>
      </c>
      <c r="T52" t="s">
        <v>1355</v>
      </c>
      <c r="U52" t="s">
        <v>1356</v>
      </c>
      <c r="V52" s="3">
        <v>8.9999999999999993E-3</v>
      </c>
      <c r="W52" s="3">
        <v>0.14699999999999999</v>
      </c>
      <c r="X52" t="s">
        <v>1357</v>
      </c>
      <c r="Y52" s="3">
        <v>-2.1850000000000001</v>
      </c>
      <c r="Z52" s="3">
        <v>0.84099999999999997</v>
      </c>
      <c r="AB52" s="3">
        <v>-0.24099999999999999</v>
      </c>
    </row>
    <row r="53" spans="1:28" x14ac:dyDescent="0.25">
      <c r="A53" s="2">
        <v>45716</v>
      </c>
      <c r="B53" t="s">
        <v>146</v>
      </c>
      <c r="C53">
        <v>1.99</v>
      </c>
      <c r="D53" t="s">
        <v>1261</v>
      </c>
      <c r="E53" t="s">
        <v>1267</v>
      </c>
      <c r="F53" t="s">
        <v>1382</v>
      </c>
      <c r="G53" t="s">
        <v>1266</v>
      </c>
      <c r="H53" t="s">
        <v>699</v>
      </c>
      <c r="I53" t="s">
        <v>359</v>
      </c>
      <c r="J53" s="4">
        <v>0.98</v>
      </c>
      <c r="K53">
        <f t="shared" si="3"/>
        <v>-50.753768844221113</v>
      </c>
      <c r="L53" s="4">
        <v>2.5</v>
      </c>
      <c r="M53" s="4">
        <v>0.88</v>
      </c>
      <c r="N53" t="s">
        <v>1358</v>
      </c>
      <c r="O53" s="3">
        <v>0</v>
      </c>
      <c r="P53" t="s">
        <v>1359</v>
      </c>
      <c r="R53" s="3">
        <v>0</v>
      </c>
      <c r="S53" t="s">
        <v>1339</v>
      </c>
      <c r="U53" t="s">
        <v>1360</v>
      </c>
      <c r="V53" s="3">
        <v>0.19400000000000001</v>
      </c>
      <c r="W53" s="3">
        <v>0.04</v>
      </c>
      <c r="X53" t="s">
        <v>1361</v>
      </c>
      <c r="Y53" s="3">
        <v>-0.47899999999999998</v>
      </c>
      <c r="Z53" s="3">
        <v>0.156</v>
      </c>
      <c r="AB53" s="3">
        <v>-0.35199999999999998</v>
      </c>
    </row>
    <row r="54" spans="1:28" x14ac:dyDescent="0.25">
      <c r="A54" s="2">
        <v>45681</v>
      </c>
      <c r="B54" t="s">
        <v>147</v>
      </c>
      <c r="C54">
        <v>2.8</v>
      </c>
      <c r="D54" t="s">
        <v>1261</v>
      </c>
      <c r="E54" t="s">
        <v>1268</v>
      </c>
      <c r="F54" t="s">
        <v>1382</v>
      </c>
      <c r="G54" t="s">
        <v>1263</v>
      </c>
      <c r="H54" t="s">
        <v>700</v>
      </c>
      <c r="I54" t="s">
        <v>359</v>
      </c>
      <c r="J54" s="4">
        <v>1.77</v>
      </c>
      <c r="K54">
        <f t="shared" si="3"/>
        <v>-36.785714285714278</v>
      </c>
      <c r="L54" s="4">
        <v>4.5199999999999996</v>
      </c>
      <c r="M54" s="4">
        <v>1.48</v>
      </c>
      <c r="N54" t="s">
        <v>1250</v>
      </c>
      <c r="P54" t="s">
        <v>1362</v>
      </c>
      <c r="R54" s="3">
        <v>0</v>
      </c>
      <c r="S54" t="s">
        <v>1363</v>
      </c>
      <c r="U54" t="s">
        <v>1364</v>
      </c>
      <c r="W54" s="3">
        <v>2.1000000000000001E-2</v>
      </c>
      <c r="X54" t="s">
        <v>1365</v>
      </c>
      <c r="Y54" s="3">
        <v>-0.79600000000000004</v>
      </c>
      <c r="AB54" s="3">
        <v>-4.0750000000000002</v>
      </c>
    </row>
    <row r="55" spans="1:28" x14ac:dyDescent="0.25">
      <c r="A55" s="2">
        <v>45681</v>
      </c>
      <c r="B55" t="s">
        <v>148</v>
      </c>
      <c r="C55">
        <v>0.875</v>
      </c>
      <c r="D55" t="s">
        <v>1261</v>
      </c>
      <c r="E55" t="s">
        <v>1268</v>
      </c>
      <c r="F55" t="s">
        <v>1382</v>
      </c>
      <c r="G55" t="s">
        <v>1263</v>
      </c>
      <c r="H55" t="s">
        <v>701</v>
      </c>
      <c r="I55" t="s">
        <v>347</v>
      </c>
      <c r="J55" s="4">
        <v>0.63</v>
      </c>
      <c r="K55">
        <f t="shared" si="3"/>
        <v>-28.000000000000004</v>
      </c>
      <c r="L55" s="4">
        <v>1.2350000000000001</v>
      </c>
      <c r="M55" s="4">
        <v>0.56000000000000005</v>
      </c>
      <c r="N55" t="s">
        <v>1366</v>
      </c>
      <c r="O55" s="3">
        <v>1</v>
      </c>
      <c r="P55" t="s">
        <v>1367</v>
      </c>
      <c r="Q55" t="s">
        <v>1260</v>
      </c>
      <c r="R55" s="3">
        <v>8.0000000000000002E-3</v>
      </c>
      <c r="S55" t="s">
        <v>1368</v>
      </c>
      <c r="T55" t="s">
        <v>1369</v>
      </c>
      <c r="U55" t="s">
        <v>1370</v>
      </c>
      <c r="V55" s="3">
        <v>5.8380000000000001</v>
      </c>
      <c r="W55" s="3">
        <v>8.9999999999999993E-3</v>
      </c>
      <c r="X55" t="s">
        <v>1371</v>
      </c>
      <c r="Y55" s="3">
        <v>8.9999999999999993E-3</v>
      </c>
      <c r="Z55" s="3">
        <v>5.6000000000000001E-2</v>
      </c>
      <c r="AA55" s="3">
        <v>-2.9000000000000001E-2</v>
      </c>
      <c r="AB55" s="3">
        <v>8.5000000000000006E-2</v>
      </c>
    </row>
    <row r="56" spans="1:28" x14ac:dyDescent="0.25">
      <c r="A56" s="2">
        <v>45674</v>
      </c>
      <c r="B56" t="s">
        <v>149</v>
      </c>
      <c r="C56">
        <v>5.27</v>
      </c>
      <c r="D56" t="s">
        <v>1261</v>
      </c>
      <c r="E56" t="s">
        <v>1268</v>
      </c>
      <c r="F56" t="s">
        <v>1382</v>
      </c>
      <c r="G56" t="s">
        <v>1263</v>
      </c>
      <c r="H56" t="s">
        <v>702</v>
      </c>
      <c r="I56" t="s">
        <v>25</v>
      </c>
      <c r="J56" s="4">
        <v>7.32</v>
      </c>
      <c r="K56">
        <f t="shared" si="3"/>
        <v>38.899430740037964</v>
      </c>
      <c r="L56" s="4">
        <v>7.38</v>
      </c>
      <c r="M56" s="4">
        <v>4.4400000000000004</v>
      </c>
      <c r="N56" t="s">
        <v>1249</v>
      </c>
      <c r="O56" s="3">
        <v>1</v>
      </c>
      <c r="P56" t="s">
        <v>1372</v>
      </c>
      <c r="Q56" t="s">
        <v>1373</v>
      </c>
      <c r="R56" s="3">
        <v>3.6999999999999998E-2</v>
      </c>
      <c r="S56" t="s">
        <v>381</v>
      </c>
      <c r="T56" t="s">
        <v>1374</v>
      </c>
      <c r="U56" t="s">
        <v>1375</v>
      </c>
      <c r="V56" s="3">
        <v>0.41199999999999998</v>
      </c>
      <c r="W56" s="3">
        <v>4.1000000000000002E-2</v>
      </c>
      <c r="X56" t="s">
        <v>1376</v>
      </c>
      <c r="Y56" s="3">
        <v>0.115</v>
      </c>
      <c r="Z56" s="3">
        <v>8.7999999999999995E-2</v>
      </c>
      <c r="AA56" s="3">
        <v>6.4000000000000001E-2</v>
      </c>
      <c r="AB56" s="3">
        <v>0.11899999999999999</v>
      </c>
    </row>
    <row r="57" spans="1:28" x14ac:dyDescent="0.25">
      <c r="A57" s="2">
        <v>45660</v>
      </c>
      <c r="B57" t="s">
        <v>150</v>
      </c>
      <c r="C57">
        <v>1.36</v>
      </c>
      <c r="D57" t="s">
        <v>1261</v>
      </c>
      <c r="E57" t="s">
        <v>1268</v>
      </c>
      <c r="F57" t="s">
        <v>1382</v>
      </c>
      <c r="G57" t="s">
        <v>1263</v>
      </c>
      <c r="H57" t="s">
        <v>703</v>
      </c>
      <c r="I57" t="s">
        <v>359</v>
      </c>
      <c r="J57" s="4">
        <v>1.44</v>
      </c>
      <c r="K57">
        <f t="shared" si="3"/>
        <v>5.8823529411764497</v>
      </c>
      <c r="L57" s="4">
        <v>2.09</v>
      </c>
      <c r="M57" s="4">
        <v>0.89500000000000002</v>
      </c>
      <c r="N57" t="s">
        <v>1251</v>
      </c>
      <c r="P57" t="s">
        <v>1377</v>
      </c>
      <c r="R57" s="3">
        <v>0</v>
      </c>
      <c r="S57" t="s">
        <v>1378</v>
      </c>
      <c r="U57" t="s">
        <v>1379</v>
      </c>
      <c r="V57" s="3">
        <v>2.1999999999999999E-2</v>
      </c>
      <c r="W57" s="3">
        <v>5.5E-2</v>
      </c>
      <c r="X57" t="s">
        <v>1380</v>
      </c>
      <c r="Y57" s="3">
        <v>-1.8440000000000001</v>
      </c>
      <c r="Z57" s="3">
        <v>0.92900000000000005</v>
      </c>
      <c r="AB5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tabSelected="1"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COUNTA(Trades!$A$2:A1048576)</f>
        <v>897</v>
      </c>
      <c r="D2">
        <f>COUNTIF(Trades!$J$2:J898,"&gt;0")</f>
        <v>444</v>
      </c>
      <c r="E2">
        <f>AVERAGEIF(Trades!$J$2:J898,"&gt;0")*100</f>
        <v>36.718023229636756</v>
      </c>
      <c r="F2">
        <f>C2-D2</f>
        <v>453</v>
      </c>
      <c r="G2">
        <f>AVERAGEIF(Trades!$J$2:J898,"&lt;0")*100</f>
        <v>-13.072172264480264</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8"/>
  <sheetViews>
    <sheetView topLeftCell="A1316" workbookViewId="0">
      <selection activeCell="H1340" sqref="H134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8" spans="1:5" x14ac:dyDescent="0.25">
      <c r="C135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8"/>
  <sheetViews>
    <sheetView workbookViewId="0">
      <selection activeCell="B1" sqref="B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s="13" t="s">
        <v>1518</v>
      </c>
      <c r="B2" s="13" t="s">
        <v>1519</v>
      </c>
      <c r="C2" s="13" t="s">
        <v>1231</v>
      </c>
      <c r="D2" s="12">
        <v>45929</v>
      </c>
      <c r="E2" s="13">
        <v>0.53500000000000003</v>
      </c>
      <c r="F2" s="12">
        <v>45929</v>
      </c>
      <c r="G2">
        <v>0.54500000000000004</v>
      </c>
      <c r="H2" s="3">
        <f t="shared" ref="H2" si="0">G2/E2-1</f>
        <v>1.8691588785046731E-2</v>
      </c>
      <c r="I2">
        <f t="shared" ref="I2" si="1">K2*E2*J2</f>
        <v>6051.5305900000003</v>
      </c>
      <c r="J2" s="3">
        <f t="shared" ref="J2" si="2">H2-0.002</f>
        <v>1.6691588785046729E-2</v>
      </c>
      <c r="K2" s="13">
        <v>677663</v>
      </c>
      <c r="N2" s="3"/>
      <c r="O2" s="11"/>
    </row>
    <row r="3" spans="1:18" x14ac:dyDescent="0.25">
      <c r="A3" t="s">
        <v>1494</v>
      </c>
      <c r="B3" t="s">
        <v>1496</v>
      </c>
      <c r="C3" t="s">
        <v>1231</v>
      </c>
      <c r="D3" s="2">
        <v>44826</v>
      </c>
      <c r="E3">
        <v>3.48</v>
      </c>
      <c r="F3" s="12">
        <v>45926</v>
      </c>
      <c r="G3" s="4">
        <v>3.45</v>
      </c>
      <c r="H3" s="3">
        <f t="shared" ref="H3:H5" si="3">G3/E3-1</f>
        <v>-8.6206896551723755E-3</v>
      </c>
      <c r="I3">
        <f t="shared" ref="I3:I5" si="4">K3*E3*J3</f>
        <v>-3712.1884799999866</v>
      </c>
      <c r="J3" s="3">
        <f t="shared" ref="J3:J5" si="5">H3-0.002</f>
        <v>-1.0620689655172376E-2</v>
      </c>
      <c r="K3">
        <v>100438</v>
      </c>
      <c r="N3" s="3"/>
      <c r="R3" s="4"/>
    </row>
    <row r="4" spans="1:18" x14ac:dyDescent="0.25">
      <c r="A4" t="s">
        <v>1495</v>
      </c>
      <c r="B4" t="s">
        <v>1497</v>
      </c>
      <c r="C4" s="18" t="s">
        <v>1231</v>
      </c>
      <c r="D4" s="2">
        <v>44826</v>
      </c>
      <c r="E4">
        <v>6.23</v>
      </c>
      <c r="F4" s="12">
        <v>45926</v>
      </c>
      <c r="G4" s="4">
        <v>6.21</v>
      </c>
      <c r="H4" s="3">
        <f t="shared" si="3"/>
        <v>-3.2102728731943087E-3</v>
      </c>
      <c r="I4">
        <f t="shared" si="4"/>
        <v>-1811.2355400000304</v>
      </c>
      <c r="J4" s="3">
        <f t="shared" si="5"/>
        <v>-5.2102728731943087E-3</v>
      </c>
      <c r="K4">
        <v>55799</v>
      </c>
      <c r="N4" s="3"/>
      <c r="R4" s="4"/>
    </row>
    <row r="5" spans="1:18" x14ac:dyDescent="0.25">
      <c r="A5" t="s">
        <v>227</v>
      </c>
      <c r="B5" t="s">
        <v>813</v>
      </c>
      <c r="C5" t="s">
        <v>1231</v>
      </c>
      <c r="D5" s="2">
        <v>44826</v>
      </c>
      <c r="E5">
        <v>3.25</v>
      </c>
      <c r="F5" s="12">
        <v>45926</v>
      </c>
      <c r="G5" s="4">
        <v>3.2</v>
      </c>
      <c r="H5" s="3">
        <f t="shared" si="3"/>
        <v>-1.538461538461533E-2</v>
      </c>
      <c r="I5">
        <f t="shared" si="4"/>
        <v>-6118.1024999999818</v>
      </c>
      <c r="J5" s="3">
        <f t="shared" si="5"/>
        <v>-1.7384615384615332E-2</v>
      </c>
      <c r="K5">
        <v>108285</v>
      </c>
      <c r="N5" s="3"/>
      <c r="R5" s="4"/>
    </row>
    <row r="6" spans="1:18" x14ac:dyDescent="0.25">
      <c r="A6" t="s">
        <v>1413</v>
      </c>
      <c r="B6" t="s">
        <v>1414</v>
      </c>
      <c r="C6" s="18" t="s">
        <v>1231</v>
      </c>
      <c r="D6" s="2">
        <v>45887</v>
      </c>
      <c r="E6">
        <v>6</v>
      </c>
      <c r="F6" s="12">
        <v>45926</v>
      </c>
      <c r="G6">
        <v>6</v>
      </c>
      <c r="H6" s="3">
        <f>G6/E6-1</f>
        <v>0</v>
      </c>
      <c r="I6">
        <f>K6*E6*J6</f>
        <v>-677.58</v>
      </c>
      <c r="J6" s="3">
        <f>H6-0.002</f>
        <v>-2E-3</v>
      </c>
      <c r="K6">
        <v>56465</v>
      </c>
      <c r="N6" s="3"/>
      <c r="P6" s="15"/>
      <c r="R6" s="4"/>
    </row>
    <row r="7" spans="1:18" x14ac:dyDescent="0.25">
      <c r="A7" s="17" t="s">
        <v>1407</v>
      </c>
      <c r="B7" s="17" t="s">
        <v>1408</v>
      </c>
      <c r="C7" s="18" t="s">
        <v>1231</v>
      </c>
      <c r="D7" s="19">
        <v>45873</v>
      </c>
      <c r="E7" s="20">
        <v>0.625</v>
      </c>
      <c r="F7" s="12">
        <v>45926</v>
      </c>
      <c r="G7" s="20">
        <v>0.625</v>
      </c>
      <c r="H7" s="3">
        <f t="shared" ref="H7" si="6">G7/E7-1</f>
        <v>0</v>
      </c>
      <c r="I7" s="20">
        <f t="shared" ref="I7" si="7">K7*E7*J7</f>
        <v>-603.01625000000001</v>
      </c>
      <c r="J7" s="21">
        <f t="shared" ref="J7" si="8">H7-0.002</f>
        <v>-2E-3</v>
      </c>
      <c r="K7" s="20">
        <v>482413</v>
      </c>
      <c r="N7" s="3"/>
      <c r="P7" s="15"/>
      <c r="R7" s="4"/>
    </row>
    <row r="8" spans="1:18" x14ac:dyDescent="0.25">
      <c r="A8" t="s">
        <v>114</v>
      </c>
      <c r="B8" t="s">
        <v>341</v>
      </c>
      <c r="C8" t="s">
        <v>1231</v>
      </c>
      <c r="D8" s="2">
        <v>45793</v>
      </c>
      <c r="E8">
        <v>3.31</v>
      </c>
      <c r="F8" s="12">
        <v>45926</v>
      </c>
      <c r="G8">
        <v>3.31</v>
      </c>
      <c r="H8" s="3">
        <f t="shared" ref="H8:H18" si="9">G8/E8-1</f>
        <v>0</v>
      </c>
      <c r="I8" s="20">
        <f t="shared" ref="I8:I18" si="10">K8*E8*J8</f>
        <v>-581.48756000000003</v>
      </c>
      <c r="J8" s="21">
        <f t="shared" ref="J8:J18" si="11">H8-0.002</f>
        <v>-2E-3</v>
      </c>
      <c r="K8">
        <v>87838</v>
      </c>
      <c r="N8" s="3"/>
      <c r="P8" s="15"/>
      <c r="R8" s="4"/>
    </row>
    <row r="9" spans="1:18" x14ac:dyDescent="0.25">
      <c r="A9" t="s">
        <v>115</v>
      </c>
      <c r="B9" t="s">
        <v>346</v>
      </c>
      <c r="C9" t="s">
        <v>1231</v>
      </c>
      <c r="D9" s="2">
        <v>45786</v>
      </c>
      <c r="E9">
        <v>2.036613</v>
      </c>
      <c r="F9" s="12">
        <v>45926</v>
      </c>
      <c r="G9">
        <v>2.036613</v>
      </c>
      <c r="H9" s="3">
        <f t="shared" si="9"/>
        <v>0</v>
      </c>
      <c r="I9" s="20">
        <f t="shared" si="10"/>
        <v>-522.08166932400002</v>
      </c>
      <c r="J9" s="21">
        <f t="shared" si="11"/>
        <v>-2E-3</v>
      </c>
      <c r="K9">
        <v>128174</v>
      </c>
      <c r="N9" s="3"/>
      <c r="P9" s="15"/>
      <c r="R9" s="4"/>
    </row>
    <row r="10" spans="1:18" x14ac:dyDescent="0.25">
      <c r="A10" t="s">
        <v>117</v>
      </c>
      <c r="B10" t="s">
        <v>353</v>
      </c>
      <c r="C10" t="s">
        <v>1231</v>
      </c>
      <c r="D10" s="2">
        <v>45786</v>
      </c>
      <c r="E10">
        <v>1.26</v>
      </c>
      <c r="F10" s="12">
        <v>45926</v>
      </c>
      <c r="G10">
        <v>1.26</v>
      </c>
      <c r="H10" s="3">
        <f t="shared" si="9"/>
        <v>0</v>
      </c>
      <c r="I10" s="20">
        <f t="shared" si="10"/>
        <v>-533.85444000000007</v>
      </c>
      <c r="J10" s="21">
        <f t="shared" si="11"/>
        <v>-2E-3</v>
      </c>
      <c r="K10">
        <v>211847</v>
      </c>
      <c r="N10" s="3"/>
      <c r="P10" s="15"/>
      <c r="R10" s="4"/>
    </row>
    <row r="11" spans="1:18" x14ac:dyDescent="0.25">
      <c r="A11" t="s">
        <v>118</v>
      </c>
      <c r="B11" t="s">
        <v>355</v>
      </c>
      <c r="C11" t="s">
        <v>1231</v>
      </c>
      <c r="D11" s="2">
        <v>45786</v>
      </c>
      <c r="E11">
        <v>1.79</v>
      </c>
      <c r="F11" s="12">
        <v>45926</v>
      </c>
      <c r="G11">
        <v>1.79</v>
      </c>
      <c r="H11" s="3">
        <f t="shared" si="9"/>
        <v>0</v>
      </c>
      <c r="I11" s="20">
        <f t="shared" si="10"/>
        <v>-522.23249999999996</v>
      </c>
      <c r="J11" s="21">
        <f t="shared" si="11"/>
        <v>-2E-3</v>
      </c>
      <c r="K11">
        <v>145875</v>
      </c>
      <c r="N11" s="3"/>
      <c r="O11" s="4"/>
      <c r="P11" s="15"/>
      <c r="R11" s="4"/>
    </row>
    <row r="12" spans="1:18" x14ac:dyDescent="0.25">
      <c r="A12" t="s">
        <v>120</v>
      </c>
      <c r="B12" t="s">
        <v>363</v>
      </c>
      <c r="C12" t="s">
        <v>1231</v>
      </c>
      <c r="D12" s="2">
        <v>45786</v>
      </c>
      <c r="E12">
        <v>1.885</v>
      </c>
      <c r="F12" s="12">
        <v>45926</v>
      </c>
      <c r="G12">
        <v>1.885</v>
      </c>
      <c r="H12" s="3">
        <f t="shared" si="9"/>
        <v>0</v>
      </c>
      <c r="I12" s="20">
        <f t="shared" si="10"/>
        <v>-522.33349999999996</v>
      </c>
      <c r="J12" s="21">
        <f t="shared" si="11"/>
        <v>-2E-3</v>
      </c>
      <c r="K12">
        <v>138550</v>
      </c>
      <c r="N12" s="3"/>
      <c r="P12" s="15"/>
      <c r="R12" s="4"/>
    </row>
    <row r="13" spans="1:18" x14ac:dyDescent="0.25">
      <c r="A13" t="s">
        <v>122</v>
      </c>
      <c r="B13" t="s">
        <v>367</v>
      </c>
      <c r="C13" t="s">
        <v>1231</v>
      </c>
      <c r="D13" s="2">
        <v>45786</v>
      </c>
      <c r="E13">
        <v>3.32</v>
      </c>
      <c r="F13" s="12">
        <v>45926</v>
      </c>
      <c r="G13">
        <v>3.32</v>
      </c>
      <c r="H13" s="3">
        <f t="shared" si="9"/>
        <v>0</v>
      </c>
      <c r="I13" s="20">
        <f t="shared" si="10"/>
        <v>-522.42856000000006</v>
      </c>
      <c r="J13" s="21">
        <f t="shared" si="11"/>
        <v>-2E-3</v>
      </c>
      <c r="K13">
        <v>78679</v>
      </c>
      <c r="N13" s="3"/>
      <c r="P13" s="15"/>
      <c r="R13" s="4"/>
    </row>
    <row r="14" spans="1:18" x14ac:dyDescent="0.25">
      <c r="A14" t="s">
        <v>123</v>
      </c>
      <c r="B14" t="s">
        <v>371</v>
      </c>
      <c r="C14" t="s">
        <v>1231</v>
      </c>
      <c r="D14" s="2">
        <v>45786</v>
      </c>
      <c r="E14">
        <v>0.68</v>
      </c>
      <c r="F14" s="12">
        <v>45926</v>
      </c>
      <c r="G14">
        <v>0.68</v>
      </c>
      <c r="H14" s="3">
        <f t="shared" si="9"/>
        <v>0</v>
      </c>
      <c r="I14" s="20">
        <f t="shared" si="10"/>
        <v>-542.42511999999999</v>
      </c>
      <c r="J14" s="21">
        <f t="shared" si="11"/>
        <v>-2E-3</v>
      </c>
      <c r="K14">
        <v>398842</v>
      </c>
      <c r="N14" s="3"/>
      <c r="P14" s="15"/>
      <c r="R14" s="4"/>
    </row>
    <row r="15" spans="1:18" x14ac:dyDescent="0.25">
      <c r="A15" t="s">
        <v>100</v>
      </c>
      <c r="B15" t="s">
        <v>379</v>
      </c>
      <c r="C15" t="s">
        <v>1231</v>
      </c>
      <c r="D15" s="2">
        <v>45786</v>
      </c>
      <c r="E15">
        <v>1.8</v>
      </c>
      <c r="F15" s="12">
        <v>45926</v>
      </c>
      <c r="G15">
        <v>1.8</v>
      </c>
      <c r="H15" s="3">
        <f t="shared" si="9"/>
        <v>0</v>
      </c>
      <c r="I15" s="20">
        <f t="shared" si="10"/>
        <v>-522.63</v>
      </c>
      <c r="J15" s="21">
        <f t="shared" si="11"/>
        <v>-2E-3</v>
      </c>
      <c r="K15">
        <v>145175</v>
      </c>
      <c r="N15" s="3"/>
      <c r="P15" s="15"/>
      <c r="R15" s="4"/>
    </row>
    <row r="16" spans="1:18" x14ac:dyDescent="0.25">
      <c r="A16" t="s">
        <v>126</v>
      </c>
      <c r="B16" t="s">
        <v>382</v>
      </c>
      <c r="C16" t="s">
        <v>1231</v>
      </c>
      <c r="D16" s="2">
        <v>45786</v>
      </c>
      <c r="E16">
        <v>2.66</v>
      </c>
      <c r="F16" s="12">
        <v>45926</v>
      </c>
      <c r="G16">
        <v>2.66</v>
      </c>
      <c r="H16" s="3">
        <f t="shared" si="9"/>
        <v>0</v>
      </c>
      <c r="I16" s="20">
        <f t="shared" si="10"/>
        <v>-522.67936000000009</v>
      </c>
      <c r="J16" s="21">
        <f t="shared" si="11"/>
        <v>-2E-3</v>
      </c>
      <c r="K16">
        <v>98248</v>
      </c>
      <c r="N16" s="3"/>
      <c r="P16" s="15"/>
      <c r="R16" s="4"/>
    </row>
    <row r="17" spans="1:18" x14ac:dyDescent="0.25">
      <c r="A17" t="s">
        <v>127</v>
      </c>
      <c r="B17" t="s">
        <v>384</v>
      </c>
      <c r="C17" t="s">
        <v>1231</v>
      </c>
      <c r="D17" s="2">
        <v>45786</v>
      </c>
      <c r="E17">
        <v>1.66</v>
      </c>
      <c r="F17" s="12">
        <v>45926</v>
      </c>
      <c r="G17">
        <v>1.66</v>
      </c>
      <c r="H17" s="3">
        <f t="shared" si="9"/>
        <v>0</v>
      </c>
      <c r="I17" s="20">
        <f t="shared" si="10"/>
        <v>-522.73068000000001</v>
      </c>
      <c r="J17" s="21">
        <f t="shared" si="11"/>
        <v>-2E-3</v>
      </c>
      <c r="K17">
        <v>157449</v>
      </c>
      <c r="N17" s="3"/>
      <c r="P17" s="15"/>
      <c r="R17" s="4"/>
    </row>
    <row r="18" spans="1:18" x14ac:dyDescent="0.25">
      <c r="A18" t="s">
        <v>96</v>
      </c>
      <c r="B18" t="s">
        <v>388</v>
      </c>
      <c r="C18" t="s">
        <v>1231</v>
      </c>
      <c r="D18" s="2">
        <v>45786</v>
      </c>
      <c r="E18">
        <v>2.9</v>
      </c>
      <c r="F18" s="12">
        <v>45926</v>
      </c>
      <c r="G18">
        <v>2.9</v>
      </c>
      <c r="H18" s="3">
        <f t="shared" si="9"/>
        <v>0</v>
      </c>
      <c r="I18" s="20">
        <f t="shared" si="10"/>
        <v>-522.77719999999999</v>
      </c>
      <c r="J18" s="21">
        <f t="shared" si="11"/>
        <v>-2E-3</v>
      </c>
      <c r="K18">
        <v>90134</v>
      </c>
      <c r="N18" s="3"/>
      <c r="P18" s="15"/>
      <c r="R18" s="4"/>
    </row>
    <row r="19" spans="1:18" x14ac:dyDescent="0.25">
      <c r="A19" t="s">
        <v>129</v>
      </c>
      <c r="B19" t="s">
        <v>393</v>
      </c>
      <c r="C19" t="s">
        <v>1231</v>
      </c>
      <c r="D19" s="2">
        <v>45702</v>
      </c>
      <c r="E19">
        <v>1.425</v>
      </c>
      <c r="F19" s="12">
        <v>45926</v>
      </c>
      <c r="G19">
        <v>1.425</v>
      </c>
      <c r="H19" s="3">
        <f t="shared" ref="H19:H20" si="12">G19/E19-1</f>
        <v>0</v>
      </c>
      <c r="I19" s="20">
        <f t="shared" ref="I19" si="13">K19*E19*J19</f>
        <v>-601.86015000000009</v>
      </c>
      <c r="J19" s="21">
        <f t="shared" ref="J19:J20" si="14">H19-0.002</f>
        <v>-2E-3</v>
      </c>
      <c r="K19">
        <v>211179</v>
      </c>
      <c r="N19" s="3"/>
      <c r="P19" s="15"/>
      <c r="R19" s="4"/>
    </row>
    <row r="20" spans="1:18" x14ac:dyDescent="0.25">
      <c r="A20" t="s">
        <v>130</v>
      </c>
      <c r="B20" t="s">
        <v>398</v>
      </c>
      <c r="C20" t="s">
        <v>1231</v>
      </c>
      <c r="D20" s="2">
        <v>45660</v>
      </c>
      <c r="E20">
        <v>0.52570839999999996</v>
      </c>
      <c r="F20" s="12">
        <v>45926</v>
      </c>
      <c r="G20">
        <v>0.52570839999999996</v>
      </c>
      <c r="H20" s="3">
        <f t="shared" si="12"/>
        <v>0</v>
      </c>
      <c r="I20" s="20">
        <f>K20*E20*J20</f>
        <v>-571.62377165599992</v>
      </c>
      <c r="J20" s="3">
        <f t="shared" si="14"/>
        <v>-2E-3</v>
      </c>
      <c r="K20">
        <v>543670</v>
      </c>
      <c r="N20" s="3"/>
      <c r="P20" s="15"/>
      <c r="R20" s="4"/>
    </row>
    <row r="21" spans="1:18" x14ac:dyDescent="0.25">
      <c r="A21" t="s">
        <v>131</v>
      </c>
      <c r="B21" t="s">
        <v>400</v>
      </c>
      <c r="C21" t="s">
        <v>1231</v>
      </c>
      <c r="D21" s="2">
        <v>45569</v>
      </c>
      <c r="E21">
        <v>4.8722630000000002</v>
      </c>
      <c r="F21" s="12">
        <v>45926</v>
      </c>
      <c r="G21">
        <v>4.8722630000000002</v>
      </c>
      <c r="H21" s="3">
        <f t="shared" ref="H21:H26" si="15">G21/E21-1</f>
        <v>0</v>
      </c>
      <c r="I21" s="20">
        <f t="shared" ref="I21:I26" si="16">K21*E21*J21</f>
        <v>-594.27966263600013</v>
      </c>
      <c r="J21" s="3">
        <f t="shared" ref="J21:J26" si="17">H21-0.002</f>
        <v>-2E-3</v>
      </c>
      <c r="K21">
        <v>60986</v>
      </c>
      <c r="N21" s="3"/>
      <c r="P21" s="15"/>
      <c r="R21" s="4"/>
    </row>
    <row r="22" spans="1:18" x14ac:dyDescent="0.25">
      <c r="A22" t="s">
        <v>121</v>
      </c>
      <c r="B22" t="s">
        <v>366</v>
      </c>
      <c r="C22" t="s">
        <v>1232</v>
      </c>
      <c r="D22" s="2">
        <v>45786</v>
      </c>
      <c r="E22">
        <v>7.29</v>
      </c>
      <c r="F22" s="12">
        <v>45929</v>
      </c>
      <c r="G22" s="4">
        <v>6.26</v>
      </c>
      <c r="H22" s="3">
        <f t="shared" ref="H22" si="18">G22/E22-1</f>
        <v>-0.14128943758573387</v>
      </c>
      <c r="I22" s="20">
        <f t="shared" ref="I22" si="19">K22*E22*J22</f>
        <v>-37425.212239999993</v>
      </c>
      <c r="J22" s="3">
        <f t="shared" ref="J22" si="20">H22-0.002</f>
        <v>-0.14328943758573387</v>
      </c>
      <c r="K22">
        <v>35828</v>
      </c>
      <c r="M22" s="4"/>
      <c r="N22" s="4"/>
      <c r="O22" s="4"/>
      <c r="P22" s="15"/>
      <c r="R22" s="4"/>
    </row>
    <row r="23" spans="1:18" x14ac:dyDescent="0.25">
      <c r="A23" s="17" t="s">
        <v>1435</v>
      </c>
      <c r="B23" s="17" t="s">
        <v>1436</v>
      </c>
      <c r="C23" t="s">
        <v>1232</v>
      </c>
      <c r="D23" s="12">
        <v>45901</v>
      </c>
      <c r="E23" s="13">
        <v>6.78</v>
      </c>
      <c r="F23" s="2">
        <v>44826</v>
      </c>
      <c r="G23" s="4">
        <v>6.42</v>
      </c>
      <c r="H23" s="3">
        <f t="shared" ref="H23:H25" si="21">G23/E23-1</f>
        <v>-5.3097345132743445E-2</v>
      </c>
      <c r="I23" s="20">
        <f t="shared" ref="I23:I25" si="22">K23*E23*J23</f>
        <v>-18984.692760000031</v>
      </c>
      <c r="J23" s="3">
        <f t="shared" ref="J23:J25" si="23">H23-0.002</f>
        <v>-5.5097345132743447E-2</v>
      </c>
      <c r="K23" s="13">
        <v>50821</v>
      </c>
      <c r="L23" s="4"/>
      <c r="P23" s="15"/>
      <c r="R23" s="4"/>
    </row>
    <row r="24" spans="1:18" x14ac:dyDescent="0.25">
      <c r="A24" t="s">
        <v>116</v>
      </c>
      <c r="B24" t="s">
        <v>350</v>
      </c>
      <c r="C24" t="s">
        <v>1232</v>
      </c>
      <c r="D24" s="2">
        <v>45786</v>
      </c>
      <c r="E24">
        <v>2.64</v>
      </c>
      <c r="F24" s="2">
        <v>44826</v>
      </c>
      <c r="G24" s="4">
        <v>3.24</v>
      </c>
      <c r="H24" s="3">
        <f t="shared" si="21"/>
        <v>0.22727272727272729</v>
      </c>
      <c r="I24" s="20">
        <f t="shared" si="22"/>
        <v>58811.266080000009</v>
      </c>
      <c r="J24" s="3">
        <f t="shared" si="23"/>
        <v>0.22527272727272729</v>
      </c>
      <c r="K24">
        <v>98889</v>
      </c>
      <c r="L24" s="4"/>
      <c r="P24" s="15"/>
      <c r="R24" s="4"/>
    </row>
    <row r="25" spans="1:18" x14ac:dyDescent="0.25">
      <c r="A25" t="s">
        <v>128</v>
      </c>
      <c r="B25" t="s">
        <v>390</v>
      </c>
      <c r="C25" t="s">
        <v>1232</v>
      </c>
      <c r="D25" s="2">
        <v>45786</v>
      </c>
      <c r="E25">
        <v>1.36</v>
      </c>
      <c r="F25" s="2">
        <v>44826</v>
      </c>
      <c r="G25" s="4">
        <v>3.26</v>
      </c>
      <c r="H25" s="3">
        <f t="shared" si="21"/>
        <v>1.3970588235294112</v>
      </c>
      <c r="I25" s="20">
        <f t="shared" si="22"/>
        <v>364689.46975999989</v>
      </c>
      <c r="J25" s="3">
        <f t="shared" si="23"/>
        <v>1.3950588235294112</v>
      </c>
      <c r="K25">
        <v>192217</v>
      </c>
      <c r="L25" s="4"/>
      <c r="M25" s="15"/>
      <c r="N25" s="4"/>
      <c r="P25" s="15"/>
      <c r="R25" s="4"/>
    </row>
    <row r="26" spans="1:18" x14ac:dyDescent="0.25">
      <c r="A26" t="s">
        <v>125</v>
      </c>
      <c r="B26" t="s">
        <v>377</v>
      </c>
      <c r="C26" t="s">
        <v>1232</v>
      </c>
      <c r="D26" s="2">
        <v>45786</v>
      </c>
      <c r="E26">
        <v>1.5449999999999999</v>
      </c>
      <c r="F26" s="2">
        <v>45901</v>
      </c>
      <c r="G26">
        <v>1.42</v>
      </c>
      <c r="H26" s="3">
        <f t="shared" si="15"/>
        <v>-8.0906148867313954E-2</v>
      </c>
      <c r="I26" s="20">
        <f t="shared" si="16"/>
        <v>-22104.747480000009</v>
      </c>
      <c r="J26" s="21">
        <f t="shared" si="17"/>
        <v>-8.2906148867313956E-2</v>
      </c>
      <c r="K26">
        <v>172572</v>
      </c>
      <c r="L26" s="4"/>
      <c r="P26" s="15"/>
    </row>
    <row r="27" spans="1:18" x14ac:dyDescent="0.25">
      <c r="A27" t="s">
        <v>84</v>
      </c>
      <c r="B27" t="s">
        <v>738</v>
      </c>
      <c r="C27" t="s">
        <v>1232</v>
      </c>
      <c r="D27" s="2">
        <v>45856</v>
      </c>
      <c r="E27">
        <v>3.23</v>
      </c>
      <c r="F27" s="2">
        <v>45887</v>
      </c>
      <c r="G27">
        <v>2.7</v>
      </c>
      <c r="H27" s="3">
        <f t="shared" ref="H27" si="24">G27/E27-1</f>
        <v>-0.16408668730650144</v>
      </c>
      <c r="I27" s="20">
        <f t="shared" ref="I27" si="25">K27*E27*J27</f>
        <v>-52430.381639999971</v>
      </c>
      <c r="J27" s="3">
        <f t="shared" ref="J27" si="26">H27-0.002</f>
        <v>-0.16608668730650145</v>
      </c>
      <c r="K27">
        <v>97734</v>
      </c>
      <c r="L27" s="4"/>
      <c r="O27" s="4"/>
      <c r="P27" s="4"/>
    </row>
    <row r="28" spans="1:18" x14ac:dyDescent="0.25">
      <c r="A28" t="s">
        <v>119</v>
      </c>
      <c r="B28" t="s">
        <v>358</v>
      </c>
      <c r="C28" t="s">
        <v>1232</v>
      </c>
      <c r="D28" s="2">
        <v>45786</v>
      </c>
      <c r="E28">
        <v>0.77500000000000002</v>
      </c>
      <c r="F28" s="2">
        <v>45873</v>
      </c>
      <c r="G28">
        <v>0.48</v>
      </c>
      <c r="H28" s="3">
        <f t="shared" ref="H28" si="27">G28/E28-1</f>
        <v>-0.38064516129032266</v>
      </c>
      <c r="I28">
        <f>K28*E28*J28</f>
        <v>-99924.598350000029</v>
      </c>
      <c r="J28" s="3">
        <f>H28-0.002</f>
        <v>-0.38264516129032267</v>
      </c>
      <c r="K28">
        <v>336957</v>
      </c>
      <c r="L28" s="4"/>
      <c r="O28" s="4"/>
      <c r="P28" s="15"/>
      <c r="Q28" s="4"/>
    </row>
    <row r="29" spans="1:18" x14ac:dyDescent="0.25">
      <c r="A29" t="s">
        <v>124</v>
      </c>
      <c r="B29" t="s">
        <v>373</v>
      </c>
      <c r="C29" t="s">
        <v>1232</v>
      </c>
      <c r="D29" s="10">
        <v>45786</v>
      </c>
      <c r="E29">
        <v>1.82</v>
      </c>
      <c r="F29" s="2">
        <v>45856</v>
      </c>
      <c r="G29">
        <v>1.25</v>
      </c>
      <c r="H29" s="3">
        <v>-0.31319999999999998</v>
      </c>
      <c r="I29">
        <v>-91465.98</v>
      </c>
      <c r="J29" s="3">
        <v>-0.31490000000000001</v>
      </c>
      <c r="K29">
        <v>159607</v>
      </c>
    </row>
    <row r="30" spans="1:18" x14ac:dyDescent="0.25">
      <c r="A30" t="s">
        <v>132</v>
      </c>
      <c r="B30" t="s">
        <v>684</v>
      </c>
      <c r="C30" t="s">
        <v>1232</v>
      </c>
      <c r="D30" s="2">
        <v>45695</v>
      </c>
      <c r="E30">
        <v>5.73</v>
      </c>
      <c r="F30" s="2">
        <v>45791</v>
      </c>
      <c r="G30">
        <v>5.88</v>
      </c>
      <c r="H30" s="3">
        <v>2.6200000000000001E-2</v>
      </c>
      <c r="I30">
        <v>6731.57</v>
      </c>
      <c r="J30" s="3">
        <v>2.4199999999999999E-2</v>
      </c>
      <c r="K30">
        <v>48642</v>
      </c>
    </row>
    <row r="31" spans="1:18" x14ac:dyDescent="0.25">
      <c r="A31" t="s">
        <v>133</v>
      </c>
      <c r="B31" t="s">
        <v>685</v>
      </c>
      <c r="C31" t="s">
        <v>1232</v>
      </c>
      <c r="D31" s="2">
        <v>45674</v>
      </c>
      <c r="E31">
        <v>1.55</v>
      </c>
      <c r="F31" s="2">
        <v>45764</v>
      </c>
      <c r="G31">
        <v>1.2849999999999999</v>
      </c>
      <c r="H31" s="3">
        <v>-0.17100000000000001</v>
      </c>
      <c r="I31">
        <v>-48131.29</v>
      </c>
      <c r="J31" s="3">
        <v>-0.17280000000000001</v>
      </c>
      <c r="K31">
        <v>179705</v>
      </c>
    </row>
    <row r="32" spans="1:18" x14ac:dyDescent="0.25">
      <c r="A32" t="s">
        <v>134</v>
      </c>
      <c r="B32" t="s">
        <v>686</v>
      </c>
      <c r="C32" t="s">
        <v>1232</v>
      </c>
      <c r="D32" s="2">
        <v>45268</v>
      </c>
      <c r="E32">
        <v>4.7785450000000003</v>
      </c>
      <c r="F32" s="2">
        <v>45764</v>
      </c>
      <c r="G32">
        <v>6</v>
      </c>
      <c r="H32" s="3">
        <v>0.25559999999999999</v>
      </c>
      <c r="I32">
        <v>52447.71</v>
      </c>
      <c r="J32" s="3">
        <v>0.25340000000000001</v>
      </c>
      <c r="K32">
        <v>43321</v>
      </c>
    </row>
    <row r="33" spans="1:11" x14ac:dyDescent="0.25">
      <c r="A33" t="s">
        <v>135</v>
      </c>
      <c r="B33" t="s">
        <v>687</v>
      </c>
      <c r="C33" t="s">
        <v>1232</v>
      </c>
      <c r="D33" s="2">
        <v>45702</v>
      </c>
      <c r="E33">
        <v>17.670459999999999</v>
      </c>
      <c r="F33" s="2">
        <v>45758</v>
      </c>
      <c r="G33">
        <v>14.25</v>
      </c>
      <c r="H33" s="3">
        <v>-0.19359999999999999</v>
      </c>
      <c r="I33">
        <v>-54851.42</v>
      </c>
      <c r="J33" s="3">
        <v>-0.19539999999999999</v>
      </c>
      <c r="K33">
        <v>15888</v>
      </c>
    </row>
    <row r="34" spans="1:11" x14ac:dyDescent="0.25">
      <c r="A34" t="s">
        <v>114</v>
      </c>
      <c r="B34" t="s">
        <v>341</v>
      </c>
      <c r="C34" t="s">
        <v>1232</v>
      </c>
      <c r="D34" s="2">
        <v>45702</v>
      </c>
      <c r="E34">
        <v>2.21</v>
      </c>
      <c r="F34" s="2">
        <v>45758</v>
      </c>
      <c r="G34">
        <v>2.27</v>
      </c>
      <c r="H34" s="3">
        <v>2.7099999999999999E-2</v>
      </c>
      <c r="I34">
        <v>7053.98</v>
      </c>
      <c r="J34" s="3">
        <v>2.5100000000000001E-2</v>
      </c>
      <c r="K34">
        <v>127053</v>
      </c>
    </row>
    <row r="35" spans="1:11" x14ac:dyDescent="0.25">
      <c r="A35" t="s">
        <v>136</v>
      </c>
      <c r="B35" t="s">
        <v>688</v>
      </c>
      <c r="C35" t="s">
        <v>1232</v>
      </c>
      <c r="D35" s="2">
        <v>45688</v>
      </c>
      <c r="E35">
        <v>1.7</v>
      </c>
      <c r="F35" s="2">
        <v>45751</v>
      </c>
      <c r="G35">
        <v>1.74</v>
      </c>
      <c r="H35" s="3">
        <v>2.35E-2</v>
      </c>
      <c r="I35">
        <v>5947.25</v>
      </c>
      <c r="J35" s="3">
        <v>2.1499999999999998E-2</v>
      </c>
      <c r="K35">
        <v>162671</v>
      </c>
    </row>
    <row r="36" spans="1:11" x14ac:dyDescent="0.25">
      <c r="A36" t="s">
        <v>137</v>
      </c>
      <c r="B36" t="s">
        <v>689</v>
      </c>
      <c r="C36" t="s">
        <v>1232</v>
      </c>
      <c r="D36" s="2">
        <v>45695</v>
      </c>
      <c r="E36">
        <v>6.48</v>
      </c>
      <c r="F36" s="2">
        <v>45751</v>
      </c>
      <c r="G36">
        <v>5.2</v>
      </c>
      <c r="H36" s="3">
        <v>-0.19750000000000001</v>
      </c>
      <c r="I36">
        <v>-55552.57</v>
      </c>
      <c r="J36" s="3">
        <v>-0.1993</v>
      </c>
      <c r="K36">
        <v>43008</v>
      </c>
    </row>
    <row r="37" spans="1:11" x14ac:dyDescent="0.25">
      <c r="A37" t="s">
        <v>138</v>
      </c>
      <c r="B37" t="s">
        <v>690</v>
      </c>
      <c r="C37" t="s">
        <v>1232</v>
      </c>
      <c r="D37" s="2">
        <v>45590</v>
      </c>
      <c r="E37">
        <v>1.9650000000000001</v>
      </c>
      <c r="F37" s="2">
        <v>45737</v>
      </c>
      <c r="G37">
        <v>1.75</v>
      </c>
      <c r="H37" s="3">
        <v>-0.1094</v>
      </c>
      <c r="I37">
        <v>-34660.86</v>
      </c>
      <c r="J37" s="3">
        <v>-0.1113</v>
      </c>
      <c r="K37">
        <v>158475</v>
      </c>
    </row>
    <row r="38" spans="1:11" x14ac:dyDescent="0.25">
      <c r="A38" t="s">
        <v>139</v>
      </c>
      <c r="B38" t="s">
        <v>691</v>
      </c>
      <c r="C38" t="s">
        <v>1232</v>
      </c>
      <c r="D38" s="2">
        <v>45709</v>
      </c>
      <c r="E38">
        <v>12.9</v>
      </c>
      <c r="F38" s="2">
        <v>45737</v>
      </c>
      <c r="G38">
        <v>11.78</v>
      </c>
      <c r="H38" s="3">
        <v>-8.6800000000000002E-2</v>
      </c>
      <c r="I38">
        <v>-24900.22</v>
      </c>
      <c r="J38" s="3">
        <v>-8.8700000000000001E-2</v>
      </c>
      <c r="K38">
        <v>21753</v>
      </c>
    </row>
    <row r="39" spans="1:11" x14ac:dyDescent="0.25">
      <c r="A39" t="s">
        <v>140</v>
      </c>
      <c r="B39" t="s">
        <v>692</v>
      </c>
      <c r="C39" t="s">
        <v>1232</v>
      </c>
      <c r="D39" s="2">
        <v>45702</v>
      </c>
      <c r="E39">
        <v>7.1378370000000002</v>
      </c>
      <c r="F39" s="2">
        <v>45737</v>
      </c>
      <c r="G39">
        <v>7.5</v>
      </c>
      <c r="H39" s="3">
        <v>5.0700000000000002E-2</v>
      </c>
      <c r="I39">
        <v>13673.38</v>
      </c>
      <c r="J39" s="3">
        <v>4.87E-2</v>
      </c>
      <c r="K39">
        <v>39345</v>
      </c>
    </row>
    <row r="40" spans="1:11" x14ac:dyDescent="0.25">
      <c r="A40" t="s">
        <v>141</v>
      </c>
      <c r="B40" t="s">
        <v>693</v>
      </c>
      <c r="C40" t="s">
        <v>1232</v>
      </c>
      <c r="D40" s="2">
        <v>45695</v>
      </c>
      <c r="E40">
        <v>1.123842</v>
      </c>
      <c r="F40" s="2">
        <v>45730</v>
      </c>
      <c r="G40">
        <v>0.99734880000000004</v>
      </c>
      <c r="H40" s="3">
        <v>-0.11260000000000001</v>
      </c>
      <c r="I40">
        <v>-31891.22</v>
      </c>
      <c r="J40" s="3">
        <v>-0.1144</v>
      </c>
      <c r="K40">
        <v>247960</v>
      </c>
    </row>
    <row r="41" spans="1:11" x14ac:dyDescent="0.25">
      <c r="A41" t="s">
        <v>142</v>
      </c>
      <c r="B41" t="s">
        <v>694</v>
      </c>
      <c r="C41" t="s">
        <v>1232</v>
      </c>
      <c r="D41" s="2">
        <v>45569</v>
      </c>
      <c r="E41">
        <v>13</v>
      </c>
      <c r="F41" s="2">
        <v>45730</v>
      </c>
      <c r="G41">
        <v>16.38</v>
      </c>
      <c r="H41" s="3">
        <v>0.26</v>
      </c>
      <c r="I41">
        <v>76575.070000000007</v>
      </c>
      <c r="J41" s="3">
        <v>0.25769999999999998</v>
      </c>
      <c r="K41">
        <v>22854</v>
      </c>
    </row>
    <row r="42" spans="1:11" x14ac:dyDescent="0.25">
      <c r="A42" t="s">
        <v>143</v>
      </c>
      <c r="B42" t="s">
        <v>695</v>
      </c>
      <c r="C42" t="s">
        <v>1232</v>
      </c>
      <c r="D42" s="2">
        <v>45534</v>
      </c>
      <c r="E42">
        <v>2.7396500000000001</v>
      </c>
      <c r="F42" s="2">
        <v>45723</v>
      </c>
      <c r="G42">
        <v>3.014885</v>
      </c>
      <c r="H42" s="3">
        <v>0.10050000000000001</v>
      </c>
      <c r="I42">
        <v>25395.3</v>
      </c>
      <c r="J42" s="3">
        <v>9.8400000000000001E-2</v>
      </c>
      <c r="K42">
        <v>94238</v>
      </c>
    </row>
    <row r="43" spans="1:11" x14ac:dyDescent="0.25">
      <c r="A43" t="s">
        <v>144</v>
      </c>
      <c r="B43" t="s">
        <v>696</v>
      </c>
      <c r="C43" t="s">
        <v>1232</v>
      </c>
      <c r="D43" s="2">
        <v>45478</v>
      </c>
      <c r="E43">
        <v>2.6450070000000001</v>
      </c>
      <c r="F43" s="2">
        <v>45723</v>
      </c>
      <c r="G43">
        <v>2.0656979999999998</v>
      </c>
      <c r="H43" s="3">
        <v>-0.219</v>
      </c>
      <c r="I43">
        <v>-55012.9</v>
      </c>
      <c r="J43" s="3">
        <v>-0.2208</v>
      </c>
      <c r="K43">
        <v>94197</v>
      </c>
    </row>
    <row r="44" spans="1:11" x14ac:dyDescent="0.25">
      <c r="A44" t="s">
        <v>90</v>
      </c>
      <c r="B44" t="s">
        <v>697</v>
      </c>
      <c r="C44" t="s">
        <v>1232</v>
      </c>
      <c r="D44" s="2">
        <v>45674</v>
      </c>
      <c r="E44">
        <v>4.68</v>
      </c>
      <c r="F44" s="2">
        <v>45723</v>
      </c>
      <c r="G44">
        <v>4.55</v>
      </c>
      <c r="H44" s="3">
        <v>-2.7799999999999998E-2</v>
      </c>
      <c r="I44">
        <v>-8285.86</v>
      </c>
      <c r="J44" s="3">
        <v>-2.98E-2</v>
      </c>
      <c r="K44">
        <v>59512</v>
      </c>
    </row>
    <row r="45" spans="1:11" x14ac:dyDescent="0.25">
      <c r="A45" t="s">
        <v>145</v>
      </c>
      <c r="B45" t="s">
        <v>698</v>
      </c>
      <c r="C45" t="s">
        <v>1232</v>
      </c>
      <c r="D45" s="2">
        <v>45688</v>
      </c>
      <c r="E45">
        <v>5.93</v>
      </c>
      <c r="F45" s="2">
        <v>45716</v>
      </c>
      <c r="G45">
        <v>4.6500000000000004</v>
      </c>
      <c r="H45" s="3">
        <v>-0.21590000000000001</v>
      </c>
      <c r="I45">
        <v>-60190.07</v>
      </c>
      <c r="J45" s="3">
        <v>-0.21759999999999999</v>
      </c>
      <c r="K45">
        <v>46638</v>
      </c>
    </row>
    <row r="46" spans="1:11" x14ac:dyDescent="0.25">
      <c r="A46" t="s">
        <v>146</v>
      </c>
      <c r="B46" t="s">
        <v>699</v>
      </c>
      <c r="C46" t="s">
        <v>1232</v>
      </c>
      <c r="D46" s="2">
        <v>45688</v>
      </c>
      <c r="E46">
        <v>2.46</v>
      </c>
      <c r="F46" s="2">
        <v>45716</v>
      </c>
      <c r="G46">
        <v>1.93</v>
      </c>
      <c r="H46" s="3">
        <v>-0.21540000000000001</v>
      </c>
      <c r="I46">
        <v>-60067.57</v>
      </c>
      <c r="J46" s="3">
        <v>-0.2172</v>
      </c>
      <c r="K46">
        <v>112404</v>
      </c>
    </row>
    <row r="47" spans="1:11" x14ac:dyDescent="0.25">
      <c r="A47" t="s">
        <v>147</v>
      </c>
      <c r="B47" t="s">
        <v>700</v>
      </c>
      <c r="C47" t="s">
        <v>1232</v>
      </c>
      <c r="D47" s="2">
        <v>45660</v>
      </c>
      <c r="E47">
        <v>4.45</v>
      </c>
      <c r="F47" s="2">
        <v>45681</v>
      </c>
      <c r="G47">
        <v>2.8</v>
      </c>
      <c r="H47" s="3">
        <v>-0.37080000000000002</v>
      </c>
      <c r="I47">
        <v>-106450.14</v>
      </c>
      <c r="J47" s="3">
        <v>-0.37240000000000001</v>
      </c>
      <c r="K47">
        <v>64233</v>
      </c>
    </row>
    <row r="48" spans="1:11" x14ac:dyDescent="0.25">
      <c r="A48" t="s">
        <v>148</v>
      </c>
      <c r="B48" t="s">
        <v>701</v>
      </c>
      <c r="C48" t="s">
        <v>1232</v>
      </c>
      <c r="D48" s="2">
        <v>45548</v>
      </c>
      <c r="E48">
        <v>0.82287750000000004</v>
      </c>
      <c r="F48" s="2">
        <v>45681</v>
      </c>
      <c r="G48">
        <v>0.83760409999999996</v>
      </c>
      <c r="H48" s="3">
        <v>1.7899999999999999E-2</v>
      </c>
      <c r="I48">
        <v>4091.65</v>
      </c>
      <c r="J48" s="3">
        <v>1.5900000000000001E-2</v>
      </c>
      <c r="K48">
        <v>313147</v>
      </c>
    </row>
    <row r="49" spans="1:11" x14ac:dyDescent="0.25">
      <c r="A49" t="s">
        <v>149</v>
      </c>
      <c r="B49" t="s">
        <v>702</v>
      </c>
      <c r="C49" t="s">
        <v>1232</v>
      </c>
      <c r="D49" s="2">
        <v>45534</v>
      </c>
      <c r="E49">
        <v>5.2793070000000002</v>
      </c>
      <c r="F49" s="2">
        <v>45674</v>
      </c>
      <c r="G49">
        <v>5.169619</v>
      </c>
      <c r="H49" s="3">
        <v>-2.0799999999999999E-2</v>
      </c>
      <c r="I49">
        <v>-5875.66</v>
      </c>
      <c r="J49" s="3">
        <v>-2.2800000000000001E-2</v>
      </c>
      <c r="K49">
        <v>48908</v>
      </c>
    </row>
    <row r="50" spans="1:11" x14ac:dyDescent="0.25">
      <c r="A50" t="s">
        <v>150</v>
      </c>
      <c r="B50" t="s">
        <v>703</v>
      </c>
      <c r="C50" t="s">
        <v>1232</v>
      </c>
      <c r="D50" s="2">
        <v>45471</v>
      </c>
      <c r="E50">
        <v>1.3427100000000001</v>
      </c>
      <c r="F50" s="2">
        <v>45660</v>
      </c>
      <c r="G50">
        <v>1.3526560000000001</v>
      </c>
      <c r="H50" s="3">
        <v>7.4000000000000003E-3</v>
      </c>
      <c r="I50">
        <v>1323.97</v>
      </c>
      <c r="J50" s="3">
        <v>5.4000000000000003E-3</v>
      </c>
      <c r="K50">
        <v>182600</v>
      </c>
    </row>
    <row r="51" spans="1:11" x14ac:dyDescent="0.25">
      <c r="A51" t="s">
        <v>151</v>
      </c>
      <c r="B51" t="s">
        <v>704</v>
      </c>
      <c r="C51" t="s">
        <v>1232</v>
      </c>
      <c r="D51" s="2">
        <v>45632</v>
      </c>
      <c r="E51">
        <v>2.235484</v>
      </c>
      <c r="F51" s="2">
        <v>45653</v>
      </c>
      <c r="G51">
        <v>2.351613</v>
      </c>
      <c r="H51" s="3">
        <v>5.1900000000000002E-2</v>
      </c>
      <c r="I51">
        <v>14850.69</v>
      </c>
      <c r="J51" s="3">
        <v>4.99E-2</v>
      </c>
      <c r="K51">
        <v>133140</v>
      </c>
    </row>
    <row r="52" spans="1:11" x14ac:dyDescent="0.25">
      <c r="A52" t="s">
        <v>152</v>
      </c>
      <c r="B52" t="s">
        <v>705</v>
      </c>
      <c r="C52" t="s">
        <v>1232</v>
      </c>
      <c r="D52" s="2">
        <v>45604</v>
      </c>
      <c r="E52">
        <v>0.80500000000000005</v>
      </c>
      <c r="F52" s="2">
        <v>45653</v>
      </c>
      <c r="G52">
        <v>0.72499999999999998</v>
      </c>
      <c r="H52" s="3">
        <v>-9.9400000000000002E-2</v>
      </c>
      <c r="I52">
        <v>-31053.55</v>
      </c>
      <c r="J52" s="3">
        <v>-0.1013</v>
      </c>
      <c r="K52">
        <v>380885</v>
      </c>
    </row>
    <row r="53" spans="1:11" x14ac:dyDescent="0.25">
      <c r="A53" t="s">
        <v>153</v>
      </c>
      <c r="B53" t="s">
        <v>706</v>
      </c>
      <c r="C53" t="s">
        <v>1232</v>
      </c>
      <c r="D53" s="2">
        <v>45534</v>
      </c>
      <c r="E53">
        <v>0.54</v>
      </c>
      <c r="F53" s="2">
        <v>45653</v>
      </c>
      <c r="G53">
        <v>0.65</v>
      </c>
      <c r="H53" s="3">
        <v>0.20369999999999999</v>
      </c>
      <c r="I53">
        <v>52038.16</v>
      </c>
      <c r="J53" s="3">
        <v>0.20150000000000001</v>
      </c>
      <c r="K53">
        <v>478248</v>
      </c>
    </row>
    <row r="54" spans="1:11" x14ac:dyDescent="0.25">
      <c r="A54" t="s">
        <v>77</v>
      </c>
      <c r="B54" t="s">
        <v>707</v>
      </c>
      <c r="C54" t="s">
        <v>1232</v>
      </c>
      <c r="D54" s="2">
        <v>45527</v>
      </c>
      <c r="E54">
        <v>1.0900000000000001</v>
      </c>
      <c r="F54" s="2">
        <v>45653</v>
      </c>
      <c r="G54">
        <v>2.17</v>
      </c>
      <c r="H54" s="3">
        <v>0.99080000000000001</v>
      </c>
      <c r="I54">
        <v>245258.76</v>
      </c>
      <c r="J54" s="3">
        <v>0.98780000000000001</v>
      </c>
      <c r="K54">
        <v>227779</v>
      </c>
    </row>
    <row r="55" spans="1:11" x14ac:dyDescent="0.25">
      <c r="A55" t="s">
        <v>118</v>
      </c>
      <c r="B55" t="s">
        <v>355</v>
      </c>
      <c r="C55" t="s">
        <v>1232</v>
      </c>
      <c r="D55" s="2">
        <v>45527</v>
      </c>
      <c r="E55">
        <v>1.087874</v>
      </c>
      <c r="F55" s="2">
        <v>45653</v>
      </c>
      <c r="G55">
        <v>1.4973909999999999</v>
      </c>
      <c r="H55" s="3">
        <v>0.37640000000000001</v>
      </c>
      <c r="I55">
        <v>92880.54</v>
      </c>
      <c r="J55" s="3">
        <v>0.37409999999999999</v>
      </c>
      <c r="K55">
        <v>228246</v>
      </c>
    </row>
    <row r="56" spans="1:11" x14ac:dyDescent="0.25">
      <c r="A56" t="s">
        <v>114</v>
      </c>
      <c r="B56" t="s">
        <v>341</v>
      </c>
      <c r="C56" t="s">
        <v>1232</v>
      </c>
      <c r="D56" s="2">
        <v>45478</v>
      </c>
      <c r="E56">
        <v>1.6319999999999999</v>
      </c>
      <c r="F56" s="2">
        <v>45653</v>
      </c>
      <c r="G56">
        <v>1.496</v>
      </c>
      <c r="H56" s="3">
        <v>-8.3299999999999999E-2</v>
      </c>
      <c r="I56">
        <v>-21242.2</v>
      </c>
      <c r="J56" s="3">
        <v>-8.5300000000000001E-2</v>
      </c>
      <c r="K56">
        <v>152681</v>
      </c>
    </row>
    <row r="57" spans="1:11" x14ac:dyDescent="0.25">
      <c r="A57" t="s">
        <v>154</v>
      </c>
      <c r="B57" t="s">
        <v>708</v>
      </c>
      <c r="C57" t="s">
        <v>1232</v>
      </c>
      <c r="D57" s="2">
        <v>45268</v>
      </c>
      <c r="E57">
        <v>1.91</v>
      </c>
      <c r="F57" s="2">
        <v>45653</v>
      </c>
      <c r="G57">
        <v>6.07</v>
      </c>
      <c r="H57" s="3">
        <v>2.1779999999999999</v>
      </c>
      <c r="I57">
        <v>450228.44</v>
      </c>
      <c r="J57" s="3">
        <v>2.1738</v>
      </c>
      <c r="K57">
        <v>108436</v>
      </c>
    </row>
    <row r="58" spans="1:11" x14ac:dyDescent="0.25">
      <c r="A58" t="s">
        <v>121</v>
      </c>
      <c r="B58" t="s">
        <v>366</v>
      </c>
      <c r="C58" t="s">
        <v>1232</v>
      </c>
      <c r="D58" s="2">
        <v>45177</v>
      </c>
      <c r="E58">
        <v>2.3856609999999998</v>
      </c>
      <c r="F58" s="2">
        <v>45653</v>
      </c>
      <c r="G58">
        <v>5.9801539999999997</v>
      </c>
      <c r="H58" s="3">
        <v>1.5066999999999999</v>
      </c>
      <c r="I58">
        <v>325996.89</v>
      </c>
      <c r="J58" s="3">
        <v>1.5032000000000001</v>
      </c>
      <c r="K58">
        <v>90905</v>
      </c>
    </row>
    <row r="59" spans="1:11" x14ac:dyDescent="0.25">
      <c r="A59" t="s">
        <v>155</v>
      </c>
      <c r="B59" t="s">
        <v>709</v>
      </c>
      <c r="C59" t="s">
        <v>1232</v>
      </c>
      <c r="D59" s="2">
        <v>45534</v>
      </c>
      <c r="E59">
        <v>0.67310519999999996</v>
      </c>
      <c r="F59" s="2">
        <v>45632</v>
      </c>
      <c r="G59">
        <v>0.6321</v>
      </c>
      <c r="H59" s="3">
        <v>-6.0900000000000003E-2</v>
      </c>
      <c r="I59">
        <v>-16227.27</v>
      </c>
      <c r="J59" s="3">
        <v>-6.2899999999999998E-2</v>
      </c>
      <c r="K59">
        <v>383529</v>
      </c>
    </row>
    <row r="60" spans="1:11" x14ac:dyDescent="0.25">
      <c r="A60" t="s">
        <v>156</v>
      </c>
      <c r="B60" t="s">
        <v>710</v>
      </c>
      <c r="C60" t="s">
        <v>1232</v>
      </c>
      <c r="D60" s="2">
        <v>45534</v>
      </c>
      <c r="E60">
        <v>1.365</v>
      </c>
      <c r="F60" s="2">
        <v>45618</v>
      </c>
      <c r="G60">
        <v>1.105</v>
      </c>
      <c r="H60" s="3">
        <v>-0.1905</v>
      </c>
      <c r="I60">
        <v>-49663.26</v>
      </c>
      <c r="J60" s="3">
        <v>-0.1923</v>
      </c>
      <c r="K60">
        <v>189215</v>
      </c>
    </row>
    <row r="61" spans="1:11" x14ac:dyDescent="0.25">
      <c r="A61" t="s">
        <v>157</v>
      </c>
      <c r="B61" t="s">
        <v>711</v>
      </c>
      <c r="C61" t="s">
        <v>1232</v>
      </c>
      <c r="D61" s="2">
        <v>44911</v>
      </c>
      <c r="E61">
        <v>2.570754</v>
      </c>
      <c r="F61" s="2">
        <v>45604</v>
      </c>
      <c r="G61">
        <v>2.6177049999999999</v>
      </c>
      <c r="H61" s="3">
        <v>1.83E-2</v>
      </c>
      <c r="I61">
        <v>3453.89</v>
      </c>
      <c r="J61" s="3">
        <v>1.6199999999999999E-2</v>
      </c>
      <c r="K61">
        <v>82703</v>
      </c>
    </row>
    <row r="62" spans="1:11" x14ac:dyDescent="0.25">
      <c r="A62" t="s">
        <v>158</v>
      </c>
      <c r="B62" t="s">
        <v>712</v>
      </c>
      <c r="C62" t="s">
        <v>1232</v>
      </c>
      <c r="D62" s="2">
        <v>45037</v>
      </c>
      <c r="E62">
        <v>9.5199829999999999</v>
      </c>
      <c r="F62" s="2">
        <v>45590</v>
      </c>
      <c r="G62">
        <v>11.01519</v>
      </c>
      <c r="H62" s="3">
        <v>0.15709999999999999</v>
      </c>
      <c r="I62">
        <v>33506.089999999997</v>
      </c>
      <c r="J62" s="3">
        <v>0.15490000000000001</v>
      </c>
      <c r="K62">
        <v>22721</v>
      </c>
    </row>
    <row r="63" spans="1:11" x14ac:dyDescent="0.25">
      <c r="A63" t="s">
        <v>159</v>
      </c>
      <c r="B63" t="s">
        <v>713</v>
      </c>
      <c r="C63" t="s">
        <v>1232</v>
      </c>
      <c r="D63" s="2">
        <v>45128</v>
      </c>
      <c r="E63">
        <v>1.724593</v>
      </c>
      <c r="F63" s="2">
        <v>45569</v>
      </c>
      <c r="G63">
        <v>2.63</v>
      </c>
      <c r="H63" s="3">
        <v>0.52500000000000002</v>
      </c>
      <c r="I63">
        <v>114083.15</v>
      </c>
      <c r="J63" s="3">
        <v>0.52249999999999996</v>
      </c>
      <c r="K63">
        <v>126611</v>
      </c>
    </row>
    <row r="64" spans="1:11" x14ac:dyDescent="0.25">
      <c r="A64" t="s">
        <v>160</v>
      </c>
      <c r="B64" t="s">
        <v>714</v>
      </c>
      <c r="C64" t="s">
        <v>1232</v>
      </c>
      <c r="D64" s="2">
        <v>45534</v>
      </c>
      <c r="E64">
        <v>14.47714</v>
      </c>
      <c r="F64" s="2">
        <v>45569</v>
      </c>
      <c r="G64">
        <v>15.98958</v>
      </c>
      <c r="H64" s="3">
        <v>0.1045</v>
      </c>
      <c r="I64">
        <v>26433.96</v>
      </c>
      <c r="J64" s="3">
        <v>0.1024</v>
      </c>
      <c r="K64">
        <v>17837</v>
      </c>
    </row>
    <row r="65" spans="1:11" x14ac:dyDescent="0.25">
      <c r="A65" t="s">
        <v>161</v>
      </c>
      <c r="B65" t="s">
        <v>715</v>
      </c>
      <c r="C65" t="s">
        <v>1232</v>
      </c>
      <c r="D65" s="2">
        <v>45177</v>
      </c>
      <c r="E65">
        <v>3.8</v>
      </c>
      <c r="F65" s="2">
        <v>45548</v>
      </c>
      <c r="G65">
        <v>2.73</v>
      </c>
      <c r="H65" s="3">
        <v>-0.28160000000000002</v>
      </c>
      <c r="I65">
        <v>-61444.03</v>
      </c>
      <c r="J65" s="3">
        <v>-0.2833</v>
      </c>
      <c r="K65">
        <v>57076</v>
      </c>
    </row>
    <row r="66" spans="1:11" x14ac:dyDescent="0.25">
      <c r="A66" t="s">
        <v>162</v>
      </c>
      <c r="B66" t="s">
        <v>716</v>
      </c>
      <c r="C66" t="s">
        <v>1232</v>
      </c>
      <c r="D66" s="2">
        <v>45429</v>
      </c>
      <c r="E66">
        <v>91.38</v>
      </c>
      <c r="F66" s="2">
        <v>45548</v>
      </c>
      <c r="G66">
        <v>74.98</v>
      </c>
      <c r="H66" s="3">
        <v>-0.17949999999999999</v>
      </c>
      <c r="I66">
        <v>-42095.12</v>
      </c>
      <c r="J66" s="3">
        <v>-0.18129999999999999</v>
      </c>
      <c r="K66">
        <v>2541</v>
      </c>
    </row>
    <row r="67" spans="1:11" x14ac:dyDescent="0.25">
      <c r="A67" t="s">
        <v>163</v>
      </c>
      <c r="B67" t="s">
        <v>717</v>
      </c>
      <c r="C67" t="s">
        <v>1232</v>
      </c>
      <c r="D67" s="2">
        <v>45457</v>
      </c>
      <c r="E67">
        <v>3.3680379999999999</v>
      </c>
      <c r="F67" s="2">
        <v>45520</v>
      </c>
      <c r="G67">
        <v>3.1125970000000001</v>
      </c>
      <c r="H67" s="3">
        <v>-7.5800000000000006E-2</v>
      </c>
      <c r="I67">
        <v>-18782.919999999998</v>
      </c>
      <c r="J67" s="3">
        <v>-7.7799999999999994E-2</v>
      </c>
      <c r="K67">
        <v>71712</v>
      </c>
    </row>
    <row r="68" spans="1:11" x14ac:dyDescent="0.25">
      <c r="A68" t="s">
        <v>164</v>
      </c>
      <c r="B68" t="s">
        <v>718</v>
      </c>
      <c r="C68" t="s">
        <v>1232</v>
      </c>
      <c r="D68" s="2">
        <v>45457</v>
      </c>
      <c r="E68">
        <v>2.5221179999999999</v>
      </c>
      <c r="F68" s="2">
        <v>45520</v>
      </c>
      <c r="G68">
        <v>2.4750640000000002</v>
      </c>
      <c r="H68" s="3">
        <v>-1.8700000000000001E-2</v>
      </c>
      <c r="I68">
        <v>-4985.1499999999996</v>
      </c>
      <c r="J68" s="3">
        <v>-2.06E-2</v>
      </c>
      <c r="K68">
        <v>95774</v>
      </c>
    </row>
    <row r="69" spans="1:11" x14ac:dyDescent="0.25">
      <c r="A69" t="s">
        <v>128</v>
      </c>
      <c r="B69" t="s">
        <v>390</v>
      </c>
      <c r="C69" t="s">
        <v>1232</v>
      </c>
      <c r="D69" s="2">
        <v>45457</v>
      </c>
      <c r="E69">
        <v>1.31</v>
      </c>
      <c r="F69" s="2">
        <v>45520</v>
      </c>
      <c r="G69">
        <v>1.1200000000000001</v>
      </c>
      <c r="H69" s="3">
        <v>-0.14499999999999999</v>
      </c>
      <c r="I69">
        <v>-35489.29</v>
      </c>
      <c r="J69" s="3">
        <v>-0.1469</v>
      </c>
      <c r="K69">
        <v>184427</v>
      </c>
    </row>
    <row r="70" spans="1:11" x14ac:dyDescent="0.25">
      <c r="A70" t="s">
        <v>165</v>
      </c>
      <c r="B70" t="s">
        <v>719</v>
      </c>
      <c r="C70" t="s">
        <v>1232</v>
      </c>
      <c r="D70" s="2">
        <v>45429</v>
      </c>
      <c r="E70">
        <v>3.99</v>
      </c>
      <c r="F70" s="2">
        <v>45520</v>
      </c>
      <c r="G70">
        <v>5.95</v>
      </c>
      <c r="H70" s="3">
        <v>0.49120000000000003</v>
      </c>
      <c r="I70">
        <v>113534.44</v>
      </c>
      <c r="J70" s="3">
        <v>0.48870000000000002</v>
      </c>
      <c r="K70">
        <v>58221</v>
      </c>
    </row>
    <row r="71" spans="1:11" x14ac:dyDescent="0.25">
      <c r="A71" t="s">
        <v>166</v>
      </c>
      <c r="B71" t="s">
        <v>720</v>
      </c>
      <c r="C71" t="s">
        <v>1232</v>
      </c>
      <c r="D71" s="2">
        <v>45373</v>
      </c>
      <c r="E71">
        <v>1.74</v>
      </c>
      <c r="F71" s="2">
        <v>45520</v>
      </c>
      <c r="G71">
        <v>2.02</v>
      </c>
      <c r="H71" s="3">
        <v>0.16089999999999999</v>
      </c>
      <c r="I71">
        <v>36154.29</v>
      </c>
      <c r="J71" s="3">
        <v>0.1588</v>
      </c>
      <c r="K71">
        <v>130880</v>
      </c>
    </row>
    <row r="72" spans="1:11" x14ac:dyDescent="0.25">
      <c r="A72" t="s">
        <v>137</v>
      </c>
      <c r="B72" t="s">
        <v>689</v>
      </c>
      <c r="C72" t="s">
        <v>1232</v>
      </c>
      <c r="D72" s="2">
        <v>45268</v>
      </c>
      <c r="E72">
        <v>2.79</v>
      </c>
      <c r="F72" s="2">
        <v>45520</v>
      </c>
      <c r="G72">
        <v>4.22</v>
      </c>
      <c r="H72" s="3">
        <v>0.51249999999999996</v>
      </c>
      <c r="I72">
        <v>105654.16</v>
      </c>
      <c r="J72" s="3">
        <v>0.51</v>
      </c>
      <c r="K72">
        <v>74248</v>
      </c>
    </row>
    <row r="73" spans="1:11" x14ac:dyDescent="0.25">
      <c r="A73" t="s">
        <v>160</v>
      </c>
      <c r="B73" t="s">
        <v>714</v>
      </c>
      <c r="C73" t="s">
        <v>1232</v>
      </c>
      <c r="D73" s="2">
        <v>45037</v>
      </c>
      <c r="E73">
        <v>6.1594170000000004</v>
      </c>
      <c r="F73" s="2">
        <v>45520</v>
      </c>
      <c r="G73">
        <v>11.75099</v>
      </c>
      <c r="H73" s="3">
        <v>0.90780000000000005</v>
      </c>
      <c r="I73">
        <v>195747.03</v>
      </c>
      <c r="J73" s="3">
        <v>0.90490000000000004</v>
      </c>
      <c r="K73">
        <v>35120</v>
      </c>
    </row>
    <row r="74" spans="1:11" x14ac:dyDescent="0.25">
      <c r="A74" t="s">
        <v>167</v>
      </c>
      <c r="B74" t="s">
        <v>721</v>
      </c>
      <c r="C74" t="s">
        <v>1232</v>
      </c>
      <c r="D74" s="2">
        <v>45275</v>
      </c>
      <c r="E74">
        <v>1.503703</v>
      </c>
      <c r="F74" s="2">
        <v>45471</v>
      </c>
      <c r="G74">
        <v>1.685524</v>
      </c>
      <c r="H74" s="3">
        <v>0.12089999999999999</v>
      </c>
      <c r="I74">
        <v>24605.81</v>
      </c>
      <c r="J74" s="3">
        <v>0.1188</v>
      </c>
      <c r="K74">
        <v>137746</v>
      </c>
    </row>
    <row r="75" spans="1:11" x14ac:dyDescent="0.25">
      <c r="A75" t="s">
        <v>168</v>
      </c>
      <c r="B75" t="s">
        <v>722</v>
      </c>
      <c r="C75" t="s">
        <v>1232</v>
      </c>
      <c r="D75" s="2">
        <v>45268</v>
      </c>
      <c r="E75">
        <v>3.8499500000000002</v>
      </c>
      <c r="F75" s="2">
        <v>45471</v>
      </c>
      <c r="G75">
        <v>3.2999580000000002</v>
      </c>
      <c r="H75" s="3">
        <v>-0.1429</v>
      </c>
      <c r="I75">
        <v>-29963.09</v>
      </c>
      <c r="J75" s="3">
        <v>-0.1447</v>
      </c>
      <c r="K75">
        <v>53780</v>
      </c>
    </row>
    <row r="76" spans="1:11" x14ac:dyDescent="0.25">
      <c r="A76" t="s">
        <v>152</v>
      </c>
      <c r="B76" t="s">
        <v>705</v>
      </c>
      <c r="C76" t="s">
        <v>1232</v>
      </c>
      <c r="D76" s="2">
        <v>45443</v>
      </c>
      <c r="E76">
        <v>0.55000000000000004</v>
      </c>
      <c r="F76" s="2">
        <v>45464</v>
      </c>
      <c r="G76">
        <v>0.56499999999999995</v>
      </c>
      <c r="H76" s="3">
        <v>2.7300000000000001E-2</v>
      </c>
      <c r="I76">
        <v>6130.51</v>
      </c>
      <c r="J76" s="3">
        <v>2.52E-2</v>
      </c>
      <c r="K76">
        <v>441520</v>
      </c>
    </row>
    <row r="77" spans="1:11" x14ac:dyDescent="0.25">
      <c r="A77" t="s">
        <v>136</v>
      </c>
      <c r="B77" t="s">
        <v>688</v>
      </c>
      <c r="C77" t="s">
        <v>1232</v>
      </c>
      <c r="D77" s="2">
        <v>45457</v>
      </c>
      <c r="E77">
        <v>1.126374</v>
      </c>
      <c r="F77" s="2">
        <v>45464</v>
      </c>
      <c r="G77">
        <v>1.0320959999999999</v>
      </c>
      <c r="H77" s="3">
        <v>-8.3699999999999997E-2</v>
      </c>
      <c r="I77">
        <v>-20682.919999999998</v>
      </c>
      <c r="J77" s="3">
        <v>-8.5599999999999996E-2</v>
      </c>
      <c r="K77">
        <v>214472</v>
      </c>
    </row>
    <row r="78" spans="1:11" x14ac:dyDescent="0.25">
      <c r="A78" t="s">
        <v>169</v>
      </c>
      <c r="B78" t="s">
        <v>723</v>
      </c>
      <c r="C78" t="s">
        <v>1232</v>
      </c>
      <c r="D78" s="2">
        <v>45289</v>
      </c>
      <c r="E78">
        <v>0.50361449999999996</v>
      </c>
      <c r="F78" s="2">
        <v>45450</v>
      </c>
      <c r="G78">
        <v>0.51500000000000001</v>
      </c>
      <c r="H78" s="3">
        <v>2.2599999999999999E-2</v>
      </c>
      <c r="I78">
        <v>4471.57</v>
      </c>
      <c r="J78" s="3">
        <v>2.06E-2</v>
      </c>
      <c r="K78">
        <v>431332</v>
      </c>
    </row>
    <row r="79" spans="1:11" x14ac:dyDescent="0.25">
      <c r="A79" t="s">
        <v>170</v>
      </c>
      <c r="B79" t="s">
        <v>724</v>
      </c>
      <c r="C79" t="s">
        <v>1232</v>
      </c>
      <c r="D79" s="2">
        <v>45429</v>
      </c>
      <c r="E79">
        <v>3.98</v>
      </c>
      <c r="F79" s="2">
        <v>45450</v>
      </c>
      <c r="G79">
        <v>4.62</v>
      </c>
      <c r="H79" s="3">
        <v>0.1608</v>
      </c>
      <c r="I79">
        <v>36845.980000000003</v>
      </c>
      <c r="J79" s="3">
        <v>0.15859999999999999</v>
      </c>
      <c r="K79">
        <v>58356</v>
      </c>
    </row>
    <row r="80" spans="1:11" x14ac:dyDescent="0.25">
      <c r="A80" t="s">
        <v>171</v>
      </c>
      <c r="B80" t="s">
        <v>725</v>
      </c>
      <c r="C80" t="s">
        <v>1232</v>
      </c>
      <c r="D80" s="2">
        <v>45429</v>
      </c>
      <c r="E80">
        <v>0.89500000000000002</v>
      </c>
      <c r="F80" s="2">
        <v>45450</v>
      </c>
      <c r="G80">
        <v>0.73499999999999999</v>
      </c>
      <c r="H80" s="3">
        <v>-0.17879999999999999</v>
      </c>
      <c r="I80">
        <v>-41948</v>
      </c>
      <c r="J80" s="3">
        <v>-0.18060000000000001</v>
      </c>
      <c r="K80">
        <v>259531</v>
      </c>
    </row>
    <row r="81" spans="1:11" x14ac:dyDescent="0.25">
      <c r="A81" t="s">
        <v>172</v>
      </c>
      <c r="B81" t="s">
        <v>726</v>
      </c>
      <c r="C81" t="s">
        <v>1232</v>
      </c>
      <c r="D81" s="2">
        <v>45429</v>
      </c>
      <c r="E81">
        <v>0.51389870000000004</v>
      </c>
      <c r="F81" s="2">
        <v>45450</v>
      </c>
      <c r="G81">
        <v>0.48481020000000002</v>
      </c>
      <c r="H81" s="3">
        <v>-5.6599999999999998E-2</v>
      </c>
      <c r="I81">
        <v>-13601.89</v>
      </c>
      <c r="J81" s="3">
        <v>-5.8500000000000003E-2</v>
      </c>
      <c r="K81">
        <v>452082</v>
      </c>
    </row>
    <row r="82" spans="1:11" x14ac:dyDescent="0.25">
      <c r="A82" t="s">
        <v>403</v>
      </c>
      <c r="B82" t="s">
        <v>727</v>
      </c>
      <c r="C82" t="s">
        <v>1232</v>
      </c>
      <c r="D82" s="2">
        <v>45268</v>
      </c>
      <c r="E82">
        <v>0.625</v>
      </c>
      <c r="F82" s="2">
        <v>45443</v>
      </c>
      <c r="G82">
        <v>0.67500000000000004</v>
      </c>
      <c r="H82" s="3">
        <v>0.08</v>
      </c>
      <c r="I82">
        <v>16135.14</v>
      </c>
      <c r="J82" s="3">
        <v>7.7899999999999997E-2</v>
      </c>
      <c r="K82">
        <v>331317</v>
      </c>
    </row>
    <row r="83" spans="1:11" x14ac:dyDescent="0.25">
      <c r="A83" t="s">
        <v>128</v>
      </c>
      <c r="B83" t="s">
        <v>390</v>
      </c>
      <c r="C83" t="s">
        <v>1232</v>
      </c>
      <c r="D83" s="2">
        <v>45408</v>
      </c>
      <c r="E83">
        <v>0.89</v>
      </c>
      <c r="F83" s="2">
        <v>45415</v>
      </c>
      <c r="G83">
        <v>0.84</v>
      </c>
      <c r="H83" s="3">
        <v>-5.62E-2</v>
      </c>
      <c r="I83">
        <v>-13081.28</v>
      </c>
      <c r="J83" s="3">
        <v>-5.8099999999999999E-2</v>
      </c>
      <c r="K83">
        <v>252876</v>
      </c>
    </row>
    <row r="84" spans="1:11" x14ac:dyDescent="0.25">
      <c r="A84" t="s">
        <v>150</v>
      </c>
      <c r="B84" t="s">
        <v>703</v>
      </c>
      <c r="C84" t="s">
        <v>1232</v>
      </c>
      <c r="D84" s="2">
        <v>45268</v>
      </c>
      <c r="E84">
        <v>1.0811500000000001</v>
      </c>
      <c r="F84" s="2">
        <v>45408</v>
      </c>
      <c r="G84">
        <v>0.95481609999999995</v>
      </c>
      <c r="H84" s="3">
        <v>-0.1169</v>
      </c>
      <c r="I84">
        <v>-24593.759999999998</v>
      </c>
      <c r="J84" s="3">
        <v>-0.1187</v>
      </c>
      <c r="K84">
        <v>191585</v>
      </c>
    </row>
    <row r="85" spans="1:11" x14ac:dyDescent="0.25">
      <c r="A85" t="s">
        <v>173</v>
      </c>
      <c r="B85" t="s">
        <v>728</v>
      </c>
      <c r="C85" t="s">
        <v>1232</v>
      </c>
      <c r="D85" s="2">
        <v>45345</v>
      </c>
      <c r="E85">
        <v>2.6879620000000002</v>
      </c>
      <c r="F85" s="2">
        <v>45408</v>
      </c>
      <c r="G85">
        <v>2.6876920000000002</v>
      </c>
      <c r="H85" s="3">
        <v>-1E-4</v>
      </c>
      <c r="I85">
        <v>-445.9</v>
      </c>
      <c r="J85" s="3">
        <v>-2.0999999999999999E-3</v>
      </c>
      <c r="K85">
        <v>78981</v>
      </c>
    </row>
    <row r="86" spans="1:11" x14ac:dyDescent="0.25">
      <c r="A86" t="s">
        <v>142</v>
      </c>
      <c r="B86" t="s">
        <v>694</v>
      </c>
      <c r="C86" t="s">
        <v>1232</v>
      </c>
      <c r="D86" s="2">
        <v>45268</v>
      </c>
      <c r="E86">
        <v>8.2100000000000009</v>
      </c>
      <c r="F86" s="2">
        <v>45408</v>
      </c>
      <c r="G86">
        <v>11.21</v>
      </c>
      <c r="H86" s="3">
        <v>0.3654</v>
      </c>
      <c r="I86">
        <v>75140.42</v>
      </c>
      <c r="J86" s="3">
        <v>0.36299999999999999</v>
      </c>
      <c r="K86">
        <v>25210</v>
      </c>
    </row>
    <row r="87" spans="1:11" x14ac:dyDescent="0.25">
      <c r="A87" t="s">
        <v>174</v>
      </c>
      <c r="B87" t="s">
        <v>729</v>
      </c>
      <c r="C87" t="s">
        <v>1232</v>
      </c>
      <c r="D87" s="2">
        <v>45268</v>
      </c>
      <c r="E87">
        <v>5.5</v>
      </c>
      <c r="F87" s="2">
        <v>45408</v>
      </c>
      <c r="G87">
        <v>6.5</v>
      </c>
      <c r="H87" s="3">
        <v>0.18179999999999999</v>
      </c>
      <c r="I87">
        <v>37183.379999999997</v>
      </c>
      <c r="J87" s="3">
        <v>0.17960000000000001</v>
      </c>
      <c r="K87">
        <v>37635</v>
      </c>
    </row>
    <row r="88" spans="1:11" x14ac:dyDescent="0.25">
      <c r="A88" t="s">
        <v>175</v>
      </c>
      <c r="B88" t="s">
        <v>730</v>
      </c>
      <c r="C88" t="s">
        <v>1232</v>
      </c>
      <c r="D88" s="2">
        <v>45268</v>
      </c>
      <c r="E88">
        <v>1.34</v>
      </c>
      <c r="F88" s="2">
        <v>45408</v>
      </c>
      <c r="G88">
        <v>1.39</v>
      </c>
      <c r="H88" s="3">
        <v>3.73E-2</v>
      </c>
      <c r="I88">
        <v>7303.31</v>
      </c>
      <c r="J88" s="3">
        <v>3.5299999999999998E-2</v>
      </c>
      <c r="K88">
        <v>154502</v>
      </c>
    </row>
    <row r="89" spans="1:11" x14ac:dyDescent="0.25">
      <c r="A89" t="s">
        <v>108</v>
      </c>
      <c r="B89" t="s">
        <v>731</v>
      </c>
      <c r="C89" t="s">
        <v>1232</v>
      </c>
      <c r="D89" s="2">
        <v>45191</v>
      </c>
      <c r="E89">
        <v>2.1599659999999998</v>
      </c>
      <c r="F89" s="2">
        <v>45373</v>
      </c>
      <c r="G89">
        <v>2.098862</v>
      </c>
      <c r="H89" s="3">
        <v>-2.8299999999999999E-2</v>
      </c>
      <c r="I89">
        <v>-6458.63</v>
      </c>
      <c r="J89" s="3">
        <v>-3.0300000000000001E-2</v>
      </c>
      <c r="K89">
        <v>98812</v>
      </c>
    </row>
    <row r="90" spans="1:11" x14ac:dyDescent="0.25">
      <c r="A90" t="s">
        <v>176</v>
      </c>
      <c r="B90" t="s">
        <v>732</v>
      </c>
      <c r="C90" t="s">
        <v>1232</v>
      </c>
      <c r="D90" s="2">
        <v>45191</v>
      </c>
      <c r="E90">
        <v>2.8376100000000002</v>
      </c>
      <c r="F90" s="2">
        <v>45345</v>
      </c>
      <c r="G90">
        <v>3.1977009999999999</v>
      </c>
      <c r="H90" s="3">
        <v>0.12690000000000001</v>
      </c>
      <c r="I90">
        <v>26627.82</v>
      </c>
      <c r="J90" s="3">
        <v>0.12479999999999999</v>
      </c>
      <c r="K90">
        <v>75208</v>
      </c>
    </row>
    <row r="91" spans="1:11" x14ac:dyDescent="0.25">
      <c r="A91" t="s">
        <v>177</v>
      </c>
      <c r="B91" t="s">
        <v>733</v>
      </c>
      <c r="C91" t="s">
        <v>1232</v>
      </c>
      <c r="D91" s="2">
        <v>45268</v>
      </c>
      <c r="E91">
        <v>3.2011120000000002</v>
      </c>
      <c r="F91" s="2">
        <v>45289</v>
      </c>
      <c r="G91">
        <v>3.254086</v>
      </c>
      <c r="H91" s="3">
        <v>1.6500000000000001E-2</v>
      </c>
      <c r="I91">
        <v>3009.49</v>
      </c>
      <c r="J91" s="3">
        <v>1.4500000000000001E-2</v>
      </c>
      <c r="K91">
        <v>64694</v>
      </c>
    </row>
    <row r="92" spans="1:11" x14ac:dyDescent="0.25">
      <c r="A92" t="s">
        <v>109</v>
      </c>
      <c r="B92" t="s">
        <v>734</v>
      </c>
      <c r="C92" t="s">
        <v>1232</v>
      </c>
      <c r="D92" s="2">
        <v>45044</v>
      </c>
      <c r="E92">
        <v>0.755</v>
      </c>
      <c r="F92" s="2">
        <v>45254</v>
      </c>
      <c r="G92">
        <v>1.0549999999999999</v>
      </c>
      <c r="H92" s="3">
        <v>0.39739999999999998</v>
      </c>
      <c r="I92">
        <v>86213.89</v>
      </c>
      <c r="J92" s="3">
        <v>0.39500000000000002</v>
      </c>
      <c r="K92">
        <v>289124</v>
      </c>
    </row>
    <row r="93" spans="1:11" x14ac:dyDescent="0.25">
      <c r="A93" t="s">
        <v>178</v>
      </c>
      <c r="B93" t="s">
        <v>735</v>
      </c>
      <c r="C93" t="s">
        <v>1232</v>
      </c>
      <c r="D93" s="2">
        <v>44876</v>
      </c>
      <c r="E93">
        <v>2.72</v>
      </c>
      <c r="F93" s="2">
        <v>45247</v>
      </c>
      <c r="G93">
        <v>3.19</v>
      </c>
      <c r="H93" s="3">
        <v>0.17280000000000001</v>
      </c>
      <c r="I93">
        <v>39550.21</v>
      </c>
      <c r="J93" s="3">
        <v>0.1706</v>
      </c>
      <c r="K93">
        <v>85221</v>
      </c>
    </row>
    <row r="94" spans="1:11" x14ac:dyDescent="0.25">
      <c r="A94" t="s">
        <v>179</v>
      </c>
      <c r="B94" t="s">
        <v>736</v>
      </c>
      <c r="C94" t="s">
        <v>1232</v>
      </c>
      <c r="D94" s="2">
        <v>45177</v>
      </c>
      <c r="E94">
        <v>0.70030720000000002</v>
      </c>
      <c r="F94" s="2">
        <v>45247</v>
      </c>
      <c r="G94">
        <v>0.70030720000000002</v>
      </c>
      <c r="H94" s="3">
        <v>0</v>
      </c>
      <c r="I94">
        <v>-433.86</v>
      </c>
      <c r="J94" s="3">
        <v>-2E-3</v>
      </c>
      <c r="K94">
        <v>309765</v>
      </c>
    </row>
    <row r="95" spans="1:11" x14ac:dyDescent="0.25">
      <c r="A95" t="s">
        <v>180</v>
      </c>
      <c r="B95" t="s">
        <v>737</v>
      </c>
      <c r="C95" t="s">
        <v>1232</v>
      </c>
      <c r="D95" s="2">
        <v>45100</v>
      </c>
      <c r="E95">
        <v>4.1660649999999997</v>
      </c>
      <c r="F95" s="2">
        <v>45226</v>
      </c>
      <c r="G95">
        <v>3.777606</v>
      </c>
      <c r="H95" s="3">
        <v>-9.3200000000000005E-2</v>
      </c>
      <c r="I95">
        <v>-20056.39</v>
      </c>
      <c r="J95" s="3">
        <v>-9.5200000000000007E-2</v>
      </c>
      <c r="K95">
        <v>50596</v>
      </c>
    </row>
    <row r="96" spans="1:11" x14ac:dyDescent="0.25">
      <c r="A96" t="s">
        <v>84</v>
      </c>
      <c r="B96" t="s">
        <v>738</v>
      </c>
      <c r="C96" t="s">
        <v>1232</v>
      </c>
      <c r="D96" s="2">
        <v>45100</v>
      </c>
      <c r="E96">
        <v>2.4500000000000002</v>
      </c>
      <c r="F96" s="2">
        <v>45212</v>
      </c>
      <c r="G96">
        <v>2.41</v>
      </c>
      <c r="H96" s="3">
        <v>-1.6299999999999999E-2</v>
      </c>
      <c r="I96">
        <v>-3857.33</v>
      </c>
      <c r="J96" s="3">
        <v>-1.83E-2</v>
      </c>
      <c r="K96">
        <v>85986</v>
      </c>
    </row>
    <row r="97" spans="1:11" x14ac:dyDescent="0.25">
      <c r="A97" t="s">
        <v>181</v>
      </c>
      <c r="B97" t="s">
        <v>739</v>
      </c>
      <c r="C97" t="s">
        <v>1232</v>
      </c>
      <c r="D97" s="2">
        <v>45177</v>
      </c>
      <c r="E97">
        <v>1.906817</v>
      </c>
      <c r="F97" s="2">
        <v>45205</v>
      </c>
      <c r="G97">
        <v>1.6176539999999999</v>
      </c>
      <c r="H97" s="3">
        <v>-0.15160000000000001</v>
      </c>
      <c r="I97">
        <v>-33285</v>
      </c>
      <c r="J97" s="3">
        <v>-0.1535</v>
      </c>
      <c r="K97">
        <v>113722</v>
      </c>
    </row>
    <row r="98" spans="1:11" x14ac:dyDescent="0.25">
      <c r="A98" t="s">
        <v>177</v>
      </c>
      <c r="B98" t="s">
        <v>733</v>
      </c>
      <c r="C98" t="s">
        <v>1232</v>
      </c>
      <c r="D98" s="2">
        <v>44988</v>
      </c>
      <c r="E98">
        <v>2.1206209999999999</v>
      </c>
      <c r="F98" s="2">
        <v>45198</v>
      </c>
      <c r="G98">
        <v>2.6638090000000001</v>
      </c>
      <c r="H98" s="3">
        <v>0.25609999999999999</v>
      </c>
      <c r="I98">
        <v>55155.78</v>
      </c>
      <c r="J98" s="3">
        <v>0.25390000000000001</v>
      </c>
      <c r="K98">
        <v>102443</v>
      </c>
    </row>
    <row r="99" spans="1:11" x14ac:dyDescent="0.25">
      <c r="A99" t="s">
        <v>182</v>
      </c>
      <c r="B99" t="s">
        <v>740</v>
      </c>
      <c r="C99" t="s">
        <v>1232</v>
      </c>
      <c r="D99" s="2">
        <v>45142</v>
      </c>
      <c r="E99">
        <v>6.3790800000000001</v>
      </c>
      <c r="F99" s="2">
        <v>45198</v>
      </c>
      <c r="G99">
        <v>5.9479889999999997</v>
      </c>
      <c r="H99" s="3">
        <v>-6.7599999999999993E-2</v>
      </c>
      <c r="I99">
        <v>-15037.19</v>
      </c>
      <c r="J99" s="3">
        <v>-6.9500000000000006E-2</v>
      </c>
      <c r="K99">
        <v>33912</v>
      </c>
    </row>
    <row r="100" spans="1:11" x14ac:dyDescent="0.25">
      <c r="A100" t="s">
        <v>107</v>
      </c>
      <c r="B100" t="s">
        <v>741</v>
      </c>
      <c r="C100" t="s">
        <v>1232</v>
      </c>
      <c r="D100" s="2">
        <v>45100</v>
      </c>
      <c r="E100">
        <v>0.82327939999999999</v>
      </c>
      <c r="F100" s="2">
        <v>45198</v>
      </c>
      <c r="G100">
        <v>0.65076140000000005</v>
      </c>
      <c r="H100" s="3">
        <v>-0.20949999999999999</v>
      </c>
      <c r="I100">
        <v>-44530.83</v>
      </c>
      <c r="J100" s="3">
        <v>-0.21129999999999999</v>
      </c>
      <c r="K100">
        <v>255936</v>
      </c>
    </row>
    <row r="101" spans="1:11" x14ac:dyDescent="0.25">
      <c r="A101" t="s">
        <v>149</v>
      </c>
      <c r="B101" t="s">
        <v>702</v>
      </c>
      <c r="C101" t="s">
        <v>1232</v>
      </c>
      <c r="D101" s="2">
        <v>45037</v>
      </c>
      <c r="E101">
        <v>4.4135759999999999</v>
      </c>
      <c r="F101" s="2">
        <v>45198</v>
      </c>
      <c r="G101">
        <v>4.2661499999999997</v>
      </c>
      <c r="H101" s="3">
        <v>-3.3399999999999999E-2</v>
      </c>
      <c r="I101">
        <v>-7644.65</v>
      </c>
      <c r="J101" s="3">
        <v>-3.5400000000000001E-2</v>
      </c>
      <c r="K101">
        <v>48971</v>
      </c>
    </row>
    <row r="102" spans="1:11" x14ac:dyDescent="0.25">
      <c r="A102" t="s">
        <v>106</v>
      </c>
      <c r="B102" t="s">
        <v>742</v>
      </c>
      <c r="C102" t="s">
        <v>1232</v>
      </c>
      <c r="D102" s="2">
        <v>45100</v>
      </c>
      <c r="E102">
        <v>2.1796609999999998</v>
      </c>
      <c r="F102" s="2">
        <v>45190</v>
      </c>
      <c r="G102">
        <v>1.8181689999999999</v>
      </c>
      <c r="H102" s="3">
        <v>-0.1658</v>
      </c>
      <c r="I102">
        <v>-35328.25</v>
      </c>
      <c r="J102" s="3">
        <v>-0.16769999999999999</v>
      </c>
      <c r="K102">
        <v>96660</v>
      </c>
    </row>
    <row r="103" spans="1:11" x14ac:dyDescent="0.25">
      <c r="A103" t="s">
        <v>183</v>
      </c>
      <c r="B103" t="s">
        <v>743</v>
      </c>
      <c r="C103" t="s">
        <v>1232</v>
      </c>
      <c r="D103" s="2">
        <v>45177</v>
      </c>
      <c r="E103">
        <v>14.3</v>
      </c>
      <c r="F103" s="2">
        <v>45184</v>
      </c>
      <c r="G103">
        <v>12.86</v>
      </c>
      <c r="H103" s="3">
        <v>-0.1007</v>
      </c>
      <c r="I103">
        <v>-22253.88</v>
      </c>
      <c r="J103" s="3">
        <v>-0.1026</v>
      </c>
      <c r="K103">
        <v>15168</v>
      </c>
    </row>
    <row r="104" spans="1:11" x14ac:dyDescent="0.25">
      <c r="A104" t="s">
        <v>184</v>
      </c>
      <c r="B104" t="s">
        <v>744</v>
      </c>
      <c r="C104" t="s">
        <v>1232</v>
      </c>
      <c r="D104" s="2">
        <v>45100</v>
      </c>
      <c r="E104">
        <v>0.69567319999999999</v>
      </c>
      <c r="F104" s="2">
        <v>45183</v>
      </c>
      <c r="G104">
        <v>0.36597030000000003</v>
      </c>
      <c r="H104" s="3">
        <v>-0.47389999999999999</v>
      </c>
      <c r="I104">
        <v>-100201.81</v>
      </c>
      <c r="J104" s="3">
        <v>-0.47549999999999998</v>
      </c>
      <c r="K104">
        <v>302940</v>
      </c>
    </row>
    <row r="105" spans="1:11" x14ac:dyDescent="0.25">
      <c r="A105" t="s">
        <v>185</v>
      </c>
      <c r="B105" t="s">
        <v>745</v>
      </c>
      <c r="C105" t="s">
        <v>1232</v>
      </c>
      <c r="D105" s="2">
        <v>45037</v>
      </c>
      <c r="E105">
        <v>1.04</v>
      </c>
      <c r="F105" s="2">
        <v>45170</v>
      </c>
      <c r="G105">
        <v>1.05</v>
      </c>
      <c r="H105" s="3">
        <v>9.5999999999999992E-3</v>
      </c>
      <c r="I105">
        <v>1644.37</v>
      </c>
      <c r="J105" s="3">
        <v>7.6E-3</v>
      </c>
      <c r="K105">
        <v>207885</v>
      </c>
    </row>
    <row r="106" spans="1:11" x14ac:dyDescent="0.25">
      <c r="A106" t="s">
        <v>186</v>
      </c>
      <c r="B106" t="s">
        <v>746</v>
      </c>
      <c r="C106" t="s">
        <v>1232</v>
      </c>
      <c r="D106" s="2">
        <v>45142</v>
      </c>
      <c r="E106">
        <v>0.55500000000000005</v>
      </c>
      <c r="F106" s="2">
        <v>45170</v>
      </c>
      <c r="G106">
        <v>0.44</v>
      </c>
      <c r="H106" s="3">
        <v>-0.2072</v>
      </c>
      <c r="I106">
        <v>-45208.94</v>
      </c>
      <c r="J106" s="3">
        <v>-0.20899999999999999</v>
      </c>
      <c r="K106">
        <v>389749</v>
      </c>
    </row>
    <row r="107" spans="1:11" x14ac:dyDescent="0.25">
      <c r="A107" t="s">
        <v>187</v>
      </c>
      <c r="B107" t="s">
        <v>747</v>
      </c>
      <c r="C107" t="s">
        <v>1232</v>
      </c>
      <c r="D107" s="2">
        <v>45100</v>
      </c>
      <c r="E107">
        <v>7.3885149999999999</v>
      </c>
      <c r="F107" s="2">
        <v>45170</v>
      </c>
      <c r="G107">
        <v>7.6398869999999999</v>
      </c>
      <c r="H107" s="3">
        <v>3.4000000000000002E-2</v>
      </c>
      <c r="I107">
        <v>6741.91</v>
      </c>
      <c r="J107" s="3">
        <v>3.2000000000000001E-2</v>
      </c>
      <c r="K107">
        <v>28526</v>
      </c>
    </row>
    <row r="108" spans="1:11" x14ac:dyDescent="0.25">
      <c r="A108" t="s">
        <v>93</v>
      </c>
      <c r="B108" t="s">
        <v>748</v>
      </c>
      <c r="C108" t="s">
        <v>1232</v>
      </c>
      <c r="D108" s="2">
        <v>45037</v>
      </c>
      <c r="E108">
        <v>12.85003</v>
      </c>
      <c r="F108" s="2">
        <v>45170</v>
      </c>
      <c r="G108">
        <v>15.915570000000001</v>
      </c>
      <c r="H108" s="3">
        <v>0.23860000000000001</v>
      </c>
      <c r="I108">
        <v>51087.66</v>
      </c>
      <c r="J108" s="3">
        <v>0.23630000000000001</v>
      </c>
      <c r="K108">
        <v>16823</v>
      </c>
    </row>
    <row r="109" spans="1:11" x14ac:dyDescent="0.25">
      <c r="A109" t="s">
        <v>188</v>
      </c>
      <c r="B109" t="s">
        <v>749</v>
      </c>
      <c r="C109" t="s">
        <v>1232</v>
      </c>
      <c r="D109" s="2">
        <v>45100</v>
      </c>
      <c r="E109">
        <v>2.4794640000000001</v>
      </c>
      <c r="F109" s="2">
        <v>45163</v>
      </c>
      <c r="G109">
        <v>1.9973460000000001</v>
      </c>
      <c r="H109" s="3">
        <v>-0.19439999999999999</v>
      </c>
      <c r="I109">
        <v>-41355.21</v>
      </c>
      <c r="J109" s="3">
        <v>-0.1963</v>
      </c>
      <c r="K109">
        <v>84989</v>
      </c>
    </row>
    <row r="110" spans="1:11" x14ac:dyDescent="0.25">
      <c r="A110" t="s">
        <v>189</v>
      </c>
      <c r="B110" t="s">
        <v>750</v>
      </c>
      <c r="C110" t="s">
        <v>1232</v>
      </c>
      <c r="D110" s="2">
        <v>45114</v>
      </c>
      <c r="E110">
        <v>3.17</v>
      </c>
      <c r="F110" s="2">
        <v>45163</v>
      </c>
      <c r="G110">
        <v>2.95</v>
      </c>
      <c r="H110" s="3">
        <v>-6.9400000000000003E-2</v>
      </c>
      <c r="I110">
        <v>-15215.16</v>
      </c>
      <c r="J110" s="3">
        <v>-7.1300000000000002E-2</v>
      </c>
      <c r="K110">
        <v>67288</v>
      </c>
    </row>
    <row r="111" spans="1:11" x14ac:dyDescent="0.25">
      <c r="A111" t="s">
        <v>24</v>
      </c>
      <c r="B111" t="s">
        <v>751</v>
      </c>
      <c r="C111" t="s">
        <v>1232</v>
      </c>
      <c r="D111" s="2">
        <v>45037</v>
      </c>
      <c r="E111">
        <v>2.4184800000000002</v>
      </c>
      <c r="F111" s="2">
        <v>45142</v>
      </c>
      <c r="G111">
        <v>2.6350600000000002</v>
      </c>
      <c r="H111" s="3">
        <v>8.9599999999999999E-2</v>
      </c>
      <c r="I111">
        <v>18905.810000000001</v>
      </c>
      <c r="J111" s="3">
        <v>8.7499999999999994E-2</v>
      </c>
      <c r="K111">
        <v>89378</v>
      </c>
    </row>
    <row r="112" spans="1:11" x14ac:dyDescent="0.25">
      <c r="A112" t="s">
        <v>404</v>
      </c>
      <c r="B112" t="s">
        <v>752</v>
      </c>
      <c r="C112" t="s">
        <v>1232</v>
      </c>
      <c r="D112" s="2">
        <v>44806</v>
      </c>
      <c r="E112">
        <v>4.8841190000000001</v>
      </c>
      <c r="F112" s="2">
        <v>45121</v>
      </c>
      <c r="G112">
        <v>4.75936</v>
      </c>
      <c r="H112" s="3">
        <v>-2.5499999999999998E-2</v>
      </c>
      <c r="I112">
        <v>-6547.55</v>
      </c>
      <c r="J112" s="3">
        <v>-2.75E-2</v>
      </c>
      <c r="K112">
        <v>48716</v>
      </c>
    </row>
    <row r="113" spans="1:11" x14ac:dyDescent="0.25">
      <c r="A113" t="s">
        <v>190</v>
      </c>
      <c r="B113" t="s">
        <v>753</v>
      </c>
      <c r="C113" t="s">
        <v>1232</v>
      </c>
      <c r="D113" s="2">
        <v>45037</v>
      </c>
      <c r="E113">
        <v>1.384806</v>
      </c>
      <c r="F113" s="2">
        <v>45107</v>
      </c>
      <c r="G113">
        <v>1.1571670000000001</v>
      </c>
      <c r="H113" s="3">
        <v>-0.16439999999999999</v>
      </c>
      <c r="I113">
        <v>-35940</v>
      </c>
      <c r="J113" s="3">
        <v>-0.16619999999999999</v>
      </c>
      <c r="K113">
        <v>156138</v>
      </c>
    </row>
    <row r="114" spans="1:11" x14ac:dyDescent="0.25">
      <c r="A114" t="s">
        <v>191</v>
      </c>
      <c r="B114" t="s">
        <v>754</v>
      </c>
      <c r="C114" t="s">
        <v>1232</v>
      </c>
      <c r="D114" s="2">
        <v>44785</v>
      </c>
      <c r="E114">
        <v>5.8011980000000003</v>
      </c>
      <c r="F114" s="2">
        <v>45100</v>
      </c>
      <c r="G114">
        <v>6.3844459999999996</v>
      </c>
      <c r="H114" s="3">
        <v>0.10050000000000001</v>
      </c>
      <c r="I114">
        <v>24529.98</v>
      </c>
      <c r="J114" s="3">
        <v>9.8400000000000001E-2</v>
      </c>
      <c r="K114">
        <v>42955</v>
      </c>
    </row>
    <row r="115" spans="1:11" x14ac:dyDescent="0.25">
      <c r="A115" t="s">
        <v>192</v>
      </c>
      <c r="B115" t="s">
        <v>755</v>
      </c>
      <c r="C115" t="s">
        <v>1232</v>
      </c>
      <c r="D115" s="2">
        <v>45037</v>
      </c>
      <c r="E115">
        <v>1.0410250000000001</v>
      </c>
      <c r="F115" s="2">
        <v>45086</v>
      </c>
      <c r="G115">
        <v>1.027563</v>
      </c>
      <c r="H115" s="3">
        <v>-1.29E-2</v>
      </c>
      <c r="I115">
        <v>-3226.32</v>
      </c>
      <c r="J115" s="3">
        <v>-1.49E-2</v>
      </c>
      <c r="K115">
        <v>207740</v>
      </c>
    </row>
    <row r="116" spans="1:11" x14ac:dyDescent="0.25">
      <c r="A116" t="s">
        <v>58</v>
      </c>
      <c r="B116" t="s">
        <v>756</v>
      </c>
      <c r="C116" t="s">
        <v>1232</v>
      </c>
      <c r="D116" s="2">
        <v>44883</v>
      </c>
      <c r="E116">
        <v>8.4</v>
      </c>
      <c r="F116" s="2">
        <v>45086</v>
      </c>
      <c r="G116">
        <v>13.01</v>
      </c>
      <c r="H116" s="3">
        <v>0.54879999999999995</v>
      </c>
      <c r="I116">
        <v>124626.1</v>
      </c>
      <c r="J116" s="3">
        <v>0.54630000000000001</v>
      </c>
      <c r="K116">
        <v>27160</v>
      </c>
    </row>
    <row r="117" spans="1:11" x14ac:dyDescent="0.25">
      <c r="A117" t="s">
        <v>193</v>
      </c>
      <c r="B117" t="s">
        <v>757</v>
      </c>
      <c r="C117" t="s">
        <v>1232</v>
      </c>
      <c r="D117" s="2">
        <v>45037</v>
      </c>
      <c r="E117">
        <v>2.2611940000000001</v>
      </c>
      <c r="F117" s="2">
        <v>45079</v>
      </c>
      <c r="G117">
        <v>2.2789990000000002</v>
      </c>
      <c r="H117" s="3">
        <v>7.9000000000000008E-3</v>
      </c>
      <c r="I117">
        <v>1269.1400000000001</v>
      </c>
      <c r="J117" s="3">
        <v>5.8999999999999999E-3</v>
      </c>
      <c r="K117">
        <v>95677</v>
      </c>
    </row>
    <row r="118" spans="1:11" x14ac:dyDescent="0.25">
      <c r="A118" t="s">
        <v>108</v>
      </c>
      <c r="B118" t="s">
        <v>731</v>
      </c>
      <c r="C118" t="s">
        <v>1232</v>
      </c>
      <c r="D118" s="2">
        <v>44799</v>
      </c>
      <c r="E118">
        <v>1.717481</v>
      </c>
      <c r="F118" s="2">
        <v>45079</v>
      </c>
      <c r="G118">
        <v>1.7463550000000001</v>
      </c>
      <c r="H118" s="3">
        <v>1.6799999999999999E-2</v>
      </c>
      <c r="I118">
        <v>3606.08</v>
      </c>
      <c r="J118" s="3">
        <v>1.4800000000000001E-2</v>
      </c>
      <c r="K118">
        <v>141915</v>
      </c>
    </row>
    <row r="119" spans="1:11" x14ac:dyDescent="0.25">
      <c r="A119" t="s">
        <v>189</v>
      </c>
      <c r="B119" t="s">
        <v>750</v>
      </c>
      <c r="C119" t="s">
        <v>1232</v>
      </c>
      <c r="D119" s="2">
        <v>45072</v>
      </c>
      <c r="E119">
        <v>2.34</v>
      </c>
      <c r="F119" s="2">
        <v>45079</v>
      </c>
      <c r="G119">
        <v>1.92</v>
      </c>
      <c r="H119" s="3">
        <v>-0.17949999999999999</v>
      </c>
      <c r="I119">
        <v>-39513.879999999997</v>
      </c>
      <c r="J119" s="3">
        <v>-0.18129999999999999</v>
      </c>
      <c r="K119">
        <v>93136</v>
      </c>
    </row>
    <row r="120" spans="1:11" x14ac:dyDescent="0.25">
      <c r="A120" t="s">
        <v>159</v>
      </c>
      <c r="B120" t="s">
        <v>713</v>
      </c>
      <c r="C120" t="s">
        <v>1232</v>
      </c>
      <c r="D120" s="2">
        <v>45037</v>
      </c>
      <c r="E120">
        <v>1.5065409999999999</v>
      </c>
      <c r="F120" s="2">
        <v>45065</v>
      </c>
      <c r="G120">
        <v>1.4916739999999999</v>
      </c>
      <c r="H120" s="3">
        <v>-9.9000000000000008E-3</v>
      </c>
      <c r="I120">
        <v>-2564.7800000000002</v>
      </c>
      <c r="J120" s="3">
        <v>-1.1900000000000001E-2</v>
      </c>
      <c r="K120">
        <v>143563</v>
      </c>
    </row>
    <row r="121" spans="1:11" x14ac:dyDescent="0.25">
      <c r="A121" t="s">
        <v>194</v>
      </c>
      <c r="B121" t="s">
        <v>758</v>
      </c>
      <c r="C121" t="s">
        <v>1232</v>
      </c>
      <c r="D121" s="2">
        <v>45037</v>
      </c>
      <c r="E121">
        <v>0.92</v>
      </c>
      <c r="F121" s="2">
        <v>45065</v>
      </c>
      <c r="G121">
        <v>0.83499999999999996</v>
      </c>
      <c r="H121" s="3">
        <v>-9.2399999999999996E-2</v>
      </c>
      <c r="I121">
        <v>-20391.419999999998</v>
      </c>
      <c r="J121" s="3">
        <v>-9.4299999999999995E-2</v>
      </c>
      <c r="K121">
        <v>235046</v>
      </c>
    </row>
    <row r="122" spans="1:11" x14ac:dyDescent="0.25">
      <c r="A122" t="s">
        <v>151</v>
      </c>
      <c r="B122" t="s">
        <v>704</v>
      </c>
      <c r="C122" t="s">
        <v>1232</v>
      </c>
      <c r="D122" s="2">
        <v>44785</v>
      </c>
      <c r="E122">
        <v>1.747649</v>
      </c>
      <c r="F122" s="2">
        <v>45044</v>
      </c>
      <c r="G122">
        <v>1.5334920000000001</v>
      </c>
      <c r="H122" s="3">
        <v>-0.1225</v>
      </c>
      <c r="I122">
        <v>-31007.11</v>
      </c>
      <c r="J122" s="3">
        <v>-0.1244</v>
      </c>
      <c r="K122">
        <v>142602</v>
      </c>
    </row>
    <row r="123" spans="1:11" x14ac:dyDescent="0.25">
      <c r="A123" t="s">
        <v>405</v>
      </c>
      <c r="B123" t="s">
        <v>759</v>
      </c>
      <c r="C123" t="s">
        <v>1232</v>
      </c>
      <c r="D123" s="2">
        <v>44876</v>
      </c>
      <c r="E123">
        <v>2.1</v>
      </c>
      <c r="F123" s="2">
        <v>45027</v>
      </c>
      <c r="G123">
        <v>2.2000000000000002</v>
      </c>
      <c r="H123" s="3">
        <v>4.7600000000000003E-2</v>
      </c>
      <c r="I123">
        <v>10566.52</v>
      </c>
      <c r="J123" s="3">
        <v>4.5600000000000002E-2</v>
      </c>
      <c r="K123">
        <v>110413</v>
      </c>
    </row>
    <row r="124" spans="1:11" x14ac:dyDescent="0.25">
      <c r="A124" t="s">
        <v>195</v>
      </c>
      <c r="B124" t="s">
        <v>760</v>
      </c>
      <c r="C124" t="s">
        <v>1232</v>
      </c>
      <c r="D124" s="2">
        <v>44876</v>
      </c>
      <c r="E124">
        <v>2.3166380000000002</v>
      </c>
      <c r="F124" s="2">
        <v>45016</v>
      </c>
      <c r="G124">
        <v>2.071307</v>
      </c>
      <c r="H124" s="3">
        <v>-0.10589999999999999</v>
      </c>
      <c r="I124">
        <v>-25000.86</v>
      </c>
      <c r="J124" s="3">
        <v>-0.10780000000000001</v>
      </c>
      <c r="K124">
        <v>100116</v>
      </c>
    </row>
    <row r="125" spans="1:11" x14ac:dyDescent="0.25">
      <c r="A125" t="s">
        <v>182</v>
      </c>
      <c r="B125" t="s">
        <v>740</v>
      </c>
      <c r="C125" t="s">
        <v>1232</v>
      </c>
      <c r="D125" s="2">
        <v>44974</v>
      </c>
      <c r="E125">
        <v>4.5998650000000003</v>
      </c>
      <c r="F125" s="2">
        <v>45009</v>
      </c>
      <c r="G125">
        <v>3.5937100000000002</v>
      </c>
      <c r="H125" s="3">
        <v>-0.21870000000000001</v>
      </c>
      <c r="I125">
        <v>-48787.12</v>
      </c>
      <c r="J125" s="3">
        <v>-0.2205</v>
      </c>
      <c r="K125">
        <v>48097</v>
      </c>
    </row>
    <row r="126" spans="1:11" x14ac:dyDescent="0.25">
      <c r="A126" t="s">
        <v>196</v>
      </c>
      <c r="B126" t="s">
        <v>761</v>
      </c>
      <c r="C126" t="s">
        <v>1232</v>
      </c>
      <c r="D126" s="2">
        <v>44876</v>
      </c>
      <c r="E126">
        <v>10.800129999999999</v>
      </c>
      <c r="F126" s="2">
        <v>45009</v>
      </c>
      <c r="G126">
        <v>9.1829040000000006</v>
      </c>
      <c r="H126" s="3">
        <v>-0.1497</v>
      </c>
      <c r="I126">
        <v>-35150.959999999999</v>
      </c>
      <c r="J126" s="3">
        <v>-0.15160000000000001</v>
      </c>
      <c r="K126">
        <v>21470</v>
      </c>
    </row>
    <row r="127" spans="1:11" x14ac:dyDescent="0.25">
      <c r="A127" t="s">
        <v>176</v>
      </c>
      <c r="B127" t="s">
        <v>732</v>
      </c>
      <c r="C127" t="s">
        <v>1232</v>
      </c>
      <c r="D127" s="2">
        <v>44876</v>
      </c>
      <c r="E127">
        <v>2.7582979999999999</v>
      </c>
      <c r="F127" s="2">
        <v>45009</v>
      </c>
      <c r="G127">
        <v>2.7230479999999999</v>
      </c>
      <c r="H127" s="3">
        <v>-1.2800000000000001E-2</v>
      </c>
      <c r="I127">
        <v>-3425.22</v>
      </c>
      <c r="J127" s="3">
        <v>-1.4800000000000001E-2</v>
      </c>
      <c r="K127">
        <v>84093</v>
      </c>
    </row>
    <row r="128" spans="1:11" x14ac:dyDescent="0.25">
      <c r="A128" t="s">
        <v>150</v>
      </c>
      <c r="B128" t="s">
        <v>703</v>
      </c>
      <c r="C128" t="s">
        <v>1232</v>
      </c>
      <c r="D128" s="2">
        <v>44995</v>
      </c>
      <c r="E128">
        <v>0.92389180000000004</v>
      </c>
      <c r="F128" s="2">
        <v>45002</v>
      </c>
      <c r="G128">
        <v>0.87474870000000005</v>
      </c>
      <c r="H128" s="3">
        <v>-5.3199999999999997E-2</v>
      </c>
      <c r="I128">
        <v>-12149.25</v>
      </c>
      <c r="J128" s="3">
        <v>-5.5100000000000003E-2</v>
      </c>
      <c r="K128">
        <v>238493</v>
      </c>
    </row>
    <row r="129" spans="1:11" x14ac:dyDescent="0.25">
      <c r="A129" t="s">
        <v>193</v>
      </c>
      <c r="B129" t="s">
        <v>757</v>
      </c>
      <c r="C129" t="s">
        <v>1232</v>
      </c>
      <c r="D129" s="2">
        <v>44988</v>
      </c>
      <c r="E129">
        <v>2.0477650000000001</v>
      </c>
      <c r="F129" s="2">
        <v>45002</v>
      </c>
      <c r="G129">
        <v>2.0030260000000002</v>
      </c>
      <c r="H129" s="3">
        <v>-2.18E-2</v>
      </c>
      <c r="I129">
        <v>-5176.5</v>
      </c>
      <c r="J129" s="3">
        <v>-2.3800000000000002E-2</v>
      </c>
      <c r="K129">
        <v>106098</v>
      </c>
    </row>
    <row r="130" spans="1:11" x14ac:dyDescent="0.25">
      <c r="A130" t="s">
        <v>197</v>
      </c>
      <c r="B130" t="s">
        <v>762</v>
      </c>
      <c r="C130" t="s">
        <v>1232</v>
      </c>
      <c r="D130" s="2">
        <v>44904</v>
      </c>
      <c r="E130">
        <v>1.72</v>
      </c>
      <c r="F130" s="2">
        <v>45002</v>
      </c>
      <c r="G130">
        <v>1.46</v>
      </c>
      <c r="H130" s="3">
        <v>-0.1512</v>
      </c>
      <c r="I130">
        <v>-34200.5</v>
      </c>
      <c r="J130" s="3">
        <v>-0.153</v>
      </c>
      <c r="K130">
        <v>129951</v>
      </c>
    </row>
    <row r="131" spans="1:11" x14ac:dyDescent="0.25">
      <c r="A131" t="s">
        <v>198</v>
      </c>
      <c r="B131" t="s">
        <v>763</v>
      </c>
      <c r="C131" t="s">
        <v>1232</v>
      </c>
      <c r="D131" s="2">
        <v>44883</v>
      </c>
      <c r="E131">
        <v>0.64500000000000002</v>
      </c>
      <c r="F131" s="2">
        <v>45002</v>
      </c>
      <c r="G131">
        <v>0.64</v>
      </c>
      <c r="H131" s="3">
        <v>-7.7999999999999996E-3</v>
      </c>
      <c r="I131">
        <v>-2222.9</v>
      </c>
      <c r="J131" s="3">
        <v>-9.7000000000000003E-3</v>
      </c>
      <c r="K131">
        <v>353684</v>
      </c>
    </row>
    <row r="132" spans="1:11" x14ac:dyDescent="0.25">
      <c r="A132" t="s">
        <v>406</v>
      </c>
      <c r="B132" t="s">
        <v>764</v>
      </c>
      <c r="C132" t="s">
        <v>1232</v>
      </c>
      <c r="D132" s="2">
        <v>44981</v>
      </c>
      <c r="E132">
        <v>1.9413910000000001</v>
      </c>
      <c r="F132" s="2">
        <v>44995</v>
      </c>
      <c r="G132">
        <v>1.79253</v>
      </c>
      <c r="H132" s="3">
        <v>-7.6700000000000004E-2</v>
      </c>
      <c r="I132">
        <v>-17336.919999999998</v>
      </c>
      <c r="J132" s="3">
        <v>-7.8600000000000003E-2</v>
      </c>
      <c r="K132">
        <v>113614</v>
      </c>
    </row>
    <row r="133" spans="1:11" x14ac:dyDescent="0.25">
      <c r="A133" t="s">
        <v>122</v>
      </c>
      <c r="B133" t="s">
        <v>367</v>
      </c>
      <c r="C133" t="s">
        <v>1232</v>
      </c>
      <c r="D133" s="2">
        <v>44925</v>
      </c>
      <c r="E133">
        <v>3.1421250000000001</v>
      </c>
      <c r="F133" s="2">
        <v>44995</v>
      </c>
      <c r="G133">
        <v>3.2119499999999999</v>
      </c>
      <c r="H133" s="3">
        <v>2.2200000000000001E-2</v>
      </c>
      <c r="I133">
        <v>4340.21</v>
      </c>
      <c r="J133" s="3">
        <v>2.0199999999999999E-2</v>
      </c>
      <c r="K133">
        <v>68381</v>
      </c>
    </row>
    <row r="134" spans="1:11" x14ac:dyDescent="0.25">
      <c r="A134" t="s">
        <v>161</v>
      </c>
      <c r="B134" t="s">
        <v>715</v>
      </c>
      <c r="C134" t="s">
        <v>1232</v>
      </c>
      <c r="D134" s="2">
        <v>44876</v>
      </c>
      <c r="E134">
        <v>4.05</v>
      </c>
      <c r="F134" s="2">
        <v>44995</v>
      </c>
      <c r="G134">
        <v>3.16</v>
      </c>
      <c r="H134" s="3">
        <v>-0.2198</v>
      </c>
      <c r="I134">
        <v>-51341.05</v>
      </c>
      <c r="J134" s="3">
        <v>-0.2215</v>
      </c>
      <c r="K134">
        <v>57223</v>
      </c>
    </row>
    <row r="135" spans="1:11" x14ac:dyDescent="0.25">
      <c r="A135" t="s">
        <v>199</v>
      </c>
      <c r="B135" t="s">
        <v>765</v>
      </c>
      <c r="C135" t="s">
        <v>1232</v>
      </c>
      <c r="D135" s="2">
        <v>44876</v>
      </c>
      <c r="E135">
        <v>0.85117240000000005</v>
      </c>
      <c r="F135" s="2">
        <v>44988</v>
      </c>
      <c r="G135">
        <v>0.73510350000000002</v>
      </c>
      <c r="H135" s="3">
        <v>-0.13639999999999999</v>
      </c>
      <c r="I135">
        <v>-32056.45</v>
      </c>
      <c r="J135" s="3">
        <v>-0.13819999999999999</v>
      </c>
      <c r="K135">
        <v>272461</v>
      </c>
    </row>
    <row r="136" spans="1:11" x14ac:dyDescent="0.25">
      <c r="A136" t="s">
        <v>200</v>
      </c>
      <c r="B136" t="s">
        <v>766</v>
      </c>
      <c r="C136" t="s">
        <v>1232</v>
      </c>
      <c r="D136" s="2">
        <v>44876</v>
      </c>
      <c r="E136">
        <v>0.61499999999999999</v>
      </c>
      <c r="F136" s="2">
        <v>44988</v>
      </c>
      <c r="G136">
        <v>0.53</v>
      </c>
      <c r="H136" s="3">
        <v>-0.13819999999999999</v>
      </c>
      <c r="I136">
        <v>-32465.98</v>
      </c>
      <c r="J136" s="3">
        <v>-0.1401</v>
      </c>
      <c r="K136">
        <v>376876</v>
      </c>
    </row>
    <row r="137" spans="1:11" x14ac:dyDescent="0.25">
      <c r="A137" t="s">
        <v>93</v>
      </c>
      <c r="B137" t="s">
        <v>748</v>
      </c>
      <c r="C137" t="s">
        <v>1232</v>
      </c>
      <c r="D137" s="2">
        <v>44785</v>
      </c>
      <c r="E137">
        <v>9.9629499999999993</v>
      </c>
      <c r="F137" s="2">
        <v>44981</v>
      </c>
      <c r="G137">
        <v>10.438230000000001</v>
      </c>
      <c r="H137" s="3">
        <v>4.7699999999999999E-2</v>
      </c>
      <c r="I137">
        <v>11380.61</v>
      </c>
      <c r="J137" s="3">
        <v>4.5699999999999998E-2</v>
      </c>
      <c r="K137">
        <v>25019</v>
      </c>
    </row>
    <row r="138" spans="1:11" x14ac:dyDescent="0.25">
      <c r="A138" t="s">
        <v>87</v>
      </c>
      <c r="B138" t="s">
        <v>767</v>
      </c>
      <c r="C138" t="s">
        <v>1232</v>
      </c>
      <c r="D138" s="2">
        <v>44876</v>
      </c>
      <c r="E138">
        <v>2.5895760000000001</v>
      </c>
      <c r="F138" s="2">
        <v>44974</v>
      </c>
      <c r="G138">
        <v>1.7754289999999999</v>
      </c>
      <c r="H138" s="3">
        <v>-0.31440000000000001</v>
      </c>
      <c r="I138">
        <v>-73323.12</v>
      </c>
      <c r="J138" s="3">
        <v>-0.31609999999999999</v>
      </c>
      <c r="K138">
        <v>89581</v>
      </c>
    </row>
    <row r="139" spans="1:11" x14ac:dyDescent="0.25">
      <c r="A139" t="s">
        <v>201</v>
      </c>
      <c r="B139" t="s">
        <v>768</v>
      </c>
      <c r="C139" t="s">
        <v>1232</v>
      </c>
      <c r="D139" s="2">
        <v>44876</v>
      </c>
      <c r="E139">
        <v>1.7257499999999999</v>
      </c>
      <c r="F139" s="2">
        <v>44925</v>
      </c>
      <c r="G139">
        <v>0.95550009999999996</v>
      </c>
      <c r="H139" s="3">
        <v>-0.44629999999999997</v>
      </c>
      <c r="I139">
        <v>-103838.66</v>
      </c>
      <c r="J139" s="3">
        <v>-0.44790000000000002</v>
      </c>
      <c r="K139">
        <v>134344</v>
      </c>
    </row>
    <row r="140" spans="1:11" x14ac:dyDescent="0.25">
      <c r="A140" t="s">
        <v>103</v>
      </c>
      <c r="B140" t="s">
        <v>769</v>
      </c>
      <c r="C140" t="s">
        <v>1232</v>
      </c>
      <c r="D140" s="2">
        <v>44806</v>
      </c>
      <c r="E140">
        <v>11.47105</v>
      </c>
      <c r="F140" s="2">
        <v>44925</v>
      </c>
      <c r="G140">
        <v>11.8141</v>
      </c>
      <c r="H140" s="3">
        <v>2.9899999999999999E-2</v>
      </c>
      <c r="I140">
        <v>6633.2</v>
      </c>
      <c r="J140" s="3">
        <v>2.7900000000000001E-2</v>
      </c>
      <c r="K140">
        <v>20744</v>
      </c>
    </row>
    <row r="141" spans="1:11" x14ac:dyDescent="0.25">
      <c r="A141" t="s">
        <v>202</v>
      </c>
      <c r="B141" t="s">
        <v>770</v>
      </c>
      <c r="C141" t="s">
        <v>1232</v>
      </c>
      <c r="D141" s="2">
        <v>44876</v>
      </c>
      <c r="E141">
        <v>1.127351</v>
      </c>
      <c r="F141" s="2">
        <v>44911</v>
      </c>
      <c r="G141">
        <v>0.9514842</v>
      </c>
      <c r="H141" s="3">
        <v>-0.156</v>
      </c>
      <c r="I141">
        <v>-36591.85</v>
      </c>
      <c r="J141" s="3">
        <v>-0.1578</v>
      </c>
      <c r="K141">
        <v>205635</v>
      </c>
    </row>
    <row r="142" spans="1:11" x14ac:dyDescent="0.25">
      <c r="A142" t="s">
        <v>407</v>
      </c>
      <c r="B142" t="s">
        <v>771</v>
      </c>
      <c r="C142" t="s">
        <v>1232</v>
      </c>
      <c r="D142" s="2">
        <v>44799</v>
      </c>
      <c r="E142">
        <v>2.0499999999999998</v>
      </c>
      <c r="F142" s="2">
        <v>44901</v>
      </c>
      <c r="G142">
        <v>2.09</v>
      </c>
      <c r="H142" s="3">
        <v>1.95E-2</v>
      </c>
      <c r="I142">
        <v>4264.01</v>
      </c>
      <c r="J142" s="3">
        <v>1.7500000000000002E-2</v>
      </c>
      <c r="K142">
        <v>118907</v>
      </c>
    </row>
    <row r="143" spans="1:11" x14ac:dyDescent="0.25">
      <c r="A143" t="s">
        <v>107</v>
      </c>
      <c r="B143" t="s">
        <v>741</v>
      </c>
      <c r="C143" t="s">
        <v>1232</v>
      </c>
      <c r="D143" s="2">
        <v>44785</v>
      </c>
      <c r="E143">
        <v>0.594225</v>
      </c>
      <c r="F143" s="2">
        <v>44883</v>
      </c>
      <c r="G143">
        <v>0.57024870000000005</v>
      </c>
      <c r="H143" s="3">
        <v>-4.0300000000000002E-2</v>
      </c>
      <c r="I143">
        <v>-10548.11</v>
      </c>
      <c r="J143" s="3">
        <v>-4.2299999999999997E-2</v>
      </c>
      <c r="K143">
        <v>419562</v>
      </c>
    </row>
    <row r="144" spans="1:11" x14ac:dyDescent="0.25">
      <c r="A144" t="s">
        <v>104</v>
      </c>
      <c r="B144" t="s">
        <v>772</v>
      </c>
      <c r="C144" t="s">
        <v>1232</v>
      </c>
      <c r="D144" s="2">
        <v>44806</v>
      </c>
      <c r="E144">
        <v>0.8604465</v>
      </c>
      <c r="F144" s="2">
        <v>44855</v>
      </c>
      <c r="G144">
        <v>0.74734279999999997</v>
      </c>
      <c r="H144" s="3">
        <v>-0.13139999999999999</v>
      </c>
      <c r="I144">
        <v>-31717.5</v>
      </c>
      <c r="J144" s="3">
        <v>-0.1333</v>
      </c>
      <c r="K144">
        <v>276498</v>
      </c>
    </row>
    <row r="145" spans="1:11" x14ac:dyDescent="0.25">
      <c r="A145" t="s">
        <v>408</v>
      </c>
      <c r="B145" t="s">
        <v>773</v>
      </c>
      <c r="C145" t="s">
        <v>1232</v>
      </c>
      <c r="D145" s="2">
        <v>44645</v>
      </c>
      <c r="E145">
        <v>0.81499999999999995</v>
      </c>
      <c r="F145" s="2">
        <v>44855</v>
      </c>
      <c r="G145">
        <v>1.06</v>
      </c>
      <c r="H145" s="3">
        <v>0.30059999999999998</v>
      </c>
      <c r="I145">
        <v>76907.25</v>
      </c>
      <c r="J145" s="3">
        <v>0.29830000000000001</v>
      </c>
      <c r="K145">
        <v>316328</v>
      </c>
    </row>
    <row r="146" spans="1:11" x14ac:dyDescent="0.25">
      <c r="A146" t="s">
        <v>203</v>
      </c>
      <c r="B146" t="s">
        <v>774</v>
      </c>
      <c r="C146" t="s">
        <v>1232</v>
      </c>
      <c r="D146" s="2">
        <v>44783</v>
      </c>
      <c r="E146">
        <v>1.8348230000000001</v>
      </c>
      <c r="F146" s="2">
        <v>44848</v>
      </c>
      <c r="G146">
        <v>1.5611839999999999</v>
      </c>
      <c r="H146" s="3">
        <v>-0.14910000000000001</v>
      </c>
      <c r="I146">
        <v>-37573.980000000003</v>
      </c>
      <c r="J146" s="3">
        <v>-0.151</v>
      </c>
      <c r="K146">
        <v>135629</v>
      </c>
    </row>
    <row r="147" spans="1:11" x14ac:dyDescent="0.25">
      <c r="A147" t="s">
        <v>181</v>
      </c>
      <c r="B147" t="s">
        <v>739</v>
      </c>
      <c r="C147" t="s">
        <v>1232</v>
      </c>
      <c r="D147" s="2">
        <v>44379</v>
      </c>
      <c r="E147">
        <v>2.0895220000000001</v>
      </c>
      <c r="F147" s="2">
        <v>44841</v>
      </c>
      <c r="G147">
        <v>1.9810399999999999</v>
      </c>
      <c r="H147" s="3">
        <v>-5.1900000000000002E-2</v>
      </c>
      <c r="I147">
        <v>-14989.41</v>
      </c>
      <c r="J147" s="3">
        <v>-5.3900000000000003E-2</v>
      </c>
      <c r="K147">
        <v>133177</v>
      </c>
    </row>
    <row r="148" spans="1:11" x14ac:dyDescent="0.25">
      <c r="A148" t="s">
        <v>58</v>
      </c>
      <c r="B148" t="s">
        <v>756</v>
      </c>
      <c r="C148" t="s">
        <v>1232</v>
      </c>
      <c r="D148" s="2">
        <v>44820</v>
      </c>
      <c r="E148">
        <v>6.51</v>
      </c>
      <c r="F148" s="2">
        <v>44841</v>
      </c>
      <c r="G148">
        <v>6.45</v>
      </c>
      <c r="H148" s="3">
        <v>-9.1999999999999998E-3</v>
      </c>
      <c r="I148">
        <v>-2737.82</v>
      </c>
      <c r="J148" s="3">
        <v>-1.12E-2</v>
      </c>
      <c r="K148">
        <v>37525</v>
      </c>
    </row>
    <row r="149" spans="1:11" x14ac:dyDescent="0.25">
      <c r="A149" t="s">
        <v>183</v>
      </c>
      <c r="B149" t="s">
        <v>743</v>
      </c>
      <c r="C149" t="s">
        <v>1232</v>
      </c>
      <c r="D149" s="2">
        <v>44785</v>
      </c>
      <c r="E149">
        <v>10.09</v>
      </c>
      <c r="F149" s="2">
        <v>44834</v>
      </c>
      <c r="G149">
        <v>7.300001</v>
      </c>
      <c r="H149" s="3">
        <v>-0.27650000000000002</v>
      </c>
      <c r="I149">
        <v>-69373.41</v>
      </c>
      <c r="J149" s="3">
        <v>-0.2782</v>
      </c>
      <c r="K149">
        <v>24711</v>
      </c>
    </row>
    <row r="150" spans="1:11" x14ac:dyDescent="0.25">
      <c r="A150" t="s">
        <v>148</v>
      </c>
      <c r="B150" t="s">
        <v>701</v>
      </c>
      <c r="C150" t="s">
        <v>1232</v>
      </c>
      <c r="D150" s="2">
        <v>44820</v>
      </c>
      <c r="E150">
        <v>0.51734309999999994</v>
      </c>
      <c r="F150" s="2">
        <v>44834</v>
      </c>
      <c r="G150">
        <v>0.4648004</v>
      </c>
      <c r="H150" s="3">
        <v>-0.1016</v>
      </c>
      <c r="I150">
        <v>-25267.63</v>
      </c>
      <c r="J150" s="3">
        <v>-0.10349999999999999</v>
      </c>
      <c r="K150">
        <v>472073</v>
      </c>
    </row>
    <row r="151" spans="1:11" x14ac:dyDescent="0.25">
      <c r="A151" t="s">
        <v>204</v>
      </c>
      <c r="B151" t="s">
        <v>775</v>
      </c>
      <c r="C151" t="s">
        <v>1232</v>
      </c>
      <c r="D151" s="2">
        <v>44820</v>
      </c>
      <c r="E151">
        <v>0.52</v>
      </c>
      <c r="F151" s="2">
        <v>44834</v>
      </c>
      <c r="G151">
        <v>0.42</v>
      </c>
      <c r="H151" s="3">
        <v>-0.1923</v>
      </c>
      <c r="I151">
        <v>-47412.12</v>
      </c>
      <c r="J151" s="3">
        <v>-0.19409999999999999</v>
      </c>
      <c r="K151">
        <v>469706</v>
      </c>
    </row>
    <row r="152" spans="1:11" x14ac:dyDescent="0.25">
      <c r="A152" t="s">
        <v>205</v>
      </c>
      <c r="B152" t="s">
        <v>776</v>
      </c>
      <c r="C152" t="s">
        <v>1232</v>
      </c>
      <c r="D152" s="2">
        <v>44820</v>
      </c>
      <c r="E152">
        <v>22.382490000000001</v>
      </c>
      <c r="F152" s="2">
        <v>44834</v>
      </c>
      <c r="G152">
        <v>20.47372</v>
      </c>
      <c r="H152" s="3">
        <v>-8.5300000000000001E-2</v>
      </c>
      <c r="I152">
        <v>-21298.1</v>
      </c>
      <c r="J152" s="3">
        <v>-8.72E-2</v>
      </c>
      <c r="K152">
        <v>10913</v>
      </c>
    </row>
    <row r="153" spans="1:11" x14ac:dyDescent="0.25">
      <c r="A153" t="s">
        <v>102</v>
      </c>
      <c r="B153" t="s">
        <v>777</v>
      </c>
      <c r="C153" t="s">
        <v>1232</v>
      </c>
      <c r="D153" s="2">
        <v>44792</v>
      </c>
      <c r="E153">
        <v>1.9311799999999999</v>
      </c>
      <c r="F153" s="2">
        <v>44834</v>
      </c>
      <c r="G153">
        <v>2.0546060000000002</v>
      </c>
      <c r="H153" s="3">
        <v>6.3899999999999998E-2</v>
      </c>
      <c r="I153">
        <v>15368.85</v>
      </c>
      <c r="J153" s="3">
        <v>6.1800000000000001E-2</v>
      </c>
      <c r="K153">
        <v>128674</v>
      </c>
    </row>
    <row r="154" spans="1:11" x14ac:dyDescent="0.25">
      <c r="A154" t="s">
        <v>166</v>
      </c>
      <c r="B154" t="s">
        <v>720</v>
      </c>
      <c r="C154" t="s">
        <v>1232</v>
      </c>
      <c r="D154" s="2">
        <v>44785</v>
      </c>
      <c r="E154">
        <v>2.84</v>
      </c>
      <c r="F154" s="2">
        <v>44827</v>
      </c>
      <c r="G154">
        <v>2.4</v>
      </c>
      <c r="H154" s="3">
        <v>-0.15490000000000001</v>
      </c>
      <c r="I154">
        <v>-39074.71</v>
      </c>
      <c r="J154" s="3">
        <v>-0.15679999999999999</v>
      </c>
      <c r="K154">
        <v>87761</v>
      </c>
    </row>
    <row r="155" spans="1:11" x14ac:dyDescent="0.25">
      <c r="A155" t="s">
        <v>89</v>
      </c>
      <c r="B155" t="s">
        <v>778</v>
      </c>
      <c r="C155" t="s">
        <v>1232</v>
      </c>
      <c r="D155" s="2">
        <v>44799</v>
      </c>
      <c r="E155">
        <v>0.55500000000000005</v>
      </c>
      <c r="F155" s="2">
        <v>44827</v>
      </c>
      <c r="G155">
        <v>0.55500000000000005</v>
      </c>
      <c r="H155" s="3">
        <v>0</v>
      </c>
      <c r="I155">
        <v>-487.57</v>
      </c>
      <c r="J155" s="3">
        <v>-2E-3</v>
      </c>
      <c r="K155">
        <v>439250</v>
      </c>
    </row>
    <row r="156" spans="1:11" x14ac:dyDescent="0.25">
      <c r="A156" t="s">
        <v>174</v>
      </c>
      <c r="B156" t="s">
        <v>729</v>
      </c>
      <c r="C156" t="s">
        <v>1232</v>
      </c>
      <c r="D156" s="2">
        <v>44792</v>
      </c>
      <c r="E156">
        <v>6.8570659999999997</v>
      </c>
      <c r="F156" s="2">
        <v>44813</v>
      </c>
      <c r="G156">
        <v>4.9230219999999996</v>
      </c>
      <c r="H156" s="3">
        <v>-0.28210000000000002</v>
      </c>
      <c r="I156">
        <v>-70520.56</v>
      </c>
      <c r="J156" s="3">
        <v>-0.2838</v>
      </c>
      <c r="K156">
        <v>36242</v>
      </c>
    </row>
    <row r="157" spans="1:11" x14ac:dyDescent="0.25">
      <c r="A157" t="s">
        <v>133</v>
      </c>
      <c r="B157" t="s">
        <v>685</v>
      </c>
      <c r="C157" t="s">
        <v>1232</v>
      </c>
      <c r="D157" s="2">
        <v>44785</v>
      </c>
      <c r="E157">
        <v>4.24</v>
      </c>
      <c r="F157" s="2">
        <v>44813</v>
      </c>
      <c r="G157">
        <v>4.1100000000000003</v>
      </c>
      <c r="H157" s="3">
        <v>-3.0700000000000002E-2</v>
      </c>
      <c r="I157">
        <v>-8134.29</v>
      </c>
      <c r="J157" s="3">
        <v>-3.2599999999999997E-2</v>
      </c>
      <c r="K157">
        <v>58795</v>
      </c>
    </row>
    <row r="158" spans="1:11" x14ac:dyDescent="0.25">
      <c r="A158" t="s">
        <v>206</v>
      </c>
      <c r="B158" t="s">
        <v>779</v>
      </c>
      <c r="C158" t="s">
        <v>1232</v>
      </c>
      <c r="D158" s="2">
        <v>44785</v>
      </c>
      <c r="E158">
        <v>1.97</v>
      </c>
      <c r="F158" s="2">
        <v>44813</v>
      </c>
      <c r="G158">
        <v>1.2350000000000001</v>
      </c>
      <c r="H158" s="3">
        <v>-0.37309999999999999</v>
      </c>
      <c r="I158">
        <v>-93441.25</v>
      </c>
      <c r="J158" s="3">
        <v>-0.37469999999999998</v>
      </c>
      <c r="K158">
        <v>126579</v>
      </c>
    </row>
    <row r="159" spans="1:11" x14ac:dyDescent="0.25">
      <c r="A159" t="s">
        <v>108</v>
      </c>
      <c r="B159" t="s">
        <v>731</v>
      </c>
      <c r="C159" t="s">
        <v>1232</v>
      </c>
      <c r="D159" s="2">
        <v>44652</v>
      </c>
      <c r="E159">
        <v>1.4777560000000001</v>
      </c>
      <c r="F159" s="2">
        <v>44771</v>
      </c>
      <c r="G159">
        <v>1.327949</v>
      </c>
      <c r="H159" s="3">
        <v>-0.1014</v>
      </c>
      <c r="I159">
        <v>-26856.78</v>
      </c>
      <c r="J159" s="3">
        <v>-0.1033</v>
      </c>
      <c r="K159">
        <v>175980</v>
      </c>
    </row>
    <row r="160" spans="1:11" x14ac:dyDescent="0.25">
      <c r="A160" t="s">
        <v>409</v>
      </c>
      <c r="B160" t="s">
        <v>780</v>
      </c>
      <c r="C160" t="s">
        <v>1232</v>
      </c>
      <c r="D160" s="2">
        <v>44645</v>
      </c>
      <c r="E160">
        <v>7.8496649999999999</v>
      </c>
      <c r="F160" s="2">
        <v>44750</v>
      </c>
      <c r="G160">
        <v>7.81</v>
      </c>
      <c r="H160" s="3">
        <v>-5.1000000000000004E-3</v>
      </c>
      <c r="I160">
        <v>-1818.25</v>
      </c>
      <c r="J160" s="3">
        <v>-7.0000000000000001E-3</v>
      </c>
      <c r="K160">
        <v>32865</v>
      </c>
    </row>
    <row r="161" spans="1:11" x14ac:dyDescent="0.25">
      <c r="A161" t="s">
        <v>187</v>
      </c>
      <c r="B161" t="s">
        <v>747</v>
      </c>
      <c r="C161" t="s">
        <v>1232</v>
      </c>
      <c r="D161" s="2">
        <v>44645</v>
      </c>
      <c r="E161">
        <v>6.833691</v>
      </c>
      <c r="F161" s="2">
        <v>44736</v>
      </c>
      <c r="G161">
        <v>5.1252680000000002</v>
      </c>
      <c r="H161" s="3">
        <v>-0.25</v>
      </c>
      <c r="I161">
        <v>-64908.29</v>
      </c>
      <c r="J161" s="3">
        <v>-0.25180000000000002</v>
      </c>
      <c r="K161">
        <v>37729</v>
      </c>
    </row>
    <row r="162" spans="1:11" x14ac:dyDescent="0.25">
      <c r="A162" t="s">
        <v>207</v>
      </c>
      <c r="B162" t="s">
        <v>781</v>
      </c>
      <c r="C162" t="s">
        <v>1232</v>
      </c>
      <c r="D162" s="2">
        <v>44561</v>
      </c>
      <c r="E162">
        <v>2.8324500000000001</v>
      </c>
      <c r="F162" s="2">
        <v>44736</v>
      </c>
      <c r="G162">
        <v>2.1090610000000001</v>
      </c>
      <c r="H162" s="3">
        <v>-0.25540000000000002</v>
      </c>
      <c r="I162">
        <v>-72814.84</v>
      </c>
      <c r="J162" s="3">
        <v>-0.2571</v>
      </c>
      <c r="K162">
        <v>99975</v>
      </c>
    </row>
    <row r="163" spans="1:11" x14ac:dyDescent="0.25">
      <c r="A163" t="s">
        <v>64</v>
      </c>
      <c r="B163" t="s">
        <v>782</v>
      </c>
      <c r="C163" t="s">
        <v>1232</v>
      </c>
      <c r="D163" s="2">
        <v>44652</v>
      </c>
      <c r="E163">
        <v>2.3356469999999998</v>
      </c>
      <c r="F163" s="2">
        <v>44736</v>
      </c>
      <c r="G163">
        <v>2.605057</v>
      </c>
      <c r="H163" s="3">
        <v>0.1153</v>
      </c>
      <c r="I163">
        <v>29454.74</v>
      </c>
      <c r="J163" s="3">
        <v>0.1132</v>
      </c>
      <c r="K163">
        <v>111373</v>
      </c>
    </row>
    <row r="164" spans="1:11" x14ac:dyDescent="0.25">
      <c r="A164" t="s">
        <v>177</v>
      </c>
      <c r="B164" t="s">
        <v>733</v>
      </c>
      <c r="C164" t="s">
        <v>1232</v>
      </c>
      <c r="D164" s="2">
        <v>44645</v>
      </c>
      <c r="E164">
        <v>1.804943</v>
      </c>
      <c r="F164" s="2">
        <v>44729</v>
      </c>
      <c r="G164">
        <v>1.509253</v>
      </c>
      <c r="H164" s="3">
        <v>-0.1638</v>
      </c>
      <c r="I164">
        <v>-42728.3</v>
      </c>
      <c r="J164" s="3">
        <v>-0.16569999999999999</v>
      </c>
      <c r="K164">
        <v>142902</v>
      </c>
    </row>
    <row r="165" spans="1:11" x14ac:dyDescent="0.25">
      <c r="A165" t="s">
        <v>208</v>
      </c>
      <c r="B165" t="s">
        <v>783</v>
      </c>
      <c r="C165" t="s">
        <v>1232</v>
      </c>
      <c r="D165" s="2">
        <v>44652</v>
      </c>
      <c r="E165">
        <v>3.197219</v>
      </c>
      <c r="F165" s="2">
        <v>44722</v>
      </c>
      <c r="G165">
        <v>3.6425700000000001</v>
      </c>
      <c r="H165" s="3">
        <v>0.13930000000000001</v>
      </c>
      <c r="I165">
        <v>35687.800000000003</v>
      </c>
      <c r="J165" s="3">
        <v>0.13719999999999999</v>
      </c>
      <c r="K165">
        <v>81384</v>
      </c>
    </row>
    <row r="166" spans="1:11" x14ac:dyDescent="0.25">
      <c r="A166" t="s">
        <v>166</v>
      </c>
      <c r="B166" t="s">
        <v>720</v>
      </c>
      <c r="C166" t="s">
        <v>1232</v>
      </c>
      <c r="D166" s="2">
        <v>44645</v>
      </c>
      <c r="E166">
        <v>2.58</v>
      </c>
      <c r="F166" s="2">
        <v>44715</v>
      </c>
      <c r="G166">
        <v>2.4</v>
      </c>
      <c r="H166" s="3">
        <v>-6.9800000000000001E-2</v>
      </c>
      <c r="I166">
        <v>-18489.310000000001</v>
      </c>
      <c r="J166" s="3">
        <v>-7.17E-2</v>
      </c>
      <c r="K166">
        <v>99953</v>
      </c>
    </row>
    <row r="167" spans="1:11" x14ac:dyDescent="0.25">
      <c r="A167" t="s">
        <v>209</v>
      </c>
      <c r="B167" t="s">
        <v>784</v>
      </c>
      <c r="C167" t="s">
        <v>1232</v>
      </c>
      <c r="D167" s="2">
        <v>44652</v>
      </c>
      <c r="E167">
        <v>1.2676449999999999</v>
      </c>
      <c r="F167" s="2">
        <v>44701</v>
      </c>
      <c r="G167">
        <v>1.350498</v>
      </c>
      <c r="H167" s="3">
        <v>6.54E-2</v>
      </c>
      <c r="I167">
        <v>16458.5</v>
      </c>
      <c r="J167" s="3">
        <v>6.3299999999999995E-2</v>
      </c>
      <c r="K167">
        <v>205129</v>
      </c>
    </row>
    <row r="168" spans="1:11" x14ac:dyDescent="0.25">
      <c r="A168" t="s">
        <v>101</v>
      </c>
      <c r="B168" t="s">
        <v>785</v>
      </c>
      <c r="C168" t="s">
        <v>1232</v>
      </c>
      <c r="D168" s="2">
        <v>44652</v>
      </c>
      <c r="E168">
        <v>0.64</v>
      </c>
      <c r="F168" s="2">
        <v>44701</v>
      </c>
      <c r="G168">
        <v>0.63</v>
      </c>
      <c r="H168" s="3">
        <v>-1.5599999999999999E-2</v>
      </c>
      <c r="I168">
        <v>-4580.29</v>
      </c>
      <c r="J168" s="3">
        <v>-1.7600000000000001E-2</v>
      </c>
      <c r="K168">
        <v>406414</v>
      </c>
    </row>
    <row r="169" spans="1:11" x14ac:dyDescent="0.25">
      <c r="A169" t="s">
        <v>63</v>
      </c>
      <c r="B169" t="s">
        <v>786</v>
      </c>
      <c r="C169" t="s">
        <v>1232</v>
      </c>
      <c r="D169" s="2">
        <v>44652</v>
      </c>
      <c r="E169">
        <v>1.830584</v>
      </c>
      <c r="F169" s="2">
        <v>44701</v>
      </c>
      <c r="G169">
        <v>1.814092</v>
      </c>
      <c r="H169" s="3">
        <v>-8.9999999999999993E-3</v>
      </c>
      <c r="I169">
        <v>-2862.01</v>
      </c>
      <c r="J169" s="3">
        <v>-1.0999999999999999E-2</v>
      </c>
      <c r="K169">
        <v>142129</v>
      </c>
    </row>
    <row r="170" spans="1:11" x14ac:dyDescent="0.25">
      <c r="A170" t="s">
        <v>210</v>
      </c>
      <c r="B170" t="s">
        <v>787</v>
      </c>
      <c r="C170" t="s">
        <v>1232</v>
      </c>
      <c r="D170" s="2">
        <v>44652</v>
      </c>
      <c r="E170">
        <v>0.98127679999999995</v>
      </c>
      <c r="F170" s="2">
        <v>44701</v>
      </c>
      <c r="G170">
        <v>1.111218</v>
      </c>
      <c r="H170" s="3">
        <v>0.13239999999999999</v>
      </c>
      <c r="I170">
        <v>33904.71</v>
      </c>
      <c r="J170" s="3">
        <v>0.1303</v>
      </c>
      <c r="K170">
        <v>265194</v>
      </c>
    </row>
    <row r="171" spans="1:11" x14ac:dyDescent="0.25">
      <c r="A171" t="s">
        <v>211</v>
      </c>
      <c r="B171" t="s">
        <v>788</v>
      </c>
      <c r="C171" t="s">
        <v>1232</v>
      </c>
      <c r="D171" s="2">
        <v>44645</v>
      </c>
      <c r="E171">
        <v>0.92398449999999999</v>
      </c>
      <c r="F171" s="2">
        <v>44701</v>
      </c>
      <c r="G171">
        <v>0.8084865</v>
      </c>
      <c r="H171" s="3">
        <v>-0.125</v>
      </c>
      <c r="I171">
        <v>-32715.51</v>
      </c>
      <c r="J171" s="3">
        <v>-0.12690000000000001</v>
      </c>
      <c r="K171">
        <v>279070</v>
      </c>
    </row>
    <row r="172" spans="1:11" x14ac:dyDescent="0.25">
      <c r="A172" t="s">
        <v>410</v>
      </c>
      <c r="B172" t="s">
        <v>789</v>
      </c>
      <c r="C172" t="s">
        <v>1232</v>
      </c>
      <c r="D172" s="2">
        <v>44645</v>
      </c>
      <c r="E172">
        <v>0.95</v>
      </c>
      <c r="F172" s="2">
        <v>44701</v>
      </c>
      <c r="G172">
        <v>0.82499999999999996</v>
      </c>
      <c r="H172" s="3">
        <v>-0.13159999999999999</v>
      </c>
      <c r="I172">
        <v>-34416.75</v>
      </c>
      <c r="J172" s="3">
        <v>-0.13339999999999999</v>
      </c>
      <c r="K172">
        <v>271479</v>
      </c>
    </row>
    <row r="173" spans="1:11" x14ac:dyDescent="0.25">
      <c r="A173" t="s">
        <v>212</v>
      </c>
      <c r="B173" t="s">
        <v>790</v>
      </c>
      <c r="C173" t="s">
        <v>1232</v>
      </c>
      <c r="D173" s="2">
        <v>44645</v>
      </c>
      <c r="E173">
        <v>0.81043050000000005</v>
      </c>
      <c r="F173" s="2">
        <v>44701</v>
      </c>
      <c r="G173">
        <v>0.72938740000000002</v>
      </c>
      <c r="H173" s="3">
        <v>-0.1</v>
      </c>
      <c r="I173">
        <v>-26285.56</v>
      </c>
      <c r="J173" s="3">
        <v>-0.1019</v>
      </c>
      <c r="K173">
        <v>318293</v>
      </c>
    </row>
    <row r="174" spans="1:11" x14ac:dyDescent="0.25">
      <c r="A174" t="s">
        <v>213</v>
      </c>
      <c r="B174" t="s">
        <v>791</v>
      </c>
      <c r="C174" t="s">
        <v>1232</v>
      </c>
      <c r="D174" s="2">
        <v>44652</v>
      </c>
      <c r="E174">
        <v>1.75</v>
      </c>
      <c r="F174" s="2">
        <v>44694</v>
      </c>
      <c r="G174">
        <v>1.585</v>
      </c>
      <c r="H174" s="3">
        <v>-9.4299999999999995E-2</v>
      </c>
      <c r="I174">
        <v>-25017.439999999999</v>
      </c>
      <c r="J174" s="3">
        <v>-9.6199999999999994E-2</v>
      </c>
      <c r="K174">
        <v>148617</v>
      </c>
    </row>
    <row r="175" spans="1:11" x14ac:dyDescent="0.25">
      <c r="A175" t="s">
        <v>214</v>
      </c>
      <c r="B175" t="s">
        <v>792</v>
      </c>
      <c r="C175" t="s">
        <v>1232</v>
      </c>
      <c r="D175" s="2">
        <v>44652</v>
      </c>
      <c r="E175">
        <v>0.68</v>
      </c>
      <c r="F175" s="2">
        <v>44694</v>
      </c>
      <c r="G175">
        <v>0.63</v>
      </c>
      <c r="H175" s="3">
        <v>-7.3499999999999996E-2</v>
      </c>
      <c r="I175">
        <v>-19630.18</v>
      </c>
      <c r="J175" s="3">
        <v>-7.5499999999999998E-2</v>
      </c>
      <c r="K175">
        <v>382580</v>
      </c>
    </row>
    <row r="176" spans="1:11" x14ac:dyDescent="0.25">
      <c r="A176" t="s">
        <v>215</v>
      </c>
      <c r="B176" t="s">
        <v>793</v>
      </c>
      <c r="C176" t="s">
        <v>1232</v>
      </c>
      <c r="D176" s="2">
        <v>44652</v>
      </c>
      <c r="E176">
        <v>1.23</v>
      </c>
      <c r="F176" s="2">
        <v>44694</v>
      </c>
      <c r="G176">
        <v>1.2150000000000001</v>
      </c>
      <c r="H176" s="3">
        <v>-1.2200000000000001E-2</v>
      </c>
      <c r="I176">
        <v>-3691.15</v>
      </c>
      <c r="J176" s="3">
        <v>-1.4200000000000001E-2</v>
      </c>
      <c r="K176">
        <v>211588</v>
      </c>
    </row>
    <row r="177" spans="1:11" x14ac:dyDescent="0.25">
      <c r="A177" t="s">
        <v>411</v>
      </c>
      <c r="B177" t="s">
        <v>794</v>
      </c>
      <c r="C177" t="s">
        <v>1232</v>
      </c>
      <c r="D177" s="2">
        <v>44287</v>
      </c>
      <c r="E177">
        <v>1.284832</v>
      </c>
      <c r="F177" s="2">
        <v>44642</v>
      </c>
      <c r="G177">
        <v>1.5</v>
      </c>
      <c r="H177" s="3">
        <v>0.16750000000000001</v>
      </c>
      <c r="I177">
        <v>42425.87</v>
      </c>
      <c r="J177" s="3">
        <v>0.1653</v>
      </c>
      <c r="K177">
        <v>199761</v>
      </c>
    </row>
    <row r="178" spans="1:11" x14ac:dyDescent="0.25">
      <c r="A178" t="s">
        <v>412</v>
      </c>
      <c r="B178" t="s">
        <v>795</v>
      </c>
      <c r="C178" t="s">
        <v>1232</v>
      </c>
      <c r="D178" s="2">
        <v>44498</v>
      </c>
      <c r="E178">
        <v>4.5006510000000004</v>
      </c>
      <c r="F178" s="2">
        <v>44638</v>
      </c>
      <c r="G178">
        <v>4.59</v>
      </c>
      <c r="H178" s="3">
        <v>1.9900000000000001E-2</v>
      </c>
      <c r="I178">
        <v>5278.35</v>
      </c>
      <c r="J178" s="3">
        <v>1.78E-2</v>
      </c>
      <c r="K178">
        <v>65767</v>
      </c>
    </row>
    <row r="179" spans="1:11" x14ac:dyDescent="0.25">
      <c r="A179" t="s">
        <v>202</v>
      </c>
      <c r="B179" t="s">
        <v>770</v>
      </c>
      <c r="C179" t="s">
        <v>1232</v>
      </c>
      <c r="D179" s="2">
        <v>44568</v>
      </c>
      <c r="E179">
        <v>1.2244440000000001</v>
      </c>
      <c r="F179" s="2">
        <v>44638</v>
      </c>
      <c r="G179">
        <v>1.0350790000000001</v>
      </c>
      <c r="H179" s="3">
        <v>-0.1547</v>
      </c>
      <c r="I179">
        <v>-45240.44</v>
      </c>
      <c r="J179" s="3">
        <v>-0.1565</v>
      </c>
      <c r="K179">
        <v>236089</v>
      </c>
    </row>
    <row r="180" spans="1:11" x14ac:dyDescent="0.25">
      <c r="A180" t="s">
        <v>216</v>
      </c>
      <c r="B180" t="s">
        <v>796</v>
      </c>
      <c r="C180" t="s">
        <v>1232</v>
      </c>
      <c r="D180" s="2">
        <v>43994</v>
      </c>
      <c r="E180">
        <v>3.02</v>
      </c>
      <c r="F180" s="2">
        <v>44624</v>
      </c>
      <c r="G180">
        <v>3.34</v>
      </c>
      <c r="H180" s="3">
        <v>0.106</v>
      </c>
      <c r="I180">
        <v>20823.810000000001</v>
      </c>
      <c r="J180" s="3">
        <v>0.10390000000000001</v>
      </c>
      <c r="K180">
        <v>66394</v>
      </c>
    </row>
    <row r="181" spans="1:11" x14ac:dyDescent="0.25">
      <c r="A181" t="s">
        <v>210</v>
      </c>
      <c r="B181" t="s">
        <v>787</v>
      </c>
      <c r="C181" t="s">
        <v>1232</v>
      </c>
      <c r="D181" s="2">
        <v>44561</v>
      </c>
      <c r="E181">
        <v>0.5804492</v>
      </c>
      <c r="F181" s="2">
        <v>44617</v>
      </c>
      <c r="G181">
        <v>0.63358899999999996</v>
      </c>
      <c r="H181" s="3">
        <v>9.1499999999999998E-2</v>
      </c>
      <c r="I181">
        <v>25334.73</v>
      </c>
      <c r="J181" s="3">
        <v>8.9499999999999996E-2</v>
      </c>
      <c r="K181">
        <v>487903</v>
      </c>
    </row>
    <row r="182" spans="1:11" x14ac:dyDescent="0.25">
      <c r="A182" t="s">
        <v>217</v>
      </c>
      <c r="B182" t="s">
        <v>797</v>
      </c>
      <c r="C182" t="s">
        <v>1232</v>
      </c>
      <c r="D182" s="2">
        <v>44183</v>
      </c>
      <c r="E182">
        <v>2.4236149999999999</v>
      </c>
      <c r="F182" s="2">
        <v>44610</v>
      </c>
      <c r="G182">
        <v>4.2207800000000004</v>
      </c>
      <c r="H182" s="3">
        <v>0.74150000000000005</v>
      </c>
      <c r="I182">
        <v>188103.14</v>
      </c>
      <c r="J182" s="3">
        <v>0.73880000000000001</v>
      </c>
      <c r="K182">
        <v>105055</v>
      </c>
    </row>
    <row r="183" spans="1:11" x14ac:dyDescent="0.25">
      <c r="A183" t="s">
        <v>218</v>
      </c>
      <c r="B183" t="s">
        <v>798</v>
      </c>
      <c r="C183" t="s">
        <v>1232</v>
      </c>
      <c r="D183" s="2">
        <v>44568</v>
      </c>
      <c r="E183">
        <v>3.4</v>
      </c>
      <c r="F183" s="2">
        <v>44596</v>
      </c>
      <c r="G183">
        <v>2.96</v>
      </c>
      <c r="H183" s="3">
        <v>-0.12939999999999999</v>
      </c>
      <c r="I183">
        <v>-37946.85</v>
      </c>
      <c r="J183" s="3">
        <v>-0.1313</v>
      </c>
      <c r="K183">
        <v>85014</v>
      </c>
    </row>
    <row r="184" spans="1:11" x14ac:dyDescent="0.25">
      <c r="A184" t="s">
        <v>116</v>
      </c>
      <c r="B184" t="s">
        <v>350</v>
      </c>
      <c r="C184" t="s">
        <v>1232</v>
      </c>
      <c r="D184" s="2">
        <v>44498</v>
      </c>
      <c r="E184">
        <v>1.2050000000000001</v>
      </c>
      <c r="F184" s="2">
        <v>44596</v>
      </c>
      <c r="G184">
        <v>1.06</v>
      </c>
      <c r="H184" s="3">
        <v>-0.1203</v>
      </c>
      <c r="I184">
        <v>-36170.79</v>
      </c>
      <c r="J184" s="3">
        <v>-0.1222</v>
      </c>
      <c r="K184">
        <v>245617</v>
      </c>
    </row>
    <row r="185" spans="1:11" x14ac:dyDescent="0.25">
      <c r="A185" t="s">
        <v>219</v>
      </c>
      <c r="B185" t="s">
        <v>799</v>
      </c>
      <c r="C185" t="s">
        <v>1232</v>
      </c>
      <c r="D185" s="2">
        <v>44287</v>
      </c>
      <c r="E185">
        <v>3.635751</v>
      </c>
      <c r="F185" s="2">
        <v>44596</v>
      </c>
      <c r="G185">
        <v>6.8428250000000004</v>
      </c>
      <c r="H185" s="3">
        <v>0.8821</v>
      </c>
      <c r="I185">
        <v>225721.19</v>
      </c>
      <c r="J185" s="3">
        <v>0.87919999999999998</v>
      </c>
      <c r="K185">
        <v>70613</v>
      </c>
    </row>
    <row r="186" spans="1:11" x14ac:dyDescent="0.25">
      <c r="A186" t="s">
        <v>100</v>
      </c>
      <c r="B186" t="s">
        <v>379</v>
      </c>
      <c r="C186" t="s">
        <v>1232</v>
      </c>
      <c r="D186" s="2">
        <v>44582</v>
      </c>
      <c r="E186">
        <v>2.15</v>
      </c>
      <c r="F186" s="2">
        <v>44596</v>
      </c>
      <c r="G186">
        <v>1.865</v>
      </c>
      <c r="H186" s="3">
        <v>-0.1326</v>
      </c>
      <c r="I186">
        <v>-38305.47</v>
      </c>
      <c r="J186" s="3">
        <v>-0.13439999999999999</v>
      </c>
      <c r="K186">
        <v>132538</v>
      </c>
    </row>
    <row r="187" spans="1:11" x14ac:dyDescent="0.25">
      <c r="A187" t="s">
        <v>413</v>
      </c>
      <c r="B187" t="s">
        <v>800</v>
      </c>
      <c r="C187" t="s">
        <v>1232</v>
      </c>
      <c r="D187" s="2">
        <v>44575</v>
      </c>
      <c r="E187">
        <v>0.875</v>
      </c>
      <c r="F187" s="2">
        <v>44589</v>
      </c>
      <c r="G187">
        <v>0.70499999999999996</v>
      </c>
      <c r="H187" s="3">
        <v>-0.1943</v>
      </c>
      <c r="I187">
        <v>-55527.41</v>
      </c>
      <c r="J187" s="3">
        <v>-0.1961</v>
      </c>
      <c r="K187">
        <v>323624</v>
      </c>
    </row>
    <row r="188" spans="1:11" x14ac:dyDescent="0.25">
      <c r="A188" t="s">
        <v>87</v>
      </c>
      <c r="B188" t="s">
        <v>767</v>
      </c>
      <c r="C188" t="s">
        <v>1232</v>
      </c>
      <c r="D188" s="2">
        <v>44568</v>
      </c>
      <c r="E188">
        <v>1.8262780000000001</v>
      </c>
      <c r="F188" s="2">
        <v>44589</v>
      </c>
      <c r="G188">
        <v>1.7586379999999999</v>
      </c>
      <c r="H188" s="3">
        <v>-3.6999999999999998E-2</v>
      </c>
      <c r="I188">
        <v>-11271.84</v>
      </c>
      <c r="J188" s="3">
        <v>-3.9E-2</v>
      </c>
      <c r="K188">
        <v>158257</v>
      </c>
    </row>
    <row r="189" spans="1:11" x14ac:dyDescent="0.25">
      <c r="A189" t="s">
        <v>414</v>
      </c>
      <c r="B189" t="s">
        <v>801</v>
      </c>
      <c r="C189" t="s">
        <v>1232</v>
      </c>
      <c r="D189" s="2">
        <v>44568</v>
      </c>
      <c r="E189">
        <v>2.5</v>
      </c>
      <c r="F189" s="2">
        <v>44589</v>
      </c>
      <c r="G189">
        <v>2.52</v>
      </c>
      <c r="H189" s="3">
        <v>8.0000000000000002E-3</v>
      </c>
      <c r="I189">
        <v>1732.32</v>
      </c>
      <c r="J189" s="3">
        <v>6.0000000000000001E-3</v>
      </c>
      <c r="K189">
        <v>115642</v>
      </c>
    </row>
    <row r="190" spans="1:11" x14ac:dyDescent="0.25">
      <c r="A190" t="s">
        <v>220</v>
      </c>
      <c r="B190" t="s">
        <v>802</v>
      </c>
      <c r="C190" t="s">
        <v>1232</v>
      </c>
      <c r="D190" s="2">
        <v>44561</v>
      </c>
      <c r="E190">
        <v>0.875</v>
      </c>
      <c r="F190" s="2">
        <v>44589</v>
      </c>
      <c r="G190">
        <v>0.745</v>
      </c>
      <c r="H190" s="3">
        <v>-0.14860000000000001</v>
      </c>
      <c r="I190">
        <v>-42604.21</v>
      </c>
      <c r="J190" s="3">
        <v>-0.15040000000000001</v>
      </c>
      <c r="K190">
        <v>323691</v>
      </c>
    </row>
    <row r="191" spans="1:11" x14ac:dyDescent="0.25">
      <c r="A191" t="s">
        <v>166</v>
      </c>
      <c r="B191" t="s">
        <v>720</v>
      </c>
      <c r="C191" t="s">
        <v>1232</v>
      </c>
      <c r="D191" s="2">
        <v>44561</v>
      </c>
      <c r="E191">
        <v>2.38</v>
      </c>
      <c r="F191" s="2">
        <v>44589</v>
      </c>
      <c r="G191">
        <v>2.0499999999999998</v>
      </c>
      <c r="H191" s="3">
        <v>-0.13869999999999999</v>
      </c>
      <c r="I191">
        <v>-39802.19</v>
      </c>
      <c r="J191" s="3">
        <v>-0.14050000000000001</v>
      </c>
      <c r="K191">
        <v>119015</v>
      </c>
    </row>
    <row r="192" spans="1:11" x14ac:dyDescent="0.25">
      <c r="A192" t="s">
        <v>140</v>
      </c>
      <c r="B192" t="s">
        <v>692</v>
      </c>
      <c r="C192" t="s">
        <v>1232</v>
      </c>
      <c r="D192" s="2">
        <v>44287</v>
      </c>
      <c r="E192">
        <v>4.7091250000000002</v>
      </c>
      <c r="F192" s="2">
        <v>44589</v>
      </c>
      <c r="G192">
        <v>7.1156259999999998</v>
      </c>
      <c r="H192" s="3">
        <v>0.51100000000000001</v>
      </c>
      <c r="I192">
        <v>130526.62</v>
      </c>
      <c r="J192" s="3">
        <v>0.50849999999999995</v>
      </c>
      <c r="K192">
        <v>54507</v>
      </c>
    </row>
    <row r="193" spans="1:11" x14ac:dyDescent="0.25">
      <c r="A193" t="s">
        <v>221</v>
      </c>
      <c r="B193" t="s">
        <v>803</v>
      </c>
      <c r="C193" t="s">
        <v>1232</v>
      </c>
      <c r="D193" s="2">
        <v>44498</v>
      </c>
      <c r="E193">
        <v>1.4670840000000001</v>
      </c>
      <c r="F193" s="2">
        <v>44582</v>
      </c>
      <c r="G193">
        <v>1.3474839999999999</v>
      </c>
      <c r="H193" s="3">
        <v>-8.1500000000000003E-2</v>
      </c>
      <c r="I193">
        <v>-24691.14</v>
      </c>
      <c r="J193" s="3">
        <v>-8.3400000000000002E-2</v>
      </c>
      <c r="K193">
        <v>201701</v>
      </c>
    </row>
    <row r="194" spans="1:11" x14ac:dyDescent="0.25">
      <c r="A194" t="s">
        <v>222</v>
      </c>
      <c r="B194" t="s">
        <v>804</v>
      </c>
      <c r="C194" t="s">
        <v>1232</v>
      </c>
      <c r="D194" s="2">
        <v>43994</v>
      </c>
      <c r="E194">
        <v>1.5113529999999999</v>
      </c>
      <c r="F194" s="2">
        <v>44554</v>
      </c>
      <c r="G194">
        <v>0.27500000000000002</v>
      </c>
      <c r="H194" s="3">
        <v>-0.81799999999999995</v>
      </c>
      <c r="I194">
        <v>-164280.04</v>
      </c>
      <c r="J194" s="3">
        <v>-0.81920000000000004</v>
      </c>
      <c r="K194">
        <v>132683</v>
      </c>
    </row>
    <row r="195" spans="1:11" x14ac:dyDescent="0.25">
      <c r="A195" t="s">
        <v>223</v>
      </c>
      <c r="B195" t="s">
        <v>805</v>
      </c>
      <c r="C195" t="s">
        <v>1232</v>
      </c>
      <c r="D195" s="2">
        <v>44498</v>
      </c>
      <c r="E195">
        <v>11.65185</v>
      </c>
      <c r="F195" s="2">
        <v>44547</v>
      </c>
      <c r="G195">
        <v>11.57606</v>
      </c>
      <c r="H195" s="3">
        <v>-6.4999999999999997E-3</v>
      </c>
      <c r="I195">
        <v>-2515.5500000000002</v>
      </c>
      <c r="J195" s="3">
        <v>-8.5000000000000006E-3</v>
      </c>
      <c r="K195">
        <v>25405</v>
      </c>
    </row>
    <row r="196" spans="1:11" x14ac:dyDescent="0.25">
      <c r="A196" t="s">
        <v>406</v>
      </c>
      <c r="B196" t="s">
        <v>764</v>
      </c>
      <c r="C196" t="s">
        <v>1232</v>
      </c>
      <c r="D196" s="2">
        <v>44148</v>
      </c>
      <c r="E196">
        <v>1.4888140000000001</v>
      </c>
      <c r="F196" s="2">
        <v>44540</v>
      </c>
      <c r="G196">
        <v>1.8759520000000001</v>
      </c>
      <c r="H196" s="3">
        <v>0.26</v>
      </c>
      <c r="I196">
        <v>61198.78</v>
      </c>
      <c r="J196" s="3">
        <v>0.25779999999999997</v>
      </c>
      <c r="K196">
        <v>159466</v>
      </c>
    </row>
    <row r="197" spans="1:11" x14ac:dyDescent="0.25">
      <c r="A197" t="s">
        <v>224</v>
      </c>
      <c r="B197" t="s">
        <v>806</v>
      </c>
      <c r="C197" t="s">
        <v>1232</v>
      </c>
      <c r="D197" s="2">
        <v>44512</v>
      </c>
      <c r="E197">
        <v>8.6199999999999992</v>
      </c>
      <c r="F197" s="2">
        <v>44540</v>
      </c>
      <c r="G197">
        <v>8.0399999999999991</v>
      </c>
      <c r="H197" s="3">
        <v>-6.7299999999999999E-2</v>
      </c>
      <c r="I197">
        <v>-20939.189999999999</v>
      </c>
      <c r="J197" s="3">
        <v>-6.9199999999999998E-2</v>
      </c>
      <c r="K197">
        <v>35094</v>
      </c>
    </row>
    <row r="198" spans="1:11" x14ac:dyDescent="0.25">
      <c r="A198" t="s">
        <v>62</v>
      </c>
      <c r="B198" t="s">
        <v>807</v>
      </c>
      <c r="C198" t="s">
        <v>1232</v>
      </c>
      <c r="D198" s="2">
        <v>44498</v>
      </c>
      <c r="E198">
        <v>1.7350000000000001</v>
      </c>
      <c r="F198" s="2">
        <v>44540</v>
      </c>
      <c r="G198">
        <v>1.59</v>
      </c>
      <c r="H198" s="3">
        <v>-8.3599999999999994E-2</v>
      </c>
      <c r="I198">
        <v>-25309.58</v>
      </c>
      <c r="J198" s="3">
        <v>-8.5500000000000007E-2</v>
      </c>
      <c r="K198">
        <v>170636</v>
      </c>
    </row>
    <row r="199" spans="1:11" x14ac:dyDescent="0.25">
      <c r="A199" t="s">
        <v>225</v>
      </c>
      <c r="B199" t="s">
        <v>808</v>
      </c>
      <c r="C199" t="s">
        <v>1232</v>
      </c>
      <c r="D199" s="2">
        <v>44512</v>
      </c>
      <c r="E199">
        <v>0.81</v>
      </c>
      <c r="F199" s="2">
        <v>44533</v>
      </c>
      <c r="G199">
        <v>0.61</v>
      </c>
      <c r="H199" s="3">
        <v>-0.24690000000000001</v>
      </c>
      <c r="I199">
        <v>-75211.64</v>
      </c>
      <c r="J199" s="3">
        <v>-0.2487</v>
      </c>
      <c r="K199">
        <v>373407</v>
      </c>
    </row>
    <row r="200" spans="1:11" x14ac:dyDescent="0.25">
      <c r="A200" t="s">
        <v>413</v>
      </c>
      <c r="B200" t="s">
        <v>800</v>
      </c>
      <c r="C200" t="s">
        <v>1232</v>
      </c>
      <c r="D200" s="2">
        <v>44512</v>
      </c>
      <c r="E200">
        <v>0.55000000000000004</v>
      </c>
      <c r="F200" s="2">
        <v>44533</v>
      </c>
      <c r="G200">
        <v>0.54500000000000004</v>
      </c>
      <c r="H200" s="3">
        <v>-9.1000000000000004E-3</v>
      </c>
      <c r="I200">
        <v>-3352.12</v>
      </c>
      <c r="J200" s="3">
        <v>-1.11E-2</v>
      </c>
      <c r="K200">
        <v>549979</v>
      </c>
    </row>
    <row r="201" spans="1:11" x14ac:dyDescent="0.25">
      <c r="A201" t="s">
        <v>226</v>
      </c>
      <c r="B201" t="s">
        <v>809</v>
      </c>
      <c r="C201" t="s">
        <v>1232</v>
      </c>
      <c r="D201" s="2">
        <v>44498</v>
      </c>
      <c r="E201">
        <v>6.0535800000000002</v>
      </c>
      <c r="F201" s="2">
        <v>44533</v>
      </c>
      <c r="G201">
        <v>4.9115710000000004</v>
      </c>
      <c r="H201" s="3">
        <v>-0.18870000000000001</v>
      </c>
      <c r="I201">
        <v>-56364.29</v>
      </c>
      <c r="J201" s="3">
        <v>-0.1905</v>
      </c>
      <c r="K201">
        <v>48886</v>
      </c>
    </row>
    <row r="202" spans="1:11" x14ac:dyDescent="0.25">
      <c r="A202" t="s">
        <v>84</v>
      </c>
      <c r="B202" t="s">
        <v>738</v>
      </c>
      <c r="C202" t="s">
        <v>1232</v>
      </c>
      <c r="D202" s="2">
        <v>44379</v>
      </c>
      <c r="E202">
        <v>2.2799999999999998</v>
      </c>
      <c r="F202" s="2">
        <v>44533</v>
      </c>
      <c r="G202">
        <v>2.12</v>
      </c>
      <c r="H202" s="3">
        <v>-7.0199999999999999E-2</v>
      </c>
      <c r="I202">
        <v>-20066.990000000002</v>
      </c>
      <c r="J202" s="3">
        <v>-7.2099999999999997E-2</v>
      </c>
      <c r="K202">
        <v>122062</v>
      </c>
    </row>
    <row r="203" spans="1:11" x14ac:dyDescent="0.25">
      <c r="A203" t="s">
        <v>137</v>
      </c>
      <c r="B203" t="s">
        <v>689</v>
      </c>
      <c r="C203" t="s">
        <v>1232</v>
      </c>
      <c r="D203" s="2">
        <v>44519</v>
      </c>
      <c r="E203">
        <v>1.77</v>
      </c>
      <c r="F203" s="2">
        <v>44533</v>
      </c>
      <c r="G203">
        <v>1.54</v>
      </c>
      <c r="H203" s="3">
        <v>-0.12989999999999999</v>
      </c>
      <c r="I203">
        <v>-39077.33</v>
      </c>
      <c r="J203" s="3">
        <v>-0.1318</v>
      </c>
      <c r="K203">
        <v>167491</v>
      </c>
    </row>
    <row r="204" spans="1:11" x14ac:dyDescent="0.25">
      <c r="A204" t="s">
        <v>415</v>
      </c>
      <c r="B204" t="s">
        <v>810</v>
      </c>
      <c r="C204" t="s">
        <v>1232</v>
      </c>
      <c r="D204" s="2">
        <v>44274</v>
      </c>
      <c r="E204">
        <v>4.707281</v>
      </c>
      <c r="F204" s="2">
        <v>44519</v>
      </c>
      <c r="G204">
        <v>4.3608399999999996</v>
      </c>
      <c r="H204" s="3">
        <v>-7.3599999999999999E-2</v>
      </c>
      <c r="I204">
        <v>-19633.7</v>
      </c>
      <c r="J204" s="3">
        <v>-7.5499999999999998E-2</v>
      </c>
      <c r="K204">
        <v>55227</v>
      </c>
    </row>
    <row r="205" spans="1:11" x14ac:dyDescent="0.25">
      <c r="A205" t="s">
        <v>207</v>
      </c>
      <c r="B205" t="s">
        <v>781</v>
      </c>
      <c r="C205" t="s">
        <v>1232</v>
      </c>
      <c r="D205" s="2">
        <v>44337</v>
      </c>
      <c r="E205">
        <v>2.7159170000000001</v>
      </c>
      <c r="F205" s="2">
        <v>44519</v>
      </c>
      <c r="G205">
        <v>2.5254099999999999</v>
      </c>
      <c r="H205" s="3">
        <v>-7.0099999999999996E-2</v>
      </c>
      <c r="I205">
        <v>-19313.509999999998</v>
      </c>
      <c r="J205" s="3">
        <v>-7.2099999999999997E-2</v>
      </c>
      <c r="K205">
        <v>98665</v>
      </c>
    </row>
    <row r="206" spans="1:11" x14ac:dyDescent="0.25">
      <c r="A206" t="s">
        <v>90</v>
      </c>
      <c r="B206" t="s">
        <v>697</v>
      </c>
      <c r="C206" t="s">
        <v>1232</v>
      </c>
      <c r="D206" s="2">
        <v>44379</v>
      </c>
      <c r="E206">
        <v>6.4415690000000003</v>
      </c>
      <c r="F206" s="2">
        <v>44512</v>
      </c>
      <c r="G206">
        <v>6.6446810000000003</v>
      </c>
      <c r="H206" s="3">
        <v>3.15E-2</v>
      </c>
      <c r="I206">
        <v>8211.39</v>
      </c>
      <c r="J206" s="3">
        <v>2.9499999999999998E-2</v>
      </c>
      <c r="K206">
        <v>43212</v>
      </c>
    </row>
    <row r="207" spans="1:11" x14ac:dyDescent="0.25">
      <c r="A207" t="s">
        <v>416</v>
      </c>
      <c r="B207" t="s">
        <v>811</v>
      </c>
      <c r="C207" t="s">
        <v>1232</v>
      </c>
      <c r="D207" s="2">
        <v>44106</v>
      </c>
      <c r="E207">
        <v>0.84581139999999999</v>
      </c>
      <c r="F207" s="2">
        <v>44498</v>
      </c>
      <c r="G207">
        <v>1.1499999999999999</v>
      </c>
      <c r="H207" s="3">
        <v>0.35959999999999998</v>
      </c>
      <c r="I207">
        <v>84859.97</v>
      </c>
      <c r="J207" s="3">
        <v>0.35730000000000001</v>
      </c>
      <c r="K207">
        <v>280814</v>
      </c>
    </row>
    <row r="208" spans="1:11" x14ac:dyDescent="0.25">
      <c r="A208" t="s">
        <v>225</v>
      </c>
      <c r="B208" t="s">
        <v>808</v>
      </c>
      <c r="C208" t="s">
        <v>1232</v>
      </c>
      <c r="D208" s="2">
        <v>44449</v>
      </c>
      <c r="E208">
        <v>0.64</v>
      </c>
      <c r="F208" s="2">
        <v>44484</v>
      </c>
      <c r="G208">
        <v>0.58499999999999996</v>
      </c>
      <c r="H208" s="3">
        <v>-8.5900000000000004E-2</v>
      </c>
      <c r="I208">
        <v>-26465.439999999999</v>
      </c>
      <c r="J208" s="3">
        <v>-8.7900000000000006E-2</v>
      </c>
      <c r="K208">
        <v>470706</v>
      </c>
    </row>
    <row r="209" spans="1:11" x14ac:dyDescent="0.25">
      <c r="A209" t="s">
        <v>417</v>
      </c>
      <c r="B209" t="s">
        <v>812</v>
      </c>
      <c r="C209" t="s">
        <v>1232</v>
      </c>
      <c r="D209" s="2">
        <v>44379</v>
      </c>
      <c r="E209">
        <v>2.08</v>
      </c>
      <c r="F209" s="2">
        <v>44483</v>
      </c>
      <c r="G209">
        <v>2.5</v>
      </c>
      <c r="H209" s="3">
        <v>0.2019</v>
      </c>
      <c r="I209">
        <v>55588.18</v>
      </c>
      <c r="J209" s="3">
        <v>0.19969999999999999</v>
      </c>
      <c r="K209">
        <v>133812</v>
      </c>
    </row>
    <row r="210" spans="1:11" x14ac:dyDescent="0.25">
      <c r="A210" t="s">
        <v>189</v>
      </c>
      <c r="B210" t="s">
        <v>750</v>
      </c>
      <c r="C210" t="s">
        <v>1232</v>
      </c>
      <c r="D210" s="2">
        <v>44287</v>
      </c>
      <c r="E210">
        <v>1.52</v>
      </c>
      <c r="F210" s="2">
        <v>44477</v>
      </c>
      <c r="G210">
        <v>3.09</v>
      </c>
      <c r="H210" s="3">
        <v>1.0328999999999999</v>
      </c>
      <c r="I210">
        <v>264424.11</v>
      </c>
      <c r="J210" s="3">
        <v>1.0299</v>
      </c>
      <c r="K210">
        <v>168919</v>
      </c>
    </row>
    <row r="211" spans="1:11" x14ac:dyDescent="0.25">
      <c r="A211" t="s">
        <v>170</v>
      </c>
      <c r="B211" t="s">
        <v>724</v>
      </c>
      <c r="C211" t="s">
        <v>1232</v>
      </c>
      <c r="D211" s="2">
        <v>44400</v>
      </c>
      <c r="E211">
        <v>10.08</v>
      </c>
      <c r="F211" s="2">
        <v>44470</v>
      </c>
      <c r="G211">
        <v>13.59</v>
      </c>
      <c r="H211" s="3">
        <v>0.34820000000000001</v>
      </c>
      <c r="I211">
        <v>96247.11</v>
      </c>
      <c r="J211" s="3">
        <v>0.34589999999999999</v>
      </c>
      <c r="K211">
        <v>27607</v>
      </c>
    </row>
    <row r="212" spans="1:11" x14ac:dyDescent="0.25">
      <c r="A212" t="s">
        <v>227</v>
      </c>
      <c r="B212" t="s">
        <v>813</v>
      </c>
      <c r="C212" t="s">
        <v>1232</v>
      </c>
      <c r="D212" s="2">
        <v>44456</v>
      </c>
      <c r="E212">
        <v>3.3386100000000001</v>
      </c>
      <c r="F212" s="2">
        <v>44470</v>
      </c>
      <c r="G212">
        <v>2.8203779999999998</v>
      </c>
      <c r="H212" s="3">
        <v>-0.1552</v>
      </c>
      <c r="I212">
        <v>-47337.82</v>
      </c>
      <c r="J212" s="3">
        <v>-0.15709999999999999</v>
      </c>
      <c r="K212">
        <v>90272</v>
      </c>
    </row>
    <row r="213" spans="1:11" x14ac:dyDescent="0.25">
      <c r="A213" t="s">
        <v>87</v>
      </c>
      <c r="B213" t="s">
        <v>767</v>
      </c>
      <c r="C213" t="s">
        <v>1232</v>
      </c>
      <c r="D213" s="2">
        <v>44407</v>
      </c>
      <c r="E213">
        <v>1.25617</v>
      </c>
      <c r="F213" s="2">
        <v>44470</v>
      </c>
      <c r="G213">
        <v>1.1208899999999999</v>
      </c>
      <c r="H213" s="3">
        <v>-0.1077</v>
      </c>
      <c r="I213">
        <v>-30644.53</v>
      </c>
      <c r="J213" s="3">
        <v>-0.1096</v>
      </c>
      <c r="K213">
        <v>222615</v>
      </c>
    </row>
    <row r="214" spans="1:11" x14ac:dyDescent="0.25">
      <c r="A214" t="s">
        <v>226</v>
      </c>
      <c r="B214" t="s">
        <v>809</v>
      </c>
      <c r="C214" t="s">
        <v>1232</v>
      </c>
      <c r="D214" s="2">
        <v>44274</v>
      </c>
      <c r="E214">
        <v>5.28688</v>
      </c>
      <c r="F214" s="2">
        <v>44456</v>
      </c>
      <c r="G214">
        <v>5.0415549999999998</v>
      </c>
      <c r="H214" s="3">
        <v>-4.6399999999999997E-2</v>
      </c>
      <c r="I214">
        <v>-12572.27</v>
      </c>
      <c r="J214" s="3">
        <v>-4.8399999999999999E-2</v>
      </c>
      <c r="K214">
        <v>49177</v>
      </c>
    </row>
    <row r="215" spans="1:11" x14ac:dyDescent="0.25">
      <c r="A215" t="s">
        <v>228</v>
      </c>
      <c r="B215" t="s">
        <v>814</v>
      </c>
      <c r="C215" t="s">
        <v>1232</v>
      </c>
      <c r="D215" s="2">
        <v>44287</v>
      </c>
      <c r="E215">
        <v>0.65</v>
      </c>
      <c r="F215" s="2">
        <v>44449</v>
      </c>
      <c r="G215">
        <v>0.75999989999999995</v>
      </c>
      <c r="H215" s="3">
        <v>0.16919999999999999</v>
      </c>
      <c r="I215">
        <v>42886.1</v>
      </c>
      <c r="J215" s="3">
        <v>0.1671</v>
      </c>
      <c r="K215">
        <v>394936</v>
      </c>
    </row>
    <row r="216" spans="1:11" x14ac:dyDescent="0.25">
      <c r="A216" t="s">
        <v>229</v>
      </c>
      <c r="B216" t="s">
        <v>815</v>
      </c>
      <c r="C216" t="s">
        <v>1232</v>
      </c>
      <c r="D216" s="2">
        <v>44295</v>
      </c>
      <c r="E216">
        <v>0.62226499999999996</v>
      </c>
      <c r="F216" s="2">
        <v>44407</v>
      </c>
      <c r="G216">
        <v>0.63394079999999997</v>
      </c>
      <c r="H216" s="3">
        <v>1.8800000000000001E-2</v>
      </c>
      <c r="I216">
        <v>4347.1000000000004</v>
      </c>
      <c r="J216" s="3">
        <v>1.67E-2</v>
      </c>
      <c r="K216">
        <v>417204</v>
      </c>
    </row>
    <row r="217" spans="1:11" x14ac:dyDescent="0.25">
      <c r="A217" t="s">
        <v>230</v>
      </c>
      <c r="B217" t="s">
        <v>816</v>
      </c>
      <c r="C217" t="s">
        <v>1232</v>
      </c>
      <c r="D217" s="2">
        <v>44295</v>
      </c>
      <c r="E217">
        <v>1.165</v>
      </c>
      <c r="F217" s="2">
        <v>44400</v>
      </c>
      <c r="G217">
        <v>0.96</v>
      </c>
      <c r="H217" s="3">
        <v>-0.17599999999999999</v>
      </c>
      <c r="I217">
        <v>-46169.41</v>
      </c>
      <c r="J217" s="3">
        <v>-0.17780000000000001</v>
      </c>
      <c r="K217">
        <v>222906</v>
      </c>
    </row>
    <row r="218" spans="1:11" x14ac:dyDescent="0.25">
      <c r="A218" t="s">
        <v>174</v>
      </c>
      <c r="B218" t="s">
        <v>729</v>
      </c>
      <c r="C218" t="s">
        <v>1232</v>
      </c>
      <c r="D218" s="2">
        <v>44295</v>
      </c>
      <c r="E218">
        <v>7.5603559999999996</v>
      </c>
      <c r="F218" s="2">
        <v>44379</v>
      </c>
      <c r="G218">
        <v>5.9779549999999997</v>
      </c>
      <c r="H218" s="3">
        <v>-0.20930000000000001</v>
      </c>
      <c r="I218">
        <v>-54796.58</v>
      </c>
      <c r="J218" s="3">
        <v>-0.21110000000000001</v>
      </c>
      <c r="K218">
        <v>34335</v>
      </c>
    </row>
    <row r="219" spans="1:11" x14ac:dyDescent="0.25">
      <c r="A219" t="s">
        <v>231</v>
      </c>
      <c r="B219" t="s">
        <v>817</v>
      </c>
      <c r="C219" t="s">
        <v>1232</v>
      </c>
      <c r="D219" s="2">
        <v>44295</v>
      </c>
      <c r="E219">
        <v>5.5283769999999999</v>
      </c>
      <c r="F219" s="2">
        <v>44379</v>
      </c>
      <c r="G219">
        <v>7.3155260000000002</v>
      </c>
      <c r="H219" s="3">
        <v>0.32329999999999998</v>
      </c>
      <c r="I219">
        <v>83328.460000000006</v>
      </c>
      <c r="J219" s="3">
        <v>0.32090000000000002</v>
      </c>
      <c r="K219">
        <v>46964</v>
      </c>
    </row>
    <row r="220" spans="1:11" x14ac:dyDescent="0.25">
      <c r="A220" t="s">
        <v>232</v>
      </c>
      <c r="B220" t="s">
        <v>818</v>
      </c>
      <c r="C220" t="s">
        <v>1232</v>
      </c>
      <c r="D220" s="2">
        <v>44295</v>
      </c>
      <c r="E220">
        <v>1.669529</v>
      </c>
      <c r="F220" s="2">
        <v>44379</v>
      </c>
      <c r="G220">
        <v>1.5163960000000001</v>
      </c>
      <c r="H220" s="3">
        <v>-9.1700000000000004E-2</v>
      </c>
      <c r="I220">
        <v>-24312.13</v>
      </c>
      <c r="J220" s="3">
        <v>-9.3600000000000003E-2</v>
      </c>
      <c r="K220">
        <v>155529</v>
      </c>
    </row>
    <row r="221" spans="1:11" x14ac:dyDescent="0.25">
      <c r="A221" t="s">
        <v>233</v>
      </c>
      <c r="B221" t="s">
        <v>819</v>
      </c>
      <c r="C221" t="s">
        <v>1232</v>
      </c>
      <c r="D221" s="2">
        <v>44287</v>
      </c>
      <c r="E221">
        <v>17.339300000000001</v>
      </c>
      <c r="F221" s="2">
        <v>44379</v>
      </c>
      <c r="G221">
        <v>15.497960000000001</v>
      </c>
      <c r="H221" s="3">
        <v>-0.1062</v>
      </c>
      <c r="I221">
        <v>-27754.69</v>
      </c>
      <c r="J221" s="3">
        <v>-0.1081</v>
      </c>
      <c r="K221">
        <v>14809</v>
      </c>
    </row>
    <row r="222" spans="1:11" x14ac:dyDescent="0.25">
      <c r="A222" t="s">
        <v>418</v>
      </c>
      <c r="B222" t="s">
        <v>820</v>
      </c>
      <c r="C222" t="s">
        <v>1232</v>
      </c>
      <c r="D222" s="2">
        <v>44008</v>
      </c>
      <c r="E222">
        <v>0.79257610000000001</v>
      </c>
      <c r="F222" s="2">
        <v>44378</v>
      </c>
      <c r="G222">
        <v>1.295094</v>
      </c>
      <c r="H222" s="3">
        <v>0.63400000000000001</v>
      </c>
      <c r="I222">
        <v>129501.84</v>
      </c>
      <c r="J222" s="3">
        <v>0.63139999999999996</v>
      </c>
      <c r="K222">
        <v>258781</v>
      </c>
    </row>
    <row r="223" spans="1:11" x14ac:dyDescent="0.25">
      <c r="A223" t="s">
        <v>414</v>
      </c>
      <c r="B223" t="s">
        <v>801</v>
      </c>
      <c r="C223" t="s">
        <v>1232</v>
      </c>
      <c r="D223" s="2">
        <v>44323</v>
      </c>
      <c r="E223">
        <v>2.46</v>
      </c>
      <c r="F223" s="2">
        <v>44337</v>
      </c>
      <c r="G223">
        <v>1.3</v>
      </c>
      <c r="H223" s="3">
        <v>-0.47149999999999997</v>
      </c>
      <c r="I223">
        <v>-128868.96</v>
      </c>
      <c r="J223" s="3">
        <v>-0.47310000000000002</v>
      </c>
      <c r="K223">
        <v>110735</v>
      </c>
    </row>
    <row r="224" spans="1:11" x14ac:dyDescent="0.25">
      <c r="A224" t="s">
        <v>107</v>
      </c>
      <c r="B224" t="s">
        <v>741</v>
      </c>
      <c r="C224" t="s">
        <v>1232</v>
      </c>
      <c r="D224" s="2">
        <v>44239</v>
      </c>
      <c r="E224">
        <v>0.62782360000000004</v>
      </c>
      <c r="F224" s="2">
        <v>44323</v>
      </c>
      <c r="G224">
        <v>0.54604830000000004</v>
      </c>
      <c r="H224" s="3">
        <v>-0.1303</v>
      </c>
      <c r="I224">
        <v>-35447.08</v>
      </c>
      <c r="J224" s="3">
        <v>-0.1321</v>
      </c>
      <c r="K224">
        <v>427335</v>
      </c>
    </row>
    <row r="225" spans="1:11" x14ac:dyDescent="0.25">
      <c r="A225" t="s">
        <v>234</v>
      </c>
      <c r="B225" t="s">
        <v>821</v>
      </c>
      <c r="C225" t="s">
        <v>1232</v>
      </c>
      <c r="D225" s="2">
        <v>44148</v>
      </c>
      <c r="E225">
        <v>3.3864899999999998</v>
      </c>
      <c r="F225" s="2">
        <v>44287</v>
      </c>
      <c r="G225">
        <v>3.503587</v>
      </c>
      <c r="H225" s="3">
        <v>3.4599999999999999E-2</v>
      </c>
      <c r="I225">
        <v>7724.73</v>
      </c>
      <c r="J225" s="3">
        <v>3.2500000000000001E-2</v>
      </c>
      <c r="K225">
        <v>70093</v>
      </c>
    </row>
    <row r="226" spans="1:11" x14ac:dyDescent="0.25">
      <c r="A226" t="s">
        <v>69</v>
      </c>
      <c r="B226" t="s">
        <v>822</v>
      </c>
      <c r="C226" t="s">
        <v>1232</v>
      </c>
      <c r="D226" s="2">
        <v>44148</v>
      </c>
      <c r="E226">
        <v>3.4930080000000001</v>
      </c>
      <c r="F226" s="2">
        <v>44287</v>
      </c>
      <c r="G226">
        <v>4.6277920000000003</v>
      </c>
      <c r="H226" s="3">
        <v>0.32490000000000002</v>
      </c>
      <c r="I226">
        <v>76584.929999999993</v>
      </c>
      <c r="J226" s="3">
        <v>0.32250000000000001</v>
      </c>
      <c r="K226">
        <v>67975</v>
      </c>
    </row>
    <row r="227" spans="1:11" x14ac:dyDescent="0.25">
      <c r="A227" t="s">
        <v>235</v>
      </c>
      <c r="B227" t="s">
        <v>823</v>
      </c>
      <c r="C227" t="s">
        <v>1232</v>
      </c>
      <c r="D227" s="2">
        <v>44232</v>
      </c>
      <c r="E227">
        <v>0.66132930000000001</v>
      </c>
      <c r="F227" s="2">
        <v>44281</v>
      </c>
      <c r="G227">
        <v>0.63472110000000004</v>
      </c>
      <c r="H227" s="3">
        <v>-4.02E-2</v>
      </c>
      <c r="I227">
        <v>-10873.06</v>
      </c>
      <c r="J227" s="3">
        <v>-4.2200000000000001E-2</v>
      </c>
      <c r="K227">
        <v>389656</v>
      </c>
    </row>
    <row r="228" spans="1:11" x14ac:dyDescent="0.25">
      <c r="A228" t="s">
        <v>66</v>
      </c>
      <c r="B228" t="s">
        <v>824</v>
      </c>
      <c r="C228" t="s">
        <v>1232</v>
      </c>
      <c r="D228" s="2">
        <v>44148</v>
      </c>
      <c r="E228">
        <v>2.4900000000000002</v>
      </c>
      <c r="F228" s="2">
        <v>44267</v>
      </c>
      <c r="G228">
        <v>3.71</v>
      </c>
      <c r="H228" s="3">
        <v>0.49</v>
      </c>
      <c r="I228">
        <v>115764.96</v>
      </c>
      <c r="J228" s="3">
        <v>0.48749999999999999</v>
      </c>
      <c r="K228">
        <v>95374</v>
      </c>
    </row>
    <row r="229" spans="1:11" x14ac:dyDescent="0.25">
      <c r="A229" t="s">
        <v>219</v>
      </c>
      <c r="B229" t="s">
        <v>799</v>
      </c>
      <c r="C229" t="s">
        <v>1232</v>
      </c>
      <c r="D229" s="2">
        <v>44148</v>
      </c>
      <c r="E229">
        <v>3.0967699999999998</v>
      </c>
      <c r="F229" s="2">
        <v>44267</v>
      </c>
      <c r="G229">
        <v>3.1635759999999999</v>
      </c>
      <c r="H229" s="3">
        <v>2.1600000000000001E-2</v>
      </c>
      <c r="I229">
        <v>4643.49</v>
      </c>
      <c r="J229" s="3">
        <v>1.9599999999999999E-2</v>
      </c>
      <c r="K229">
        <v>76694</v>
      </c>
    </row>
    <row r="230" spans="1:11" x14ac:dyDescent="0.25">
      <c r="A230" t="s">
        <v>173</v>
      </c>
      <c r="B230" t="s">
        <v>728</v>
      </c>
      <c r="C230" t="s">
        <v>1232</v>
      </c>
      <c r="D230" s="2">
        <v>44008</v>
      </c>
      <c r="E230">
        <v>0.92753620000000003</v>
      </c>
      <c r="F230" s="2">
        <v>44267</v>
      </c>
      <c r="G230">
        <v>1.423899</v>
      </c>
      <c r="H230" s="3">
        <v>0.53510000000000002</v>
      </c>
      <c r="I230">
        <v>109208.13</v>
      </c>
      <c r="J230" s="3">
        <v>0.53259999999999996</v>
      </c>
      <c r="K230">
        <v>221064</v>
      </c>
    </row>
    <row r="231" spans="1:11" x14ac:dyDescent="0.25">
      <c r="A231" t="s">
        <v>236</v>
      </c>
      <c r="B231" t="s">
        <v>825</v>
      </c>
      <c r="C231" t="s">
        <v>1232</v>
      </c>
      <c r="D231" s="2">
        <v>44253</v>
      </c>
      <c r="E231">
        <v>0.54</v>
      </c>
      <c r="F231" s="2">
        <v>44267</v>
      </c>
      <c r="G231">
        <v>0.505</v>
      </c>
      <c r="H231" s="3">
        <v>-6.4799999999999996E-2</v>
      </c>
      <c r="I231">
        <v>-18053.79</v>
      </c>
      <c r="J231" s="3">
        <v>-6.6799999999999998E-2</v>
      </c>
      <c r="K231">
        <v>500868</v>
      </c>
    </row>
    <row r="232" spans="1:11" x14ac:dyDescent="0.25">
      <c r="A232" t="s">
        <v>237</v>
      </c>
      <c r="B232" t="s">
        <v>826</v>
      </c>
      <c r="C232" t="s">
        <v>1232</v>
      </c>
      <c r="D232" s="2">
        <v>44189</v>
      </c>
      <c r="E232">
        <v>6.23</v>
      </c>
      <c r="F232" s="2">
        <v>44260</v>
      </c>
      <c r="G232">
        <v>5.07</v>
      </c>
      <c r="H232" s="3">
        <v>-0.1862</v>
      </c>
      <c r="I232">
        <v>-48642.92</v>
      </c>
      <c r="J232" s="3">
        <v>-0.188</v>
      </c>
      <c r="K232">
        <v>41529</v>
      </c>
    </row>
    <row r="233" spans="1:11" x14ac:dyDescent="0.25">
      <c r="A233" t="s">
        <v>238</v>
      </c>
      <c r="B233" t="s">
        <v>827</v>
      </c>
      <c r="C233" t="s">
        <v>1232</v>
      </c>
      <c r="D233" s="2">
        <v>44155</v>
      </c>
      <c r="E233">
        <v>1.5139990000000001</v>
      </c>
      <c r="F233" s="2">
        <v>44260</v>
      </c>
      <c r="G233">
        <v>1.8715759999999999</v>
      </c>
      <c r="H233" s="3">
        <v>0.23619999999999999</v>
      </c>
      <c r="I233">
        <v>56063.19</v>
      </c>
      <c r="J233" s="3">
        <v>0.2339</v>
      </c>
      <c r="K233">
        <v>158285</v>
      </c>
    </row>
    <row r="234" spans="1:11" x14ac:dyDescent="0.25">
      <c r="A234" t="s">
        <v>84</v>
      </c>
      <c r="B234" t="s">
        <v>738</v>
      </c>
      <c r="C234" t="s">
        <v>1232</v>
      </c>
      <c r="D234" s="2">
        <v>44120</v>
      </c>
      <c r="E234">
        <v>1.75</v>
      </c>
      <c r="F234" s="2">
        <v>44260</v>
      </c>
      <c r="G234">
        <v>1.91</v>
      </c>
      <c r="H234" s="3">
        <v>9.1399999999999995E-2</v>
      </c>
      <c r="I234">
        <v>21782.85</v>
      </c>
      <c r="J234" s="3">
        <v>8.9300000000000004E-2</v>
      </c>
      <c r="K234">
        <v>139330</v>
      </c>
    </row>
    <row r="235" spans="1:11" x14ac:dyDescent="0.25">
      <c r="A235" t="s">
        <v>239</v>
      </c>
      <c r="B235" t="s">
        <v>828</v>
      </c>
      <c r="C235" t="s">
        <v>1232</v>
      </c>
      <c r="D235" s="2">
        <v>44106</v>
      </c>
      <c r="E235">
        <v>2.5476740000000002</v>
      </c>
      <c r="F235" s="2">
        <v>44260</v>
      </c>
      <c r="G235">
        <v>3.3415870000000001</v>
      </c>
      <c r="H235" s="3">
        <v>0.31159999999999999</v>
      </c>
      <c r="I235">
        <v>73472.97</v>
      </c>
      <c r="J235" s="3">
        <v>0.30930000000000002</v>
      </c>
      <c r="K235">
        <v>93237</v>
      </c>
    </row>
    <row r="236" spans="1:11" x14ac:dyDescent="0.25">
      <c r="A236" t="s">
        <v>240</v>
      </c>
      <c r="B236" t="s">
        <v>829</v>
      </c>
      <c r="C236" t="s">
        <v>1232</v>
      </c>
      <c r="D236" s="2">
        <v>43987</v>
      </c>
      <c r="E236">
        <v>6.4630330000000002</v>
      </c>
      <c r="F236" s="2">
        <v>44260</v>
      </c>
      <c r="G236">
        <v>8.8389240000000004</v>
      </c>
      <c r="H236" s="3">
        <v>0.36759999999999998</v>
      </c>
      <c r="I236">
        <v>72521.89</v>
      </c>
      <c r="J236" s="3">
        <v>0.36520000000000002</v>
      </c>
      <c r="K236">
        <v>30722</v>
      </c>
    </row>
    <row r="237" spans="1:11" x14ac:dyDescent="0.25">
      <c r="A237" t="s">
        <v>181</v>
      </c>
      <c r="B237" t="s">
        <v>739</v>
      </c>
      <c r="C237" t="s">
        <v>1232</v>
      </c>
      <c r="D237" s="2">
        <v>44008</v>
      </c>
      <c r="E237">
        <v>1.601485</v>
      </c>
      <c r="F237" s="2">
        <v>44253</v>
      </c>
      <c r="G237">
        <v>1.8422149999999999</v>
      </c>
      <c r="H237" s="3">
        <v>0.15029999999999999</v>
      </c>
      <c r="I237">
        <v>30383.56</v>
      </c>
      <c r="J237" s="3">
        <v>0.1482</v>
      </c>
      <c r="K237">
        <v>128046</v>
      </c>
    </row>
    <row r="238" spans="1:11" x14ac:dyDescent="0.25">
      <c r="A238" t="s">
        <v>241</v>
      </c>
      <c r="B238" t="s">
        <v>830</v>
      </c>
      <c r="C238" t="s">
        <v>1232</v>
      </c>
      <c r="D238" s="2">
        <v>44148</v>
      </c>
      <c r="E238">
        <v>0.84</v>
      </c>
      <c r="F238" s="2">
        <v>44239</v>
      </c>
      <c r="G238">
        <v>0.71</v>
      </c>
      <c r="H238" s="3">
        <v>-0.15479999999999999</v>
      </c>
      <c r="I238">
        <v>-37177.35</v>
      </c>
      <c r="J238" s="3">
        <v>-0.15659999999999999</v>
      </c>
      <c r="K238">
        <v>282610</v>
      </c>
    </row>
    <row r="239" spans="1:11" x14ac:dyDescent="0.25">
      <c r="A239" t="s">
        <v>419</v>
      </c>
      <c r="B239" t="s">
        <v>831</v>
      </c>
      <c r="C239" t="s">
        <v>1232</v>
      </c>
      <c r="D239" s="2">
        <v>44008</v>
      </c>
      <c r="E239">
        <v>0.59499999999999997</v>
      </c>
      <c r="F239" s="2">
        <v>44230</v>
      </c>
      <c r="G239">
        <v>1.0649999999999999</v>
      </c>
      <c r="H239" s="3">
        <v>0.78990000000000005</v>
      </c>
      <c r="I239">
        <v>161472.85999999999</v>
      </c>
      <c r="J239" s="3">
        <v>0.78710000000000002</v>
      </c>
      <c r="K239">
        <v>344777</v>
      </c>
    </row>
    <row r="240" spans="1:11" x14ac:dyDescent="0.25">
      <c r="A240" t="s">
        <v>242</v>
      </c>
      <c r="B240" t="s">
        <v>832</v>
      </c>
      <c r="C240" t="s">
        <v>1232</v>
      </c>
      <c r="D240" s="2">
        <v>44148</v>
      </c>
      <c r="E240">
        <v>1.405</v>
      </c>
      <c r="F240" s="2">
        <v>44218</v>
      </c>
      <c r="G240">
        <v>1.02</v>
      </c>
      <c r="H240" s="3">
        <v>-0.27400000000000002</v>
      </c>
      <c r="I240">
        <v>-65479.09</v>
      </c>
      <c r="J240" s="3">
        <v>-0.2757</v>
      </c>
      <c r="K240">
        <v>169011</v>
      </c>
    </row>
    <row r="241" spans="1:11" x14ac:dyDescent="0.25">
      <c r="A241" t="s">
        <v>243</v>
      </c>
      <c r="B241" t="s">
        <v>833</v>
      </c>
      <c r="C241" t="s">
        <v>1232</v>
      </c>
      <c r="D241" s="2">
        <v>44106</v>
      </c>
      <c r="E241">
        <v>1.1599999999999999</v>
      </c>
      <c r="F241" s="2">
        <v>44189</v>
      </c>
      <c r="G241">
        <v>1.0900000000000001</v>
      </c>
      <c r="H241" s="3">
        <v>-6.0299999999999999E-2</v>
      </c>
      <c r="I241">
        <v>-14792.1</v>
      </c>
      <c r="J241" s="3">
        <v>-6.2300000000000001E-2</v>
      </c>
      <c r="K241">
        <v>204735</v>
      </c>
    </row>
    <row r="242" spans="1:11" x14ac:dyDescent="0.25">
      <c r="A242" t="s">
        <v>420</v>
      </c>
      <c r="B242" t="s">
        <v>834</v>
      </c>
      <c r="C242" t="s">
        <v>1232</v>
      </c>
      <c r="D242" s="2">
        <v>44153</v>
      </c>
      <c r="E242">
        <v>2.4500000000000002</v>
      </c>
      <c r="F242" s="2">
        <v>44181</v>
      </c>
      <c r="G242">
        <v>2.99</v>
      </c>
      <c r="H242" s="3">
        <v>0.22040000000000001</v>
      </c>
      <c r="I242">
        <v>51898.83</v>
      </c>
      <c r="J242" s="3">
        <v>0.21820000000000001</v>
      </c>
      <c r="K242">
        <v>97087</v>
      </c>
    </row>
    <row r="243" spans="1:11" x14ac:dyDescent="0.25">
      <c r="A243" t="s">
        <v>421</v>
      </c>
      <c r="B243" t="s">
        <v>835</v>
      </c>
      <c r="C243" t="s">
        <v>1232</v>
      </c>
      <c r="D243" s="2">
        <v>44134</v>
      </c>
      <c r="E243">
        <v>1.386234</v>
      </c>
      <c r="F243" s="2">
        <v>44141</v>
      </c>
      <c r="G243">
        <v>1.0374099999999999</v>
      </c>
      <c r="H243" s="3">
        <v>-0.25159999999999999</v>
      </c>
      <c r="I243">
        <v>-61974.13</v>
      </c>
      <c r="J243" s="3">
        <v>-0.25340000000000001</v>
      </c>
      <c r="K243">
        <v>176440</v>
      </c>
    </row>
    <row r="244" spans="1:11" x14ac:dyDescent="0.25">
      <c r="A244" t="s">
        <v>191</v>
      </c>
      <c r="B244" t="s">
        <v>754</v>
      </c>
      <c r="C244" t="s">
        <v>1232</v>
      </c>
      <c r="D244" s="2">
        <v>44120</v>
      </c>
      <c r="E244">
        <v>6.175522</v>
      </c>
      <c r="F244" s="2">
        <v>44141</v>
      </c>
      <c r="G244">
        <v>5.3753140000000004</v>
      </c>
      <c r="H244" s="3">
        <v>-0.12959999999999999</v>
      </c>
      <c r="I244">
        <v>-32053.11</v>
      </c>
      <c r="J244" s="3">
        <v>-0.13139999999999999</v>
      </c>
      <c r="K244">
        <v>39486</v>
      </c>
    </row>
    <row r="245" spans="1:11" x14ac:dyDescent="0.25">
      <c r="A245" t="s">
        <v>60</v>
      </c>
      <c r="B245" t="s">
        <v>836</v>
      </c>
      <c r="C245" t="s">
        <v>1232</v>
      </c>
      <c r="D245" s="2">
        <v>44120</v>
      </c>
      <c r="E245">
        <v>0.83577120000000005</v>
      </c>
      <c r="F245" s="2">
        <v>44141</v>
      </c>
      <c r="G245">
        <v>0.70970520000000004</v>
      </c>
      <c r="H245" s="3">
        <v>-0.15079999999999999</v>
      </c>
      <c r="I245">
        <v>-37236.39</v>
      </c>
      <c r="J245" s="3">
        <v>-0.1527</v>
      </c>
      <c r="K245">
        <v>291795</v>
      </c>
    </row>
    <row r="246" spans="1:11" x14ac:dyDescent="0.25">
      <c r="A246" t="s">
        <v>199</v>
      </c>
      <c r="B246" t="s">
        <v>765</v>
      </c>
      <c r="C246" t="s">
        <v>1232</v>
      </c>
      <c r="D246" s="2">
        <v>44120</v>
      </c>
      <c r="E246">
        <v>0.52901739999999997</v>
      </c>
      <c r="F246" s="2">
        <v>44141</v>
      </c>
      <c r="G246">
        <v>0.58281590000000005</v>
      </c>
      <c r="H246" s="3">
        <v>0.1017</v>
      </c>
      <c r="I246">
        <v>24290.61</v>
      </c>
      <c r="J246" s="3">
        <v>9.9599999999999994E-2</v>
      </c>
      <c r="K246">
        <v>461039</v>
      </c>
    </row>
    <row r="247" spans="1:11" x14ac:dyDescent="0.25">
      <c r="A247" t="s">
        <v>422</v>
      </c>
      <c r="B247" t="s">
        <v>837</v>
      </c>
      <c r="C247" t="s">
        <v>1232</v>
      </c>
      <c r="D247" s="2">
        <v>44120</v>
      </c>
      <c r="E247">
        <v>2.2553800000000002</v>
      </c>
      <c r="F247" s="2">
        <v>44141</v>
      </c>
      <c r="G247">
        <v>1.8141099999999999</v>
      </c>
      <c r="H247" s="3">
        <v>-0.19570000000000001</v>
      </c>
      <c r="I247">
        <v>-48163.47</v>
      </c>
      <c r="J247" s="3">
        <v>-0.19750000000000001</v>
      </c>
      <c r="K247">
        <v>108150</v>
      </c>
    </row>
    <row r="248" spans="1:11" x14ac:dyDescent="0.25">
      <c r="A248" t="s">
        <v>231</v>
      </c>
      <c r="B248" t="s">
        <v>817</v>
      </c>
      <c r="C248" t="s">
        <v>1232</v>
      </c>
      <c r="D248" s="2">
        <v>44120</v>
      </c>
      <c r="E248">
        <v>3.0342250000000002</v>
      </c>
      <c r="F248" s="2">
        <v>44141</v>
      </c>
      <c r="G248">
        <v>2.5825279999999999</v>
      </c>
      <c r="H248" s="3">
        <v>-0.1489</v>
      </c>
      <c r="I248">
        <v>-36766.65</v>
      </c>
      <c r="J248" s="3">
        <v>-0.1507</v>
      </c>
      <c r="K248">
        <v>80397</v>
      </c>
    </row>
    <row r="249" spans="1:11" x14ac:dyDescent="0.25">
      <c r="A249" t="s">
        <v>244</v>
      </c>
      <c r="B249" t="s">
        <v>838</v>
      </c>
      <c r="C249" t="s">
        <v>1232</v>
      </c>
      <c r="D249" s="2">
        <v>44106</v>
      </c>
      <c r="E249">
        <v>1.7687930000000001</v>
      </c>
      <c r="F249" s="2">
        <v>44141</v>
      </c>
      <c r="G249">
        <v>1.3395459999999999</v>
      </c>
      <c r="H249" s="3">
        <v>-0.2427</v>
      </c>
      <c r="I249">
        <v>-58068.35</v>
      </c>
      <c r="J249" s="3">
        <v>-0.24440000000000001</v>
      </c>
      <c r="K249">
        <v>134307</v>
      </c>
    </row>
    <row r="250" spans="1:11" x14ac:dyDescent="0.25">
      <c r="A250" t="s">
        <v>245</v>
      </c>
      <c r="B250" t="s">
        <v>839</v>
      </c>
      <c r="C250" t="s">
        <v>1232</v>
      </c>
      <c r="D250" s="2">
        <v>44057</v>
      </c>
      <c r="E250">
        <v>2.267655</v>
      </c>
      <c r="F250" s="2">
        <v>44141</v>
      </c>
      <c r="G250">
        <v>2.9026749999999999</v>
      </c>
      <c r="H250" s="3">
        <v>0.28000000000000003</v>
      </c>
      <c r="I250">
        <v>62950.96</v>
      </c>
      <c r="J250" s="3">
        <v>0.27779999999999999</v>
      </c>
      <c r="K250">
        <v>99946</v>
      </c>
    </row>
    <row r="251" spans="1:11" x14ac:dyDescent="0.25">
      <c r="A251" t="s">
        <v>246</v>
      </c>
      <c r="B251" t="s">
        <v>840</v>
      </c>
      <c r="C251" t="s">
        <v>1232</v>
      </c>
      <c r="D251" s="2">
        <v>43987</v>
      </c>
      <c r="E251">
        <v>0.82499999999999996</v>
      </c>
      <c r="F251" s="2">
        <v>44141</v>
      </c>
      <c r="G251">
        <v>0.95499999999999996</v>
      </c>
      <c r="H251" s="3">
        <v>0.15759999999999999</v>
      </c>
      <c r="I251">
        <v>30871.27</v>
      </c>
      <c r="J251" s="3">
        <v>0.15540000000000001</v>
      </c>
      <c r="K251">
        <v>240768</v>
      </c>
    </row>
    <row r="252" spans="1:11" x14ac:dyDescent="0.25">
      <c r="A252" t="s">
        <v>423</v>
      </c>
      <c r="B252" t="s">
        <v>841</v>
      </c>
      <c r="C252" t="s">
        <v>1232</v>
      </c>
      <c r="D252" s="2">
        <v>43994</v>
      </c>
      <c r="E252">
        <v>0.81</v>
      </c>
      <c r="F252" s="2">
        <v>44134</v>
      </c>
      <c r="G252">
        <v>0.92500000000000004</v>
      </c>
      <c r="H252" s="3">
        <v>0.14199999999999999</v>
      </c>
      <c r="I252">
        <v>28043.62</v>
      </c>
      <c r="J252" s="3">
        <v>0.13980000000000001</v>
      </c>
      <c r="K252">
        <v>247593</v>
      </c>
    </row>
    <row r="253" spans="1:11" x14ac:dyDescent="0.25">
      <c r="A253" t="s">
        <v>424</v>
      </c>
      <c r="B253" t="s">
        <v>842</v>
      </c>
      <c r="C253" t="s">
        <v>1232</v>
      </c>
      <c r="D253" s="2">
        <v>44106</v>
      </c>
      <c r="E253">
        <v>2.492855</v>
      </c>
      <c r="F253" s="2">
        <v>44113</v>
      </c>
      <c r="G253">
        <v>2.6057389999999998</v>
      </c>
      <c r="H253" s="3">
        <v>4.53E-2</v>
      </c>
      <c r="I253">
        <v>10267.64</v>
      </c>
      <c r="J253" s="3">
        <v>4.3200000000000002E-2</v>
      </c>
      <c r="K253">
        <v>95260</v>
      </c>
    </row>
    <row r="254" spans="1:11" x14ac:dyDescent="0.25">
      <c r="A254" t="s">
        <v>231</v>
      </c>
      <c r="B254" t="s">
        <v>817</v>
      </c>
      <c r="C254" t="s">
        <v>1232</v>
      </c>
      <c r="D254" s="2">
        <v>44106</v>
      </c>
      <c r="E254">
        <v>2.3861379999999999</v>
      </c>
      <c r="F254" s="2">
        <v>44113</v>
      </c>
      <c r="G254">
        <v>2.5530689999999998</v>
      </c>
      <c r="H254" s="3">
        <v>7.0000000000000007E-2</v>
      </c>
      <c r="I254">
        <v>16129.2</v>
      </c>
      <c r="J254" s="3">
        <v>6.7900000000000002E-2</v>
      </c>
      <c r="K254">
        <v>99568</v>
      </c>
    </row>
    <row r="255" spans="1:11" x14ac:dyDescent="0.25">
      <c r="A255" t="s">
        <v>247</v>
      </c>
      <c r="B255" t="s">
        <v>843</v>
      </c>
      <c r="C255" t="s">
        <v>1232</v>
      </c>
      <c r="D255" s="2">
        <v>44106</v>
      </c>
      <c r="E255">
        <v>0.9784429</v>
      </c>
      <c r="F255" s="2">
        <v>44113</v>
      </c>
      <c r="G255">
        <v>1.106463</v>
      </c>
      <c r="H255" s="3">
        <v>0.1308</v>
      </c>
      <c r="I255">
        <v>30582.23</v>
      </c>
      <c r="J255" s="3">
        <v>0.12870000000000001</v>
      </c>
      <c r="K255">
        <v>242841</v>
      </c>
    </row>
    <row r="256" spans="1:11" x14ac:dyDescent="0.25">
      <c r="A256" t="s">
        <v>425</v>
      </c>
      <c r="B256" t="s">
        <v>844</v>
      </c>
      <c r="C256" t="s">
        <v>1232</v>
      </c>
      <c r="D256" s="2">
        <v>44015</v>
      </c>
      <c r="E256">
        <v>0.88685999999999998</v>
      </c>
      <c r="F256" s="2">
        <v>44113</v>
      </c>
      <c r="G256">
        <v>1.202188</v>
      </c>
      <c r="H256" s="3">
        <v>0.35560000000000003</v>
      </c>
      <c r="I256">
        <v>72121.39</v>
      </c>
      <c r="J256" s="3">
        <v>0.35320000000000001</v>
      </c>
      <c r="K256">
        <v>230244</v>
      </c>
    </row>
    <row r="257" spans="1:11" x14ac:dyDescent="0.25">
      <c r="A257" t="s">
        <v>242</v>
      </c>
      <c r="B257" t="s">
        <v>832</v>
      </c>
      <c r="C257" t="s">
        <v>1232</v>
      </c>
      <c r="D257" s="2">
        <v>43987</v>
      </c>
      <c r="E257">
        <v>0.90500000000000003</v>
      </c>
      <c r="F257" s="2">
        <v>44113</v>
      </c>
      <c r="G257">
        <v>1.105</v>
      </c>
      <c r="H257" s="3">
        <v>0.221</v>
      </c>
      <c r="I257">
        <v>43447.519999999997</v>
      </c>
      <c r="J257" s="3">
        <v>0.21879999999999999</v>
      </c>
      <c r="K257">
        <v>219443</v>
      </c>
    </row>
    <row r="258" spans="1:11" x14ac:dyDescent="0.25">
      <c r="A258" t="s">
        <v>248</v>
      </c>
      <c r="B258" t="s">
        <v>845</v>
      </c>
      <c r="C258" t="s">
        <v>1232</v>
      </c>
      <c r="D258" s="2">
        <v>43987</v>
      </c>
      <c r="E258">
        <v>1.2419720000000001</v>
      </c>
      <c r="F258" s="2">
        <v>44113</v>
      </c>
      <c r="G258">
        <v>1.1370480000000001</v>
      </c>
      <c r="H258" s="3">
        <v>-8.4500000000000006E-2</v>
      </c>
      <c r="I258">
        <v>-17159.79</v>
      </c>
      <c r="J258" s="3">
        <v>-8.6400000000000005E-2</v>
      </c>
      <c r="K258">
        <v>159919</v>
      </c>
    </row>
    <row r="259" spans="1:11" x14ac:dyDescent="0.25">
      <c r="A259" t="s">
        <v>237</v>
      </c>
      <c r="B259" t="s">
        <v>826</v>
      </c>
      <c r="C259" t="s">
        <v>1232</v>
      </c>
      <c r="D259" s="2">
        <v>44008</v>
      </c>
      <c r="E259">
        <v>1.68</v>
      </c>
      <c r="F259" s="2">
        <v>44092</v>
      </c>
      <c r="G259">
        <v>3.97</v>
      </c>
      <c r="H259" s="3">
        <v>1.3631</v>
      </c>
      <c r="I259">
        <v>278912.28000000003</v>
      </c>
      <c r="J259" s="3">
        <v>1.3596999999999999</v>
      </c>
      <c r="K259">
        <v>122097</v>
      </c>
    </row>
    <row r="260" spans="1:11" x14ac:dyDescent="0.25">
      <c r="A260" t="s">
        <v>426</v>
      </c>
      <c r="B260" t="s">
        <v>846</v>
      </c>
      <c r="C260" t="s">
        <v>1232</v>
      </c>
      <c r="D260" s="2">
        <v>44008</v>
      </c>
      <c r="E260">
        <v>1.9375</v>
      </c>
      <c r="F260" s="2">
        <v>44092</v>
      </c>
      <c r="G260">
        <v>1.7175</v>
      </c>
      <c r="H260" s="3">
        <v>-0.1135</v>
      </c>
      <c r="I260">
        <v>-23682.83</v>
      </c>
      <c r="J260" s="3">
        <v>-0.1154</v>
      </c>
      <c r="K260">
        <v>105890</v>
      </c>
    </row>
    <row r="261" spans="1:11" x14ac:dyDescent="0.25">
      <c r="A261" t="s">
        <v>55</v>
      </c>
      <c r="B261" t="s">
        <v>847</v>
      </c>
      <c r="C261" t="s">
        <v>1232</v>
      </c>
      <c r="D261" s="2">
        <v>43994</v>
      </c>
      <c r="E261">
        <v>6</v>
      </c>
      <c r="F261" s="2">
        <v>44092</v>
      </c>
      <c r="G261">
        <v>6</v>
      </c>
      <c r="H261" s="3">
        <v>0</v>
      </c>
      <c r="I261">
        <v>-400.98</v>
      </c>
      <c r="J261" s="3">
        <v>-2E-3</v>
      </c>
      <c r="K261">
        <v>33415</v>
      </c>
    </row>
    <row r="262" spans="1:11" x14ac:dyDescent="0.25">
      <c r="A262" t="s">
        <v>191</v>
      </c>
      <c r="B262" t="s">
        <v>754</v>
      </c>
      <c r="C262" t="s">
        <v>1232</v>
      </c>
      <c r="D262" s="2">
        <v>43987</v>
      </c>
      <c r="E262">
        <v>4.6767599999999998</v>
      </c>
      <c r="F262" s="2">
        <v>44092</v>
      </c>
      <c r="G262">
        <v>4.9508559999999999</v>
      </c>
      <c r="H262" s="3">
        <v>5.8599999999999999E-2</v>
      </c>
      <c r="I262">
        <v>11226.15</v>
      </c>
      <c r="J262" s="3">
        <v>5.6500000000000002E-2</v>
      </c>
      <c r="K262">
        <v>42448</v>
      </c>
    </row>
    <row r="263" spans="1:11" x14ac:dyDescent="0.25">
      <c r="A263" t="s">
        <v>249</v>
      </c>
      <c r="B263" t="s">
        <v>848</v>
      </c>
      <c r="C263" t="s">
        <v>1232</v>
      </c>
      <c r="D263" s="2">
        <v>43987</v>
      </c>
      <c r="E263">
        <v>3.3037100000000001</v>
      </c>
      <c r="F263" s="2">
        <v>44092</v>
      </c>
      <c r="G263">
        <v>3.4779659999999999</v>
      </c>
      <c r="H263" s="3">
        <v>5.2699999999999997E-2</v>
      </c>
      <c r="I263">
        <v>10066.379999999999</v>
      </c>
      <c r="J263" s="3">
        <v>5.0700000000000002E-2</v>
      </c>
      <c r="K263">
        <v>60107</v>
      </c>
    </row>
    <row r="264" spans="1:11" x14ac:dyDescent="0.25">
      <c r="A264" t="s">
        <v>250</v>
      </c>
      <c r="B264" t="s">
        <v>849</v>
      </c>
      <c r="C264" t="s">
        <v>1232</v>
      </c>
      <c r="D264" s="2">
        <v>43987</v>
      </c>
      <c r="E264">
        <v>10.559530000000001</v>
      </c>
      <c r="F264" s="2">
        <v>44092</v>
      </c>
      <c r="G264">
        <v>17.929279999999999</v>
      </c>
      <c r="H264" s="3">
        <v>0.69789999999999996</v>
      </c>
      <c r="I264">
        <v>138103.81</v>
      </c>
      <c r="J264" s="3">
        <v>0.69520000000000004</v>
      </c>
      <c r="K264">
        <v>18812</v>
      </c>
    </row>
    <row r="265" spans="1:11" x14ac:dyDescent="0.25">
      <c r="A265" t="s">
        <v>114</v>
      </c>
      <c r="B265" t="s">
        <v>341</v>
      </c>
      <c r="C265" t="s">
        <v>1232</v>
      </c>
      <c r="D265" s="2">
        <v>43987</v>
      </c>
      <c r="E265">
        <v>3.6549999999999998</v>
      </c>
      <c r="F265" s="2">
        <v>44092</v>
      </c>
      <c r="G265">
        <v>3.8250000000000002</v>
      </c>
      <c r="H265" s="3">
        <v>4.65E-2</v>
      </c>
      <c r="I265">
        <v>8833.94</v>
      </c>
      <c r="J265" s="3">
        <v>4.4499999999999998E-2</v>
      </c>
      <c r="K265">
        <v>54356</v>
      </c>
    </row>
    <row r="266" spans="1:11" x14ac:dyDescent="0.25">
      <c r="A266" t="s">
        <v>223</v>
      </c>
      <c r="B266" t="s">
        <v>805</v>
      </c>
      <c r="C266" t="s">
        <v>1232</v>
      </c>
      <c r="D266" s="2">
        <v>43987</v>
      </c>
      <c r="E266">
        <v>6.8023319999999998</v>
      </c>
      <c r="F266" s="2">
        <v>44057</v>
      </c>
      <c r="G266">
        <v>4.7336780000000003</v>
      </c>
      <c r="H266" s="3">
        <v>-0.30409999999999998</v>
      </c>
      <c r="I266">
        <v>-60714.51</v>
      </c>
      <c r="J266" s="3">
        <v>-0.30580000000000002</v>
      </c>
      <c r="K266">
        <v>29187</v>
      </c>
    </row>
    <row r="267" spans="1:11" x14ac:dyDescent="0.25">
      <c r="A267" t="s">
        <v>133</v>
      </c>
      <c r="B267" t="s">
        <v>685</v>
      </c>
      <c r="C267" t="s">
        <v>1232</v>
      </c>
      <c r="D267" s="2">
        <v>44008</v>
      </c>
      <c r="E267">
        <v>4.974977</v>
      </c>
      <c r="F267" s="2">
        <v>44015</v>
      </c>
      <c r="G267">
        <v>4.6578470000000003</v>
      </c>
      <c r="H267" s="3">
        <v>-6.3700000000000007E-2</v>
      </c>
      <c r="I267">
        <v>-13470.14</v>
      </c>
      <c r="J267" s="3">
        <v>-6.5699999999999995E-2</v>
      </c>
      <c r="K267">
        <v>41223</v>
      </c>
    </row>
    <row r="268" spans="1:11" x14ac:dyDescent="0.25">
      <c r="A268" t="s">
        <v>229</v>
      </c>
      <c r="B268" t="s">
        <v>815</v>
      </c>
      <c r="C268" t="s">
        <v>1232</v>
      </c>
      <c r="D268" s="2">
        <v>43868</v>
      </c>
      <c r="E268">
        <v>0.72434600000000005</v>
      </c>
      <c r="F268" s="2">
        <v>43910</v>
      </c>
      <c r="G268">
        <v>0.61775329999999995</v>
      </c>
      <c r="H268" s="3">
        <v>-0.1472</v>
      </c>
      <c r="I268">
        <v>-34139.56</v>
      </c>
      <c r="J268" s="3">
        <v>-0.14899999999999999</v>
      </c>
      <c r="K268">
        <v>316298</v>
      </c>
    </row>
    <row r="269" spans="1:11" x14ac:dyDescent="0.25">
      <c r="A269" t="s">
        <v>234</v>
      </c>
      <c r="B269" t="s">
        <v>821</v>
      </c>
      <c r="C269" t="s">
        <v>1232</v>
      </c>
      <c r="D269" s="2">
        <v>43826</v>
      </c>
      <c r="E269">
        <v>3.7420689999999999</v>
      </c>
      <c r="F269" s="2">
        <v>43910</v>
      </c>
      <c r="G269">
        <v>2.994856</v>
      </c>
      <c r="H269" s="3">
        <v>-0.19969999999999999</v>
      </c>
      <c r="I269">
        <v>-45513.7</v>
      </c>
      <c r="J269" s="3">
        <v>-0.20150000000000001</v>
      </c>
      <c r="K269">
        <v>60367</v>
      </c>
    </row>
    <row r="270" spans="1:11" x14ac:dyDescent="0.25">
      <c r="A270" t="s">
        <v>427</v>
      </c>
      <c r="B270" t="s">
        <v>850</v>
      </c>
      <c r="C270" t="s">
        <v>1232</v>
      </c>
      <c r="D270" s="2">
        <v>43252</v>
      </c>
      <c r="E270">
        <v>1.7712079999999999</v>
      </c>
      <c r="F270" s="2">
        <v>43910</v>
      </c>
      <c r="G270">
        <v>2.1368770000000001</v>
      </c>
      <c r="H270" s="3">
        <v>0.20649999999999999</v>
      </c>
      <c r="I270">
        <v>28940.87</v>
      </c>
      <c r="J270" s="3">
        <v>0.20419999999999999</v>
      </c>
      <c r="K270">
        <v>80000</v>
      </c>
    </row>
    <row r="271" spans="1:11" x14ac:dyDescent="0.25">
      <c r="A271" t="s">
        <v>404</v>
      </c>
      <c r="B271" t="s">
        <v>752</v>
      </c>
      <c r="C271" t="s">
        <v>1232</v>
      </c>
      <c r="D271" s="2">
        <v>43735</v>
      </c>
      <c r="E271">
        <v>2.475225</v>
      </c>
      <c r="F271" s="2">
        <v>43903</v>
      </c>
      <c r="G271">
        <v>2.5194260000000002</v>
      </c>
      <c r="H271" s="3">
        <v>1.7899999999999999E-2</v>
      </c>
      <c r="I271">
        <v>3428.99</v>
      </c>
      <c r="J271" s="3">
        <v>1.5800000000000002E-2</v>
      </c>
      <c r="K271">
        <v>87460</v>
      </c>
    </row>
    <row r="272" spans="1:11" x14ac:dyDescent="0.25">
      <c r="A272" t="s">
        <v>219</v>
      </c>
      <c r="B272" t="s">
        <v>799</v>
      </c>
      <c r="C272" t="s">
        <v>1232</v>
      </c>
      <c r="D272" s="2">
        <v>43511</v>
      </c>
      <c r="E272">
        <v>1.0631630000000001</v>
      </c>
      <c r="F272" s="2">
        <v>43903</v>
      </c>
      <c r="G272">
        <v>2.1964109999999999</v>
      </c>
      <c r="H272" s="3">
        <v>1.0659000000000001</v>
      </c>
      <c r="I272">
        <v>152046.72</v>
      </c>
      <c r="J272" s="3">
        <v>1.0629</v>
      </c>
      <c r="K272">
        <v>134556</v>
      </c>
    </row>
    <row r="273" spans="1:11" x14ac:dyDescent="0.25">
      <c r="A273" t="s">
        <v>243</v>
      </c>
      <c r="B273" t="s">
        <v>833</v>
      </c>
      <c r="C273" t="s">
        <v>1232</v>
      </c>
      <c r="D273" s="2">
        <v>43875</v>
      </c>
      <c r="E273">
        <v>1.31</v>
      </c>
      <c r="F273" s="2">
        <v>43896</v>
      </c>
      <c r="G273">
        <v>1.08</v>
      </c>
      <c r="H273" s="3">
        <v>-0.17560000000000001</v>
      </c>
      <c r="I273">
        <v>-42018.2</v>
      </c>
      <c r="J273" s="3">
        <v>-0.1774</v>
      </c>
      <c r="K273">
        <v>180809</v>
      </c>
    </row>
    <row r="274" spans="1:11" x14ac:dyDescent="0.25">
      <c r="A274" t="s">
        <v>251</v>
      </c>
      <c r="B274" t="s">
        <v>851</v>
      </c>
      <c r="C274" t="s">
        <v>1232</v>
      </c>
      <c r="D274" s="2">
        <v>43833</v>
      </c>
      <c r="E274">
        <v>1.010416</v>
      </c>
      <c r="F274" s="2">
        <v>43896</v>
      </c>
      <c r="G274">
        <v>0.86136970000000002</v>
      </c>
      <c r="H274" s="3">
        <v>-0.14749999999999999</v>
      </c>
      <c r="I274">
        <v>-34131.33</v>
      </c>
      <c r="J274" s="3">
        <v>-0.14940000000000001</v>
      </c>
      <c r="K274">
        <v>226158</v>
      </c>
    </row>
    <row r="275" spans="1:11" x14ac:dyDescent="0.25">
      <c r="A275" t="s">
        <v>245</v>
      </c>
      <c r="B275" t="s">
        <v>839</v>
      </c>
      <c r="C275" t="s">
        <v>1232</v>
      </c>
      <c r="D275" s="2">
        <v>43812</v>
      </c>
      <c r="E275">
        <v>1.738038</v>
      </c>
      <c r="F275" s="2">
        <v>43896</v>
      </c>
      <c r="G275">
        <v>1.738038</v>
      </c>
      <c r="H275" s="3">
        <v>0</v>
      </c>
      <c r="I275">
        <v>-436.84</v>
      </c>
      <c r="J275" s="3">
        <v>-2E-3</v>
      </c>
      <c r="K275">
        <v>125671</v>
      </c>
    </row>
    <row r="276" spans="1:11" x14ac:dyDescent="0.25">
      <c r="A276" t="s">
        <v>55</v>
      </c>
      <c r="B276" t="s">
        <v>847</v>
      </c>
      <c r="C276" t="s">
        <v>1232</v>
      </c>
      <c r="D276" s="2">
        <v>43742</v>
      </c>
      <c r="E276">
        <v>4.29</v>
      </c>
      <c r="F276" s="2">
        <v>43896</v>
      </c>
      <c r="G276">
        <v>2.65</v>
      </c>
      <c r="H276" s="3">
        <v>-0.38229999999999997</v>
      </c>
      <c r="I276">
        <v>-83233.05</v>
      </c>
      <c r="J276" s="3">
        <v>-0.38390000000000002</v>
      </c>
      <c r="K276">
        <v>50538</v>
      </c>
    </row>
    <row r="277" spans="1:11" x14ac:dyDescent="0.25">
      <c r="A277" t="s">
        <v>252</v>
      </c>
      <c r="B277" t="s">
        <v>852</v>
      </c>
      <c r="C277" t="s">
        <v>1232</v>
      </c>
      <c r="D277" s="2">
        <v>43714</v>
      </c>
      <c r="E277">
        <v>1.4233830000000001</v>
      </c>
      <c r="F277" s="2">
        <v>43896</v>
      </c>
      <c r="G277">
        <v>1.6389670000000001</v>
      </c>
      <c r="H277" s="3">
        <v>0.1515</v>
      </c>
      <c r="I277">
        <v>31474.880000000001</v>
      </c>
      <c r="J277" s="3">
        <v>0.14929999999999999</v>
      </c>
      <c r="K277">
        <v>148102</v>
      </c>
    </row>
    <row r="278" spans="1:11" x14ac:dyDescent="0.25">
      <c r="A278" t="s">
        <v>423</v>
      </c>
      <c r="B278" t="s">
        <v>841</v>
      </c>
      <c r="C278" t="s">
        <v>1232</v>
      </c>
      <c r="D278" s="2">
        <v>43714</v>
      </c>
      <c r="E278">
        <v>0.59104480000000004</v>
      </c>
      <c r="F278" s="2">
        <v>43896</v>
      </c>
      <c r="G278">
        <v>0.62</v>
      </c>
      <c r="H278" s="3">
        <v>4.9000000000000002E-2</v>
      </c>
      <c r="I278">
        <v>9898.25</v>
      </c>
      <c r="J278" s="3">
        <v>4.6899999999999997E-2</v>
      </c>
      <c r="K278">
        <v>356769</v>
      </c>
    </row>
    <row r="279" spans="1:11" x14ac:dyDescent="0.25">
      <c r="A279" t="s">
        <v>415</v>
      </c>
      <c r="B279" t="s">
        <v>810</v>
      </c>
      <c r="C279" t="s">
        <v>1232</v>
      </c>
      <c r="D279" s="2">
        <v>43714</v>
      </c>
      <c r="E279">
        <v>3.2267450000000002</v>
      </c>
      <c r="F279" s="2">
        <v>43896</v>
      </c>
      <c r="G279">
        <v>3.8061229999999999</v>
      </c>
      <c r="H279" s="3">
        <v>0.17960000000000001</v>
      </c>
      <c r="I279">
        <v>37409.620000000003</v>
      </c>
      <c r="J279" s="3">
        <v>0.1774</v>
      </c>
      <c r="K279">
        <v>65362</v>
      </c>
    </row>
    <row r="280" spans="1:11" x14ac:dyDescent="0.25">
      <c r="A280" t="s">
        <v>58</v>
      </c>
      <c r="B280" t="s">
        <v>756</v>
      </c>
      <c r="C280" t="s">
        <v>1232</v>
      </c>
      <c r="D280" s="2">
        <v>43714</v>
      </c>
      <c r="E280">
        <v>1.9</v>
      </c>
      <c r="F280" s="2">
        <v>43896</v>
      </c>
      <c r="G280">
        <v>1.69</v>
      </c>
      <c r="H280" s="3">
        <v>-0.1105</v>
      </c>
      <c r="I280">
        <v>-23711.48</v>
      </c>
      <c r="J280" s="3">
        <v>-0.1124</v>
      </c>
      <c r="K280">
        <v>111014</v>
      </c>
    </row>
    <row r="281" spans="1:11" x14ac:dyDescent="0.25">
      <c r="A281" t="s">
        <v>159</v>
      </c>
      <c r="B281" t="s">
        <v>713</v>
      </c>
      <c r="C281" t="s">
        <v>1232</v>
      </c>
      <c r="D281" s="2">
        <v>43714</v>
      </c>
      <c r="E281">
        <v>2.214979</v>
      </c>
      <c r="F281" s="2">
        <v>43896</v>
      </c>
      <c r="G281">
        <v>1.8851059999999999</v>
      </c>
      <c r="H281" s="3">
        <v>-0.1489</v>
      </c>
      <c r="I281">
        <v>-31806.26</v>
      </c>
      <c r="J281" s="3">
        <v>-0.15079999999999999</v>
      </c>
      <c r="K281">
        <v>95236</v>
      </c>
    </row>
    <row r="282" spans="1:11" x14ac:dyDescent="0.25">
      <c r="A282" t="s">
        <v>253</v>
      </c>
      <c r="B282" t="s">
        <v>853</v>
      </c>
      <c r="C282" t="s">
        <v>1232</v>
      </c>
      <c r="D282" s="2">
        <v>43693</v>
      </c>
      <c r="E282">
        <v>1.4288529999999999</v>
      </c>
      <c r="F282" s="2">
        <v>43896</v>
      </c>
      <c r="G282">
        <v>1.7695069999999999</v>
      </c>
      <c r="H282" s="3">
        <v>0.2384</v>
      </c>
      <c r="I282">
        <v>49475.05</v>
      </c>
      <c r="J282" s="3">
        <v>0.23619999999999999</v>
      </c>
      <c r="K282">
        <v>146612</v>
      </c>
    </row>
    <row r="283" spans="1:11" x14ac:dyDescent="0.25">
      <c r="A283" t="s">
        <v>221</v>
      </c>
      <c r="B283" t="s">
        <v>803</v>
      </c>
      <c r="C283" t="s">
        <v>1232</v>
      </c>
      <c r="D283" s="2">
        <v>43658</v>
      </c>
      <c r="E283">
        <v>0.61332339999999996</v>
      </c>
      <c r="F283" s="2">
        <v>43896</v>
      </c>
      <c r="G283">
        <v>0.73403059999999998</v>
      </c>
      <c r="H283" s="3">
        <v>0.1968</v>
      </c>
      <c r="I283">
        <v>39714</v>
      </c>
      <c r="J283" s="3">
        <v>0.1946</v>
      </c>
      <c r="K283">
        <v>332725</v>
      </c>
    </row>
    <row r="284" spans="1:11" x14ac:dyDescent="0.25">
      <c r="A284" t="s">
        <v>205</v>
      </c>
      <c r="B284" t="s">
        <v>776</v>
      </c>
      <c r="C284" t="s">
        <v>1232</v>
      </c>
      <c r="D284" s="2">
        <v>43581</v>
      </c>
      <c r="E284">
        <v>8.5835489999999997</v>
      </c>
      <c r="F284" s="2">
        <v>43896</v>
      </c>
      <c r="G284">
        <v>8.1386749999999992</v>
      </c>
      <c r="H284" s="3">
        <v>-5.1799999999999999E-2</v>
      </c>
      <c r="I284">
        <v>-9490.5400000000009</v>
      </c>
      <c r="J284" s="3">
        <v>-5.3800000000000001E-2</v>
      </c>
      <c r="K284">
        <v>20560</v>
      </c>
    </row>
    <row r="285" spans="1:11" x14ac:dyDescent="0.25">
      <c r="A285" t="s">
        <v>59</v>
      </c>
      <c r="B285" t="s">
        <v>854</v>
      </c>
      <c r="C285" t="s">
        <v>1232</v>
      </c>
      <c r="D285" s="2">
        <v>43518</v>
      </c>
      <c r="E285">
        <v>4.17</v>
      </c>
      <c r="F285" s="2">
        <v>43896</v>
      </c>
      <c r="G285">
        <v>9.51</v>
      </c>
      <c r="H285" s="3">
        <v>1.2806</v>
      </c>
      <c r="I285">
        <v>187273.41</v>
      </c>
      <c r="J285" s="3">
        <v>1.2773000000000001</v>
      </c>
      <c r="K285">
        <v>35160</v>
      </c>
    </row>
    <row r="286" spans="1:11" x14ac:dyDescent="0.25">
      <c r="A286" t="s">
        <v>428</v>
      </c>
      <c r="B286" t="s">
        <v>855</v>
      </c>
      <c r="C286" t="s">
        <v>1232</v>
      </c>
      <c r="D286" s="2">
        <v>43511</v>
      </c>
      <c r="E286">
        <v>0.95751280000000005</v>
      </c>
      <c r="F286" s="2">
        <v>43896</v>
      </c>
      <c r="G286">
        <v>0.97647349999999999</v>
      </c>
      <c r="H286" s="3">
        <v>1.9800000000000002E-2</v>
      </c>
      <c r="I286">
        <v>2544.08</v>
      </c>
      <c r="J286" s="3">
        <v>1.78E-2</v>
      </c>
      <c r="K286">
        <v>149417</v>
      </c>
    </row>
    <row r="287" spans="1:11" x14ac:dyDescent="0.25">
      <c r="A287" t="s">
        <v>408</v>
      </c>
      <c r="B287" t="s">
        <v>773</v>
      </c>
      <c r="C287" t="s">
        <v>1232</v>
      </c>
      <c r="D287" s="2">
        <v>43791</v>
      </c>
      <c r="E287">
        <v>0.87233130000000003</v>
      </c>
      <c r="F287" s="2">
        <v>43875</v>
      </c>
      <c r="G287">
        <v>0.77779290000000001</v>
      </c>
      <c r="H287" s="3">
        <v>-0.1084</v>
      </c>
      <c r="I287">
        <v>-24247.4</v>
      </c>
      <c r="J287" s="3">
        <v>-0.1103</v>
      </c>
      <c r="K287">
        <v>252082</v>
      </c>
    </row>
    <row r="288" spans="1:11" x14ac:dyDescent="0.25">
      <c r="A288" t="s">
        <v>429</v>
      </c>
      <c r="B288" t="s">
        <v>856</v>
      </c>
      <c r="C288" t="s">
        <v>1232</v>
      </c>
      <c r="D288" s="2">
        <v>43812</v>
      </c>
      <c r="E288">
        <v>1.98</v>
      </c>
      <c r="F288" s="2">
        <v>43868</v>
      </c>
      <c r="G288">
        <v>1.992</v>
      </c>
      <c r="H288" s="3">
        <v>6.1000000000000004E-3</v>
      </c>
      <c r="I288">
        <v>885.68</v>
      </c>
      <c r="J288" s="3">
        <v>4.1000000000000003E-3</v>
      </c>
      <c r="K288">
        <v>110324</v>
      </c>
    </row>
    <row r="289" spans="1:11" x14ac:dyDescent="0.25">
      <c r="A289" t="s">
        <v>254</v>
      </c>
      <c r="B289" t="s">
        <v>857</v>
      </c>
      <c r="C289" t="s">
        <v>1232</v>
      </c>
      <c r="D289" s="2">
        <v>43714</v>
      </c>
      <c r="E289">
        <v>1.505857</v>
      </c>
      <c r="F289" s="2">
        <v>43847</v>
      </c>
      <c r="G289">
        <v>1.3450040000000001</v>
      </c>
      <c r="H289" s="3">
        <v>-0.10680000000000001</v>
      </c>
      <c r="I289">
        <v>-22921.32</v>
      </c>
      <c r="J289" s="3">
        <v>-0.1087</v>
      </c>
      <c r="K289">
        <v>140017</v>
      </c>
    </row>
    <row r="290" spans="1:11" x14ac:dyDescent="0.25">
      <c r="A290" t="s">
        <v>255</v>
      </c>
      <c r="B290" t="s">
        <v>858</v>
      </c>
      <c r="C290" t="s">
        <v>1232</v>
      </c>
      <c r="D290" s="2">
        <v>42223</v>
      </c>
      <c r="E290">
        <v>2.0946310000000001</v>
      </c>
      <c r="F290" s="2">
        <v>43833</v>
      </c>
      <c r="G290">
        <v>4.3520349999999999</v>
      </c>
      <c r="H290" s="3">
        <v>1.0777000000000001</v>
      </c>
      <c r="I290">
        <v>103431.49</v>
      </c>
      <c r="J290" s="3">
        <v>1.0746</v>
      </c>
      <c r="K290">
        <v>45950</v>
      </c>
    </row>
    <row r="291" spans="1:11" x14ac:dyDescent="0.25">
      <c r="A291" t="s">
        <v>121</v>
      </c>
      <c r="B291" t="s">
        <v>366</v>
      </c>
      <c r="C291" t="s">
        <v>1232</v>
      </c>
      <c r="D291" s="2">
        <v>43763</v>
      </c>
      <c r="E291">
        <v>2.8089490000000001</v>
      </c>
      <c r="F291" s="2">
        <v>43826</v>
      </c>
      <c r="G291">
        <v>2.1884640000000002</v>
      </c>
      <c r="H291" s="3">
        <v>-0.22090000000000001</v>
      </c>
      <c r="I291">
        <v>-50103.02</v>
      </c>
      <c r="J291" s="3">
        <v>-0.22270000000000001</v>
      </c>
      <c r="K291">
        <v>80103</v>
      </c>
    </row>
    <row r="292" spans="1:11" x14ac:dyDescent="0.25">
      <c r="A292" t="s">
        <v>256</v>
      </c>
      <c r="B292" t="s">
        <v>859</v>
      </c>
      <c r="C292" t="s">
        <v>1232</v>
      </c>
      <c r="D292" s="2">
        <v>43497</v>
      </c>
      <c r="E292">
        <v>2.1854149999999999</v>
      </c>
      <c r="F292" s="2">
        <v>43812</v>
      </c>
      <c r="G292">
        <v>2.4567999999999999</v>
      </c>
      <c r="H292" s="3">
        <v>0.1242</v>
      </c>
      <c r="I292">
        <v>17005.12</v>
      </c>
      <c r="J292" s="3">
        <v>0.1221</v>
      </c>
      <c r="K292">
        <v>63751</v>
      </c>
    </row>
    <row r="293" spans="1:11" x14ac:dyDescent="0.25">
      <c r="A293" t="s">
        <v>430</v>
      </c>
      <c r="B293" t="s">
        <v>860</v>
      </c>
      <c r="C293" t="s">
        <v>1232</v>
      </c>
      <c r="D293" s="2">
        <v>43714</v>
      </c>
      <c r="E293">
        <v>4.0591540000000004</v>
      </c>
      <c r="F293" s="2">
        <v>43812</v>
      </c>
      <c r="G293">
        <v>3.8441809999999998</v>
      </c>
      <c r="H293" s="3">
        <v>-5.2999999999999999E-2</v>
      </c>
      <c r="I293">
        <v>-11575.75</v>
      </c>
      <c r="J293" s="3">
        <v>-5.4899999999999997E-2</v>
      </c>
      <c r="K293">
        <v>51938</v>
      </c>
    </row>
    <row r="294" spans="1:11" x14ac:dyDescent="0.25">
      <c r="A294" t="s">
        <v>147</v>
      </c>
      <c r="B294" t="s">
        <v>700</v>
      </c>
      <c r="C294" t="s">
        <v>1232</v>
      </c>
      <c r="D294" s="2">
        <v>43763</v>
      </c>
      <c r="E294">
        <v>12.7</v>
      </c>
      <c r="F294" s="2">
        <v>43791</v>
      </c>
      <c r="G294">
        <v>11.8</v>
      </c>
      <c r="H294" s="3">
        <v>-7.0900000000000005E-2</v>
      </c>
      <c r="I294">
        <v>-16380.29</v>
      </c>
      <c r="J294" s="3">
        <v>-7.2800000000000004E-2</v>
      </c>
      <c r="K294">
        <v>17718</v>
      </c>
    </row>
    <row r="295" spans="1:11" x14ac:dyDescent="0.25">
      <c r="A295" t="s">
        <v>84</v>
      </c>
      <c r="B295" t="s">
        <v>738</v>
      </c>
      <c r="C295" t="s">
        <v>1232</v>
      </c>
      <c r="D295" s="2">
        <v>43742</v>
      </c>
      <c r="E295">
        <v>1.835</v>
      </c>
      <c r="F295" s="2">
        <v>43756</v>
      </c>
      <c r="G295">
        <v>1.575</v>
      </c>
      <c r="H295" s="3">
        <v>-0.14169999999999999</v>
      </c>
      <c r="I295">
        <v>-31125.32</v>
      </c>
      <c r="J295" s="3">
        <v>-0.14349999999999999</v>
      </c>
      <c r="K295">
        <v>118163</v>
      </c>
    </row>
    <row r="296" spans="1:11" x14ac:dyDescent="0.25">
      <c r="A296" t="s">
        <v>257</v>
      </c>
      <c r="B296" t="s">
        <v>861</v>
      </c>
      <c r="C296" t="s">
        <v>1232</v>
      </c>
      <c r="D296" s="2">
        <v>43714</v>
      </c>
      <c r="E296">
        <v>3.021757</v>
      </c>
      <c r="F296" s="2">
        <v>43749</v>
      </c>
      <c r="G296">
        <v>2.9609740000000002</v>
      </c>
      <c r="H296" s="3">
        <v>-2.01E-2</v>
      </c>
      <c r="I296">
        <v>-4662.18</v>
      </c>
      <c r="J296" s="3">
        <v>-2.2100000000000002E-2</v>
      </c>
      <c r="K296">
        <v>69829</v>
      </c>
    </row>
    <row r="297" spans="1:11" x14ac:dyDescent="0.25">
      <c r="A297" t="s">
        <v>258</v>
      </c>
      <c r="B297" t="s">
        <v>862</v>
      </c>
      <c r="C297" t="s">
        <v>1232</v>
      </c>
      <c r="D297" s="2">
        <v>43714</v>
      </c>
      <c r="E297">
        <v>19.030190000000001</v>
      </c>
      <c r="F297" s="2">
        <v>43742</v>
      </c>
      <c r="G297">
        <v>20.662559999999999</v>
      </c>
      <c r="H297" s="3">
        <v>8.5800000000000001E-2</v>
      </c>
      <c r="I297">
        <v>17648.46</v>
      </c>
      <c r="J297" s="3">
        <v>8.3699999999999997E-2</v>
      </c>
      <c r="K297">
        <v>11081</v>
      </c>
    </row>
    <row r="298" spans="1:11" x14ac:dyDescent="0.25">
      <c r="A298" t="s">
        <v>206</v>
      </c>
      <c r="B298" t="s">
        <v>779</v>
      </c>
      <c r="C298" t="s">
        <v>1232</v>
      </c>
      <c r="D298" s="2">
        <v>43714</v>
      </c>
      <c r="E298">
        <v>2.06</v>
      </c>
      <c r="F298" s="2">
        <v>43742</v>
      </c>
      <c r="G298">
        <v>2.15</v>
      </c>
      <c r="H298" s="3">
        <v>4.3700000000000003E-2</v>
      </c>
      <c r="I298">
        <v>8785.84</v>
      </c>
      <c r="J298" s="3">
        <v>4.1599999999999998E-2</v>
      </c>
      <c r="K298">
        <v>102411</v>
      </c>
    </row>
    <row r="299" spans="1:11" x14ac:dyDescent="0.25">
      <c r="A299" t="s">
        <v>431</v>
      </c>
      <c r="B299" t="s">
        <v>863</v>
      </c>
      <c r="C299" t="s">
        <v>1232</v>
      </c>
      <c r="D299" s="2">
        <v>43714</v>
      </c>
      <c r="E299">
        <v>1.19</v>
      </c>
      <c r="F299" s="2">
        <v>43739</v>
      </c>
      <c r="G299">
        <v>0.95</v>
      </c>
      <c r="H299" s="3">
        <v>-0.20169999999999999</v>
      </c>
      <c r="I299">
        <v>-42931.42</v>
      </c>
      <c r="J299" s="3">
        <v>-0.20349999999999999</v>
      </c>
      <c r="K299">
        <v>177300</v>
      </c>
    </row>
    <row r="300" spans="1:11" x14ac:dyDescent="0.25">
      <c r="A300" t="s">
        <v>220</v>
      </c>
      <c r="B300" t="s">
        <v>802</v>
      </c>
      <c r="C300" t="s">
        <v>1232</v>
      </c>
      <c r="D300" s="2">
        <v>43630</v>
      </c>
      <c r="E300">
        <v>0.97499999999999998</v>
      </c>
      <c r="F300" s="2">
        <v>43735</v>
      </c>
      <c r="G300">
        <v>0.77</v>
      </c>
      <c r="H300" s="3">
        <v>-0.21029999999999999</v>
      </c>
      <c r="I300">
        <v>-41283.67</v>
      </c>
      <c r="J300" s="3">
        <v>-0.21199999999999999</v>
      </c>
      <c r="K300">
        <v>199684</v>
      </c>
    </row>
    <row r="301" spans="1:11" x14ac:dyDescent="0.25">
      <c r="A301" t="s">
        <v>259</v>
      </c>
      <c r="B301" t="s">
        <v>864</v>
      </c>
      <c r="C301" t="s">
        <v>1232</v>
      </c>
      <c r="D301" s="2">
        <v>43504</v>
      </c>
      <c r="E301">
        <v>0.7298945</v>
      </c>
      <c r="F301" s="2">
        <v>43707</v>
      </c>
      <c r="G301">
        <v>1.322341</v>
      </c>
      <c r="H301" s="3">
        <v>0.81169999999999998</v>
      </c>
      <c r="I301">
        <v>113516.88</v>
      </c>
      <c r="J301" s="3">
        <v>0.80889999999999995</v>
      </c>
      <c r="K301">
        <v>192273</v>
      </c>
    </row>
    <row r="302" spans="1:11" x14ac:dyDescent="0.25">
      <c r="A302" t="s">
        <v>63</v>
      </c>
      <c r="B302" t="s">
        <v>786</v>
      </c>
      <c r="C302" t="s">
        <v>1232</v>
      </c>
      <c r="D302" s="2">
        <v>43651</v>
      </c>
      <c r="E302">
        <v>2.1377009999999999</v>
      </c>
      <c r="F302" s="2">
        <v>43700</v>
      </c>
      <c r="G302">
        <v>1.7882130000000001</v>
      </c>
      <c r="H302" s="3">
        <v>-0.16350000000000001</v>
      </c>
      <c r="I302">
        <v>-33666.92</v>
      </c>
      <c r="J302" s="3">
        <v>-0.1653</v>
      </c>
      <c r="K302">
        <v>95262</v>
      </c>
    </row>
    <row r="303" spans="1:11" x14ac:dyDescent="0.25">
      <c r="A303" t="s">
        <v>55</v>
      </c>
      <c r="B303" t="s">
        <v>847</v>
      </c>
      <c r="C303" t="s">
        <v>1232</v>
      </c>
      <c r="D303" s="2">
        <v>43518</v>
      </c>
      <c r="E303">
        <v>1.375</v>
      </c>
      <c r="F303" s="2">
        <v>43700</v>
      </c>
      <c r="G303">
        <v>2.85</v>
      </c>
      <c r="H303" s="3">
        <v>1.0727</v>
      </c>
      <c r="I303">
        <v>156846.39000000001</v>
      </c>
      <c r="J303" s="3">
        <v>1.0697000000000001</v>
      </c>
      <c r="K303">
        <v>106642</v>
      </c>
    </row>
    <row r="304" spans="1:11" x14ac:dyDescent="0.25">
      <c r="A304" t="s">
        <v>258</v>
      </c>
      <c r="B304" t="s">
        <v>862</v>
      </c>
      <c r="C304" t="s">
        <v>1232</v>
      </c>
      <c r="D304" s="2">
        <v>43511</v>
      </c>
      <c r="E304">
        <v>7.3063560000000001</v>
      </c>
      <c r="F304" s="2">
        <v>43700</v>
      </c>
      <c r="G304">
        <v>15.07868</v>
      </c>
      <c r="H304" s="3">
        <v>1.0638000000000001</v>
      </c>
      <c r="I304">
        <v>151720.56</v>
      </c>
      <c r="J304" s="3">
        <v>1.0607</v>
      </c>
      <c r="K304">
        <v>19577</v>
      </c>
    </row>
    <row r="305" spans="1:11" x14ac:dyDescent="0.25">
      <c r="A305" t="s">
        <v>69</v>
      </c>
      <c r="B305" t="s">
        <v>822</v>
      </c>
      <c r="C305" t="s">
        <v>1232</v>
      </c>
      <c r="D305" s="2">
        <v>43504</v>
      </c>
      <c r="E305">
        <v>1.303229</v>
      </c>
      <c r="F305" s="2">
        <v>43700</v>
      </c>
      <c r="G305">
        <v>2.003603</v>
      </c>
      <c r="H305" s="3">
        <v>0.53739999999999999</v>
      </c>
      <c r="I305">
        <v>75078.320000000007</v>
      </c>
      <c r="J305" s="3">
        <v>0.53490000000000004</v>
      </c>
      <c r="K305">
        <v>107706</v>
      </c>
    </row>
    <row r="306" spans="1:11" x14ac:dyDescent="0.25">
      <c r="A306" t="s">
        <v>190</v>
      </c>
      <c r="B306" t="s">
        <v>753</v>
      </c>
      <c r="C306" t="s">
        <v>1232</v>
      </c>
      <c r="D306" s="2">
        <v>43504</v>
      </c>
      <c r="E306">
        <v>0.51951619999999998</v>
      </c>
      <c r="F306" s="2">
        <v>43700</v>
      </c>
      <c r="G306">
        <v>1.093243</v>
      </c>
      <c r="H306" s="3">
        <v>1.1043000000000001</v>
      </c>
      <c r="I306">
        <v>154591.51</v>
      </c>
      <c r="J306" s="3">
        <v>1.1012</v>
      </c>
      <c r="K306">
        <v>270211</v>
      </c>
    </row>
    <row r="307" spans="1:11" x14ac:dyDescent="0.25">
      <c r="A307" t="s">
        <v>206</v>
      </c>
      <c r="B307" t="s">
        <v>779</v>
      </c>
      <c r="C307" t="s">
        <v>1232</v>
      </c>
      <c r="D307" s="2">
        <v>43497</v>
      </c>
      <c r="E307">
        <v>0.64</v>
      </c>
      <c r="F307" s="2">
        <v>43700</v>
      </c>
      <c r="G307">
        <v>1.53</v>
      </c>
      <c r="H307" s="3">
        <v>1.3906000000000001</v>
      </c>
      <c r="I307">
        <v>193255.73</v>
      </c>
      <c r="J307" s="3">
        <v>1.3872</v>
      </c>
      <c r="K307">
        <v>217672</v>
      </c>
    </row>
    <row r="308" spans="1:11" x14ac:dyDescent="0.25">
      <c r="A308" t="s">
        <v>191</v>
      </c>
      <c r="B308" t="s">
        <v>754</v>
      </c>
      <c r="C308" t="s">
        <v>1232</v>
      </c>
      <c r="D308" s="2">
        <v>43490</v>
      </c>
      <c r="E308">
        <v>1.312581</v>
      </c>
      <c r="F308" s="2">
        <v>43700</v>
      </c>
      <c r="G308">
        <v>1.834943</v>
      </c>
      <c r="H308" s="3">
        <v>0.39800000000000002</v>
      </c>
      <c r="I308">
        <v>55097.48</v>
      </c>
      <c r="J308" s="3">
        <v>0.39560000000000001</v>
      </c>
      <c r="K308">
        <v>106117</v>
      </c>
    </row>
    <row r="309" spans="1:11" x14ac:dyDescent="0.25">
      <c r="A309" t="s">
        <v>260</v>
      </c>
      <c r="B309" t="s">
        <v>865</v>
      </c>
      <c r="C309" t="s">
        <v>1232</v>
      </c>
      <c r="D309" s="2">
        <v>43623</v>
      </c>
      <c r="E309">
        <v>0.52500000000000002</v>
      </c>
      <c r="F309" s="2">
        <v>43693</v>
      </c>
      <c r="G309">
        <v>0.39</v>
      </c>
      <c r="H309" s="3">
        <v>-0.2571</v>
      </c>
      <c r="I309">
        <v>-51649.599999999999</v>
      </c>
      <c r="J309" s="3">
        <v>-0.25890000000000002</v>
      </c>
      <c r="K309">
        <v>380014</v>
      </c>
    </row>
    <row r="310" spans="1:11" x14ac:dyDescent="0.25">
      <c r="A310" t="s">
        <v>52</v>
      </c>
      <c r="B310" t="s">
        <v>866</v>
      </c>
      <c r="C310" t="s">
        <v>1232</v>
      </c>
      <c r="D310" s="2">
        <v>43490</v>
      </c>
      <c r="E310">
        <v>13.447979999999999</v>
      </c>
      <c r="F310" s="2">
        <v>43693</v>
      </c>
      <c r="G310">
        <v>27.518519999999999</v>
      </c>
      <c r="H310" s="3">
        <v>1.0463</v>
      </c>
      <c r="I310">
        <v>145290.26</v>
      </c>
      <c r="J310" s="3">
        <v>1.0431999999999999</v>
      </c>
      <c r="K310">
        <v>10356</v>
      </c>
    </row>
    <row r="311" spans="1:11" x14ac:dyDescent="0.25">
      <c r="A311" t="s">
        <v>101</v>
      </c>
      <c r="B311" t="s">
        <v>785</v>
      </c>
      <c r="C311" t="s">
        <v>1232</v>
      </c>
      <c r="D311" s="2">
        <v>43504</v>
      </c>
      <c r="E311">
        <v>0.57106979999999996</v>
      </c>
      <c r="F311" s="2">
        <v>43658</v>
      </c>
      <c r="G311">
        <v>0.79071210000000003</v>
      </c>
      <c r="H311" s="3">
        <v>0.3846</v>
      </c>
      <c r="I311">
        <v>53667.32</v>
      </c>
      <c r="J311" s="3">
        <v>0.38219999999999998</v>
      </c>
      <c r="K311">
        <v>245864</v>
      </c>
    </row>
    <row r="312" spans="1:11" x14ac:dyDescent="0.25">
      <c r="A312" t="s">
        <v>211</v>
      </c>
      <c r="B312" t="s">
        <v>788</v>
      </c>
      <c r="C312" t="s">
        <v>1232</v>
      </c>
      <c r="D312" s="2">
        <v>43504</v>
      </c>
      <c r="E312">
        <v>1.6133090000000001</v>
      </c>
      <c r="F312" s="2">
        <v>43651</v>
      </c>
      <c r="G312">
        <v>2.3727819999999999</v>
      </c>
      <c r="H312" s="3">
        <v>0.4708</v>
      </c>
      <c r="I312">
        <v>65743.23</v>
      </c>
      <c r="J312" s="3">
        <v>0.46829999999999999</v>
      </c>
      <c r="K312">
        <v>87021</v>
      </c>
    </row>
    <row r="313" spans="1:11" x14ac:dyDescent="0.25">
      <c r="A313" t="s">
        <v>420</v>
      </c>
      <c r="B313" t="s">
        <v>834</v>
      </c>
      <c r="C313" t="s">
        <v>1232</v>
      </c>
      <c r="D313" s="2">
        <v>43490</v>
      </c>
      <c r="E313">
        <v>2.9479169999999999</v>
      </c>
      <c r="F313" s="2">
        <v>43630</v>
      </c>
      <c r="G313">
        <v>2.8398270000000001</v>
      </c>
      <c r="H313" s="3">
        <v>-3.6700000000000003E-2</v>
      </c>
      <c r="I313">
        <v>-5381.07</v>
      </c>
      <c r="J313" s="3">
        <v>-3.8600000000000002E-2</v>
      </c>
      <c r="K313">
        <v>47253</v>
      </c>
    </row>
    <row r="314" spans="1:11" x14ac:dyDescent="0.25">
      <c r="A314" t="s">
        <v>261</v>
      </c>
      <c r="B314" t="s">
        <v>867</v>
      </c>
      <c r="C314" t="s">
        <v>1232</v>
      </c>
      <c r="D314" s="2">
        <v>43546</v>
      </c>
      <c r="E314">
        <v>1.0979890000000001</v>
      </c>
      <c r="F314" s="2">
        <v>43630</v>
      </c>
      <c r="G314">
        <v>0.98464790000000002</v>
      </c>
      <c r="H314" s="3">
        <v>-0.1032</v>
      </c>
      <c r="I314">
        <v>-16784.8</v>
      </c>
      <c r="J314" s="3">
        <v>-0.1051</v>
      </c>
      <c r="K314">
        <v>145419</v>
      </c>
    </row>
    <row r="315" spans="1:11" x14ac:dyDescent="0.25">
      <c r="A315" t="s">
        <v>262</v>
      </c>
      <c r="B315" t="s">
        <v>868</v>
      </c>
      <c r="C315" t="s">
        <v>1232</v>
      </c>
      <c r="D315" s="2">
        <v>43588</v>
      </c>
      <c r="E315">
        <v>0.50102749999999996</v>
      </c>
      <c r="F315" s="2">
        <v>43623</v>
      </c>
      <c r="G315">
        <v>0.4916624</v>
      </c>
      <c r="H315" s="3">
        <v>-1.8700000000000001E-2</v>
      </c>
      <c r="I315">
        <v>-3781.14</v>
      </c>
      <c r="J315" s="3">
        <v>-2.07E-2</v>
      </c>
      <c r="K315">
        <v>365056</v>
      </c>
    </row>
    <row r="316" spans="1:11" x14ac:dyDescent="0.25">
      <c r="A316" t="s">
        <v>407</v>
      </c>
      <c r="B316" t="s">
        <v>771</v>
      </c>
      <c r="C316" t="s">
        <v>1232</v>
      </c>
      <c r="D316" s="2">
        <v>43490</v>
      </c>
      <c r="E316">
        <v>1.98</v>
      </c>
      <c r="F316" s="2">
        <v>43588</v>
      </c>
      <c r="G316">
        <v>3.41</v>
      </c>
      <c r="H316" s="3">
        <v>0.72219999999999995</v>
      </c>
      <c r="I316">
        <v>100197.1</v>
      </c>
      <c r="J316" s="3">
        <v>0.71950000000000003</v>
      </c>
      <c r="K316">
        <v>70333</v>
      </c>
    </row>
    <row r="317" spans="1:11" x14ac:dyDescent="0.25">
      <c r="A317" t="s">
        <v>263</v>
      </c>
      <c r="B317" t="s">
        <v>869</v>
      </c>
      <c r="C317" t="s">
        <v>1232</v>
      </c>
      <c r="D317" s="2">
        <v>43504</v>
      </c>
      <c r="E317">
        <v>0.74372709999999997</v>
      </c>
      <c r="F317" s="2">
        <v>43581</v>
      </c>
      <c r="G317">
        <v>0.58623190000000003</v>
      </c>
      <c r="H317" s="3">
        <v>-0.21179999999999999</v>
      </c>
      <c r="I317">
        <v>-29972.69</v>
      </c>
      <c r="J317" s="3">
        <v>-0.21360000000000001</v>
      </c>
      <c r="K317">
        <v>188715</v>
      </c>
    </row>
    <row r="318" spans="1:11" x14ac:dyDescent="0.25">
      <c r="A318" t="s">
        <v>432</v>
      </c>
      <c r="B318" t="s">
        <v>870</v>
      </c>
      <c r="C318" t="s">
        <v>1232</v>
      </c>
      <c r="D318" s="2">
        <v>43280</v>
      </c>
      <c r="E318">
        <v>1.012149</v>
      </c>
      <c r="F318" s="2">
        <v>43545</v>
      </c>
      <c r="G318">
        <v>1.1599999999999999</v>
      </c>
      <c r="H318" s="3">
        <v>0.14610000000000001</v>
      </c>
      <c r="I318">
        <v>20366.919999999998</v>
      </c>
      <c r="J318" s="3">
        <v>0.1439</v>
      </c>
      <c r="K318">
        <v>139807</v>
      </c>
    </row>
    <row r="319" spans="1:11" x14ac:dyDescent="0.25">
      <c r="A319" t="s">
        <v>243</v>
      </c>
      <c r="B319" t="s">
        <v>833</v>
      </c>
      <c r="C319" t="s">
        <v>1232</v>
      </c>
      <c r="D319" s="2">
        <v>43301</v>
      </c>
      <c r="E319">
        <v>1.39</v>
      </c>
      <c r="F319" s="2">
        <v>43511</v>
      </c>
      <c r="G319">
        <v>1.0449999999999999</v>
      </c>
      <c r="H319" s="3">
        <v>-0.2482</v>
      </c>
      <c r="I319">
        <v>-35009.29</v>
      </c>
      <c r="J319" s="3">
        <v>-0.25</v>
      </c>
      <c r="K319">
        <v>100765</v>
      </c>
    </row>
    <row r="320" spans="1:11" x14ac:dyDescent="0.25">
      <c r="A320" t="s">
        <v>433</v>
      </c>
      <c r="B320" t="s">
        <v>871</v>
      </c>
      <c r="C320" t="s">
        <v>1232</v>
      </c>
      <c r="D320" s="2">
        <v>43490</v>
      </c>
      <c r="E320">
        <v>5.3113720000000004</v>
      </c>
      <c r="F320" s="2">
        <v>43507</v>
      </c>
      <c r="G320">
        <v>5.3596570000000003</v>
      </c>
      <c r="H320" s="3">
        <v>9.1000000000000004E-3</v>
      </c>
      <c r="I320">
        <v>986.58</v>
      </c>
      <c r="J320" s="3">
        <v>7.1000000000000004E-3</v>
      </c>
      <c r="K320">
        <v>26229</v>
      </c>
    </row>
    <row r="321" spans="1:11" x14ac:dyDescent="0.25">
      <c r="A321" t="s">
        <v>264</v>
      </c>
      <c r="B321" t="s">
        <v>872</v>
      </c>
      <c r="C321" t="s">
        <v>1232</v>
      </c>
      <c r="D321" s="2">
        <v>43315</v>
      </c>
      <c r="E321">
        <v>5.1805880000000002</v>
      </c>
      <c r="F321" s="2">
        <v>43462</v>
      </c>
      <c r="G321">
        <v>3.668663</v>
      </c>
      <c r="H321" s="3">
        <v>-0.2918</v>
      </c>
      <c r="I321">
        <v>-40356.79</v>
      </c>
      <c r="J321" s="3">
        <v>-0.29360000000000003</v>
      </c>
      <c r="K321">
        <v>26537</v>
      </c>
    </row>
    <row r="322" spans="1:11" x14ac:dyDescent="0.25">
      <c r="A322" t="s">
        <v>434</v>
      </c>
      <c r="B322" t="s">
        <v>873</v>
      </c>
      <c r="C322" t="s">
        <v>1232</v>
      </c>
      <c r="D322" s="2">
        <v>43343</v>
      </c>
      <c r="E322">
        <v>6.7713070000000002</v>
      </c>
      <c r="F322" s="2">
        <v>43434</v>
      </c>
      <c r="G322">
        <v>7.3332800000000002</v>
      </c>
      <c r="H322" s="3">
        <v>8.3000000000000004E-2</v>
      </c>
      <c r="I322">
        <v>11602.21</v>
      </c>
      <c r="J322" s="3">
        <v>8.09E-2</v>
      </c>
      <c r="K322">
        <v>21177</v>
      </c>
    </row>
    <row r="323" spans="1:11" x14ac:dyDescent="0.25">
      <c r="A323" t="s">
        <v>265</v>
      </c>
      <c r="B323" t="s">
        <v>874</v>
      </c>
      <c r="C323" t="s">
        <v>1232</v>
      </c>
      <c r="D323" s="2">
        <v>43224</v>
      </c>
      <c r="E323">
        <v>1.2716430000000001</v>
      </c>
      <c r="F323" s="2">
        <v>43427</v>
      </c>
      <c r="G323">
        <v>1.339377</v>
      </c>
      <c r="H323" s="3">
        <v>5.33E-2</v>
      </c>
      <c r="I323">
        <v>6959.37</v>
      </c>
      <c r="J323" s="3">
        <v>5.1200000000000002E-2</v>
      </c>
      <c r="K323">
        <v>106865</v>
      </c>
    </row>
    <row r="324" spans="1:11" x14ac:dyDescent="0.25">
      <c r="A324" t="s">
        <v>138</v>
      </c>
      <c r="B324" t="s">
        <v>690</v>
      </c>
      <c r="C324" t="s">
        <v>1232</v>
      </c>
      <c r="D324" s="2">
        <v>43322</v>
      </c>
      <c r="E324">
        <v>1.473341</v>
      </c>
      <c r="F324" s="2">
        <v>43406</v>
      </c>
      <c r="G324">
        <v>1.823788</v>
      </c>
      <c r="H324" s="3">
        <v>0.2379</v>
      </c>
      <c r="I324">
        <v>32268.97</v>
      </c>
      <c r="J324" s="3">
        <v>0.2356</v>
      </c>
      <c r="K324">
        <v>92954</v>
      </c>
    </row>
    <row r="325" spans="1:11" x14ac:dyDescent="0.25">
      <c r="A325" t="s">
        <v>258</v>
      </c>
      <c r="B325" t="s">
        <v>862</v>
      </c>
      <c r="C325" t="s">
        <v>1232</v>
      </c>
      <c r="D325" s="2">
        <v>43231</v>
      </c>
      <c r="E325">
        <v>3.5878380000000001</v>
      </c>
      <c r="F325" s="2">
        <v>43406</v>
      </c>
      <c r="G325">
        <v>5.4386279999999996</v>
      </c>
      <c r="H325" s="3">
        <v>0.51590000000000003</v>
      </c>
      <c r="I325">
        <v>71244.94</v>
      </c>
      <c r="J325" s="3">
        <v>0.51329999999999998</v>
      </c>
      <c r="K325">
        <v>38683</v>
      </c>
    </row>
    <row r="326" spans="1:11" x14ac:dyDescent="0.25">
      <c r="A326" t="s">
        <v>179</v>
      </c>
      <c r="B326" t="s">
        <v>736</v>
      </c>
      <c r="C326" t="s">
        <v>1232</v>
      </c>
      <c r="D326" s="2">
        <v>43231</v>
      </c>
      <c r="E326">
        <v>1.9765999999999999</v>
      </c>
      <c r="F326" s="2">
        <v>43399</v>
      </c>
      <c r="G326">
        <v>2.7208869999999998</v>
      </c>
      <c r="H326" s="3">
        <v>0.3765</v>
      </c>
      <c r="I326">
        <v>51950.99</v>
      </c>
      <c r="J326" s="3">
        <v>0.37419999999999998</v>
      </c>
      <c r="K326">
        <v>70243</v>
      </c>
    </row>
    <row r="327" spans="1:11" x14ac:dyDescent="0.25">
      <c r="A327" t="s">
        <v>102</v>
      </c>
      <c r="B327" t="s">
        <v>777</v>
      </c>
      <c r="C327" t="s">
        <v>1232</v>
      </c>
      <c r="D327" s="2">
        <v>43343</v>
      </c>
      <c r="E327">
        <v>1.3959809999999999</v>
      </c>
      <c r="F327" s="2">
        <v>43392</v>
      </c>
      <c r="G327">
        <v>1.4437390000000001</v>
      </c>
      <c r="H327" s="3">
        <v>3.4200000000000001E-2</v>
      </c>
      <c r="I327">
        <v>4614.63</v>
      </c>
      <c r="J327" s="3">
        <v>3.2199999999999999E-2</v>
      </c>
      <c r="K327">
        <v>102734</v>
      </c>
    </row>
    <row r="328" spans="1:11" x14ac:dyDescent="0.25">
      <c r="A328" t="s">
        <v>266</v>
      </c>
      <c r="B328" t="s">
        <v>875</v>
      </c>
      <c r="C328" t="s">
        <v>1232</v>
      </c>
      <c r="D328" s="2">
        <v>43308</v>
      </c>
      <c r="E328">
        <v>0.53500000000000003</v>
      </c>
      <c r="F328" s="2">
        <v>43392</v>
      </c>
      <c r="G328">
        <v>0.42499999999999999</v>
      </c>
      <c r="H328" s="3">
        <v>-0.2056</v>
      </c>
      <c r="I328">
        <v>-29177.71</v>
      </c>
      <c r="J328" s="3">
        <v>-0.2074</v>
      </c>
      <c r="K328">
        <v>262957</v>
      </c>
    </row>
    <row r="329" spans="1:11" x14ac:dyDescent="0.25">
      <c r="A329" t="s">
        <v>199</v>
      </c>
      <c r="B329" t="s">
        <v>765</v>
      </c>
      <c r="C329" t="s">
        <v>1232</v>
      </c>
      <c r="D329" s="2">
        <v>43280</v>
      </c>
      <c r="E329">
        <v>0.81594230000000001</v>
      </c>
      <c r="F329" s="2">
        <v>43392</v>
      </c>
      <c r="G329">
        <v>0.87870709999999996</v>
      </c>
      <c r="H329" s="3">
        <v>7.6899999999999996E-2</v>
      </c>
      <c r="I329">
        <v>10590.11</v>
      </c>
      <c r="J329" s="3">
        <v>7.4800000000000005E-2</v>
      </c>
      <c r="K329">
        <v>173409</v>
      </c>
    </row>
    <row r="330" spans="1:11" x14ac:dyDescent="0.25">
      <c r="A330" t="s">
        <v>263</v>
      </c>
      <c r="B330" t="s">
        <v>869</v>
      </c>
      <c r="C330" t="s">
        <v>1232</v>
      </c>
      <c r="D330" s="2">
        <v>43259</v>
      </c>
      <c r="E330">
        <v>0.54685819999999996</v>
      </c>
      <c r="F330" s="2">
        <v>43392</v>
      </c>
      <c r="G330">
        <v>0.57748219999999995</v>
      </c>
      <c r="H330" s="3">
        <v>5.6000000000000001E-2</v>
      </c>
      <c r="I330">
        <v>7700.47</v>
      </c>
      <c r="J330" s="3">
        <v>5.3900000000000003E-2</v>
      </c>
      <c r="K330">
        <v>261036</v>
      </c>
    </row>
    <row r="331" spans="1:11" x14ac:dyDescent="0.25">
      <c r="A331" t="s">
        <v>166</v>
      </c>
      <c r="B331" t="s">
        <v>720</v>
      </c>
      <c r="C331" t="s">
        <v>1232</v>
      </c>
      <c r="D331" s="2">
        <v>43238</v>
      </c>
      <c r="E331">
        <v>1.7076169999999999</v>
      </c>
      <c r="F331" s="2">
        <v>43392</v>
      </c>
      <c r="G331">
        <v>2.019231</v>
      </c>
      <c r="H331" s="3">
        <v>0.1825</v>
      </c>
      <c r="I331">
        <v>25471.200000000001</v>
      </c>
      <c r="J331" s="3">
        <v>0.18029999999999999</v>
      </c>
      <c r="K331">
        <v>82729</v>
      </c>
    </row>
    <row r="332" spans="1:11" x14ac:dyDescent="0.25">
      <c r="A332" t="s">
        <v>109</v>
      </c>
      <c r="B332" t="s">
        <v>734</v>
      </c>
      <c r="C332" t="s">
        <v>1232</v>
      </c>
      <c r="D332" s="2">
        <v>43322</v>
      </c>
      <c r="E332">
        <v>1.644687</v>
      </c>
      <c r="F332" s="2">
        <v>43371</v>
      </c>
      <c r="G332">
        <v>1.5360290000000001</v>
      </c>
      <c r="H332" s="3">
        <v>-6.6100000000000006E-2</v>
      </c>
      <c r="I332">
        <v>-9313.7000000000007</v>
      </c>
      <c r="J332" s="3">
        <v>-6.8000000000000005E-2</v>
      </c>
      <c r="K332">
        <v>83278</v>
      </c>
    </row>
    <row r="333" spans="1:11" x14ac:dyDescent="0.25">
      <c r="A333" t="s">
        <v>205</v>
      </c>
      <c r="B333" t="s">
        <v>776</v>
      </c>
      <c r="C333" t="s">
        <v>1232</v>
      </c>
      <c r="D333" s="2">
        <v>43238</v>
      </c>
      <c r="E333">
        <v>9.1760920000000006</v>
      </c>
      <c r="F333" s="2">
        <v>43364</v>
      </c>
      <c r="G333">
        <v>7.9685519999999999</v>
      </c>
      <c r="H333" s="3">
        <v>-0.13159999999999999</v>
      </c>
      <c r="I333">
        <v>-18856.439999999999</v>
      </c>
      <c r="J333" s="3">
        <v>-0.13350000000000001</v>
      </c>
      <c r="K333">
        <v>15397</v>
      </c>
    </row>
    <row r="334" spans="1:11" x14ac:dyDescent="0.25">
      <c r="A334" t="s">
        <v>267</v>
      </c>
      <c r="B334" t="s">
        <v>876</v>
      </c>
      <c r="C334" t="s">
        <v>1232</v>
      </c>
      <c r="D334" s="2">
        <v>43224</v>
      </c>
      <c r="E334">
        <v>2.1584379999999999</v>
      </c>
      <c r="F334" s="2">
        <v>43357</v>
      </c>
      <c r="G334">
        <v>2.6091009999999999</v>
      </c>
      <c r="H334" s="3">
        <v>0.20880000000000001</v>
      </c>
      <c r="I334">
        <v>28067.78</v>
      </c>
      <c r="J334" s="3">
        <v>0.20660000000000001</v>
      </c>
      <c r="K334">
        <v>62947</v>
      </c>
    </row>
    <row r="335" spans="1:11" x14ac:dyDescent="0.25">
      <c r="A335" t="s">
        <v>144</v>
      </c>
      <c r="B335" t="s">
        <v>696</v>
      </c>
      <c r="C335" t="s">
        <v>1232</v>
      </c>
      <c r="D335" s="2">
        <v>42874</v>
      </c>
      <c r="E335">
        <v>1.1037699999999999</v>
      </c>
      <c r="F335" s="2">
        <v>43357</v>
      </c>
      <c r="G335">
        <v>2.1504650000000001</v>
      </c>
      <c r="H335" s="3">
        <v>0.94830000000000003</v>
      </c>
      <c r="I335">
        <v>110744.54</v>
      </c>
      <c r="J335" s="3">
        <v>0.94530000000000003</v>
      </c>
      <c r="K335">
        <v>106134</v>
      </c>
    </row>
    <row r="336" spans="1:11" x14ac:dyDescent="0.25">
      <c r="A336" t="s">
        <v>155</v>
      </c>
      <c r="B336" t="s">
        <v>709</v>
      </c>
      <c r="C336" t="s">
        <v>1232</v>
      </c>
      <c r="D336" s="2">
        <v>43224</v>
      </c>
      <c r="E336">
        <v>1.5280050000000001</v>
      </c>
      <c r="F336" s="2">
        <v>43329</v>
      </c>
      <c r="G336">
        <v>1.470272</v>
      </c>
      <c r="H336" s="3">
        <v>-3.78E-2</v>
      </c>
      <c r="I336">
        <v>-5400.65</v>
      </c>
      <c r="J336" s="3">
        <v>-3.9699999999999999E-2</v>
      </c>
      <c r="K336">
        <v>88927</v>
      </c>
    </row>
    <row r="337" spans="1:11" x14ac:dyDescent="0.25">
      <c r="A337" t="s">
        <v>190</v>
      </c>
      <c r="B337" t="s">
        <v>753</v>
      </c>
      <c r="C337" t="s">
        <v>1232</v>
      </c>
      <c r="D337" s="2">
        <v>43231</v>
      </c>
      <c r="E337">
        <v>0.52403370000000005</v>
      </c>
      <c r="F337" s="2">
        <v>43329</v>
      </c>
      <c r="G337">
        <v>0.44271820000000001</v>
      </c>
      <c r="H337" s="3">
        <v>-0.1552</v>
      </c>
      <c r="I337">
        <v>-21796.57</v>
      </c>
      <c r="J337" s="3">
        <v>-0.157</v>
      </c>
      <c r="K337">
        <v>264900</v>
      </c>
    </row>
    <row r="338" spans="1:11" x14ac:dyDescent="0.25">
      <c r="A338" t="s">
        <v>72</v>
      </c>
      <c r="B338" t="s">
        <v>877</v>
      </c>
      <c r="C338" t="s">
        <v>1232</v>
      </c>
      <c r="D338" s="2">
        <v>43231</v>
      </c>
      <c r="E338">
        <v>6.9348999999999998</v>
      </c>
      <c r="F338" s="2">
        <v>43322</v>
      </c>
      <c r="G338">
        <v>6.6557040000000001</v>
      </c>
      <c r="H338" s="3">
        <v>-4.0300000000000002E-2</v>
      </c>
      <c r="I338">
        <v>-5858.39</v>
      </c>
      <c r="J338" s="3">
        <v>-4.2200000000000001E-2</v>
      </c>
      <c r="K338">
        <v>20009</v>
      </c>
    </row>
    <row r="339" spans="1:11" x14ac:dyDescent="0.25">
      <c r="A339" t="s">
        <v>435</v>
      </c>
      <c r="B339" t="s">
        <v>878</v>
      </c>
      <c r="C339" t="s">
        <v>1232</v>
      </c>
      <c r="D339" s="2">
        <v>43224</v>
      </c>
      <c r="E339">
        <v>0.55000000000000004</v>
      </c>
      <c r="F339" s="2">
        <v>43315</v>
      </c>
      <c r="G339">
        <v>0.54500000000000004</v>
      </c>
      <c r="H339" s="3">
        <v>-9.1000000000000004E-3</v>
      </c>
      <c r="I339">
        <v>-1506.25</v>
      </c>
      <c r="J339" s="3">
        <v>-1.11E-2</v>
      </c>
      <c r="K339">
        <v>247128</v>
      </c>
    </row>
    <row r="340" spans="1:11" x14ac:dyDescent="0.25">
      <c r="A340" t="s">
        <v>436</v>
      </c>
      <c r="B340" t="s">
        <v>879</v>
      </c>
      <c r="C340" t="s">
        <v>1232</v>
      </c>
      <c r="D340" s="2">
        <v>43224</v>
      </c>
      <c r="E340">
        <v>1.4850000000000001</v>
      </c>
      <c r="F340" s="2">
        <v>43312</v>
      </c>
      <c r="G340">
        <v>1.7450000000000001</v>
      </c>
      <c r="H340" s="3">
        <v>0.17510000000000001</v>
      </c>
      <c r="I340">
        <v>23499.59</v>
      </c>
      <c r="J340" s="3">
        <v>0.1729</v>
      </c>
      <c r="K340">
        <v>91520</v>
      </c>
    </row>
    <row r="341" spans="1:11" x14ac:dyDescent="0.25">
      <c r="A341" t="s">
        <v>437</v>
      </c>
      <c r="B341" t="s">
        <v>880</v>
      </c>
      <c r="C341" t="s">
        <v>1232</v>
      </c>
      <c r="D341" s="2">
        <v>42706</v>
      </c>
      <c r="E341">
        <v>1.240013</v>
      </c>
      <c r="F341" s="2">
        <v>43308</v>
      </c>
      <c r="G341">
        <v>1.2533840000000001</v>
      </c>
      <c r="H341" s="3">
        <v>1.0800000000000001E-2</v>
      </c>
      <c r="I341">
        <v>1031.1199999999999</v>
      </c>
      <c r="J341" s="3">
        <v>8.8000000000000005E-3</v>
      </c>
      <c r="K341">
        <v>94793</v>
      </c>
    </row>
    <row r="342" spans="1:11" x14ac:dyDescent="0.25">
      <c r="A342" t="s">
        <v>211</v>
      </c>
      <c r="B342" t="s">
        <v>788</v>
      </c>
      <c r="C342" t="s">
        <v>1232</v>
      </c>
      <c r="D342" s="2">
        <v>42972</v>
      </c>
      <c r="E342">
        <v>1.132849</v>
      </c>
      <c r="F342" s="2">
        <v>43294</v>
      </c>
      <c r="G342">
        <v>1.177311</v>
      </c>
      <c r="H342" s="3">
        <v>3.9199999999999999E-2</v>
      </c>
      <c r="I342">
        <v>4347.5</v>
      </c>
      <c r="J342" s="3">
        <v>3.7199999999999997E-2</v>
      </c>
      <c r="K342">
        <v>103139</v>
      </c>
    </row>
    <row r="343" spans="1:11" x14ac:dyDescent="0.25">
      <c r="A343" t="s">
        <v>438</v>
      </c>
      <c r="B343" t="s">
        <v>881</v>
      </c>
      <c r="C343" t="s">
        <v>1232</v>
      </c>
      <c r="D343" s="2">
        <v>43231</v>
      </c>
      <c r="E343">
        <v>1.4950000000000001</v>
      </c>
      <c r="F343" s="2">
        <v>43287</v>
      </c>
      <c r="G343">
        <v>0.99</v>
      </c>
      <c r="H343" s="3">
        <v>-0.33779999999999999</v>
      </c>
      <c r="I343">
        <v>-47126.07</v>
      </c>
      <c r="J343" s="3">
        <v>-0.33950000000000002</v>
      </c>
      <c r="K343">
        <v>92862</v>
      </c>
    </row>
    <row r="344" spans="1:11" x14ac:dyDescent="0.25">
      <c r="A344" t="s">
        <v>226</v>
      </c>
      <c r="B344" t="s">
        <v>809</v>
      </c>
      <c r="C344" t="s">
        <v>1232</v>
      </c>
      <c r="D344" s="2">
        <v>43098</v>
      </c>
      <c r="E344">
        <v>3.2484649999999999</v>
      </c>
      <c r="F344" s="2">
        <v>43280</v>
      </c>
      <c r="G344">
        <v>2.7463869999999999</v>
      </c>
      <c r="H344" s="3">
        <v>-0.15459999999999999</v>
      </c>
      <c r="I344">
        <v>-21394.44</v>
      </c>
      <c r="J344" s="3">
        <v>-0.15640000000000001</v>
      </c>
      <c r="K344">
        <v>42109</v>
      </c>
    </row>
    <row r="345" spans="1:11" x14ac:dyDescent="0.25">
      <c r="A345" t="s">
        <v>26</v>
      </c>
      <c r="B345" t="s">
        <v>882</v>
      </c>
      <c r="C345" t="s">
        <v>1232</v>
      </c>
      <c r="D345" s="2">
        <v>43231</v>
      </c>
      <c r="E345">
        <v>2.5542699999999998</v>
      </c>
      <c r="F345" s="2">
        <v>43280</v>
      </c>
      <c r="G345">
        <v>2.494405</v>
      </c>
      <c r="H345" s="3">
        <v>-2.3400000000000001E-2</v>
      </c>
      <c r="I345">
        <v>-3526.82</v>
      </c>
      <c r="J345" s="3">
        <v>-2.5399999999999999E-2</v>
      </c>
      <c r="K345">
        <v>54331</v>
      </c>
    </row>
    <row r="346" spans="1:11" x14ac:dyDescent="0.25">
      <c r="A346" t="s">
        <v>439</v>
      </c>
      <c r="B346" t="s">
        <v>883</v>
      </c>
      <c r="C346" t="s">
        <v>1232</v>
      </c>
      <c r="D346" s="2">
        <v>43231</v>
      </c>
      <c r="E346">
        <v>1.7250000000000001</v>
      </c>
      <c r="F346" s="2">
        <v>43256</v>
      </c>
      <c r="G346">
        <v>1.74</v>
      </c>
      <c r="H346" s="3">
        <v>8.6999999999999994E-3</v>
      </c>
      <c r="I346">
        <v>928.52</v>
      </c>
      <c r="J346" s="3">
        <v>6.7000000000000002E-3</v>
      </c>
      <c r="K346">
        <v>80496</v>
      </c>
    </row>
    <row r="347" spans="1:11" x14ac:dyDescent="0.25">
      <c r="A347" t="s">
        <v>81</v>
      </c>
      <c r="B347" t="s">
        <v>884</v>
      </c>
      <c r="C347" t="s">
        <v>1232</v>
      </c>
      <c r="D347" s="2">
        <v>43231</v>
      </c>
      <c r="E347">
        <v>7.7288579999999998</v>
      </c>
      <c r="F347" s="2">
        <v>43252</v>
      </c>
      <c r="G347">
        <v>8.1705070000000006</v>
      </c>
      <c r="H347" s="3">
        <v>5.7099999999999998E-2</v>
      </c>
      <c r="I347">
        <v>7646.09</v>
      </c>
      <c r="J347" s="3">
        <v>5.5100000000000003E-2</v>
      </c>
      <c r="K347">
        <v>17959</v>
      </c>
    </row>
    <row r="348" spans="1:11" x14ac:dyDescent="0.25">
      <c r="A348" t="s">
        <v>251</v>
      </c>
      <c r="B348" t="s">
        <v>851</v>
      </c>
      <c r="C348" t="s">
        <v>1232</v>
      </c>
      <c r="D348" s="2">
        <v>42720</v>
      </c>
      <c r="E348">
        <v>0.79191940000000005</v>
      </c>
      <c r="F348" s="2">
        <v>43231</v>
      </c>
      <c r="G348">
        <v>0.91220619999999997</v>
      </c>
      <c r="H348" s="3">
        <v>0.15190000000000001</v>
      </c>
      <c r="I348">
        <v>17464.03</v>
      </c>
      <c r="J348" s="3">
        <v>0.1497</v>
      </c>
      <c r="K348">
        <v>147273</v>
      </c>
    </row>
    <row r="349" spans="1:11" x14ac:dyDescent="0.25">
      <c r="A349" t="s">
        <v>440</v>
      </c>
      <c r="B349" t="s">
        <v>885</v>
      </c>
      <c r="C349" t="s">
        <v>1232</v>
      </c>
      <c r="D349" s="2">
        <v>43084</v>
      </c>
      <c r="E349">
        <v>2.7988409999999999</v>
      </c>
      <c r="F349" s="2">
        <v>43231</v>
      </c>
      <c r="G349">
        <v>2.8483040000000002</v>
      </c>
      <c r="H349" s="3">
        <v>1.77E-2</v>
      </c>
      <c r="I349">
        <v>2039.28</v>
      </c>
      <c r="J349" s="3">
        <v>1.5699999999999999E-2</v>
      </c>
      <c r="K349">
        <v>46542</v>
      </c>
    </row>
    <row r="350" spans="1:11" x14ac:dyDescent="0.25">
      <c r="A350" t="s">
        <v>206</v>
      </c>
      <c r="B350" t="s">
        <v>779</v>
      </c>
      <c r="C350" t="s">
        <v>1232</v>
      </c>
      <c r="D350" s="2">
        <v>43105</v>
      </c>
      <c r="E350">
        <v>0.51</v>
      </c>
      <c r="F350" s="2">
        <v>43217</v>
      </c>
      <c r="G350">
        <v>0.505</v>
      </c>
      <c r="H350" s="3">
        <v>-9.7999999999999997E-3</v>
      </c>
      <c r="I350">
        <v>-1643.5</v>
      </c>
      <c r="J350" s="3">
        <v>-1.18E-2</v>
      </c>
      <c r="K350">
        <v>273234</v>
      </c>
    </row>
    <row r="351" spans="1:11" x14ac:dyDescent="0.25">
      <c r="A351" t="s">
        <v>133</v>
      </c>
      <c r="B351" t="s">
        <v>685</v>
      </c>
      <c r="C351" t="s">
        <v>1232</v>
      </c>
      <c r="D351" s="2">
        <v>42559</v>
      </c>
      <c r="E351">
        <v>1.359958</v>
      </c>
      <c r="F351" s="2">
        <v>43168</v>
      </c>
      <c r="G351">
        <v>2.4999880000000001</v>
      </c>
      <c r="H351" s="3">
        <v>0.83830000000000005</v>
      </c>
      <c r="I351">
        <v>88422.43</v>
      </c>
      <c r="J351" s="3">
        <v>0.83540000000000003</v>
      </c>
      <c r="K351">
        <v>77825</v>
      </c>
    </row>
    <row r="352" spans="1:11" x14ac:dyDescent="0.25">
      <c r="A352" t="s">
        <v>245</v>
      </c>
      <c r="B352" t="s">
        <v>839</v>
      </c>
      <c r="C352" t="s">
        <v>1232</v>
      </c>
      <c r="D352" s="2">
        <v>42972</v>
      </c>
      <c r="E352">
        <v>0.85808379999999995</v>
      </c>
      <c r="F352" s="2">
        <v>43168</v>
      </c>
      <c r="G352">
        <v>1.2804070000000001</v>
      </c>
      <c r="H352" s="3">
        <v>0.49220000000000003</v>
      </c>
      <c r="I352">
        <v>57219.91</v>
      </c>
      <c r="J352" s="3">
        <v>0.48970000000000002</v>
      </c>
      <c r="K352">
        <v>136178</v>
      </c>
    </row>
    <row r="353" spans="1:11" x14ac:dyDescent="0.25">
      <c r="A353" t="s">
        <v>109</v>
      </c>
      <c r="B353" t="s">
        <v>734</v>
      </c>
      <c r="C353" t="s">
        <v>1232</v>
      </c>
      <c r="D353" s="2">
        <v>42972</v>
      </c>
      <c r="E353">
        <v>1.773101</v>
      </c>
      <c r="F353" s="2">
        <v>43161</v>
      </c>
      <c r="G353">
        <v>1.5409679999999999</v>
      </c>
      <c r="H353" s="3">
        <v>-0.13089999999999999</v>
      </c>
      <c r="I353">
        <v>-15512.19</v>
      </c>
      <c r="J353" s="3">
        <v>-0.1328</v>
      </c>
      <c r="K353">
        <v>65884</v>
      </c>
    </row>
    <row r="354" spans="1:11" x14ac:dyDescent="0.25">
      <c r="A354" t="s">
        <v>81</v>
      </c>
      <c r="B354" t="s">
        <v>884</v>
      </c>
      <c r="C354" t="s">
        <v>1232</v>
      </c>
      <c r="D354" s="2">
        <v>42643</v>
      </c>
      <c r="E354">
        <v>4.3786259999999997</v>
      </c>
      <c r="F354" s="2">
        <v>43154</v>
      </c>
      <c r="G354">
        <v>6.3136200000000002</v>
      </c>
      <c r="H354" s="3">
        <v>0.44190000000000002</v>
      </c>
      <c r="I354">
        <v>53645.68</v>
      </c>
      <c r="J354" s="3">
        <v>0.4395</v>
      </c>
      <c r="K354">
        <v>27878</v>
      </c>
    </row>
    <row r="355" spans="1:11" x14ac:dyDescent="0.25">
      <c r="A355" t="s">
        <v>441</v>
      </c>
      <c r="B355" t="s">
        <v>886</v>
      </c>
      <c r="C355" t="s">
        <v>1232</v>
      </c>
      <c r="D355" s="2">
        <v>43098</v>
      </c>
      <c r="E355">
        <v>1.288713</v>
      </c>
      <c r="F355" s="2">
        <v>43154</v>
      </c>
      <c r="G355">
        <v>1.1911449999999999</v>
      </c>
      <c r="H355" s="3">
        <v>-7.5700000000000003E-2</v>
      </c>
      <c r="I355">
        <v>-10618.48</v>
      </c>
      <c r="J355" s="3">
        <v>-7.7600000000000002E-2</v>
      </c>
      <c r="K355">
        <v>106134</v>
      </c>
    </row>
    <row r="356" spans="1:11" x14ac:dyDescent="0.25">
      <c r="A356" t="s">
        <v>73</v>
      </c>
      <c r="B356" t="s">
        <v>887</v>
      </c>
      <c r="C356" t="s">
        <v>1232</v>
      </c>
      <c r="D356" s="2">
        <v>43140</v>
      </c>
      <c r="E356">
        <v>32.549999999999997</v>
      </c>
      <c r="F356" s="2">
        <v>43147</v>
      </c>
      <c r="G356">
        <v>31.76</v>
      </c>
      <c r="H356" s="3">
        <v>-2.4299999999999999E-2</v>
      </c>
      <c r="I356">
        <v>-3579.56</v>
      </c>
      <c r="J356" s="3">
        <v>-2.6200000000000001E-2</v>
      </c>
      <c r="K356">
        <v>4190</v>
      </c>
    </row>
    <row r="357" spans="1:11" x14ac:dyDescent="0.25">
      <c r="A357" t="s">
        <v>442</v>
      </c>
      <c r="B357" t="s">
        <v>888</v>
      </c>
      <c r="C357" t="s">
        <v>1232</v>
      </c>
      <c r="D357" s="2">
        <v>43021</v>
      </c>
      <c r="E357">
        <v>2.2622580000000001</v>
      </c>
      <c r="F357" s="2">
        <v>43147</v>
      </c>
      <c r="G357">
        <v>1.645278</v>
      </c>
      <c r="H357" s="3">
        <v>-0.2727</v>
      </c>
      <c r="I357">
        <v>-33767.589999999997</v>
      </c>
      <c r="J357" s="3">
        <v>-0.27450000000000002</v>
      </c>
      <c r="K357">
        <v>54386</v>
      </c>
    </row>
    <row r="358" spans="1:11" x14ac:dyDescent="0.25">
      <c r="A358" t="s">
        <v>443</v>
      </c>
      <c r="B358" t="s">
        <v>889</v>
      </c>
      <c r="C358" t="s">
        <v>1232</v>
      </c>
      <c r="D358" s="2">
        <v>43021</v>
      </c>
      <c r="E358">
        <v>4.7264569999999999</v>
      </c>
      <c r="F358" s="2">
        <v>43147</v>
      </c>
      <c r="G358">
        <v>4.0022419999999999</v>
      </c>
      <c r="H358" s="3">
        <v>-0.1532</v>
      </c>
      <c r="I358">
        <v>-19080.72</v>
      </c>
      <c r="J358" s="3">
        <v>-0.15509999999999999</v>
      </c>
      <c r="K358">
        <v>26033</v>
      </c>
    </row>
    <row r="359" spans="1:11" x14ac:dyDescent="0.25">
      <c r="A359" t="s">
        <v>444</v>
      </c>
      <c r="B359" t="s">
        <v>890</v>
      </c>
      <c r="C359" t="s">
        <v>1232</v>
      </c>
      <c r="D359" s="2">
        <v>43021</v>
      </c>
      <c r="E359">
        <v>1.01</v>
      </c>
      <c r="F359" s="2">
        <v>43147</v>
      </c>
      <c r="G359">
        <v>1.89</v>
      </c>
      <c r="H359" s="3">
        <v>0.87129999999999996</v>
      </c>
      <c r="I359">
        <v>106875.51</v>
      </c>
      <c r="J359" s="3">
        <v>0.86839999999999995</v>
      </c>
      <c r="K359">
        <v>121851</v>
      </c>
    </row>
    <row r="360" spans="1:11" x14ac:dyDescent="0.25">
      <c r="A360" t="s">
        <v>222</v>
      </c>
      <c r="B360" t="s">
        <v>804</v>
      </c>
      <c r="C360" t="s">
        <v>1232</v>
      </c>
      <c r="D360" s="2">
        <v>43021</v>
      </c>
      <c r="E360">
        <v>6.7672509999999999</v>
      </c>
      <c r="F360" s="2">
        <v>43147</v>
      </c>
      <c r="G360">
        <v>7.6695500000000001</v>
      </c>
      <c r="H360" s="3">
        <v>0.1333</v>
      </c>
      <c r="I360">
        <v>16147.55</v>
      </c>
      <c r="J360" s="3">
        <v>0.13120000000000001</v>
      </c>
      <c r="K360">
        <v>18187</v>
      </c>
    </row>
    <row r="361" spans="1:11" x14ac:dyDescent="0.25">
      <c r="A361" t="s">
        <v>77</v>
      </c>
      <c r="B361" t="s">
        <v>707</v>
      </c>
      <c r="C361" t="s">
        <v>1232</v>
      </c>
      <c r="D361" s="2">
        <v>42986</v>
      </c>
      <c r="E361">
        <v>4.0140940000000001</v>
      </c>
      <c r="F361" s="2">
        <v>43147</v>
      </c>
      <c r="G361">
        <v>7.2202109999999999</v>
      </c>
      <c r="H361" s="3">
        <v>0.79869999999999997</v>
      </c>
      <c r="I361">
        <v>93229.9</v>
      </c>
      <c r="J361" s="3">
        <v>0.79590000000000005</v>
      </c>
      <c r="K361">
        <v>29181</v>
      </c>
    </row>
    <row r="362" spans="1:11" x14ac:dyDescent="0.25">
      <c r="A362" t="s">
        <v>432</v>
      </c>
      <c r="B362" t="s">
        <v>870</v>
      </c>
      <c r="C362" t="s">
        <v>1232</v>
      </c>
      <c r="D362" s="2">
        <v>42972</v>
      </c>
      <c r="E362">
        <v>0.78670600000000002</v>
      </c>
      <c r="F362" s="2">
        <v>43140</v>
      </c>
      <c r="G362">
        <v>0.89031640000000001</v>
      </c>
      <c r="H362" s="3">
        <v>0.13170000000000001</v>
      </c>
      <c r="I362">
        <v>15137.62</v>
      </c>
      <c r="J362" s="3">
        <v>0.12959999999999999</v>
      </c>
      <c r="K362">
        <v>148505</v>
      </c>
    </row>
    <row r="363" spans="1:11" x14ac:dyDescent="0.25">
      <c r="A363" t="s">
        <v>70</v>
      </c>
      <c r="B363" t="s">
        <v>891</v>
      </c>
      <c r="C363" t="s">
        <v>1232</v>
      </c>
      <c r="D363" s="2">
        <v>43021</v>
      </c>
      <c r="E363">
        <v>0.66927939999999997</v>
      </c>
      <c r="F363" s="2">
        <v>43098</v>
      </c>
      <c r="G363">
        <v>0.98190330000000003</v>
      </c>
      <c r="H363" s="3">
        <v>0.46710000000000002</v>
      </c>
      <c r="I363">
        <v>57177.62</v>
      </c>
      <c r="J363" s="3">
        <v>0.46460000000000001</v>
      </c>
      <c r="K363">
        <v>183867</v>
      </c>
    </row>
    <row r="364" spans="1:11" x14ac:dyDescent="0.25">
      <c r="A364" t="s">
        <v>408</v>
      </c>
      <c r="B364" t="s">
        <v>773</v>
      </c>
      <c r="C364" t="s">
        <v>1232</v>
      </c>
      <c r="D364" s="2">
        <v>42985</v>
      </c>
      <c r="E364">
        <v>1.5570900000000001</v>
      </c>
      <c r="F364" s="2">
        <v>43091</v>
      </c>
      <c r="G364">
        <v>1.260783</v>
      </c>
      <c r="H364" s="3">
        <v>-0.1903</v>
      </c>
      <c r="I364">
        <v>-22518.12</v>
      </c>
      <c r="J364" s="3">
        <v>-0.19209999999999999</v>
      </c>
      <c r="K364">
        <v>75280</v>
      </c>
    </row>
    <row r="365" spans="1:11" x14ac:dyDescent="0.25">
      <c r="A365" t="s">
        <v>268</v>
      </c>
      <c r="B365" t="s">
        <v>892</v>
      </c>
      <c r="C365" t="s">
        <v>1232</v>
      </c>
      <c r="D365" s="2">
        <v>42972</v>
      </c>
      <c r="E365">
        <v>5.1027149999999999</v>
      </c>
      <c r="F365" s="2">
        <v>43091</v>
      </c>
      <c r="G365">
        <v>4.2915320000000001</v>
      </c>
      <c r="H365" s="3">
        <v>-0.159</v>
      </c>
      <c r="I365">
        <v>-18792.86</v>
      </c>
      <c r="J365" s="3">
        <v>-0.1608</v>
      </c>
      <c r="K365">
        <v>22902</v>
      </c>
    </row>
    <row r="366" spans="1:11" x14ac:dyDescent="0.25">
      <c r="A366" t="s">
        <v>160</v>
      </c>
      <c r="B366" t="s">
        <v>714</v>
      </c>
      <c r="C366" t="s">
        <v>1232</v>
      </c>
      <c r="D366" s="2">
        <v>42706</v>
      </c>
      <c r="E366">
        <v>1.413602</v>
      </c>
      <c r="F366" s="2">
        <v>43084</v>
      </c>
      <c r="G366">
        <v>1.6608080000000001</v>
      </c>
      <c r="H366" s="3">
        <v>0.1749</v>
      </c>
      <c r="I366">
        <v>20305.89</v>
      </c>
      <c r="J366" s="3">
        <v>0.17269999999999999</v>
      </c>
      <c r="K366">
        <v>83176</v>
      </c>
    </row>
    <row r="367" spans="1:11" x14ac:dyDescent="0.25">
      <c r="A367" t="s">
        <v>269</v>
      </c>
      <c r="B367" t="s">
        <v>893</v>
      </c>
      <c r="C367" t="s">
        <v>1232</v>
      </c>
      <c r="D367" s="2">
        <v>42972</v>
      </c>
      <c r="E367">
        <v>0.54582269999999999</v>
      </c>
      <c r="F367" s="2">
        <v>43014</v>
      </c>
      <c r="G367">
        <v>0.40702769999999999</v>
      </c>
      <c r="H367" s="3">
        <v>-0.25430000000000003</v>
      </c>
      <c r="I367">
        <v>-29926.44</v>
      </c>
      <c r="J367" s="3">
        <v>-0.25600000000000001</v>
      </c>
      <c r="K367">
        <v>214146</v>
      </c>
    </row>
    <row r="368" spans="1:11" x14ac:dyDescent="0.25">
      <c r="A368" t="s">
        <v>102</v>
      </c>
      <c r="B368" t="s">
        <v>777</v>
      </c>
      <c r="C368" t="s">
        <v>1232</v>
      </c>
      <c r="D368" s="2">
        <v>42972</v>
      </c>
      <c r="E368">
        <v>0.72003249999999996</v>
      </c>
      <c r="F368" s="2">
        <v>43007</v>
      </c>
      <c r="G368">
        <v>0.85595690000000002</v>
      </c>
      <c r="H368" s="3">
        <v>0.1888</v>
      </c>
      <c r="I368">
        <v>21807.18</v>
      </c>
      <c r="J368" s="3">
        <v>0.18659999999999999</v>
      </c>
      <c r="K368">
        <v>162318</v>
      </c>
    </row>
    <row r="369" spans="1:11" x14ac:dyDescent="0.25">
      <c r="A369" t="s">
        <v>270</v>
      </c>
      <c r="B369" t="s">
        <v>894</v>
      </c>
      <c r="C369" t="s">
        <v>1232</v>
      </c>
      <c r="D369" s="2">
        <v>42832</v>
      </c>
      <c r="E369">
        <v>2.355172</v>
      </c>
      <c r="F369" s="2">
        <v>43007</v>
      </c>
      <c r="G369">
        <v>2.5722710000000002</v>
      </c>
      <c r="H369" s="3">
        <v>9.2200000000000004E-2</v>
      </c>
      <c r="I369">
        <v>10473.42</v>
      </c>
      <c r="J369" s="3">
        <v>9.01E-2</v>
      </c>
      <c r="K369">
        <v>49363</v>
      </c>
    </row>
    <row r="370" spans="1:11" x14ac:dyDescent="0.25">
      <c r="A370" t="s">
        <v>53</v>
      </c>
      <c r="B370" t="s">
        <v>895</v>
      </c>
      <c r="C370" t="s">
        <v>1232</v>
      </c>
      <c r="D370" s="2">
        <v>42790</v>
      </c>
      <c r="E370">
        <v>13.213190000000001</v>
      </c>
      <c r="F370" s="2">
        <v>43007</v>
      </c>
      <c r="G370">
        <v>13.257820000000001</v>
      </c>
      <c r="H370" s="3">
        <v>3.3999999999999998E-3</v>
      </c>
      <c r="I370">
        <v>166.9</v>
      </c>
      <c r="J370" s="3">
        <v>1.4E-3</v>
      </c>
      <c r="K370">
        <v>9191</v>
      </c>
    </row>
    <row r="371" spans="1:11" x14ac:dyDescent="0.25">
      <c r="A371" t="s">
        <v>97</v>
      </c>
      <c r="B371" t="s">
        <v>896</v>
      </c>
      <c r="C371" t="s">
        <v>1232</v>
      </c>
      <c r="D371" s="2">
        <v>42986</v>
      </c>
      <c r="E371">
        <v>1.7753399999999999</v>
      </c>
      <c r="F371" s="2">
        <v>43007</v>
      </c>
      <c r="G371">
        <v>1.8246549999999999</v>
      </c>
      <c r="H371" s="3">
        <v>2.7799999999999998E-2</v>
      </c>
      <c r="I371">
        <v>3016.55</v>
      </c>
      <c r="J371" s="3">
        <v>2.5700000000000001E-2</v>
      </c>
      <c r="K371">
        <v>65986</v>
      </c>
    </row>
    <row r="372" spans="1:11" x14ac:dyDescent="0.25">
      <c r="A372" t="s">
        <v>445</v>
      </c>
      <c r="B372" t="s">
        <v>897</v>
      </c>
      <c r="C372" t="s">
        <v>1232</v>
      </c>
      <c r="D372" s="2">
        <v>42972</v>
      </c>
      <c r="E372">
        <v>1.26</v>
      </c>
      <c r="F372" s="2">
        <v>43000</v>
      </c>
      <c r="G372">
        <v>1.25</v>
      </c>
      <c r="H372" s="3">
        <v>-7.9000000000000008E-3</v>
      </c>
      <c r="I372">
        <v>-1160.6199999999999</v>
      </c>
      <c r="J372" s="3">
        <v>-9.9000000000000008E-3</v>
      </c>
      <c r="K372">
        <v>92775</v>
      </c>
    </row>
    <row r="373" spans="1:11" x14ac:dyDescent="0.25">
      <c r="A373" t="s">
        <v>108</v>
      </c>
      <c r="B373" t="s">
        <v>731</v>
      </c>
      <c r="C373" t="s">
        <v>1232</v>
      </c>
      <c r="D373" s="2">
        <v>42832</v>
      </c>
      <c r="E373">
        <v>1.026375</v>
      </c>
      <c r="F373" s="2">
        <v>42986</v>
      </c>
      <c r="G373">
        <v>1.0298860000000001</v>
      </c>
      <c r="H373" s="3">
        <v>3.3999999999999998E-3</v>
      </c>
      <c r="I373">
        <v>164.8</v>
      </c>
      <c r="J373" s="3">
        <v>1.4E-3</v>
      </c>
      <c r="K373">
        <v>113282</v>
      </c>
    </row>
    <row r="374" spans="1:11" x14ac:dyDescent="0.25">
      <c r="A374" t="s">
        <v>446</v>
      </c>
      <c r="B374" t="s">
        <v>898</v>
      </c>
      <c r="C374" t="s">
        <v>1232</v>
      </c>
      <c r="D374" s="2">
        <v>42818</v>
      </c>
      <c r="E374">
        <v>1.547067</v>
      </c>
      <c r="F374" s="2">
        <v>42985</v>
      </c>
      <c r="G374">
        <v>1.6932830000000001</v>
      </c>
      <c r="H374" s="3">
        <v>9.4500000000000001E-2</v>
      </c>
      <c r="I374">
        <v>10824.83</v>
      </c>
      <c r="J374" s="3">
        <v>9.2399999999999996E-2</v>
      </c>
      <c r="K374">
        <v>75711</v>
      </c>
    </row>
    <row r="375" spans="1:11" x14ac:dyDescent="0.25">
      <c r="A375" t="s">
        <v>415</v>
      </c>
      <c r="B375" t="s">
        <v>810</v>
      </c>
      <c r="C375" t="s">
        <v>1232</v>
      </c>
      <c r="D375" s="2">
        <v>42860</v>
      </c>
      <c r="E375">
        <v>4.9583339999999998</v>
      </c>
      <c r="F375" s="2">
        <v>42951</v>
      </c>
      <c r="G375">
        <v>4.8013669999999999</v>
      </c>
      <c r="H375" s="3">
        <v>-3.1699999999999999E-2</v>
      </c>
      <c r="I375">
        <v>-3951.26</v>
      </c>
      <c r="J375" s="3">
        <v>-3.3599999999999998E-2</v>
      </c>
      <c r="K375">
        <v>23699</v>
      </c>
    </row>
    <row r="376" spans="1:11" x14ac:dyDescent="0.25">
      <c r="A376" t="s">
        <v>271</v>
      </c>
      <c r="B376" t="s">
        <v>899</v>
      </c>
      <c r="C376" t="s">
        <v>1232</v>
      </c>
      <c r="D376" s="2">
        <v>42867</v>
      </c>
      <c r="E376">
        <v>0.54388890000000001</v>
      </c>
      <c r="F376" s="2">
        <v>42937</v>
      </c>
      <c r="G376">
        <v>0.53400000000000003</v>
      </c>
      <c r="H376" s="3">
        <v>-1.8200000000000001E-2</v>
      </c>
      <c r="I376">
        <v>-2344.25</v>
      </c>
      <c r="J376" s="3">
        <v>-2.0199999999999999E-2</v>
      </c>
      <c r="K376">
        <v>213759</v>
      </c>
    </row>
    <row r="377" spans="1:11" x14ac:dyDescent="0.25">
      <c r="A377" t="s">
        <v>447</v>
      </c>
      <c r="B377" t="s">
        <v>900</v>
      </c>
      <c r="C377" t="s">
        <v>1232</v>
      </c>
      <c r="D377" s="2">
        <v>42797</v>
      </c>
      <c r="E377">
        <v>3.7477999999999998</v>
      </c>
      <c r="F377" s="2">
        <v>42916</v>
      </c>
      <c r="G377">
        <v>3.646655</v>
      </c>
      <c r="H377" s="3">
        <v>-2.7E-2</v>
      </c>
      <c r="I377">
        <v>-3464.8</v>
      </c>
      <c r="J377" s="3">
        <v>-2.9000000000000001E-2</v>
      </c>
      <c r="K377">
        <v>31922</v>
      </c>
    </row>
    <row r="378" spans="1:11" x14ac:dyDescent="0.25">
      <c r="A378" t="s">
        <v>448</v>
      </c>
      <c r="B378" t="s">
        <v>901</v>
      </c>
      <c r="C378" t="s">
        <v>1232</v>
      </c>
      <c r="D378" s="2">
        <v>42825</v>
      </c>
      <c r="E378">
        <v>2.0699999999999998</v>
      </c>
      <c r="F378" s="2">
        <v>42902</v>
      </c>
      <c r="G378">
        <v>2.2599999999999998</v>
      </c>
      <c r="H378" s="3">
        <v>9.1800000000000007E-2</v>
      </c>
      <c r="I378">
        <v>10336.99</v>
      </c>
      <c r="J378" s="3">
        <v>8.9700000000000002E-2</v>
      </c>
      <c r="K378">
        <v>55674</v>
      </c>
    </row>
    <row r="379" spans="1:11" x14ac:dyDescent="0.25">
      <c r="A379" t="s">
        <v>205</v>
      </c>
      <c r="B379" t="s">
        <v>776</v>
      </c>
      <c r="C379" t="s">
        <v>1232</v>
      </c>
      <c r="D379" s="2">
        <v>42727</v>
      </c>
      <c r="E379">
        <v>2.965789</v>
      </c>
      <c r="F379" s="2">
        <v>42895</v>
      </c>
      <c r="G379">
        <v>2.9325450000000002</v>
      </c>
      <c r="H379" s="3">
        <v>-1.12E-2</v>
      </c>
      <c r="I379">
        <v>-1546.04</v>
      </c>
      <c r="J379" s="3">
        <v>-1.32E-2</v>
      </c>
      <c r="K379">
        <v>39498</v>
      </c>
    </row>
    <row r="380" spans="1:11" x14ac:dyDescent="0.25">
      <c r="A380" t="s">
        <v>135</v>
      </c>
      <c r="B380" t="s">
        <v>687</v>
      </c>
      <c r="C380" t="s">
        <v>1232</v>
      </c>
      <c r="D380" s="2">
        <v>41872</v>
      </c>
      <c r="E380">
        <v>1.6392040000000001</v>
      </c>
      <c r="F380" s="2">
        <v>42888</v>
      </c>
      <c r="G380">
        <v>3.910965</v>
      </c>
      <c r="H380" s="3">
        <v>1.3858999999999999</v>
      </c>
      <c r="I380">
        <v>121539.15</v>
      </c>
      <c r="J380" s="3">
        <v>1.3825000000000001</v>
      </c>
      <c r="K380">
        <v>53631</v>
      </c>
    </row>
    <row r="381" spans="1:11" x14ac:dyDescent="0.25">
      <c r="A381" t="s">
        <v>272</v>
      </c>
      <c r="B381" t="s">
        <v>902</v>
      </c>
      <c r="C381" t="s">
        <v>1232</v>
      </c>
      <c r="D381" s="2">
        <v>42440</v>
      </c>
      <c r="E381">
        <v>2.9296859999999998</v>
      </c>
      <c r="F381" s="2">
        <v>42881</v>
      </c>
      <c r="G381">
        <v>4.2688160000000002</v>
      </c>
      <c r="H381" s="3">
        <v>0.45710000000000001</v>
      </c>
      <c r="I381">
        <v>43206.53</v>
      </c>
      <c r="J381" s="3">
        <v>0.4546</v>
      </c>
      <c r="K381">
        <v>32439</v>
      </c>
    </row>
    <row r="382" spans="1:11" x14ac:dyDescent="0.25">
      <c r="A382" t="s">
        <v>97</v>
      </c>
      <c r="B382" t="s">
        <v>896</v>
      </c>
      <c r="C382" t="s">
        <v>1232</v>
      </c>
      <c r="D382" s="2">
        <v>42748</v>
      </c>
      <c r="E382">
        <v>0.81862900000000005</v>
      </c>
      <c r="F382" s="2">
        <v>42874</v>
      </c>
      <c r="G382">
        <v>0.78903999999999996</v>
      </c>
      <c r="H382" s="3">
        <v>-3.61E-2</v>
      </c>
      <c r="I382">
        <v>-4568.66</v>
      </c>
      <c r="J382" s="3">
        <v>-3.8100000000000002E-2</v>
      </c>
      <c r="K382">
        <v>146447</v>
      </c>
    </row>
    <row r="383" spans="1:11" x14ac:dyDescent="0.25">
      <c r="A383" t="s">
        <v>412</v>
      </c>
      <c r="B383" t="s">
        <v>795</v>
      </c>
      <c r="C383" t="s">
        <v>1232</v>
      </c>
      <c r="D383" s="2">
        <v>42748</v>
      </c>
      <c r="E383">
        <v>2.2752659999999998</v>
      </c>
      <c r="F383" s="2">
        <v>42867</v>
      </c>
      <c r="G383">
        <v>2.1615030000000002</v>
      </c>
      <c r="H383" s="3">
        <v>-0.05</v>
      </c>
      <c r="I383">
        <v>-6227.35</v>
      </c>
      <c r="J383" s="3">
        <v>-5.1900000000000002E-2</v>
      </c>
      <c r="K383">
        <v>52685</v>
      </c>
    </row>
    <row r="384" spans="1:11" x14ac:dyDescent="0.25">
      <c r="A384" t="s">
        <v>273</v>
      </c>
      <c r="B384" t="s">
        <v>903</v>
      </c>
      <c r="C384" t="s">
        <v>1232</v>
      </c>
      <c r="D384" s="2">
        <v>42748</v>
      </c>
      <c r="E384">
        <v>0.65487899999999999</v>
      </c>
      <c r="F384" s="2">
        <v>42860</v>
      </c>
      <c r="G384">
        <v>0.484041</v>
      </c>
      <c r="H384" s="3">
        <v>-0.26090000000000002</v>
      </c>
      <c r="I384">
        <v>-31476.94</v>
      </c>
      <c r="J384" s="3">
        <v>-0.2626</v>
      </c>
      <c r="K384">
        <v>183030</v>
      </c>
    </row>
    <row r="385" spans="1:11" x14ac:dyDescent="0.25">
      <c r="A385" t="s">
        <v>435</v>
      </c>
      <c r="B385" t="s">
        <v>878</v>
      </c>
      <c r="C385" t="s">
        <v>1232</v>
      </c>
      <c r="D385" s="2">
        <v>42748</v>
      </c>
      <c r="E385">
        <v>0.73</v>
      </c>
      <c r="F385" s="2">
        <v>42853</v>
      </c>
      <c r="G385">
        <v>0.49</v>
      </c>
      <c r="H385" s="3">
        <v>-0.32879999999999998</v>
      </c>
      <c r="I385">
        <v>-39618.46</v>
      </c>
      <c r="J385" s="3">
        <v>-0.33040000000000003</v>
      </c>
      <c r="K385">
        <v>164242</v>
      </c>
    </row>
    <row r="386" spans="1:11" x14ac:dyDescent="0.25">
      <c r="A386" t="s">
        <v>449</v>
      </c>
      <c r="B386" t="s">
        <v>904</v>
      </c>
      <c r="C386" t="s">
        <v>1232</v>
      </c>
      <c r="D386" s="2">
        <v>42657</v>
      </c>
      <c r="E386">
        <v>3.22</v>
      </c>
      <c r="F386" s="2">
        <v>42832</v>
      </c>
      <c r="G386">
        <v>3.25</v>
      </c>
      <c r="H386" s="3">
        <v>9.2999999999999992E-3</v>
      </c>
      <c r="I386">
        <v>899.93</v>
      </c>
      <c r="J386" s="3">
        <v>7.3000000000000001E-3</v>
      </c>
      <c r="K386">
        <v>38246</v>
      </c>
    </row>
    <row r="387" spans="1:11" x14ac:dyDescent="0.25">
      <c r="A387" t="s">
        <v>450</v>
      </c>
      <c r="B387" t="s">
        <v>905</v>
      </c>
      <c r="C387" t="s">
        <v>1232</v>
      </c>
      <c r="D387" s="2">
        <v>42727</v>
      </c>
      <c r="E387">
        <v>1.8609</v>
      </c>
      <c r="F387" s="2">
        <v>42828</v>
      </c>
      <c r="G387">
        <v>1.8998710000000001</v>
      </c>
      <c r="H387" s="3">
        <v>2.0899999999999998E-2</v>
      </c>
      <c r="I387">
        <v>2216.0300000000002</v>
      </c>
      <c r="J387" s="3">
        <v>1.89E-2</v>
      </c>
      <c r="K387">
        <v>62937</v>
      </c>
    </row>
    <row r="388" spans="1:11" x14ac:dyDescent="0.25">
      <c r="A388" t="s">
        <v>268</v>
      </c>
      <c r="B388" t="s">
        <v>892</v>
      </c>
      <c r="C388" t="s">
        <v>1232</v>
      </c>
      <c r="D388" s="2">
        <v>42706</v>
      </c>
      <c r="E388">
        <v>4.5533970000000004</v>
      </c>
      <c r="F388" s="2">
        <v>42825</v>
      </c>
      <c r="G388">
        <v>4.267684</v>
      </c>
      <c r="H388" s="3">
        <v>-6.2700000000000006E-2</v>
      </c>
      <c r="I388">
        <v>-7603.99</v>
      </c>
      <c r="J388" s="3">
        <v>-6.4699999999999994E-2</v>
      </c>
      <c r="K388">
        <v>25817</v>
      </c>
    </row>
    <row r="389" spans="1:11" x14ac:dyDescent="0.25">
      <c r="A389" t="s">
        <v>76</v>
      </c>
      <c r="B389" t="s">
        <v>906</v>
      </c>
      <c r="C389" t="s">
        <v>1232</v>
      </c>
      <c r="D389" s="2">
        <v>42769</v>
      </c>
      <c r="E389">
        <v>2.7733989999999999</v>
      </c>
      <c r="F389" s="2">
        <v>42811</v>
      </c>
      <c r="G389">
        <v>2.5118870000000002</v>
      </c>
      <c r="H389" s="3">
        <v>-9.4299999999999995E-2</v>
      </c>
      <c r="I389">
        <v>-11240.97</v>
      </c>
      <c r="J389" s="3">
        <v>-9.6199999999999994E-2</v>
      </c>
      <c r="K389">
        <v>42133</v>
      </c>
    </row>
    <row r="390" spans="1:11" x14ac:dyDescent="0.25">
      <c r="A390" t="s">
        <v>451</v>
      </c>
      <c r="B390" t="s">
        <v>907</v>
      </c>
      <c r="C390" t="s">
        <v>1232</v>
      </c>
      <c r="D390" s="2">
        <v>42727</v>
      </c>
      <c r="E390">
        <v>1.0197719999999999</v>
      </c>
      <c r="F390" s="2">
        <v>42797</v>
      </c>
      <c r="G390">
        <v>0.91697269999999997</v>
      </c>
      <c r="H390" s="3">
        <v>-0.1008</v>
      </c>
      <c r="I390">
        <v>-12029.98</v>
      </c>
      <c r="J390" s="3">
        <v>-0.1027</v>
      </c>
      <c r="K390">
        <v>114860</v>
      </c>
    </row>
    <row r="391" spans="1:11" x14ac:dyDescent="0.25">
      <c r="A391" t="s">
        <v>452</v>
      </c>
      <c r="B391" t="s">
        <v>908</v>
      </c>
      <c r="C391" t="s">
        <v>1232</v>
      </c>
      <c r="D391" s="2">
        <v>42713</v>
      </c>
      <c r="E391">
        <v>1.8138000000000001</v>
      </c>
      <c r="F391" s="2">
        <v>42790</v>
      </c>
      <c r="G391">
        <v>1.26966</v>
      </c>
      <c r="H391" s="3">
        <v>-0.3</v>
      </c>
      <c r="I391">
        <v>-35039.269999999997</v>
      </c>
      <c r="J391" s="3">
        <v>-0.30170000000000002</v>
      </c>
      <c r="K391">
        <v>64031</v>
      </c>
    </row>
    <row r="392" spans="1:11" x14ac:dyDescent="0.25">
      <c r="A392" t="s">
        <v>274</v>
      </c>
      <c r="B392" t="s">
        <v>909</v>
      </c>
      <c r="C392" t="s">
        <v>1232</v>
      </c>
      <c r="D392" s="2">
        <v>42706</v>
      </c>
      <c r="E392">
        <v>5.4376379999999997</v>
      </c>
      <c r="F392" s="2">
        <v>42790</v>
      </c>
      <c r="G392">
        <v>4.4836660000000004</v>
      </c>
      <c r="H392" s="3">
        <v>-0.1754</v>
      </c>
      <c r="I392">
        <v>-20839.37</v>
      </c>
      <c r="J392" s="3">
        <v>-0.17730000000000001</v>
      </c>
      <c r="K392">
        <v>21620</v>
      </c>
    </row>
    <row r="393" spans="1:11" x14ac:dyDescent="0.25">
      <c r="A393" t="s">
        <v>61</v>
      </c>
      <c r="B393" t="s">
        <v>910</v>
      </c>
      <c r="C393" t="s">
        <v>1232</v>
      </c>
      <c r="D393" s="2">
        <v>42650</v>
      </c>
      <c r="E393">
        <v>5.683141</v>
      </c>
      <c r="F393" s="2">
        <v>42769</v>
      </c>
      <c r="G393">
        <v>5.0342010000000004</v>
      </c>
      <c r="H393" s="3">
        <v>-0.1142</v>
      </c>
      <c r="I393">
        <v>-14369.32</v>
      </c>
      <c r="J393" s="3">
        <v>-0.11609999999999999</v>
      </c>
      <c r="K393">
        <v>21783</v>
      </c>
    </row>
    <row r="394" spans="1:11" x14ac:dyDescent="0.25">
      <c r="A394" t="s">
        <v>256</v>
      </c>
      <c r="B394" t="s">
        <v>859</v>
      </c>
      <c r="C394" t="s">
        <v>1232</v>
      </c>
      <c r="D394" s="2">
        <v>41199</v>
      </c>
      <c r="E394">
        <v>0.57388989999999995</v>
      </c>
      <c r="F394" s="2">
        <v>42713</v>
      </c>
      <c r="G394">
        <v>1.4865159999999999</v>
      </c>
      <c r="H394" s="3">
        <v>1.5902000000000001</v>
      </c>
      <c r="I394">
        <v>88816.58</v>
      </c>
      <c r="J394" s="3">
        <v>1.5867</v>
      </c>
      <c r="K394">
        <v>97540</v>
      </c>
    </row>
    <row r="395" spans="1:11" x14ac:dyDescent="0.25">
      <c r="A395" t="s">
        <v>275</v>
      </c>
      <c r="B395" t="s">
        <v>911</v>
      </c>
      <c r="C395" t="s">
        <v>1232</v>
      </c>
      <c r="D395" s="2">
        <v>42440</v>
      </c>
      <c r="E395">
        <v>1.142042</v>
      </c>
      <c r="F395" s="2">
        <v>42706</v>
      </c>
      <c r="G395">
        <v>1.243188</v>
      </c>
      <c r="H395" s="3">
        <v>8.8599999999999998E-2</v>
      </c>
      <c r="I395">
        <v>8220.9500000000007</v>
      </c>
      <c r="J395" s="3">
        <v>8.6499999999999994E-2</v>
      </c>
      <c r="K395">
        <v>83241</v>
      </c>
    </row>
    <row r="396" spans="1:11" x14ac:dyDescent="0.25">
      <c r="A396" t="s">
        <v>59</v>
      </c>
      <c r="B396" t="s">
        <v>854</v>
      </c>
      <c r="C396" t="s">
        <v>1232</v>
      </c>
      <c r="D396" s="2">
        <v>42643</v>
      </c>
      <c r="E396">
        <v>3</v>
      </c>
      <c r="F396" s="2">
        <v>42699</v>
      </c>
      <c r="G396">
        <v>2.25</v>
      </c>
      <c r="H396" s="3">
        <v>-0.25</v>
      </c>
      <c r="I396">
        <v>-30733.39</v>
      </c>
      <c r="J396" s="3">
        <v>-0.25180000000000002</v>
      </c>
      <c r="K396">
        <v>40693</v>
      </c>
    </row>
    <row r="397" spans="1:11" x14ac:dyDescent="0.25">
      <c r="A397" t="s">
        <v>453</v>
      </c>
      <c r="B397" t="s">
        <v>912</v>
      </c>
      <c r="C397" t="s">
        <v>1232</v>
      </c>
      <c r="D397" s="2">
        <v>42482</v>
      </c>
      <c r="E397">
        <v>1.149513</v>
      </c>
      <c r="F397" s="2">
        <v>42699</v>
      </c>
      <c r="G397">
        <v>1.845116</v>
      </c>
      <c r="H397" s="3">
        <v>0.60509999999999997</v>
      </c>
      <c r="I397">
        <v>57106.34</v>
      </c>
      <c r="J397" s="3">
        <v>0.60250000000000004</v>
      </c>
      <c r="K397">
        <v>82451</v>
      </c>
    </row>
    <row r="398" spans="1:11" x14ac:dyDescent="0.25">
      <c r="A398" t="s">
        <v>452</v>
      </c>
      <c r="B398" t="s">
        <v>908</v>
      </c>
      <c r="C398" t="s">
        <v>1232</v>
      </c>
      <c r="D398" s="2">
        <v>42657</v>
      </c>
      <c r="E398">
        <v>1.63242</v>
      </c>
      <c r="F398" s="2">
        <v>42685</v>
      </c>
      <c r="G398">
        <v>1.4510400000000001</v>
      </c>
      <c r="H398" s="3">
        <v>-0.1111</v>
      </c>
      <c r="I398">
        <v>-13914.82</v>
      </c>
      <c r="J398" s="3">
        <v>-0.113</v>
      </c>
      <c r="K398">
        <v>75434</v>
      </c>
    </row>
    <row r="399" spans="1:11" x14ac:dyDescent="0.25">
      <c r="A399" t="s">
        <v>118</v>
      </c>
      <c r="B399" t="s">
        <v>355</v>
      </c>
      <c r="C399" t="s">
        <v>1232</v>
      </c>
      <c r="D399" s="2">
        <v>42559</v>
      </c>
      <c r="E399">
        <v>0.69382949999999999</v>
      </c>
      <c r="F399" s="2">
        <v>42685</v>
      </c>
      <c r="G399">
        <v>0.98232759999999997</v>
      </c>
      <c r="H399" s="3">
        <v>0.4158</v>
      </c>
      <c r="I399">
        <v>43748.95</v>
      </c>
      <c r="J399" s="3">
        <v>0.41339999999999999</v>
      </c>
      <c r="K399">
        <v>152530</v>
      </c>
    </row>
    <row r="400" spans="1:11" x14ac:dyDescent="0.25">
      <c r="A400" t="s">
        <v>408</v>
      </c>
      <c r="B400" t="s">
        <v>773</v>
      </c>
      <c r="C400" t="s">
        <v>1232</v>
      </c>
      <c r="D400" s="2">
        <v>42559</v>
      </c>
      <c r="E400">
        <v>0.99305089999999996</v>
      </c>
      <c r="F400" s="2">
        <v>42685</v>
      </c>
      <c r="G400">
        <v>1.1530050000000001</v>
      </c>
      <c r="H400" s="3">
        <v>0.16109999999999999</v>
      </c>
      <c r="I400">
        <v>16820.759999999998</v>
      </c>
      <c r="J400" s="3">
        <v>0.15890000000000001</v>
      </c>
      <c r="K400">
        <v>106590</v>
      </c>
    </row>
    <row r="401" spans="1:11" x14ac:dyDescent="0.25">
      <c r="A401" t="s">
        <v>151</v>
      </c>
      <c r="B401" t="s">
        <v>704</v>
      </c>
      <c r="C401" t="s">
        <v>1232</v>
      </c>
      <c r="D401" s="2">
        <v>42440</v>
      </c>
      <c r="E401">
        <v>0.48747859999999998</v>
      </c>
      <c r="F401" s="2">
        <v>42685</v>
      </c>
      <c r="G401">
        <v>0.89357220000000004</v>
      </c>
      <c r="H401" s="3">
        <v>0.83299999999999996</v>
      </c>
      <c r="I401">
        <v>78879.289999999994</v>
      </c>
      <c r="J401" s="3">
        <v>0.83020000000000005</v>
      </c>
      <c r="K401">
        <v>194902</v>
      </c>
    </row>
    <row r="402" spans="1:11" x14ac:dyDescent="0.25">
      <c r="A402" t="s">
        <v>407</v>
      </c>
      <c r="B402" t="s">
        <v>771</v>
      </c>
      <c r="C402" t="s">
        <v>1232</v>
      </c>
      <c r="D402" s="2">
        <v>42650</v>
      </c>
      <c r="E402">
        <v>0.65</v>
      </c>
      <c r="F402" s="2">
        <v>42678</v>
      </c>
      <c r="G402">
        <v>0.8</v>
      </c>
      <c r="H402" s="3">
        <v>0.23080000000000001</v>
      </c>
      <c r="I402">
        <v>28295.66</v>
      </c>
      <c r="J402" s="3">
        <v>0.22850000000000001</v>
      </c>
      <c r="K402">
        <v>190479</v>
      </c>
    </row>
    <row r="403" spans="1:11" x14ac:dyDescent="0.25">
      <c r="A403" t="s">
        <v>276</v>
      </c>
      <c r="B403" t="s">
        <v>913</v>
      </c>
      <c r="C403" t="s">
        <v>1232</v>
      </c>
      <c r="D403" s="2">
        <v>42440</v>
      </c>
      <c r="E403">
        <v>1.1334979999999999</v>
      </c>
      <c r="F403" s="2">
        <v>42678</v>
      </c>
      <c r="G403">
        <v>1.285048</v>
      </c>
      <c r="H403" s="3">
        <v>0.13370000000000001</v>
      </c>
      <c r="I403">
        <v>12506.16</v>
      </c>
      <c r="J403" s="3">
        <v>0.13159999999999999</v>
      </c>
      <c r="K403">
        <v>83860</v>
      </c>
    </row>
    <row r="404" spans="1:11" x14ac:dyDescent="0.25">
      <c r="A404" t="s">
        <v>454</v>
      </c>
      <c r="B404" t="s">
        <v>914</v>
      </c>
      <c r="C404" t="s">
        <v>1232</v>
      </c>
      <c r="D404" s="2">
        <v>42510</v>
      </c>
      <c r="E404">
        <v>2.664288</v>
      </c>
      <c r="F404" s="2">
        <v>42664</v>
      </c>
      <c r="G404">
        <v>2.988534</v>
      </c>
      <c r="H404" s="3">
        <v>0.1217</v>
      </c>
      <c r="I404">
        <v>12012.56</v>
      </c>
      <c r="J404" s="3">
        <v>0.1196</v>
      </c>
      <c r="K404">
        <v>37705</v>
      </c>
    </row>
    <row r="405" spans="1:11" x14ac:dyDescent="0.25">
      <c r="A405" t="s">
        <v>455</v>
      </c>
      <c r="B405" t="s">
        <v>915</v>
      </c>
      <c r="C405" t="s">
        <v>1232</v>
      </c>
      <c r="D405" s="2">
        <v>42440</v>
      </c>
      <c r="E405">
        <v>0.64676880000000003</v>
      </c>
      <c r="F405" s="2">
        <v>42664</v>
      </c>
      <c r="G405">
        <v>0.53613730000000004</v>
      </c>
      <c r="H405" s="3">
        <v>-0.1711</v>
      </c>
      <c r="I405">
        <v>-16431.8</v>
      </c>
      <c r="J405" s="3">
        <v>-0.1729</v>
      </c>
      <c r="K405">
        <v>146956</v>
      </c>
    </row>
    <row r="406" spans="1:11" x14ac:dyDescent="0.25">
      <c r="A406" t="s">
        <v>95</v>
      </c>
      <c r="B406" t="s">
        <v>916</v>
      </c>
      <c r="C406" t="s">
        <v>1232</v>
      </c>
      <c r="D406" s="2">
        <v>42440</v>
      </c>
      <c r="E406">
        <v>0.54105320000000001</v>
      </c>
      <c r="F406" s="2">
        <v>42643</v>
      </c>
      <c r="G406">
        <v>1.8526499999999999</v>
      </c>
      <c r="H406" s="3">
        <v>2.4241999999999999</v>
      </c>
      <c r="I406">
        <v>230053.17</v>
      </c>
      <c r="J406" s="3">
        <v>2.4197000000000002</v>
      </c>
      <c r="K406">
        <v>175720</v>
      </c>
    </row>
    <row r="407" spans="1:11" x14ac:dyDescent="0.25">
      <c r="A407" t="s">
        <v>53</v>
      </c>
      <c r="B407" t="s">
        <v>895</v>
      </c>
      <c r="C407" t="s">
        <v>1232</v>
      </c>
      <c r="D407" s="2">
        <v>42369</v>
      </c>
      <c r="E407">
        <v>13.48301</v>
      </c>
      <c r="F407" s="2">
        <v>42643</v>
      </c>
      <c r="G407">
        <v>12.36285</v>
      </c>
      <c r="H407" s="3">
        <v>-8.3099999999999993E-2</v>
      </c>
      <c r="I407">
        <v>-8615.67</v>
      </c>
      <c r="J407" s="3">
        <v>-8.5000000000000006E-2</v>
      </c>
      <c r="K407">
        <v>7518</v>
      </c>
    </row>
    <row r="408" spans="1:11" x14ac:dyDescent="0.25">
      <c r="A408" t="s">
        <v>76</v>
      </c>
      <c r="B408" t="s">
        <v>906</v>
      </c>
      <c r="C408" t="s">
        <v>1232</v>
      </c>
      <c r="D408" s="2">
        <v>41950</v>
      </c>
      <c r="E408">
        <v>1.2274160000000001</v>
      </c>
      <c r="F408" s="2">
        <v>42643</v>
      </c>
      <c r="G408">
        <v>2.4499499999999999</v>
      </c>
      <c r="H408" s="3">
        <v>0.996</v>
      </c>
      <c r="I408">
        <v>85807.51</v>
      </c>
      <c r="J408" s="3">
        <v>0.99299999999999999</v>
      </c>
      <c r="K408">
        <v>70400</v>
      </c>
    </row>
    <row r="409" spans="1:11" x14ac:dyDescent="0.25">
      <c r="A409" t="s">
        <v>59</v>
      </c>
      <c r="B409" t="s">
        <v>854</v>
      </c>
      <c r="C409" t="s">
        <v>1232</v>
      </c>
      <c r="D409" s="2">
        <v>42615</v>
      </c>
      <c r="E409">
        <v>2.46</v>
      </c>
      <c r="F409" s="2">
        <v>42636</v>
      </c>
      <c r="G409">
        <v>2.4700000000000002</v>
      </c>
      <c r="H409" s="3">
        <v>4.1000000000000003E-3</v>
      </c>
      <c r="I409">
        <v>247.06</v>
      </c>
      <c r="J409" s="3">
        <v>2.0999999999999999E-3</v>
      </c>
      <c r="K409">
        <v>48729</v>
      </c>
    </row>
    <row r="410" spans="1:11" x14ac:dyDescent="0.25">
      <c r="A410" t="s">
        <v>267</v>
      </c>
      <c r="B410" t="s">
        <v>876</v>
      </c>
      <c r="C410" t="s">
        <v>1232</v>
      </c>
      <c r="D410" s="2">
        <v>42440</v>
      </c>
      <c r="E410">
        <v>2.4905059999999999</v>
      </c>
      <c r="F410" s="2">
        <v>42629</v>
      </c>
      <c r="G410">
        <v>1.58918</v>
      </c>
      <c r="H410" s="3">
        <v>-0.3619</v>
      </c>
      <c r="I410">
        <v>-34543.040000000001</v>
      </c>
      <c r="J410" s="3">
        <v>-0.36349999999999999</v>
      </c>
      <c r="K410">
        <v>38152</v>
      </c>
    </row>
    <row r="411" spans="1:11" x14ac:dyDescent="0.25">
      <c r="A411" t="s">
        <v>277</v>
      </c>
      <c r="B411" t="s">
        <v>917</v>
      </c>
      <c r="C411" t="s">
        <v>1232</v>
      </c>
      <c r="D411" s="2">
        <v>41859</v>
      </c>
      <c r="E411">
        <v>1.285436</v>
      </c>
      <c r="F411" s="2">
        <v>42614</v>
      </c>
      <c r="G411">
        <v>1.5430820000000001</v>
      </c>
      <c r="H411" s="3">
        <v>0.20039999999999999</v>
      </c>
      <c r="I411">
        <v>17165.78</v>
      </c>
      <c r="J411" s="3">
        <v>0.19819999999999999</v>
      </c>
      <c r="K411">
        <v>67365</v>
      </c>
    </row>
    <row r="412" spans="1:11" x14ac:dyDescent="0.25">
      <c r="A412" t="s">
        <v>456</v>
      </c>
      <c r="B412" t="s">
        <v>918</v>
      </c>
      <c r="C412" t="s">
        <v>1232</v>
      </c>
      <c r="D412" s="2">
        <v>42440</v>
      </c>
      <c r="E412">
        <v>0.69669250000000005</v>
      </c>
      <c r="F412" s="2">
        <v>42552</v>
      </c>
      <c r="G412">
        <v>0.74133249999999995</v>
      </c>
      <c r="H412" s="3">
        <v>6.4100000000000004E-2</v>
      </c>
      <c r="I412">
        <v>5896.12</v>
      </c>
      <c r="J412" s="3">
        <v>6.2E-2</v>
      </c>
      <c r="K412">
        <v>136478</v>
      </c>
    </row>
    <row r="413" spans="1:11" x14ac:dyDescent="0.25">
      <c r="A413" t="s">
        <v>457</v>
      </c>
      <c r="B413" t="s">
        <v>919</v>
      </c>
      <c r="C413" t="s">
        <v>1232</v>
      </c>
      <c r="D413" s="2">
        <v>42482</v>
      </c>
      <c r="E413">
        <v>2.1037499999999998</v>
      </c>
      <c r="F413" s="2">
        <v>42545</v>
      </c>
      <c r="G413">
        <v>2.3264999999999998</v>
      </c>
      <c r="H413" s="3">
        <v>0.10589999999999999</v>
      </c>
      <c r="I413">
        <v>9836.61</v>
      </c>
      <c r="J413" s="3">
        <v>0.1038</v>
      </c>
      <c r="K413">
        <v>45056</v>
      </c>
    </row>
    <row r="414" spans="1:11" x14ac:dyDescent="0.25">
      <c r="A414" t="s">
        <v>211</v>
      </c>
      <c r="B414" t="s">
        <v>788</v>
      </c>
      <c r="C414" t="s">
        <v>1232</v>
      </c>
      <c r="D414" s="2">
        <v>42482</v>
      </c>
      <c r="E414">
        <v>0.56766079999999997</v>
      </c>
      <c r="F414" s="2">
        <v>42545</v>
      </c>
      <c r="G414">
        <v>0.53729579999999999</v>
      </c>
      <c r="H414" s="3">
        <v>-5.3499999999999999E-2</v>
      </c>
      <c r="I414">
        <v>-5253.85</v>
      </c>
      <c r="J414" s="3">
        <v>-5.5399999999999998E-2</v>
      </c>
      <c r="K414">
        <v>166948</v>
      </c>
    </row>
    <row r="415" spans="1:11" x14ac:dyDescent="0.25">
      <c r="A415" t="s">
        <v>458</v>
      </c>
      <c r="B415" t="s">
        <v>920</v>
      </c>
      <c r="C415" t="s">
        <v>1232</v>
      </c>
      <c r="D415" s="2">
        <v>42440</v>
      </c>
      <c r="E415">
        <v>3.4</v>
      </c>
      <c r="F415" s="2">
        <v>42538</v>
      </c>
      <c r="G415">
        <v>2.14</v>
      </c>
      <c r="H415" s="3">
        <v>-0.37059999999999998</v>
      </c>
      <c r="I415">
        <v>-35370.58</v>
      </c>
      <c r="J415" s="3">
        <v>-0.37219999999999998</v>
      </c>
      <c r="K415">
        <v>27949</v>
      </c>
    </row>
    <row r="416" spans="1:11" x14ac:dyDescent="0.25">
      <c r="A416" t="s">
        <v>459</v>
      </c>
      <c r="B416" t="s">
        <v>921</v>
      </c>
      <c r="C416" t="s">
        <v>1232</v>
      </c>
      <c r="D416" s="2">
        <v>42440</v>
      </c>
      <c r="E416">
        <v>1.0461830000000001</v>
      </c>
      <c r="F416" s="2">
        <v>42510</v>
      </c>
      <c r="G416">
        <v>1.1921630000000001</v>
      </c>
      <c r="H416" s="3">
        <v>0.13950000000000001</v>
      </c>
      <c r="I416">
        <v>13067.7</v>
      </c>
      <c r="J416" s="3">
        <v>0.13739999999999999</v>
      </c>
      <c r="K416">
        <v>90911</v>
      </c>
    </row>
    <row r="417" spans="1:11" x14ac:dyDescent="0.25">
      <c r="A417" t="s">
        <v>460</v>
      </c>
      <c r="B417" t="s">
        <v>922</v>
      </c>
      <c r="C417" t="s">
        <v>1232</v>
      </c>
      <c r="D417" s="2">
        <v>42440</v>
      </c>
      <c r="E417">
        <v>0.94</v>
      </c>
      <c r="F417" s="2">
        <v>42468</v>
      </c>
      <c r="G417">
        <v>0.77</v>
      </c>
      <c r="H417" s="3">
        <v>-0.18090000000000001</v>
      </c>
      <c r="I417">
        <v>-17372.07</v>
      </c>
      <c r="J417" s="3">
        <v>-0.1827</v>
      </c>
      <c r="K417">
        <v>101171</v>
      </c>
    </row>
    <row r="418" spans="1:11" x14ac:dyDescent="0.25">
      <c r="A418" t="s">
        <v>85</v>
      </c>
      <c r="B418" t="s">
        <v>923</v>
      </c>
      <c r="C418" t="s">
        <v>1232</v>
      </c>
      <c r="D418" s="2">
        <v>42440</v>
      </c>
      <c r="E418">
        <v>0.75549129999999998</v>
      </c>
      <c r="F418" s="2">
        <v>42461</v>
      </c>
      <c r="G418">
        <v>0.73706470000000002</v>
      </c>
      <c r="H418" s="3">
        <v>-2.4400000000000002E-2</v>
      </c>
      <c r="I418">
        <v>-2507.1799999999998</v>
      </c>
      <c r="J418" s="3">
        <v>-2.64E-2</v>
      </c>
      <c r="K418">
        <v>125868</v>
      </c>
    </row>
    <row r="419" spans="1:11" x14ac:dyDescent="0.25">
      <c r="A419" t="s">
        <v>461</v>
      </c>
      <c r="B419" t="s">
        <v>924</v>
      </c>
      <c r="C419" t="s">
        <v>1232</v>
      </c>
      <c r="D419" s="2">
        <v>42335</v>
      </c>
      <c r="E419">
        <v>1.06</v>
      </c>
      <c r="F419" s="2">
        <v>42461</v>
      </c>
      <c r="G419">
        <v>0.91</v>
      </c>
      <c r="H419" s="3">
        <v>-0.14149999999999999</v>
      </c>
      <c r="I419">
        <v>-13982.3</v>
      </c>
      <c r="J419" s="3">
        <v>-0.1434</v>
      </c>
      <c r="K419">
        <v>92007</v>
      </c>
    </row>
    <row r="420" spans="1:11" x14ac:dyDescent="0.25">
      <c r="A420" t="s">
        <v>226</v>
      </c>
      <c r="B420" t="s">
        <v>809</v>
      </c>
      <c r="C420" t="s">
        <v>1232</v>
      </c>
      <c r="D420" s="2">
        <v>42369</v>
      </c>
      <c r="E420">
        <v>2.7697280000000002</v>
      </c>
      <c r="F420" s="2">
        <v>42419</v>
      </c>
      <c r="G420">
        <v>2.9263499999999998</v>
      </c>
      <c r="H420" s="3">
        <v>5.6500000000000002E-2</v>
      </c>
      <c r="I420">
        <v>5522.53</v>
      </c>
      <c r="J420" s="3">
        <v>5.45E-2</v>
      </c>
      <c r="K420">
        <v>36591</v>
      </c>
    </row>
    <row r="421" spans="1:11" x14ac:dyDescent="0.25">
      <c r="A421" t="s">
        <v>127</v>
      </c>
      <c r="B421" t="s">
        <v>384</v>
      </c>
      <c r="C421" t="s">
        <v>1232</v>
      </c>
      <c r="D421" s="2">
        <v>42335</v>
      </c>
      <c r="E421">
        <v>2.5855320000000002</v>
      </c>
      <c r="F421" s="2">
        <v>42419</v>
      </c>
      <c r="G421">
        <v>2.311769</v>
      </c>
      <c r="H421" s="3">
        <v>-0.10589999999999999</v>
      </c>
      <c r="I421">
        <v>-10513.02</v>
      </c>
      <c r="J421" s="3">
        <v>-0.10780000000000001</v>
      </c>
      <c r="K421">
        <v>37727</v>
      </c>
    </row>
    <row r="422" spans="1:11" x14ac:dyDescent="0.25">
      <c r="A422" t="s">
        <v>278</v>
      </c>
      <c r="B422" t="s">
        <v>925</v>
      </c>
      <c r="C422" t="s">
        <v>1232</v>
      </c>
      <c r="D422" s="2">
        <v>42223</v>
      </c>
      <c r="E422">
        <v>2.9194740000000001</v>
      </c>
      <c r="F422" s="2">
        <v>42419</v>
      </c>
      <c r="G422">
        <v>2.8422770000000002</v>
      </c>
      <c r="H422" s="3">
        <v>-2.64E-2</v>
      </c>
      <c r="I422">
        <v>-2735.48</v>
      </c>
      <c r="J422" s="3">
        <v>-2.8400000000000002E-2</v>
      </c>
      <c r="K422">
        <v>32974</v>
      </c>
    </row>
    <row r="423" spans="1:11" x14ac:dyDescent="0.25">
      <c r="A423" t="s">
        <v>268</v>
      </c>
      <c r="B423" t="s">
        <v>892</v>
      </c>
      <c r="C423" t="s">
        <v>1232</v>
      </c>
      <c r="D423" s="2">
        <v>41656</v>
      </c>
      <c r="E423">
        <v>1.3978429999999999</v>
      </c>
      <c r="F423" s="2">
        <v>42419</v>
      </c>
      <c r="G423">
        <v>3.5433870000000001</v>
      </c>
      <c r="H423" s="3">
        <v>1.5348999999999999</v>
      </c>
      <c r="I423">
        <v>121447.1</v>
      </c>
      <c r="J423" s="3">
        <v>1.5314000000000001</v>
      </c>
      <c r="K423">
        <v>56735</v>
      </c>
    </row>
    <row r="424" spans="1:11" x14ac:dyDescent="0.25">
      <c r="A424" t="s">
        <v>279</v>
      </c>
      <c r="B424" t="s">
        <v>926</v>
      </c>
      <c r="C424" t="s">
        <v>1232</v>
      </c>
      <c r="D424" s="2">
        <v>42335</v>
      </c>
      <c r="E424">
        <v>5.2424619999999997</v>
      </c>
      <c r="F424" s="2">
        <v>42412</v>
      </c>
      <c r="G424">
        <v>5.4025369999999997</v>
      </c>
      <c r="H424" s="3">
        <v>3.0499999999999999E-2</v>
      </c>
      <c r="I424">
        <v>2780.59</v>
      </c>
      <c r="J424" s="3">
        <v>2.8500000000000001E-2</v>
      </c>
      <c r="K424">
        <v>18608</v>
      </c>
    </row>
    <row r="425" spans="1:11" x14ac:dyDescent="0.25">
      <c r="A425" t="s">
        <v>462</v>
      </c>
      <c r="B425" t="s">
        <v>927</v>
      </c>
      <c r="C425" t="s">
        <v>1232</v>
      </c>
      <c r="D425" s="2">
        <v>42307</v>
      </c>
      <c r="E425">
        <v>4.71</v>
      </c>
      <c r="F425" s="2">
        <v>42412</v>
      </c>
      <c r="G425">
        <v>4.04</v>
      </c>
      <c r="H425" s="3">
        <v>-0.14230000000000001</v>
      </c>
      <c r="I425">
        <v>-14375.93</v>
      </c>
      <c r="J425" s="3">
        <v>-0.14410000000000001</v>
      </c>
      <c r="K425">
        <v>21180</v>
      </c>
    </row>
    <row r="426" spans="1:11" x14ac:dyDescent="0.25">
      <c r="A426" t="s">
        <v>463</v>
      </c>
      <c r="B426" t="s">
        <v>928</v>
      </c>
      <c r="C426" t="s">
        <v>1232</v>
      </c>
      <c r="D426" s="2">
        <v>42223</v>
      </c>
      <c r="E426">
        <v>0.88696589999999997</v>
      </c>
      <c r="F426" s="2">
        <v>42412</v>
      </c>
      <c r="G426">
        <v>1.210161</v>
      </c>
      <c r="H426" s="3">
        <v>0.3644</v>
      </c>
      <c r="I426">
        <v>34830.46</v>
      </c>
      <c r="J426" s="3">
        <v>0.36199999999999999</v>
      </c>
      <c r="K426">
        <v>108473</v>
      </c>
    </row>
    <row r="427" spans="1:11" x14ac:dyDescent="0.25">
      <c r="A427" t="s">
        <v>205</v>
      </c>
      <c r="B427" t="s">
        <v>776</v>
      </c>
      <c r="C427" t="s">
        <v>1232</v>
      </c>
      <c r="D427" s="2">
        <v>42369</v>
      </c>
      <c r="E427">
        <v>2.7226889999999999</v>
      </c>
      <c r="F427" s="2">
        <v>42405</v>
      </c>
      <c r="G427">
        <v>1.7455039999999999</v>
      </c>
      <c r="H427" s="3">
        <v>-0.3589</v>
      </c>
      <c r="I427">
        <v>-36546.949999999997</v>
      </c>
      <c r="J427" s="3">
        <v>-0.36049999999999999</v>
      </c>
      <c r="K427">
        <v>37230</v>
      </c>
    </row>
    <row r="428" spans="1:11" x14ac:dyDescent="0.25">
      <c r="A428" t="s">
        <v>464</v>
      </c>
      <c r="B428" t="s">
        <v>929</v>
      </c>
      <c r="C428" t="s">
        <v>1232</v>
      </c>
      <c r="D428" s="2">
        <v>42369</v>
      </c>
      <c r="E428">
        <v>3.150795</v>
      </c>
      <c r="F428" s="2">
        <v>42391</v>
      </c>
      <c r="G428">
        <v>2.974834</v>
      </c>
      <c r="H428" s="3">
        <v>-5.5800000000000002E-2</v>
      </c>
      <c r="I428">
        <v>-5859</v>
      </c>
      <c r="J428" s="3">
        <v>-5.7799999999999997E-2</v>
      </c>
      <c r="K428">
        <v>32177</v>
      </c>
    </row>
    <row r="429" spans="1:11" x14ac:dyDescent="0.25">
      <c r="A429" t="s">
        <v>109</v>
      </c>
      <c r="B429" t="s">
        <v>734</v>
      </c>
      <c r="C429" t="s">
        <v>1232</v>
      </c>
      <c r="D429" s="2">
        <v>42377</v>
      </c>
      <c r="E429">
        <v>1.0371900000000001</v>
      </c>
      <c r="F429" s="2">
        <v>42391</v>
      </c>
      <c r="G429">
        <v>0.89889799999999997</v>
      </c>
      <c r="H429" s="3">
        <v>-0.1333</v>
      </c>
      <c r="I429">
        <v>-13810.22</v>
      </c>
      <c r="J429" s="3">
        <v>-0.13519999999999999</v>
      </c>
      <c r="K429">
        <v>98484</v>
      </c>
    </row>
    <row r="430" spans="1:11" x14ac:dyDescent="0.25">
      <c r="A430" t="s">
        <v>280</v>
      </c>
      <c r="B430" t="s">
        <v>930</v>
      </c>
      <c r="C430" t="s">
        <v>1232</v>
      </c>
      <c r="D430" s="2">
        <v>42369</v>
      </c>
      <c r="E430">
        <v>3.802136</v>
      </c>
      <c r="F430" s="2">
        <v>42384</v>
      </c>
      <c r="G430">
        <v>3.64967</v>
      </c>
      <c r="H430" s="3">
        <v>-4.0099999999999997E-2</v>
      </c>
      <c r="I430">
        <v>-4262.93</v>
      </c>
      <c r="J430" s="3">
        <v>-4.2099999999999999E-2</v>
      </c>
      <c r="K430">
        <v>26657</v>
      </c>
    </row>
    <row r="431" spans="1:11" x14ac:dyDescent="0.25">
      <c r="A431" t="s">
        <v>411</v>
      </c>
      <c r="B431" t="s">
        <v>794</v>
      </c>
      <c r="C431" t="s">
        <v>1232</v>
      </c>
      <c r="D431" s="2">
        <v>42335</v>
      </c>
      <c r="E431">
        <v>1.637246</v>
      </c>
      <c r="F431" s="2">
        <v>42362</v>
      </c>
      <c r="G431">
        <v>1.5506610000000001</v>
      </c>
      <c r="H431" s="3">
        <v>-5.2900000000000003E-2</v>
      </c>
      <c r="I431">
        <v>-5347.05</v>
      </c>
      <c r="J431" s="3">
        <v>-5.4800000000000001E-2</v>
      </c>
      <c r="K431">
        <v>59562</v>
      </c>
    </row>
    <row r="432" spans="1:11" x14ac:dyDescent="0.25">
      <c r="A432" t="s">
        <v>465</v>
      </c>
      <c r="B432" t="s">
        <v>931</v>
      </c>
      <c r="C432" t="s">
        <v>1232</v>
      </c>
      <c r="D432" s="2">
        <v>42307</v>
      </c>
      <c r="E432">
        <v>0.92094799999999999</v>
      </c>
      <c r="F432" s="2">
        <v>42356</v>
      </c>
      <c r="G432">
        <v>0.74857799999999997</v>
      </c>
      <c r="H432" s="3">
        <v>-0.18720000000000001</v>
      </c>
      <c r="I432">
        <v>-18850.57</v>
      </c>
      <c r="J432" s="3">
        <v>-0.189</v>
      </c>
      <c r="K432">
        <v>108312</v>
      </c>
    </row>
    <row r="433" spans="1:11" x14ac:dyDescent="0.25">
      <c r="A433" t="s">
        <v>97</v>
      </c>
      <c r="B433" t="s">
        <v>896</v>
      </c>
      <c r="C433" t="s">
        <v>1232</v>
      </c>
      <c r="D433" s="2">
        <v>42342</v>
      </c>
      <c r="E433">
        <v>1.1835599999999999</v>
      </c>
      <c r="F433" s="2">
        <v>42349</v>
      </c>
      <c r="G433">
        <v>1.2328749999999999</v>
      </c>
      <c r="H433" s="3">
        <v>4.1700000000000001E-2</v>
      </c>
      <c r="I433">
        <v>3866.22</v>
      </c>
      <c r="J433" s="3">
        <v>3.9600000000000003E-2</v>
      </c>
      <c r="K433">
        <v>82438</v>
      </c>
    </row>
    <row r="434" spans="1:11" x14ac:dyDescent="0.25">
      <c r="A434" t="s">
        <v>281</v>
      </c>
      <c r="B434" t="s">
        <v>932</v>
      </c>
      <c r="C434" t="s">
        <v>1232</v>
      </c>
      <c r="D434" s="2">
        <v>42307</v>
      </c>
      <c r="E434">
        <v>8.5059769999999997</v>
      </c>
      <c r="F434" s="2">
        <v>42349</v>
      </c>
      <c r="G434">
        <v>7.8094000000000001</v>
      </c>
      <c r="H434" s="3">
        <v>-8.1900000000000001E-2</v>
      </c>
      <c r="I434">
        <v>-8362.26</v>
      </c>
      <c r="J434" s="3">
        <v>-8.3799999999999999E-2</v>
      </c>
      <c r="K434">
        <v>11730</v>
      </c>
    </row>
    <row r="435" spans="1:11" x14ac:dyDescent="0.25">
      <c r="A435" t="s">
        <v>447</v>
      </c>
      <c r="B435" t="s">
        <v>900</v>
      </c>
      <c r="C435" t="s">
        <v>1232</v>
      </c>
      <c r="D435" s="2">
        <v>42307</v>
      </c>
      <c r="E435">
        <v>4.15184</v>
      </c>
      <c r="F435" s="2">
        <v>42349</v>
      </c>
      <c r="G435">
        <v>3.4685160000000002</v>
      </c>
      <c r="H435" s="3">
        <v>-0.1646</v>
      </c>
      <c r="I435">
        <v>-16606.16</v>
      </c>
      <c r="J435" s="3">
        <v>-0.16639999999999999</v>
      </c>
      <c r="K435">
        <v>24034</v>
      </c>
    </row>
    <row r="436" spans="1:11" x14ac:dyDescent="0.25">
      <c r="A436" t="s">
        <v>441</v>
      </c>
      <c r="B436" t="s">
        <v>886</v>
      </c>
      <c r="C436" t="s">
        <v>1232</v>
      </c>
      <c r="D436" s="2">
        <v>42307</v>
      </c>
      <c r="E436">
        <v>0.84841829999999996</v>
      </c>
      <c r="F436" s="2">
        <v>42349</v>
      </c>
      <c r="G436">
        <v>0.85902350000000005</v>
      </c>
      <c r="H436" s="3">
        <v>1.2500000000000001E-2</v>
      </c>
      <c r="I436">
        <v>1046.6199999999999</v>
      </c>
      <c r="J436" s="3">
        <v>1.0500000000000001E-2</v>
      </c>
      <c r="K436">
        <v>117627</v>
      </c>
    </row>
    <row r="437" spans="1:11" x14ac:dyDescent="0.25">
      <c r="A437" t="s">
        <v>466</v>
      </c>
      <c r="B437" t="s">
        <v>933</v>
      </c>
      <c r="C437" t="s">
        <v>1232</v>
      </c>
      <c r="D437" s="2">
        <v>42335</v>
      </c>
      <c r="E437">
        <v>0.92</v>
      </c>
      <c r="F437" s="2">
        <v>42339</v>
      </c>
      <c r="G437">
        <v>0.91500000000000004</v>
      </c>
      <c r="H437" s="3">
        <v>-5.4000000000000003E-3</v>
      </c>
      <c r="I437">
        <v>-724.63</v>
      </c>
      <c r="J437" s="3">
        <v>-7.4000000000000003E-3</v>
      </c>
      <c r="K437">
        <v>106018</v>
      </c>
    </row>
    <row r="438" spans="1:11" x14ac:dyDescent="0.25">
      <c r="A438" t="s">
        <v>282</v>
      </c>
      <c r="B438" t="s">
        <v>934</v>
      </c>
      <c r="C438" t="s">
        <v>1232</v>
      </c>
      <c r="D438" s="2">
        <v>42223</v>
      </c>
      <c r="E438">
        <v>4.1735040000000003</v>
      </c>
      <c r="F438" s="2">
        <v>42328</v>
      </c>
      <c r="G438">
        <v>3.985277</v>
      </c>
      <c r="H438" s="3">
        <v>-4.5100000000000001E-2</v>
      </c>
      <c r="I438">
        <v>-4527.67</v>
      </c>
      <c r="J438" s="3">
        <v>-4.7100000000000003E-2</v>
      </c>
      <c r="K438">
        <v>23055</v>
      </c>
    </row>
    <row r="439" spans="1:11" x14ac:dyDescent="0.25">
      <c r="A439" t="s">
        <v>85</v>
      </c>
      <c r="B439" t="s">
        <v>923</v>
      </c>
      <c r="C439" t="s">
        <v>1232</v>
      </c>
      <c r="D439" s="2">
        <v>42307</v>
      </c>
      <c r="E439">
        <v>0.53437190000000001</v>
      </c>
      <c r="F439" s="2">
        <v>42321</v>
      </c>
      <c r="G439">
        <v>0.44223879999999999</v>
      </c>
      <c r="H439" s="3">
        <v>-0.1724</v>
      </c>
      <c r="I439">
        <v>-17390.47</v>
      </c>
      <c r="J439" s="3">
        <v>-0.17419999999999999</v>
      </c>
      <c r="K439">
        <v>186774</v>
      </c>
    </row>
    <row r="440" spans="1:11" x14ac:dyDescent="0.25">
      <c r="A440" t="s">
        <v>283</v>
      </c>
      <c r="B440" t="s">
        <v>935</v>
      </c>
      <c r="C440" t="s">
        <v>1232</v>
      </c>
      <c r="D440" s="2">
        <v>42307</v>
      </c>
      <c r="E440">
        <v>0.72542359999999995</v>
      </c>
      <c r="F440" s="2">
        <v>42321</v>
      </c>
      <c r="G440">
        <v>0.65633569999999997</v>
      </c>
      <c r="H440" s="3">
        <v>-9.5200000000000007E-2</v>
      </c>
      <c r="I440">
        <v>-9691.76</v>
      </c>
      <c r="J440" s="3">
        <v>-9.7100000000000006E-2</v>
      </c>
      <c r="K440">
        <v>137531</v>
      </c>
    </row>
    <row r="441" spans="1:11" x14ac:dyDescent="0.25">
      <c r="A441" t="s">
        <v>467</v>
      </c>
      <c r="B441" t="s">
        <v>936</v>
      </c>
      <c r="C441" t="s">
        <v>1232</v>
      </c>
      <c r="D441" s="2">
        <v>42223</v>
      </c>
      <c r="E441">
        <v>0.84478969999999998</v>
      </c>
      <c r="F441" s="2">
        <v>42317</v>
      </c>
      <c r="G441">
        <v>1.07</v>
      </c>
      <c r="H441" s="3">
        <v>0.2666</v>
      </c>
      <c r="I441">
        <v>25428.45</v>
      </c>
      <c r="J441" s="3">
        <v>0.26429999999999998</v>
      </c>
      <c r="K441">
        <v>113878</v>
      </c>
    </row>
    <row r="442" spans="1:11" x14ac:dyDescent="0.25">
      <c r="A442" t="s">
        <v>451</v>
      </c>
      <c r="B442" t="s">
        <v>907</v>
      </c>
      <c r="C442" t="s">
        <v>1232</v>
      </c>
      <c r="D442" s="2">
        <v>42006</v>
      </c>
      <c r="E442">
        <v>1.4784740000000001</v>
      </c>
      <c r="F442" s="2">
        <v>42314</v>
      </c>
      <c r="G442">
        <v>1.2384109999999999</v>
      </c>
      <c r="H442" s="3">
        <v>-0.16239999999999999</v>
      </c>
      <c r="I442">
        <v>-15029.53</v>
      </c>
      <c r="J442" s="3">
        <v>-0.16420000000000001</v>
      </c>
      <c r="K442">
        <v>61906</v>
      </c>
    </row>
    <row r="443" spans="1:11" x14ac:dyDescent="0.25">
      <c r="A443" t="s">
        <v>468</v>
      </c>
      <c r="B443" t="s">
        <v>937</v>
      </c>
      <c r="C443" t="s">
        <v>1232</v>
      </c>
      <c r="D443" s="2">
        <v>41845</v>
      </c>
      <c r="E443">
        <v>1.8554889999999999</v>
      </c>
      <c r="F443" s="2">
        <v>42311</v>
      </c>
      <c r="G443">
        <v>2.38</v>
      </c>
      <c r="H443" s="3">
        <v>0.28270000000000001</v>
      </c>
      <c r="I443">
        <v>24792.17</v>
      </c>
      <c r="J443" s="3">
        <v>0.28039999999999998</v>
      </c>
      <c r="K443">
        <v>47652</v>
      </c>
    </row>
    <row r="444" spans="1:11" x14ac:dyDescent="0.25">
      <c r="A444" t="s">
        <v>469</v>
      </c>
      <c r="B444" t="s">
        <v>938</v>
      </c>
      <c r="C444" t="s">
        <v>1232</v>
      </c>
      <c r="D444" s="2">
        <v>42223</v>
      </c>
      <c r="E444">
        <v>2.1604070000000002</v>
      </c>
      <c r="F444" s="2">
        <v>42272</v>
      </c>
      <c r="G444">
        <v>2.63</v>
      </c>
      <c r="H444" s="3">
        <v>0.21740000000000001</v>
      </c>
      <c r="I444">
        <v>20703.240000000002</v>
      </c>
      <c r="J444" s="3">
        <v>0.21510000000000001</v>
      </c>
      <c r="K444">
        <v>44542</v>
      </c>
    </row>
    <row r="445" spans="1:11" x14ac:dyDescent="0.25">
      <c r="A445" t="s">
        <v>470</v>
      </c>
      <c r="B445" t="s">
        <v>939</v>
      </c>
      <c r="C445" t="s">
        <v>1232</v>
      </c>
      <c r="D445" s="2">
        <v>41138</v>
      </c>
      <c r="E445">
        <v>2.1685989999999999</v>
      </c>
      <c r="F445" s="2">
        <v>42272</v>
      </c>
      <c r="G445">
        <v>3.2601490000000002</v>
      </c>
      <c r="H445" s="3">
        <v>0.50329999999999997</v>
      </c>
      <c r="I445">
        <v>25014.46</v>
      </c>
      <c r="J445" s="3">
        <v>0.50080000000000002</v>
      </c>
      <c r="K445">
        <v>23031</v>
      </c>
    </row>
    <row r="446" spans="1:11" x14ac:dyDescent="0.25">
      <c r="A446" t="s">
        <v>471</v>
      </c>
      <c r="B446" t="s">
        <v>940</v>
      </c>
      <c r="C446" t="s">
        <v>1232</v>
      </c>
      <c r="D446" s="2">
        <v>42223</v>
      </c>
      <c r="E446">
        <v>1.1000000000000001</v>
      </c>
      <c r="F446" s="2">
        <v>42244</v>
      </c>
      <c r="G446">
        <v>0.91000009999999998</v>
      </c>
      <c r="H446" s="3">
        <v>-0.17269999999999999</v>
      </c>
      <c r="I446">
        <v>-16802.22</v>
      </c>
      <c r="J446" s="3">
        <v>-0.17460000000000001</v>
      </c>
      <c r="K446">
        <v>87507</v>
      </c>
    </row>
    <row r="447" spans="1:11" x14ac:dyDescent="0.25">
      <c r="A447" t="s">
        <v>284</v>
      </c>
      <c r="B447" t="s">
        <v>941</v>
      </c>
      <c r="C447" t="s">
        <v>1232</v>
      </c>
      <c r="D447" s="2">
        <v>42223</v>
      </c>
      <c r="E447">
        <v>1.1163959999999999</v>
      </c>
      <c r="F447" s="2">
        <v>42244</v>
      </c>
      <c r="G447">
        <v>0.91601739999999998</v>
      </c>
      <c r="H447" s="3">
        <v>-0.17949999999999999</v>
      </c>
      <c r="I447">
        <v>-17448.84</v>
      </c>
      <c r="J447" s="3">
        <v>-0.18129999999999999</v>
      </c>
      <c r="K447">
        <v>86205</v>
      </c>
    </row>
    <row r="448" spans="1:11" x14ac:dyDescent="0.25">
      <c r="A448" t="s">
        <v>456</v>
      </c>
      <c r="B448" t="s">
        <v>918</v>
      </c>
      <c r="C448" t="s">
        <v>1232</v>
      </c>
      <c r="D448" s="2">
        <v>42223</v>
      </c>
      <c r="E448">
        <v>0.51532259999999996</v>
      </c>
      <c r="F448" s="2">
        <v>42237</v>
      </c>
      <c r="G448">
        <v>0.433417</v>
      </c>
      <c r="H448" s="3">
        <v>-0.15890000000000001</v>
      </c>
      <c r="I448">
        <v>-15466.17</v>
      </c>
      <c r="J448" s="3">
        <v>-0.1608</v>
      </c>
      <c r="K448">
        <v>186667</v>
      </c>
    </row>
    <row r="449" spans="1:11" x14ac:dyDescent="0.25">
      <c r="A449" t="s">
        <v>472</v>
      </c>
      <c r="B449" t="s">
        <v>942</v>
      </c>
      <c r="C449" t="s">
        <v>1232</v>
      </c>
      <c r="D449" s="2">
        <v>42006</v>
      </c>
      <c r="E449">
        <v>0.66650160000000003</v>
      </c>
      <c r="F449" s="2">
        <v>42188</v>
      </c>
      <c r="G449">
        <v>0.56170640000000005</v>
      </c>
      <c r="H449" s="3">
        <v>-0.15720000000000001</v>
      </c>
      <c r="I449">
        <v>-14560.83</v>
      </c>
      <c r="J449" s="3">
        <v>-0.15909999999999999</v>
      </c>
      <c r="K449">
        <v>137336</v>
      </c>
    </row>
    <row r="450" spans="1:11" x14ac:dyDescent="0.25">
      <c r="A450" t="s">
        <v>285</v>
      </c>
      <c r="B450" t="s">
        <v>943</v>
      </c>
      <c r="C450" t="s">
        <v>1232</v>
      </c>
      <c r="D450" s="2">
        <v>41753</v>
      </c>
      <c r="E450">
        <v>0.64454630000000002</v>
      </c>
      <c r="F450" s="2">
        <v>42188</v>
      </c>
      <c r="G450">
        <v>0.96088890000000005</v>
      </c>
      <c r="H450" s="3">
        <v>0.49080000000000001</v>
      </c>
      <c r="I450">
        <v>40095.94</v>
      </c>
      <c r="J450" s="3">
        <v>0.48830000000000001</v>
      </c>
      <c r="K450">
        <v>127395</v>
      </c>
    </row>
    <row r="451" spans="1:11" x14ac:dyDescent="0.25">
      <c r="A451" t="s">
        <v>473</v>
      </c>
      <c r="B451" t="s">
        <v>944</v>
      </c>
      <c r="C451" t="s">
        <v>1232</v>
      </c>
      <c r="D451" s="2">
        <v>42004</v>
      </c>
      <c r="E451">
        <v>3.3299880000000002</v>
      </c>
      <c r="F451" s="2">
        <v>42181</v>
      </c>
      <c r="G451">
        <v>3.8908290000000001</v>
      </c>
      <c r="H451" s="3">
        <v>0.16839999999999999</v>
      </c>
      <c r="I451">
        <v>15145.94</v>
      </c>
      <c r="J451" s="3">
        <v>0.1663</v>
      </c>
      <c r="K451">
        <v>27358</v>
      </c>
    </row>
    <row r="452" spans="1:11" x14ac:dyDescent="0.25">
      <c r="A452" t="s">
        <v>474</v>
      </c>
      <c r="B452" t="s">
        <v>945</v>
      </c>
      <c r="C452" t="s">
        <v>1232</v>
      </c>
      <c r="D452" s="2">
        <v>41957</v>
      </c>
      <c r="E452">
        <v>2.329526</v>
      </c>
      <c r="F452" s="2">
        <v>42174</v>
      </c>
      <c r="G452">
        <v>3.2586810000000002</v>
      </c>
      <c r="H452" s="3">
        <v>0.39889999999999998</v>
      </c>
      <c r="I452">
        <v>34608.82</v>
      </c>
      <c r="J452" s="3">
        <v>0.39650000000000002</v>
      </c>
      <c r="K452">
        <v>37473</v>
      </c>
    </row>
    <row r="453" spans="1:11" x14ac:dyDescent="0.25">
      <c r="A453" t="s">
        <v>286</v>
      </c>
      <c r="B453" t="s">
        <v>946</v>
      </c>
      <c r="C453" t="s">
        <v>1232</v>
      </c>
      <c r="D453" s="2">
        <v>41257</v>
      </c>
      <c r="E453">
        <v>1.673133</v>
      </c>
      <c r="F453" s="2">
        <v>42167</v>
      </c>
      <c r="G453">
        <v>5.5296909999999997</v>
      </c>
      <c r="H453" s="3">
        <v>2.3050000000000002</v>
      </c>
      <c r="I453">
        <v>133649.60999999999</v>
      </c>
      <c r="J453" s="3">
        <v>2.3007</v>
      </c>
      <c r="K453">
        <v>34720</v>
      </c>
    </row>
    <row r="454" spans="1:11" x14ac:dyDescent="0.25">
      <c r="A454" t="s">
        <v>220</v>
      </c>
      <c r="B454" t="s">
        <v>802</v>
      </c>
      <c r="C454" t="s">
        <v>1232</v>
      </c>
      <c r="D454" s="2">
        <v>42096</v>
      </c>
      <c r="E454">
        <v>1.37</v>
      </c>
      <c r="F454" s="2">
        <v>42146</v>
      </c>
      <c r="G454">
        <v>1.7</v>
      </c>
      <c r="H454" s="3">
        <v>0.2409</v>
      </c>
      <c r="I454">
        <v>23123.11</v>
      </c>
      <c r="J454" s="3">
        <v>0.23860000000000001</v>
      </c>
      <c r="K454">
        <v>70728</v>
      </c>
    </row>
    <row r="455" spans="1:11" x14ac:dyDescent="0.25">
      <c r="A455" t="s">
        <v>287</v>
      </c>
      <c r="B455" t="s">
        <v>947</v>
      </c>
      <c r="C455" t="s">
        <v>1232</v>
      </c>
      <c r="D455" s="2">
        <v>42034</v>
      </c>
      <c r="E455">
        <v>0.54555089999999995</v>
      </c>
      <c r="F455" s="2">
        <v>42139</v>
      </c>
      <c r="G455">
        <v>0.5698164</v>
      </c>
      <c r="H455" s="3">
        <v>4.4499999999999998E-2</v>
      </c>
      <c r="I455">
        <v>3781.78</v>
      </c>
      <c r="J455" s="3">
        <v>4.24E-2</v>
      </c>
      <c r="K455">
        <v>163359</v>
      </c>
    </row>
    <row r="456" spans="1:11" x14ac:dyDescent="0.25">
      <c r="A456" t="s">
        <v>475</v>
      </c>
      <c r="B456" t="s">
        <v>948</v>
      </c>
      <c r="C456" t="s">
        <v>1232</v>
      </c>
      <c r="D456" s="2">
        <v>41950</v>
      </c>
      <c r="E456">
        <v>2.2086399999999999</v>
      </c>
      <c r="F456" s="2">
        <v>42132</v>
      </c>
      <c r="G456">
        <v>2.33</v>
      </c>
      <c r="H456" s="3">
        <v>5.4899999999999997E-2</v>
      </c>
      <c r="I456">
        <v>4569.58</v>
      </c>
      <c r="J456" s="3">
        <v>5.2900000000000003E-2</v>
      </c>
      <c r="K456">
        <v>39116</v>
      </c>
    </row>
    <row r="457" spans="1:11" x14ac:dyDescent="0.25">
      <c r="A457" t="s">
        <v>264</v>
      </c>
      <c r="B457" t="s">
        <v>872</v>
      </c>
      <c r="C457" t="s">
        <v>1232</v>
      </c>
      <c r="D457" s="2">
        <v>41474</v>
      </c>
      <c r="E457">
        <v>4.7072260000000004</v>
      </c>
      <c r="F457" s="2">
        <v>42132</v>
      </c>
      <c r="G457">
        <v>7.7863049999999996</v>
      </c>
      <c r="H457" s="3">
        <v>0.65410000000000001</v>
      </c>
      <c r="I457">
        <v>46992.36</v>
      </c>
      <c r="J457" s="3">
        <v>0.65149999999999997</v>
      </c>
      <c r="K457">
        <v>15324</v>
      </c>
    </row>
    <row r="458" spans="1:11" x14ac:dyDescent="0.25">
      <c r="A458" t="s">
        <v>288</v>
      </c>
      <c r="B458" t="s">
        <v>949</v>
      </c>
      <c r="C458" t="s">
        <v>1232</v>
      </c>
      <c r="D458" s="2">
        <v>41691</v>
      </c>
      <c r="E458">
        <v>0.52606620000000004</v>
      </c>
      <c r="F458" s="2">
        <v>42118</v>
      </c>
      <c r="G458">
        <v>0.4386737</v>
      </c>
      <c r="H458" s="3">
        <v>-0.1661</v>
      </c>
      <c r="I458">
        <v>-13437.99</v>
      </c>
      <c r="J458" s="3">
        <v>-0.16800000000000001</v>
      </c>
      <c r="K458">
        <v>152087</v>
      </c>
    </row>
    <row r="459" spans="1:11" x14ac:dyDescent="0.25">
      <c r="A459" t="s">
        <v>118</v>
      </c>
      <c r="B459" t="s">
        <v>355</v>
      </c>
      <c r="C459" t="s">
        <v>1232</v>
      </c>
      <c r="D459" s="2">
        <v>42034</v>
      </c>
      <c r="E459">
        <v>0.96489329999999995</v>
      </c>
      <c r="F459" s="2">
        <v>42096</v>
      </c>
      <c r="G459">
        <v>0.77963459999999996</v>
      </c>
      <c r="H459" s="3">
        <v>-0.192</v>
      </c>
      <c r="I459">
        <v>-17273.86</v>
      </c>
      <c r="J459" s="3">
        <v>-0.1938</v>
      </c>
      <c r="K459">
        <v>92372</v>
      </c>
    </row>
    <row r="460" spans="1:11" x14ac:dyDescent="0.25">
      <c r="A460" t="s">
        <v>476</v>
      </c>
      <c r="B460" t="s">
        <v>950</v>
      </c>
      <c r="C460" t="s">
        <v>1232</v>
      </c>
      <c r="D460" s="2">
        <v>42013</v>
      </c>
      <c r="E460">
        <v>1.7478800000000001</v>
      </c>
      <c r="F460" s="2">
        <v>42027</v>
      </c>
      <c r="G460">
        <v>1.3038240000000001</v>
      </c>
      <c r="H460" s="3">
        <v>-0.25409999999999999</v>
      </c>
      <c r="I460">
        <v>-23683.74</v>
      </c>
      <c r="J460" s="3">
        <v>-0.25580000000000003</v>
      </c>
      <c r="K460">
        <v>52971</v>
      </c>
    </row>
    <row r="461" spans="1:11" x14ac:dyDescent="0.25">
      <c r="A461" t="s">
        <v>78</v>
      </c>
      <c r="B461" t="s">
        <v>951</v>
      </c>
      <c r="C461" t="s">
        <v>1232</v>
      </c>
      <c r="D461" s="2">
        <v>42006</v>
      </c>
      <c r="E461">
        <v>1.2749999999999999</v>
      </c>
      <c r="F461" s="2">
        <v>42027</v>
      </c>
      <c r="G461">
        <v>1.26</v>
      </c>
      <c r="H461" s="3">
        <v>-1.18E-2</v>
      </c>
      <c r="I461">
        <v>-1259</v>
      </c>
      <c r="J461" s="3">
        <v>-1.38E-2</v>
      </c>
      <c r="K461">
        <v>71799</v>
      </c>
    </row>
    <row r="462" spans="1:11" x14ac:dyDescent="0.25">
      <c r="A462" t="s">
        <v>289</v>
      </c>
      <c r="B462" t="s">
        <v>952</v>
      </c>
      <c r="C462" t="s">
        <v>1232</v>
      </c>
      <c r="D462" s="2">
        <v>41950</v>
      </c>
      <c r="E462">
        <v>1.838295</v>
      </c>
      <c r="F462" s="2">
        <v>41997</v>
      </c>
      <c r="G462">
        <v>1.6268910000000001</v>
      </c>
      <c r="H462" s="3">
        <v>-0.115</v>
      </c>
      <c r="I462">
        <v>-10101</v>
      </c>
      <c r="J462" s="3">
        <v>-0.1169</v>
      </c>
      <c r="K462">
        <v>47010</v>
      </c>
    </row>
    <row r="463" spans="1:11" x14ac:dyDescent="0.25">
      <c r="A463" t="s">
        <v>437</v>
      </c>
      <c r="B463" t="s">
        <v>880</v>
      </c>
      <c r="C463" t="s">
        <v>1232</v>
      </c>
      <c r="D463" s="2">
        <v>41474</v>
      </c>
      <c r="E463">
        <v>1.3081480000000001</v>
      </c>
      <c r="F463" s="2">
        <v>41992</v>
      </c>
      <c r="G463">
        <v>1.360744</v>
      </c>
      <c r="H463" s="3">
        <v>4.02E-2</v>
      </c>
      <c r="I463">
        <v>2752.93</v>
      </c>
      <c r="J463" s="3">
        <v>3.8199999999999998E-2</v>
      </c>
      <c r="K463">
        <v>55139</v>
      </c>
    </row>
    <row r="464" spans="1:11" x14ac:dyDescent="0.25">
      <c r="A464" t="s">
        <v>290</v>
      </c>
      <c r="B464" t="s">
        <v>953</v>
      </c>
      <c r="C464" t="s">
        <v>1232</v>
      </c>
      <c r="D464" s="2">
        <v>41796</v>
      </c>
      <c r="E464">
        <v>0.61042909999999995</v>
      </c>
      <c r="F464" s="2">
        <v>41991</v>
      </c>
      <c r="G464">
        <v>0.65819870000000003</v>
      </c>
      <c r="H464" s="3">
        <v>7.8299999999999995E-2</v>
      </c>
      <c r="I464">
        <v>6536.46</v>
      </c>
      <c r="J464" s="3">
        <v>7.6200000000000004E-2</v>
      </c>
      <c r="K464">
        <v>140566</v>
      </c>
    </row>
    <row r="465" spans="1:11" x14ac:dyDescent="0.25">
      <c r="A465" t="s">
        <v>74</v>
      </c>
      <c r="B465" t="s">
        <v>954</v>
      </c>
      <c r="C465" t="s">
        <v>1232</v>
      </c>
      <c r="D465" s="2">
        <v>41950</v>
      </c>
      <c r="E465">
        <v>1.9059219999999999</v>
      </c>
      <c r="F465" s="2">
        <v>41978</v>
      </c>
      <c r="G465">
        <v>1.853378</v>
      </c>
      <c r="H465" s="3">
        <v>-2.76E-2</v>
      </c>
      <c r="I465">
        <v>-2552.4</v>
      </c>
      <c r="J465" s="3">
        <v>-2.9499999999999998E-2</v>
      </c>
      <c r="K465">
        <v>45333</v>
      </c>
    </row>
    <row r="466" spans="1:11" x14ac:dyDescent="0.25">
      <c r="A466" t="s">
        <v>287</v>
      </c>
      <c r="B466" t="s">
        <v>947</v>
      </c>
      <c r="C466" t="s">
        <v>1232</v>
      </c>
      <c r="D466" s="2">
        <v>41957</v>
      </c>
      <c r="E466">
        <v>0.53534110000000001</v>
      </c>
      <c r="F466" s="2">
        <v>41971</v>
      </c>
      <c r="G466">
        <v>0.47978690000000002</v>
      </c>
      <c r="H466" s="3">
        <v>-0.1038</v>
      </c>
      <c r="I466">
        <v>-9223.57</v>
      </c>
      <c r="J466" s="3">
        <v>-0.1057</v>
      </c>
      <c r="K466">
        <v>163049</v>
      </c>
    </row>
    <row r="467" spans="1:11" x14ac:dyDescent="0.25">
      <c r="A467" t="s">
        <v>407</v>
      </c>
      <c r="B467" t="s">
        <v>771</v>
      </c>
      <c r="C467" t="s">
        <v>1232</v>
      </c>
      <c r="D467" s="2">
        <v>41950</v>
      </c>
      <c r="E467">
        <v>0.71</v>
      </c>
      <c r="F467" s="2">
        <v>41964</v>
      </c>
      <c r="G467">
        <v>0.74</v>
      </c>
      <c r="H467" s="3">
        <v>4.2299999999999997E-2</v>
      </c>
      <c r="I467">
        <v>3475.33</v>
      </c>
      <c r="J467" s="3">
        <v>4.02E-2</v>
      </c>
      <c r="K467">
        <v>121728</v>
      </c>
    </row>
    <row r="468" spans="1:11" x14ac:dyDescent="0.25">
      <c r="A468" t="s">
        <v>477</v>
      </c>
      <c r="B468" t="s">
        <v>955</v>
      </c>
      <c r="C468" t="s">
        <v>1232</v>
      </c>
      <c r="D468" s="2">
        <v>41873</v>
      </c>
      <c r="E468">
        <v>1.85521</v>
      </c>
      <c r="F468" s="2">
        <v>41953</v>
      </c>
      <c r="G468">
        <v>1.895</v>
      </c>
      <c r="H468" s="3">
        <v>2.1399999999999999E-2</v>
      </c>
      <c r="I468">
        <v>1703.42</v>
      </c>
      <c r="J468" s="3">
        <v>1.9400000000000001E-2</v>
      </c>
      <c r="K468">
        <v>47265</v>
      </c>
    </row>
    <row r="469" spans="1:11" x14ac:dyDescent="0.25">
      <c r="A469" t="s">
        <v>478</v>
      </c>
      <c r="B469" t="s">
        <v>956</v>
      </c>
      <c r="C469" t="s">
        <v>1232</v>
      </c>
      <c r="D469" s="2">
        <v>41894</v>
      </c>
      <c r="E469">
        <v>3.2250000000000001</v>
      </c>
      <c r="F469" s="2">
        <v>41936</v>
      </c>
      <c r="G469">
        <v>3.125</v>
      </c>
      <c r="H469" s="3">
        <v>-3.1E-2</v>
      </c>
      <c r="I469">
        <v>-2953.98</v>
      </c>
      <c r="J469" s="3">
        <v>-3.3000000000000002E-2</v>
      </c>
      <c r="K469">
        <v>27776</v>
      </c>
    </row>
    <row r="470" spans="1:11" x14ac:dyDescent="0.25">
      <c r="A470" t="s">
        <v>479</v>
      </c>
      <c r="B470" t="s">
        <v>957</v>
      </c>
      <c r="C470" t="s">
        <v>1232</v>
      </c>
      <c r="D470" s="2">
        <v>41873</v>
      </c>
      <c r="E470">
        <v>1.33</v>
      </c>
      <c r="F470" s="2">
        <v>41915</v>
      </c>
      <c r="G470">
        <v>0.83</v>
      </c>
      <c r="H470" s="3">
        <v>-0.37590000000000001</v>
      </c>
      <c r="I470">
        <v>-33104.400000000001</v>
      </c>
      <c r="J470" s="3">
        <v>-0.37759999999999999</v>
      </c>
      <c r="K470">
        <v>65924</v>
      </c>
    </row>
    <row r="471" spans="1:11" x14ac:dyDescent="0.25">
      <c r="A471" t="s">
        <v>480</v>
      </c>
      <c r="B471" t="s">
        <v>958</v>
      </c>
      <c r="C471" t="s">
        <v>1232</v>
      </c>
      <c r="D471" s="2">
        <v>41831</v>
      </c>
      <c r="E471">
        <v>1.736178</v>
      </c>
      <c r="F471" s="2">
        <v>41908</v>
      </c>
      <c r="G471">
        <v>1.2599689999999999</v>
      </c>
      <c r="H471" s="3">
        <v>-0.27429999999999999</v>
      </c>
      <c r="I471">
        <v>-24192.67</v>
      </c>
      <c r="J471" s="3">
        <v>-0.27600000000000002</v>
      </c>
      <c r="K471">
        <v>50485</v>
      </c>
    </row>
    <row r="472" spans="1:11" x14ac:dyDescent="0.25">
      <c r="A472" t="s">
        <v>481</v>
      </c>
      <c r="B472" t="s">
        <v>959</v>
      </c>
      <c r="C472" t="s">
        <v>1232</v>
      </c>
      <c r="D472" s="2">
        <v>41789</v>
      </c>
      <c r="E472">
        <v>2.9085869999999998</v>
      </c>
      <c r="F472" s="2">
        <v>41908</v>
      </c>
      <c r="G472">
        <v>2.6</v>
      </c>
      <c r="H472" s="3">
        <v>-0.1061</v>
      </c>
      <c r="I472">
        <v>-9091.5</v>
      </c>
      <c r="J472" s="3">
        <v>-0.108</v>
      </c>
      <c r="K472">
        <v>28945</v>
      </c>
    </row>
    <row r="473" spans="1:11" x14ac:dyDescent="0.25">
      <c r="A473" t="s">
        <v>482</v>
      </c>
      <c r="B473" t="s">
        <v>960</v>
      </c>
      <c r="C473" t="s">
        <v>1232</v>
      </c>
      <c r="D473" s="2">
        <v>41649</v>
      </c>
      <c r="E473">
        <v>1.0580510000000001</v>
      </c>
      <c r="F473" s="2">
        <v>41908</v>
      </c>
      <c r="G473">
        <v>1.8138019999999999</v>
      </c>
      <c r="H473" s="3">
        <v>0.71430000000000005</v>
      </c>
      <c r="I473">
        <v>58461.9</v>
      </c>
      <c r="J473" s="3">
        <v>0.71160000000000001</v>
      </c>
      <c r="K473">
        <v>77651</v>
      </c>
    </row>
    <row r="474" spans="1:11" x14ac:dyDescent="0.25">
      <c r="A474" t="s">
        <v>191</v>
      </c>
      <c r="B474" t="s">
        <v>754</v>
      </c>
      <c r="C474" t="s">
        <v>1232</v>
      </c>
      <c r="D474" s="2">
        <v>41873</v>
      </c>
      <c r="E474">
        <v>0.55878249999999996</v>
      </c>
      <c r="F474" s="2">
        <v>41908</v>
      </c>
      <c r="G474">
        <v>0.483016</v>
      </c>
      <c r="H474" s="3">
        <v>-0.1356</v>
      </c>
      <c r="I474">
        <v>-12054.37</v>
      </c>
      <c r="J474" s="3">
        <v>-0.13750000000000001</v>
      </c>
      <c r="K474">
        <v>156941</v>
      </c>
    </row>
    <row r="475" spans="1:11" x14ac:dyDescent="0.25">
      <c r="A475" t="s">
        <v>473</v>
      </c>
      <c r="B475" t="s">
        <v>944</v>
      </c>
      <c r="C475" t="s">
        <v>1232</v>
      </c>
      <c r="D475" s="2">
        <v>41821</v>
      </c>
      <c r="E475">
        <v>2.6095329999999999</v>
      </c>
      <c r="F475" s="2">
        <v>41894</v>
      </c>
      <c r="G475">
        <v>2.5242079999999998</v>
      </c>
      <c r="H475" s="3">
        <v>-3.27E-2</v>
      </c>
      <c r="I475">
        <v>-2989.93</v>
      </c>
      <c r="J475" s="3">
        <v>-3.4700000000000002E-2</v>
      </c>
      <c r="K475">
        <v>33053</v>
      </c>
    </row>
    <row r="476" spans="1:11" x14ac:dyDescent="0.25">
      <c r="A476" t="s">
        <v>483</v>
      </c>
      <c r="B476" t="s">
        <v>961</v>
      </c>
      <c r="C476" t="s">
        <v>1232</v>
      </c>
      <c r="D476" s="2">
        <v>41852</v>
      </c>
      <c r="E476">
        <v>3.8</v>
      </c>
      <c r="F476" s="2">
        <v>41866</v>
      </c>
      <c r="G476">
        <v>3.35</v>
      </c>
      <c r="H476" s="3">
        <v>-0.11840000000000001</v>
      </c>
      <c r="I476">
        <v>-10658.45</v>
      </c>
      <c r="J476" s="3">
        <v>-0.1203</v>
      </c>
      <c r="K476">
        <v>23315</v>
      </c>
    </row>
    <row r="477" spans="1:11" x14ac:dyDescent="0.25">
      <c r="A477" t="s">
        <v>467</v>
      </c>
      <c r="B477" t="s">
        <v>936</v>
      </c>
      <c r="C477" t="s">
        <v>1232</v>
      </c>
      <c r="D477" s="2">
        <v>41831</v>
      </c>
      <c r="E477">
        <v>0.72935680000000003</v>
      </c>
      <c r="F477" s="2">
        <v>41866</v>
      </c>
      <c r="G477">
        <v>0.6813728</v>
      </c>
      <c r="H477" s="3">
        <v>-6.5799999999999997E-2</v>
      </c>
      <c r="I477">
        <v>-5935.52</v>
      </c>
      <c r="J477" s="3">
        <v>-6.7699999999999996E-2</v>
      </c>
      <c r="K477">
        <v>120165</v>
      </c>
    </row>
    <row r="478" spans="1:11" x14ac:dyDescent="0.25">
      <c r="A478" t="s">
        <v>484</v>
      </c>
      <c r="B478" t="s">
        <v>962</v>
      </c>
      <c r="C478" t="s">
        <v>1232</v>
      </c>
      <c r="D478" s="2">
        <v>41691</v>
      </c>
      <c r="E478">
        <v>2.4553250000000002</v>
      </c>
      <c r="F478" s="2">
        <v>41866</v>
      </c>
      <c r="G478">
        <v>2.8677429999999999</v>
      </c>
      <c r="H478" s="3">
        <v>0.16800000000000001</v>
      </c>
      <c r="I478">
        <v>13266.41</v>
      </c>
      <c r="J478" s="3">
        <v>0.1658</v>
      </c>
      <c r="K478">
        <v>32588</v>
      </c>
    </row>
    <row r="479" spans="1:11" x14ac:dyDescent="0.25">
      <c r="A479" t="s">
        <v>188</v>
      </c>
      <c r="B479" t="s">
        <v>749</v>
      </c>
      <c r="C479" t="s">
        <v>1232</v>
      </c>
      <c r="D479" s="2">
        <v>41474</v>
      </c>
      <c r="E479">
        <v>0.6381019</v>
      </c>
      <c r="F479" s="2">
        <v>41866</v>
      </c>
      <c r="G479">
        <v>0.84306800000000004</v>
      </c>
      <c r="H479" s="3">
        <v>0.32119999999999999</v>
      </c>
      <c r="I479">
        <v>23006.21</v>
      </c>
      <c r="J479" s="3">
        <v>0.31890000000000002</v>
      </c>
      <c r="K479">
        <v>113061</v>
      </c>
    </row>
    <row r="480" spans="1:11" x14ac:dyDescent="0.25">
      <c r="A480" t="s">
        <v>282</v>
      </c>
      <c r="B480" t="s">
        <v>934</v>
      </c>
      <c r="C480" t="s">
        <v>1232</v>
      </c>
      <c r="D480" s="2">
        <v>41397</v>
      </c>
      <c r="E480">
        <v>1.9900009999999999</v>
      </c>
      <c r="F480" s="2">
        <v>41859</v>
      </c>
      <c r="G480">
        <v>2.837904</v>
      </c>
      <c r="H480" s="3">
        <v>0.42609999999999998</v>
      </c>
      <c r="I480">
        <v>30059</v>
      </c>
      <c r="J480" s="3">
        <v>0.42370000000000002</v>
      </c>
      <c r="K480">
        <v>35654</v>
      </c>
    </row>
    <row r="481" spans="1:11" x14ac:dyDescent="0.25">
      <c r="A481" t="s">
        <v>433</v>
      </c>
      <c r="B481" t="s">
        <v>871</v>
      </c>
      <c r="C481" t="s">
        <v>1232</v>
      </c>
      <c r="D481" s="2">
        <v>41481</v>
      </c>
      <c r="E481">
        <v>4.697845</v>
      </c>
      <c r="F481" s="2">
        <v>41852</v>
      </c>
      <c r="G481">
        <v>8.6918279999999992</v>
      </c>
      <c r="H481" s="3">
        <v>0.85019999999999996</v>
      </c>
      <c r="I481">
        <v>61623.6</v>
      </c>
      <c r="J481" s="3">
        <v>0.84730000000000005</v>
      </c>
      <c r="K481">
        <v>15481</v>
      </c>
    </row>
    <row r="482" spans="1:11" x14ac:dyDescent="0.25">
      <c r="A482" t="s">
        <v>291</v>
      </c>
      <c r="B482" t="s">
        <v>963</v>
      </c>
      <c r="C482" t="s">
        <v>1232</v>
      </c>
      <c r="D482" s="2">
        <v>41656</v>
      </c>
      <c r="E482">
        <v>0.56521650000000001</v>
      </c>
      <c r="F482" s="2">
        <v>41845</v>
      </c>
      <c r="G482">
        <v>0.49477450000000001</v>
      </c>
      <c r="H482" s="3">
        <v>-0.1246</v>
      </c>
      <c r="I482">
        <v>-10033.66</v>
      </c>
      <c r="J482" s="3">
        <v>-0.1265</v>
      </c>
      <c r="K482">
        <v>140327</v>
      </c>
    </row>
    <row r="483" spans="1:11" x14ac:dyDescent="0.25">
      <c r="A483" t="s">
        <v>485</v>
      </c>
      <c r="B483" t="s">
        <v>964</v>
      </c>
      <c r="C483" t="s">
        <v>1232</v>
      </c>
      <c r="D483" s="2">
        <v>41481</v>
      </c>
      <c r="E483">
        <v>1.8641129999999999</v>
      </c>
      <c r="F483" s="2">
        <v>41824</v>
      </c>
      <c r="G483">
        <v>2.8417469999999998</v>
      </c>
      <c r="H483" s="3">
        <v>0.52439999999999998</v>
      </c>
      <c r="I483">
        <v>37970.47</v>
      </c>
      <c r="J483" s="3">
        <v>0.52190000000000003</v>
      </c>
      <c r="K483">
        <v>39027</v>
      </c>
    </row>
    <row r="484" spans="1:11" x14ac:dyDescent="0.25">
      <c r="A484" t="s">
        <v>292</v>
      </c>
      <c r="B484" t="s">
        <v>965</v>
      </c>
      <c r="C484" t="s">
        <v>1232</v>
      </c>
      <c r="D484" s="2">
        <v>41656</v>
      </c>
      <c r="E484">
        <v>0.99190520000000004</v>
      </c>
      <c r="F484" s="2">
        <v>41817</v>
      </c>
      <c r="G484">
        <v>1.1549309999999999</v>
      </c>
      <c r="H484" s="3">
        <v>0.16439999999999999</v>
      </c>
      <c r="I484">
        <v>12861.79</v>
      </c>
      <c r="J484" s="3">
        <v>0.16220000000000001</v>
      </c>
      <c r="K484">
        <v>79947</v>
      </c>
    </row>
    <row r="485" spans="1:11" x14ac:dyDescent="0.25">
      <c r="A485" t="s">
        <v>486</v>
      </c>
      <c r="B485" t="s">
        <v>966</v>
      </c>
      <c r="C485" t="s">
        <v>1232</v>
      </c>
      <c r="D485" s="2">
        <v>41746</v>
      </c>
      <c r="E485">
        <v>0.77608759999999999</v>
      </c>
      <c r="F485" s="2">
        <v>41810</v>
      </c>
      <c r="G485">
        <v>0.78555200000000003</v>
      </c>
      <c r="H485" s="3">
        <v>1.2200000000000001E-2</v>
      </c>
      <c r="I485">
        <v>839.45</v>
      </c>
      <c r="J485" s="3">
        <v>1.0200000000000001E-2</v>
      </c>
      <c r="K485">
        <v>106222</v>
      </c>
    </row>
    <row r="486" spans="1:11" x14ac:dyDescent="0.25">
      <c r="A486" t="s">
        <v>460</v>
      </c>
      <c r="B486" t="s">
        <v>922</v>
      </c>
      <c r="C486" t="s">
        <v>1232</v>
      </c>
      <c r="D486" s="2">
        <v>41691</v>
      </c>
      <c r="E486">
        <v>1.0885830000000001</v>
      </c>
      <c r="F486" s="2">
        <v>41796</v>
      </c>
      <c r="G486">
        <v>0.72905109999999995</v>
      </c>
      <c r="H486" s="3">
        <v>-0.33029999999999998</v>
      </c>
      <c r="I486">
        <v>-26555.58</v>
      </c>
      <c r="J486" s="3">
        <v>-0.33189999999999997</v>
      </c>
      <c r="K486">
        <v>73490</v>
      </c>
    </row>
    <row r="487" spans="1:11" x14ac:dyDescent="0.25">
      <c r="A487" t="s">
        <v>90</v>
      </c>
      <c r="B487" t="s">
        <v>697</v>
      </c>
      <c r="C487" t="s">
        <v>1232</v>
      </c>
      <c r="D487" s="2">
        <v>41551</v>
      </c>
      <c r="E487">
        <v>3.3918940000000002</v>
      </c>
      <c r="F487" s="2">
        <v>41782</v>
      </c>
      <c r="G487">
        <v>3.8769469999999999</v>
      </c>
      <c r="H487" s="3">
        <v>0.14299999999999999</v>
      </c>
      <c r="I487">
        <v>11195.92</v>
      </c>
      <c r="J487" s="3">
        <v>0.1409</v>
      </c>
      <c r="K487">
        <v>23433</v>
      </c>
    </row>
    <row r="488" spans="1:11" x14ac:dyDescent="0.25">
      <c r="A488" t="s">
        <v>478</v>
      </c>
      <c r="B488" t="s">
        <v>956</v>
      </c>
      <c r="C488" t="s">
        <v>1232</v>
      </c>
      <c r="D488" s="2">
        <v>41663</v>
      </c>
      <c r="E488">
        <v>2.8162250000000002</v>
      </c>
      <c r="F488" s="2">
        <v>41753</v>
      </c>
      <c r="G488">
        <v>2.35</v>
      </c>
      <c r="H488" s="3">
        <v>-0.16550000000000001</v>
      </c>
      <c r="I488">
        <v>-13394.11</v>
      </c>
      <c r="J488" s="3">
        <v>-0.16739999999999999</v>
      </c>
      <c r="K488">
        <v>28414</v>
      </c>
    </row>
    <row r="489" spans="1:11" x14ac:dyDescent="0.25">
      <c r="A489" t="s">
        <v>487</v>
      </c>
      <c r="B489" t="s">
        <v>967</v>
      </c>
      <c r="C489" t="s">
        <v>1232</v>
      </c>
      <c r="D489" s="2">
        <v>41334</v>
      </c>
      <c r="E489">
        <v>0.52855870000000005</v>
      </c>
      <c r="F489" s="2">
        <v>41746</v>
      </c>
      <c r="G489">
        <v>0.68570299999999995</v>
      </c>
      <c r="H489" s="3">
        <v>0.29730000000000001</v>
      </c>
      <c r="I489">
        <v>20562.03</v>
      </c>
      <c r="J489" s="3">
        <v>0.29499999999999998</v>
      </c>
      <c r="K489">
        <v>131867</v>
      </c>
    </row>
    <row r="490" spans="1:11" x14ac:dyDescent="0.25">
      <c r="A490" t="s">
        <v>293</v>
      </c>
      <c r="B490" t="s">
        <v>968</v>
      </c>
      <c r="C490" t="s">
        <v>1232</v>
      </c>
      <c r="D490" s="2">
        <v>41663</v>
      </c>
      <c r="E490">
        <v>1.040322</v>
      </c>
      <c r="F490" s="2">
        <v>41684</v>
      </c>
      <c r="G490">
        <v>0.90343790000000002</v>
      </c>
      <c r="H490" s="3">
        <v>-0.13159999999999999</v>
      </c>
      <c r="I490">
        <v>-10677.39</v>
      </c>
      <c r="J490" s="3">
        <v>-0.13339999999999999</v>
      </c>
      <c r="K490">
        <v>76911</v>
      </c>
    </row>
    <row r="491" spans="1:11" x14ac:dyDescent="0.25">
      <c r="A491" t="s">
        <v>488</v>
      </c>
      <c r="B491" t="s">
        <v>969</v>
      </c>
      <c r="C491" t="s">
        <v>1232</v>
      </c>
      <c r="D491" s="2">
        <v>41663</v>
      </c>
      <c r="E491">
        <v>0.94</v>
      </c>
      <c r="F491" s="2">
        <v>41677</v>
      </c>
      <c r="G491">
        <v>0.875</v>
      </c>
      <c r="H491" s="3">
        <v>-6.9099999999999995E-2</v>
      </c>
      <c r="I491">
        <v>-5688.36</v>
      </c>
      <c r="J491" s="3">
        <v>-7.1099999999999997E-2</v>
      </c>
      <c r="K491">
        <v>85136</v>
      </c>
    </row>
    <row r="492" spans="1:11" x14ac:dyDescent="0.25">
      <c r="A492" t="s">
        <v>489</v>
      </c>
      <c r="B492" t="s">
        <v>970</v>
      </c>
      <c r="C492" t="s">
        <v>1232</v>
      </c>
      <c r="D492" s="2">
        <v>41481</v>
      </c>
      <c r="E492">
        <v>1.7428250000000001</v>
      </c>
      <c r="F492" s="2">
        <v>41677</v>
      </c>
      <c r="G492">
        <v>2.1909800000000001</v>
      </c>
      <c r="H492" s="3">
        <v>0.2571</v>
      </c>
      <c r="I492">
        <v>18541.349999999999</v>
      </c>
      <c r="J492" s="3">
        <v>0.25490000000000002</v>
      </c>
      <c r="K492">
        <v>41739</v>
      </c>
    </row>
    <row r="493" spans="1:11" x14ac:dyDescent="0.25">
      <c r="A493" t="s">
        <v>490</v>
      </c>
      <c r="B493" t="s">
        <v>971</v>
      </c>
      <c r="C493" t="s">
        <v>1232</v>
      </c>
      <c r="D493" s="2">
        <v>41481</v>
      </c>
      <c r="E493">
        <v>3.4</v>
      </c>
      <c r="F493" s="2">
        <v>41656</v>
      </c>
      <c r="G493">
        <v>0.73</v>
      </c>
      <c r="H493" s="3">
        <v>-0.7853</v>
      </c>
      <c r="I493">
        <v>-57207.66</v>
      </c>
      <c r="J493" s="3">
        <v>-0.78649999999999998</v>
      </c>
      <c r="K493">
        <v>21393</v>
      </c>
    </row>
    <row r="494" spans="1:11" x14ac:dyDescent="0.25">
      <c r="A494" t="s">
        <v>255</v>
      </c>
      <c r="B494" t="s">
        <v>858</v>
      </c>
      <c r="C494" t="s">
        <v>1232</v>
      </c>
      <c r="D494" s="2">
        <v>41397</v>
      </c>
      <c r="E494">
        <v>1.2832699999999999</v>
      </c>
      <c r="F494" s="2">
        <v>41628</v>
      </c>
      <c r="G494">
        <v>1.9409179999999999</v>
      </c>
      <c r="H494" s="3">
        <v>0.51249999999999996</v>
      </c>
      <c r="I494">
        <v>36179.82</v>
      </c>
      <c r="J494" s="3">
        <v>0.51</v>
      </c>
      <c r="K494">
        <v>55285</v>
      </c>
    </row>
    <row r="495" spans="1:11" x14ac:dyDescent="0.25">
      <c r="A495" t="s">
        <v>258</v>
      </c>
      <c r="B495" t="s">
        <v>862</v>
      </c>
      <c r="C495" t="s">
        <v>1232</v>
      </c>
      <c r="D495" s="2">
        <v>41572</v>
      </c>
      <c r="E495">
        <v>1.5591539999999999</v>
      </c>
      <c r="F495" s="2">
        <v>41628</v>
      </c>
      <c r="G495">
        <v>1.3585989999999999</v>
      </c>
      <c r="H495" s="3">
        <v>-0.12859999999999999</v>
      </c>
      <c r="I495">
        <v>-10399.09</v>
      </c>
      <c r="J495" s="3">
        <v>-0.1305</v>
      </c>
      <c r="K495">
        <v>51108</v>
      </c>
    </row>
    <row r="496" spans="1:11" x14ac:dyDescent="0.25">
      <c r="A496" t="s">
        <v>491</v>
      </c>
      <c r="B496" t="s">
        <v>972</v>
      </c>
      <c r="C496" t="s">
        <v>1232</v>
      </c>
      <c r="D496" s="2">
        <v>41544</v>
      </c>
      <c r="E496">
        <v>0.63144769999999995</v>
      </c>
      <c r="F496" s="2">
        <v>41628</v>
      </c>
      <c r="G496">
        <v>0.62709300000000001</v>
      </c>
      <c r="H496" s="3">
        <v>-6.8999999999999999E-3</v>
      </c>
      <c r="I496">
        <v>-694.26</v>
      </c>
      <c r="J496" s="3">
        <v>-8.8999999999999999E-3</v>
      </c>
      <c r="K496">
        <v>123682</v>
      </c>
    </row>
    <row r="497" spans="1:11" x14ac:dyDescent="0.25">
      <c r="A497" t="s">
        <v>492</v>
      </c>
      <c r="B497" t="s">
        <v>973</v>
      </c>
      <c r="C497" t="s">
        <v>1232</v>
      </c>
      <c r="D497" s="2">
        <v>41481</v>
      </c>
      <c r="E497">
        <v>1.815523</v>
      </c>
      <c r="F497" s="2">
        <v>41621</v>
      </c>
      <c r="G497">
        <v>1.8092379999999999</v>
      </c>
      <c r="H497" s="3">
        <v>-3.5000000000000001E-3</v>
      </c>
      <c r="I497">
        <v>-397.13</v>
      </c>
      <c r="J497" s="3">
        <v>-5.4999999999999997E-3</v>
      </c>
      <c r="K497">
        <v>40075</v>
      </c>
    </row>
    <row r="498" spans="1:11" x14ac:dyDescent="0.25">
      <c r="A498" t="s">
        <v>174</v>
      </c>
      <c r="B498" t="s">
        <v>729</v>
      </c>
      <c r="C498" t="s">
        <v>1232</v>
      </c>
      <c r="D498" s="2">
        <v>41361</v>
      </c>
      <c r="E498">
        <v>7.8114080000000001</v>
      </c>
      <c r="F498" s="2">
        <v>41621</v>
      </c>
      <c r="G498">
        <v>11.193669999999999</v>
      </c>
      <c r="H498" s="3">
        <v>0.433</v>
      </c>
      <c r="I498">
        <v>29667.29</v>
      </c>
      <c r="J498" s="3">
        <v>0.43059999999999998</v>
      </c>
      <c r="K498">
        <v>8821</v>
      </c>
    </row>
    <row r="499" spans="1:11" x14ac:dyDescent="0.25">
      <c r="A499" t="s">
        <v>420</v>
      </c>
      <c r="B499" t="s">
        <v>834</v>
      </c>
      <c r="C499" t="s">
        <v>1232</v>
      </c>
      <c r="D499" s="2">
        <v>41138</v>
      </c>
      <c r="E499">
        <v>2.3825980000000002</v>
      </c>
      <c r="F499" s="2">
        <v>41621</v>
      </c>
      <c r="G499">
        <v>5.5391690000000002</v>
      </c>
      <c r="H499" s="3">
        <v>1.3248</v>
      </c>
      <c r="I499">
        <v>65986.240000000005</v>
      </c>
      <c r="J499" s="3">
        <v>1.3214999999999999</v>
      </c>
      <c r="K499">
        <v>20957</v>
      </c>
    </row>
    <row r="500" spans="1:11" x14ac:dyDescent="0.25">
      <c r="A500" t="s">
        <v>493</v>
      </c>
      <c r="B500" t="s">
        <v>974</v>
      </c>
      <c r="C500" t="s">
        <v>1232</v>
      </c>
      <c r="D500" s="2">
        <v>41033</v>
      </c>
      <c r="E500">
        <v>1.287976</v>
      </c>
      <c r="F500" s="2">
        <v>41572</v>
      </c>
      <c r="G500">
        <v>1.7823910000000001</v>
      </c>
      <c r="H500" s="3">
        <v>0.38390000000000002</v>
      </c>
      <c r="I500">
        <v>20098.939999999999</v>
      </c>
      <c r="J500" s="3">
        <v>0.38150000000000001</v>
      </c>
      <c r="K500">
        <v>40906</v>
      </c>
    </row>
    <row r="501" spans="1:11" x14ac:dyDescent="0.25">
      <c r="A501" t="s">
        <v>456</v>
      </c>
      <c r="B501" t="s">
        <v>918</v>
      </c>
      <c r="C501" t="s">
        <v>1232</v>
      </c>
      <c r="D501" s="2">
        <v>41481</v>
      </c>
      <c r="E501">
        <v>1.0068760000000001</v>
      </c>
      <c r="F501" s="2">
        <v>41551</v>
      </c>
      <c r="G501">
        <v>0.99841179999999996</v>
      </c>
      <c r="H501" s="3">
        <v>-8.3999999999999995E-3</v>
      </c>
      <c r="I501">
        <v>-756.18</v>
      </c>
      <c r="J501" s="3">
        <v>-1.04E-2</v>
      </c>
      <c r="K501">
        <v>72227</v>
      </c>
    </row>
    <row r="502" spans="1:11" x14ac:dyDescent="0.25">
      <c r="A502" t="s">
        <v>494</v>
      </c>
      <c r="B502" t="s">
        <v>975</v>
      </c>
      <c r="C502" t="s">
        <v>1232</v>
      </c>
      <c r="D502" s="2">
        <v>41481</v>
      </c>
      <c r="E502">
        <v>0.505</v>
      </c>
      <c r="F502" s="2">
        <v>41544</v>
      </c>
      <c r="G502">
        <v>0.52</v>
      </c>
      <c r="H502" s="3">
        <v>2.9700000000000001E-2</v>
      </c>
      <c r="I502">
        <v>2012.32</v>
      </c>
      <c r="J502" s="3">
        <v>2.7699999999999999E-2</v>
      </c>
      <c r="K502">
        <v>143994</v>
      </c>
    </row>
    <row r="503" spans="1:11" x14ac:dyDescent="0.25">
      <c r="A503" t="s">
        <v>79</v>
      </c>
      <c r="B503" t="s">
        <v>976</v>
      </c>
      <c r="C503" t="s">
        <v>1232</v>
      </c>
      <c r="D503" s="2">
        <v>41145</v>
      </c>
      <c r="E503">
        <v>0.56495550000000005</v>
      </c>
      <c r="F503" s="2">
        <v>41460</v>
      </c>
      <c r="G503">
        <v>1.334711</v>
      </c>
      <c r="H503" s="3">
        <v>1.3625</v>
      </c>
      <c r="I503">
        <v>69418.77</v>
      </c>
      <c r="J503" s="3">
        <v>1.3591</v>
      </c>
      <c r="K503">
        <v>90406</v>
      </c>
    </row>
    <row r="504" spans="1:11" x14ac:dyDescent="0.25">
      <c r="A504" t="s">
        <v>191</v>
      </c>
      <c r="B504" t="s">
        <v>754</v>
      </c>
      <c r="C504" t="s">
        <v>1232</v>
      </c>
      <c r="D504" s="2">
        <v>41124</v>
      </c>
      <c r="E504">
        <v>0.64065729999999999</v>
      </c>
      <c r="F504" s="2">
        <v>41453</v>
      </c>
      <c r="G504">
        <v>0.63421780000000005</v>
      </c>
      <c r="H504" s="3">
        <v>-1.01E-2</v>
      </c>
      <c r="I504">
        <v>-595.71</v>
      </c>
      <c r="J504" s="3">
        <v>-1.2E-2</v>
      </c>
      <c r="K504">
        <v>77221</v>
      </c>
    </row>
    <row r="505" spans="1:11" x14ac:dyDescent="0.25">
      <c r="A505" t="s">
        <v>495</v>
      </c>
      <c r="B505" t="s">
        <v>977</v>
      </c>
      <c r="C505" t="s">
        <v>1232</v>
      </c>
      <c r="D505" s="2">
        <v>41418</v>
      </c>
      <c r="E505">
        <v>6.6406729999999996</v>
      </c>
      <c r="F505" s="2">
        <v>41439</v>
      </c>
      <c r="G505">
        <v>5.4768429999999997</v>
      </c>
      <c r="H505" s="3">
        <v>-0.17530000000000001</v>
      </c>
      <c r="I505">
        <v>-12948.36</v>
      </c>
      <c r="J505" s="3">
        <v>-0.17710000000000001</v>
      </c>
      <c r="K505">
        <v>11011</v>
      </c>
    </row>
    <row r="506" spans="1:11" x14ac:dyDescent="0.25">
      <c r="A506" t="s">
        <v>133</v>
      </c>
      <c r="B506" t="s">
        <v>685</v>
      </c>
      <c r="C506" t="s">
        <v>1232</v>
      </c>
      <c r="D506" s="2">
        <v>40578</v>
      </c>
      <c r="E506">
        <v>1.0022150000000001</v>
      </c>
      <c r="F506" s="2">
        <v>41439</v>
      </c>
      <c r="G506">
        <v>1.4878830000000001</v>
      </c>
      <c r="H506" s="3">
        <v>0.48459999999999998</v>
      </c>
      <c r="I506">
        <v>22338.28</v>
      </c>
      <c r="J506" s="3">
        <v>0.48209999999999997</v>
      </c>
      <c r="K506">
        <v>46232</v>
      </c>
    </row>
    <row r="507" spans="1:11" x14ac:dyDescent="0.25">
      <c r="A507" t="s">
        <v>265</v>
      </c>
      <c r="B507" t="s">
        <v>874</v>
      </c>
      <c r="C507" t="s">
        <v>1232</v>
      </c>
      <c r="D507" s="2">
        <v>41397</v>
      </c>
      <c r="E507">
        <v>0.99018050000000002</v>
      </c>
      <c r="F507" s="2">
        <v>41425</v>
      </c>
      <c r="G507">
        <v>0.75501260000000003</v>
      </c>
      <c r="H507" s="3">
        <v>-0.23749999999999999</v>
      </c>
      <c r="I507">
        <v>-16977.669999999998</v>
      </c>
      <c r="J507" s="3">
        <v>-0.23930000000000001</v>
      </c>
      <c r="K507">
        <v>71662</v>
      </c>
    </row>
    <row r="508" spans="1:11" x14ac:dyDescent="0.25">
      <c r="A508" t="s">
        <v>496</v>
      </c>
      <c r="B508" t="s">
        <v>978</v>
      </c>
      <c r="C508" t="s">
        <v>1232</v>
      </c>
      <c r="D508" s="2">
        <v>41383</v>
      </c>
      <c r="E508">
        <v>1.89333</v>
      </c>
      <c r="F508" s="2">
        <v>41425</v>
      </c>
      <c r="G508">
        <v>1.995924</v>
      </c>
      <c r="H508" s="3">
        <v>5.4199999999999998E-2</v>
      </c>
      <c r="I508">
        <v>3710.61</v>
      </c>
      <c r="J508" s="3">
        <v>5.21E-2</v>
      </c>
      <c r="K508">
        <v>37593</v>
      </c>
    </row>
    <row r="509" spans="1:11" x14ac:dyDescent="0.25">
      <c r="A509" t="s">
        <v>294</v>
      </c>
      <c r="B509" t="s">
        <v>979</v>
      </c>
      <c r="C509" t="s">
        <v>1232</v>
      </c>
      <c r="D509" s="2">
        <v>41361</v>
      </c>
      <c r="E509">
        <v>2.1965889999999999</v>
      </c>
      <c r="F509" s="2">
        <v>41425</v>
      </c>
      <c r="G509">
        <v>2.2030880000000002</v>
      </c>
      <c r="H509" s="3">
        <v>3.0000000000000001E-3</v>
      </c>
      <c r="I509">
        <v>65.849999999999994</v>
      </c>
      <c r="J509" s="3">
        <v>1E-3</v>
      </c>
      <c r="K509">
        <v>31366</v>
      </c>
    </row>
    <row r="510" spans="1:11" x14ac:dyDescent="0.25">
      <c r="A510" t="s">
        <v>295</v>
      </c>
      <c r="B510" t="s">
        <v>980</v>
      </c>
      <c r="C510" t="s">
        <v>1232</v>
      </c>
      <c r="D510" s="2">
        <v>41271</v>
      </c>
      <c r="E510">
        <v>2.3177050000000001</v>
      </c>
      <c r="F510" s="2">
        <v>41425</v>
      </c>
      <c r="G510">
        <v>2.0983350000000001</v>
      </c>
      <c r="H510" s="3">
        <v>-9.4600000000000004E-2</v>
      </c>
      <c r="I510">
        <v>-5763.39</v>
      </c>
      <c r="J510" s="3">
        <v>-9.6600000000000005E-2</v>
      </c>
      <c r="K510">
        <v>25754</v>
      </c>
    </row>
    <row r="511" spans="1:11" x14ac:dyDescent="0.25">
      <c r="A511" t="s">
        <v>463</v>
      </c>
      <c r="B511" t="s">
        <v>928</v>
      </c>
      <c r="C511" t="s">
        <v>1232</v>
      </c>
      <c r="D511" s="2">
        <v>41131</v>
      </c>
      <c r="E511">
        <v>0.52745649999999999</v>
      </c>
      <c r="F511" s="2">
        <v>41425</v>
      </c>
      <c r="G511">
        <v>0.7905818</v>
      </c>
      <c r="H511" s="3">
        <v>0.49890000000000001</v>
      </c>
      <c r="I511">
        <v>24631.35</v>
      </c>
      <c r="J511" s="3">
        <v>0.49640000000000001</v>
      </c>
      <c r="K511">
        <v>94082</v>
      </c>
    </row>
    <row r="512" spans="1:11" x14ac:dyDescent="0.25">
      <c r="A512" t="s">
        <v>475</v>
      </c>
      <c r="B512" t="s">
        <v>948</v>
      </c>
      <c r="C512" t="s">
        <v>1232</v>
      </c>
      <c r="D512" s="2">
        <v>41124</v>
      </c>
      <c r="E512">
        <v>1.056651</v>
      </c>
      <c r="F512" s="2">
        <v>41425</v>
      </c>
      <c r="G512">
        <v>1.6926639999999999</v>
      </c>
      <c r="H512" s="3">
        <v>0.60189999999999999</v>
      </c>
      <c r="I512">
        <v>29646.240000000002</v>
      </c>
      <c r="J512" s="3">
        <v>0.59930000000000005</v>
      </c>
      <c r="K512">
        <v>46815</v>
      </c>
    </row>
    <row r="513" spans="1:11" x14ac:dyDescent="0.25">
      <c r="A513" t="s">
        <v>296</v>
      </c>
      <c r="B513" t="s">
        <v>981</v>
      </c>
      <c r="C513" t="s">
        <v>1232</v>
      </c>
      <c r="D513" s="2">
        <v>41117</v>
      </c>
      <c r="E513">
        <v>0.51900639999999998</v>
      </c>
      <c r="F513" s="2">
        <v>41425</v>
      </c>
      <c r="G513">
        <v>0.72275509999999998</v>
      </c>
      <c r="H513" s="3">
        <v>0.3926</v>
      </c>
      <c r="I513">
        <v>19275.43</v>
      </c>
      <c r="J513" s="3">
        <v>0.39019999999999999</v>
      </c>
      <c r="K513">
        <v>95184</v>
      </c>
    </row>
    <row r="514" spans="1:11" x14ac:dyDescent="0.25">
      <c r="A514" t="s">
        <v>297</v>
      </c>
      <c r="B514" t="s">
        <v>982</v>
      </c>
      <c r="C514" t="s">
        <v>1232</v>
      </c>
      <c r="D514" s="2">
        <v>41271</v>
      </c>
      <c r="E514">
        <v>0.93147990000000003</v>
      </c>
      <c r="F514" s="2">
        <v>41411</v>
      </c>
      <c r="G514">
        <v>1.040705</v>
      </c>
      <c r="H514" s="3">
        <v>0.1173</v>
      </c>
      <c r="I514">
        <v>6872.34</v>
      </c>
      <c r="J514" s="3">
        <v>0.11509999999999999</v>
      </c>
      <c r="K514">
        <v>64076</v>
      </c>
    </row>
    <row r="515" spans="1:11" x14ac:dyDescent="0.25">
      <c r="A515" t="s">
        <v>265</v>
      </c>
      <c r="B515" t="s">
        <v>874</v>
      </c>
      <c r="C515" t="s">
        <v>1232</v>
      </c>
      <c r="D515" s="2">
        <v>41355</v>
      </c>
      <c r="E515">
        <v>0.91591699999999998</v>
      </c>
      <c r="F515" s="2">
        <v>41390</v>
      </c>
      <c r="G515">
        <v>0.81689889999999998</v>
      </c>
      <c r="H515" s="3">
        <v>-0.1081</v>
      </c>
      <c r="I515">
        <v>-7661</v>
      </c>
      <c r="J515" s="3">
        <v>-0.11</v>
      </c>
      <c r="K515">
        <v>76039</v>
      </c>
    </row>
    <row r="516" spans="1:11" x14ac:dyDescent="0.25">
      <c r="A516" t="s">
        <v>298</v>
      </c>
      <c r="B516" t="s">
        <v>983</v>
      </c>
      <c r="C516" t="s">
        <v>1232</v>
      </c>
      <c r="D516" s="2">
        <v>41271</v>
      </c>
      <c r="E516">
        <v>0.87289919999999999</v>
      </c>
      <c r="F516" s="2">
        <v>41390</v>
      </c>
      <c r="G516">
        <v>0.92788510000000002</v>
      </c>
      <c r="H516" s="3">
        <v>6.3E-2</v>
      </c>
      <c r="I516">
        <v>3636.21</v>
      </c>
      <c r="J516" s="3">
        <v>6.0900000000000003E-2</v>
      </c>
      <c r="K516">
        <v>68369</v>
      </c>
    </row>
    <row r="517" spans="1:11" x14ac:dyDescent="0.25">
      <c r="A517" t="s">
        <v>497</v>
      </c>
      <c r="B517" t="s">
        <v>984</v>
      </c>
      <c r="C517" t="s">
        <v>1232</v>
      </c>
      <c r="D517" s="2">
        <v>40865</v>
      </c>
      <c r="E517">
        <v>0.71701389999999998</v>
      </c>
      <c r="F517" s="2">
        <v>41390</v>
      </c>
      <c r="G517">
        <v>1.039347</v>
      </c>
      <c r="H517" s="3">
        <v>0.44950000000000001</v>
      </c>
      <c r="I517">
        <v>21548.53</v>
      </c>
      <c r="J517" s="3">
        <v>0.4471</v>
      </c>
      <c r="K517">
        <v>67218</v>
      </c>
    </row>
    <row r="518" spans="1:11" x14ac:dyDescent="0.25">
      <c r="A518" t="s">
        <v>299</v>
      </c>
      <c r="B518" t="s">
        <v>985</v>
      </c>
      <c r="C518" t="s">
        <v>1232</v>
      </c>
      <c r="D518" s="2">
        <v>41222</v>
      </c>
      <c r="E518">
        <v>0.4961026</v>
      </c>
      <c r="F518" s="2">
        <v>41376</v>
      </c>
      <c r="G518">
        <v>0.80901590000000001</v>
      </c>
      <c r="H518" s="3">
        <v>0.63070000000000004</v>
      </c>
      <c r="I518">
        <v>35685.68</v>
      </c>
      <c r="J518" s="3">
        <v>0.62809999999999999</v>
      </c>
      <c r="K518">
        <v>114521</v>
      </c>
    </row>
    <row r="519" spans="1:11" x14ac:dyDescent="0.25">
      <c r="A519" t="s">
        <v>88</v>
      </c>
      <c r="B519" t="s">
        <v>986</v>
      </c>
      <c r="C519" t="s">
        <v>1232</v>
      </c>
      <c r="D519" s="2">
        <v>41138</v>
      </c>
      <c r="E519">
        <v>1.2528269999999999</v>
      </c>
      <c r="F519" s="2">
        <v>41361</v>
      </c>
      <c r="G519">
        <v>3.6424509999999999</v>
      </c>
      <c r="H519" s="3">
        <v>1.9074</v>
      </c>
      <c r="I519">
        <v>95081.52</v>
      </c>
      <c r="J519" s="3">
        <v>1.9035</v>
      </c>
      <c r="K519">
        <v>39871</v>
      </c>
    </row>
    <row r="520" spans="1:11" x14ac:dyDescent="0.25">
      <c r="A520" t="s">
        <v>300</v>
      </c>
      <c r="B520" t="s">
        <v>987</v>
      </c>
      <c r="C520" t="s">
        <v>1232</v>
      </c>
      <c r="D520" s="2">
        <v>41250</v>
      </c>
      <c r="E520">
        <v>0.86585749999999995</v>
      </c>
      <c r="F520" s="2">
        <v>41355</v>
      </c>
      <c r="G520">
        <v>0.64137599999999995</v>
      </c>
      <c r="H520" s="3">
        <v>-0.25929999999999997</v>
      </c>
      <c r="I520">
        <v>-15012.43</v>
      </c>
      <c r="J520" s="3">
        <v>-0.26100000000000001</v>
      </c>
      <c r="K520">
        <v>66430</v>
      </c>
    </row>
    <row r="521" spans="1:11" x14ac:dyDescent="0.25">
      <c r="A521" t="s">
        <v>131</v>
      </c>
      <c r="B521" t="s">
        <v>400</v>
      </c>
      <c r="C521" t="s">
        <v>1232</v>
      </c>
      <c r="D521" s="2">
        <v>41278</v>
      </c>
      <c r="E521">
        <v>1.8438479999999999</v>
      </c>
      <c r="F521" s="2">
        <v>41334</v>
      </c>
      <c r="G521">
        <v>1.8491310000000001</v>
      </c>
      <c r="H521" s="3">
        <v>2.8999999999999998E-3</v>
      </c>
      <c r="I521">
        <v>52.44</v>
      </c>
      <c r="J521" s="3">
        <v>8.9999999999999998E-4</v>
      </c>
      <c r="K521">
        <v>32979</v>
      </c>
    </row>
    <row r="522" spans="1:11" x14ac:dyDescent="0.25">
      <c r="A522" t="s">
        <v>498</v>
      </c>
      <c r="B522" t="s">
        <v>988</v>
      </c>
      <c r="C522" t="s">
        <v>1232</v>
      </c>
      <c r="D522" s="2">
        <v>40886</v>
      </c>
      <c r="E522">
        <v>2.2955390000000002</v>
      </c>
      <c r="F522" s="2">
        <v>41278</v>
      </c>
      <c r="G522">
        <v>3.9233609999999999</v>
      </c>
      <c r="H522" s="3">
        <v>0.70909999999999995</v>
      </c>
      <c r="I522">
        <v>33797.449999999997</v>
      </c>
      <c r="J522" s="3">
        <v>0.70640000000000003</v>
      </c>
      <c r="K522">
        <v>20842</v>
      </c>
    </row>
    <row r="523" spans="1:11" x14ac:dyDescent="0.25">
      <c r="A523" t="s">
        <v>78</v>
      </c>
      <c r="B523" t="s">
        <v>951</v>
      </c>
      <c r="C523" t="s">
        <v>1232</v>
      </c>
      <c r="D523" s="2">
        <v>41229</v>
      </c>
      <c r="E523">
        <v>0.56000000000000005</v>
      </c>
      <c r="F523" s="2">
        <v>41257</v>
      </c>
      <c r="G523">
        <v>0.48499999999999999</v>
      </c>
      <c r="H523" s="3">
        <v>-0.13389999999999999</v>
      </c>
      <c r="I523">
        <v>-7829.9</v>
      </c>
      <c r="J523" s="3">
        <v>-0.1358</v>
      </c>
      <c r="K523">
        <v>102964</v>
      </c>
    </row>
    <row r="524" spans="1:11" x14ac:dyDescent="0.25">
      <c r="A524" t="s">
        <v>499</v>
      </c>
      <c r="B524" t="s">
        <v>989</v>
      </c>
      <c r="C524" t="s">
        <v>1232</v>
      </c>
      <c r="D524" s="2">
        <v>41180</v>
      </c>
      <c r="E524">
        <v>0.55157009999999995</v>
      </c>
      <c r="F524" s="2">
        <v>41243</v>
      </c>
      <c r="G524">
        <v>0.41367759999999998</v>
      </c>
      <c r="H524" s="3">
        <v>-0.25</v>
      </c>
      <c r="I524">
        <v>-13616.67</v>
      </c>
      <c r="J524" s="3">
        <v>-0.25169999999999998</v>
      </c>
      <c r="K524">
        <v>98062</v>
      </c>
    </row>
    <row r="525" spans="1:11" x14ac:dyDescent="0.25">
      <c r="A525" t="s">
        <v>91</v>
      </c>
      <c r="B525" t="s">
        <v>990</v>
      </c>
      <c r="C525" t="s">
        <v>1232</v>
      </c>
      <c r="D525" s="2">
        <v>41138</v>
      </c>
      <c r="E525">
        <v>0.71609959999999995</v>
      </c>
      <c r="F525" s="2">
        <v>41243</v>
      </c>
      <c r="G525">
        <v>1.1584650000000001</v>
      </c>
      <c r="H525" s="3">
        <v>0.61770000000000003</v>
      </c>
      <c r="I525">
        <v>30717.63</v>
      </c>
      <c r="J525" s="3">
        <v>0.61509999999999998</v>
      </c>
      <c r="K525">
        <v>69735</v>
      </c>
    </row>
    <row r="526" spans="1:11" x14ac:dyDescent="0.25">
      <c r="A526" t="s">
        <v>83</v>
      </c>
      <c r="B526" t="s">
        <v>991</v>
      </c>
      <c r="C526" t="s">
        <v>1232</v>
      </c>
      <c r="D526" s="2">
        <v>41138</v>
      </c>
      <c r="E526">
        <v>1.8984749999999999</v>
      </c>
      <c r="F526" s="2">
        <v>41243</v>
      </c>
      <c r="G526">
        <v>1.8913740000000001</v>
      </c>
      <c r="H526" s="3">
        <v>-3.7000000000000002E-3</v>
      </c>
      <c r="I526">
        <v>-286.49</v>
      </c>
      <c r="J526" s="3">
        <v>-5.7000000000000002E-3</v>
      </c>
      <c r="K526">
        <v>26306</v>
      </c>
    </row>
    <row r="527" spans="1:11" x14ac:dyDescent="0.25">
      <c r="A527" t="s">
        <v>268</v>
      </c>
      <c r="B527" t="s">
        <v>892</v>
      </c>
      <c r="C527" t="s">
        <v>1232</v>
      </c>
      <c r="D527" s="2">
        <v>41117</v>
      </c>
      <c r="E527">
        <v>0.77645529999999996</v>
      </c>
      <c r="F527" s="2">
        <v>41236</v>
      </c>
      <c r="G527">
        <v>0.79602989999999996</v>
      </c>
      <c r="H527" s="3">
        <v>2.52E-2</v>
      </c>
      <c r="I527">
        <v>1145.1300000000001</v>
      </c>
      <c r="J527" s="3">
        <v>2.3199999999999998E-2</v>
      </c>
      <c r="K527">
        <v>63611</v>
      </c>
    </row>
    <row r="528" spans="1:11" x14ac:dyDescent="0.25">
      <c r="A528" t="s">
        <v>500</v>
      </c>
      <c r="B528" t="s">
        <v>992</v>
      </c>
      <c r="C528" t="s">
        <v>1232</v>
      </c>
      <c r="D528" s="2">
        <v>41194</v>
      </c>
      <c r="E528">
        <v>0.54138459999999999</v>
      </c>
      <c r="F528" s="2">
        <v>41229</v>
      </c>
      <c r="G528">
        <v>0.4534975</v>
      </c>
      <c r="H528" s="3">
        <v>-0.1623</v>
      </c>
      <c r="I528">
        <v>-9142.31</v>
      </c>
      <c r="J528" s="3">
        <v>-0.16420000000000001</v>
      </c>
      <c r="K528">
        <v>102859</v>
      </c>
    </row>
    <row r="529" spans="1:11" x14ac:dyDescent="0.25">
      <c r="A529" t="s">
        <v>501</v>
      </c>
      <c r="B529" t="s">
        <v>993</v>
      </c>
      <c r="C529" t="s">
        <v>1232</v>
      </c>
      <c r="D529" s="2">
        <v>41124</v>
      </c>
      <c r="E529">
        <v>1.965805</v>
      </c>
      <c r="F529" s="2">
        <v>41229</v>
      </c>
      <c r="G529">
        <v>1.7850410000000001</v>
      </c>
      <c r="H529" s="3">
        <v>-9.1999999999999998E-2</v>
      </c>
      <c r="I529">
        <v>-4642.58</v>
      </c>
      <c r="J529" s="3">
        <v>-9.3899999999999997E-2</v>
      </c>
      <c r="K529">
        <v>25161</v>
      </c>
    </row>
    <row r="530" spans="1:11" x14ac:dyDescent="0.25">
      <c r="A530" t="s">
        <v>502</v>
      </c>
      <c r="B530" t="s">
        <v>994</v>
      </c>
      <c r="C530" t="s">
        <v>1232</v>
      </c>
      <c r="D530" s="2">
        <v>40851</v>
      </c>
      <c r="E530">
        <v>1.01746</v>
      </c>
      <c r="F530" s="2">
        <v>41211</v>
      </c>
      <c r="G530">
        <v>1.26</v>
      </c>
      <c r="H530" s="3">
        <v>0.2384</v>
      </c>
      <c r="I530">
        <v>11241.88</v>
      </c>
      <c r="J530" s="3">
        <v>0.2361</v>
      </c>
      <c r="K530">
        <v>46790</v>
      </c>
    </row>
    <row r="531" spans="1:11" x14ac:dyDescent="0.25">
      <c r="A531" t="s">
        <v>503</v>
      </c>
      <c r="B531" t="s">
        <v>995</v>
      </c>
      <c r="C531" t="s">
        <v>1232</v>
      </c>
      <c r="D531" s="2">
        <v>40935</v>
      </c>
      <c r="E531">
        <v>0.57999999999999996</v>
      </c>
      <c r="F531" s="2">
        <v>41197</v>
      </c>
      <c r="G531">
        <v>0.79500000000000004</v>
      </c>
      <c r="H531" s="3">
        <v>0.37069999999999997</v>
      </c>
      <c r="I531">
        <v>17085.3</v>
      </c>
      <c r="J531" s="3">
        <v>0.36830000000000002</v>
      </c>
      <c r="K531">
        <v>79978</v>
      </c>
    </row>
    <row r="532" spans="1:11" x14ac:dyDescent="0.25">
      <c r="A532" t="s">
        <v>504</v>
      </c>
      <c r="B532" t="s">
        <v>996</v>
      </c>
      <c r="C532" t="s">
        <v>1232</v>
      </c>
      <c r="D532" s="2">
        <v>41117</v>
      </c>
      <c r="E532">
        <v>1.02</v>
      </c>
      <c r="F532" s="2">
        <v>41191</v>
      </c>
      <c r="G532">
        <v>1.0449999999999999</v>
      </c>
      <c r="H532" s="3">
        <v>2.4500000000000001E-2</v>
      </c>
      <c r="I532">
        <v>1110.67</v>
      </c>
      <c r="J532" s="3">
        <v>2.2499999999999999E-2</v>
      </c>
      <c r="K532">
        <v>48427</v>
      </c>
    </row>
    <row r="533" spans="1:11" x14ac:dyDescent="0.25">
      <c r="A533" t="s">
        <v>505</v>
      </c>
      <c r="B533" t="s">
        <v>997</v>
      </c>
      <c r="C533" t="s">
        <v>1232</v>
      </c>
      <c r="D533" s="2">
        <v>41145</v>
      </c>
      <c r="E533">
        <v>0.51</v>
      </c>
      <c r="F533" s="2">
        <v>41178</v>
      </c>
      <c r="G533">
        <v>0.51500000000000001</v>
      </c>
      <c r="H533" s="3">
        <v>9.7999999999999997E-3</v>
      </c>
      <c r="I533">
        <v>398.13</v>
      </c>
      <c r="J533" s="3">
        <v>7.7999999999999996E-3</v>
      </c>
      <c r="K533">
        <v>100158</v>
      </c>
    </row>
    <row r="534" spans="1:11" x14ac:dyDescent="0.25">
      <c r="A534" t="s">
        <v>506</v>
      </c>
      <c r="B534" t="s">
        <v>998</v>
      </c>
      <c r="C534" t="s">
        <v>1232</v>
      </c>
      <c r="D534" s="2">
        <v>41124</v>
      </c>
      <c r="E534">
        <v>0.77500000000000002</v>
      </c>
      <c r="F534" s="2">
        <v>41143</v>
      </c>
      <c r="G534">
        <v>0.78</v>
      </c>
      <c r="H534" s="3">
        <v>6.4999999999999997E-3</v>
      </c>
      <c r="I534">
        <v>219.93</v>
      </c>
      <c r="J534" s="3">
        <v>4.4000000000000003E-3</v>
      </c>
      <c r="K534">
        <v>63841</v>
      </c>
    </row>
    <row r="535" spans="1:11" x14ac:dyDescent="0.25">
      <c r="A535" t="s">
        <v>471</v>
      </c>
      <c r="B535" t="s">
        <v>940</v>
      </c>
      <c r="C535" t="s">
        <v>1232</v>
      </c>
      <c r="D535" s="2">
        <v>41026</v>
      </c>
      <c r="E535">
        <v>0.81491740000000001</v>
      </c>
      <c r="F535" s="2">
        <v>41117</v>
      </c>
      <c r="G535">
        <v>0.73620379999999996</v>
      </c>
      <c r="H535" s="3">
        <v>-9.6600000000000005E-2</v>
      </c>
      <c r="I535">
        <v>-5188.2299999999996</v>
      </c>
      <c r="J535" s="3">
        <v>-9.8500000000000004E-2</v>
      </c>
      <c r="K535">
        <v>64639</v>
      </c>
    </row>
    <row r="536" spans="1:11" x14ac:dyDescent="0.25">
      <c r="A536" t="s">
        <v>301</v>
      </c>
      <c r="B536" t="s">
        <v>999</v>
      </c>
      <c r="C536" t="s">
        <v>1232</v>
      </c>
      <c r="D536" s="2">
        <v>41039</v>
      </c>
      <c r="E536">
        <v>0.54516830000000005</v>
      </c>
      <c r="F536" s="2">
        <v>41054</v>
      </c>
      <c r="G536">
        <v>0.51680700000000002</v>
      </c>
      <c r="H536" s="3">
        <v>-5.1999999999999998E-2</v>
      </c>
      <c r="I536">
        <v>-2854.62</v>
      </c>
      <c r="J536" s="3">
        <v>-5.3999999999999999E-2</v>
      </c>
      <c r="K536">
        <v>97019</v>
      </c>
    </row>
    <row r="537" spans="1:11" x14ac:dyDescent="0.25">
      <c r="A537" t="s">
        <v>172</v>
      </c>
      <c r="B537" t="s">
        <v>726</v>
      </c>
      <c r="C537" t="s">
        <v>1232</v>
      </c>
      <c r="D537" s="2">
        <v>40970</v>
      </c>
      <c r="E537">
        <v>2.86755</v>
      </c>
      <c r="F537" s="2">
        <v>41054</v>
      </c>
      <c r="G537">
        <v>2.564727</v>
      </c>
      <c r="H537" s="3">
        <v>-0.1056</v>
      </c>
      <c r="I537">
        <v>-5445.33</v>
      </c>
      <c r="J537" s="3">
        <v>-0.1075</v>
      </c>
      <c r="K537">
        <v>17665</v>
      </c>
    </row>
    <row r="538" spans="1:11" x14ac:dyDescent="0.25">
      <c r="A538" t="s">
        <v>88</v>
      </c>
      <c r="B538" t="s">
        <v>986</v>
      </c>
      <c r="C538" t="s">
        <v>1232</v>
      </c>
      <c r="D538" s="2">
        <v>40935</v>
      </c>
      <c r="E538">
        <v>0.75686030000000004</v>
      </c>
      <c r="F538" s="2">
        <v>41054</v>
      </c>
      <c r="G538">
        <v>0.92004509999999995</v>
      </c>
      <c r="H538" s="3">
        <v>0.21560000000000001</v>
      </c>
      <c r="I538">
        <v>9900.43</v>
      </c>
      <c r="J538" s="3">
        <v>0.21340000000000001</v>
      </c>
      <c r="K538">
        <v>61300</v>
      </c>
    </row>
    <row r="539" spans="1:11" x14ac:dyDescent="0.25">
      <c r="A539" t="s">
        <v>507</v>
      </c>
      <c r="B539" t="s">
        <v>1000</v>
      </c>
      <c r="C539" t="s">
        <v>1232</v>
      </c>
      <c r="D539" s="2">
        <v>40928</v>
      </c>
      <c r="E539">
        <v>1.5635060000000001</v>
      </c>
      <c r="F539" s="2">
        <v>41054</v>
      </c>
      <c r="G539">
        <v>1.7100919999999999</v>
      </c>
      <c r="H539" s="3">
        <v>9.3799999999999994E-2</v>
      </c>
      <c r="I539">
        <v>4220.6899999999996</v>
      </c>
      <c r="J539" s="3">
        <v>9.1700000000000004E-2</v>
      </c>
      <c r="K539">
        <v>29451</v>
      </c>
    </row>
    <row r="540" spans="1:11" x14ac:dyDescent="0.25">
      <c r="A540" t="s">
        <v>508</v>
      </c>
      <c r="B540" t="s">
        <v>1001</v>
      </c>
      <c r="C540" t="s">
        <v>1232</v>
      </c>
      <c r="D540" s="2">
        <v>40886</v>
      </c>
      <c r="E540">
        <v>1.439516</v>
      </c>
      <c r="F540" s="2">
        <v>41054</v>
      </c>
      <c r="G540">
        <v>1.4795659999999999</v>
      </c>
      <c r="H540" s="3">
        <v>2.7799999999999998E-2</v>
      </c>
      <c r="I540">
        <v>1234.01</v>
      </c>
      <c r="J540" s="3">
        <v>2.58E-2</v>
      </c>
      <c r="K540">
        <v>33234</v>
      </c>
    </row>
    <row r="541" spans="1:11" x14ac:dyDescent="0.25">
      <c r="A541" t="s">
        <v>475</v>
      </c>
      <c r="B541" t="s">
        <v>948</v>
      </c>
      <c r="C541" t="s">
        <v>1232</v>
      </c>
      <c r="D541" s="2">
        <v>40886</v>
      </c>
      <c r="E541">
        <v>0.77337889999999998</v>
      </c>
      <c r="F541" s="2">
        <v>41054</v>
      </c>
      <c r="G541">
        <v>0.90827060000000004</v>
      </c>
      <c r="H541" s="3">
        <v>0.1744</v>
      </c>
      <c r="I541">
        <v>8241.84</v>
      </c>
      <c r="J541" s="3">
        <v>0.17219999999999999</v>
      </c>
      <c r="K541">
        <v>61871</v>
      </c>
    </row>
    <row r="542" spans="1:11" x14ac:dyDescent="0.25">
      <c r="A542" t="s">
        <v>509</v>
      </c>
      <c r="B542" t="s">
        <v>1002</v>
      </c>
      <c r="C542" t="s">
        <v>1232</v>
      </c>
      <c r="D542" s="2">
        <v>40935</v>
      </c>
      <c r="E542">
        <v>2.4171290000000001</v>
      </c>
      <c r="F542" s="2">
        <v>41047</v>
      </c>
      <c r="G542">
        <v>3.3349540000000002</v>
      </c>
      <c r="H542" s="3">
        <v>0.37969999999999998</v>
      </c>
      <c r="I542">
        <v>17504.5</v>
      </c>
      <c r="J542" s="3">
        <v>0.37730000000000002</v>
      </c>
      <c r="K542">
        <v>19192</v>
      </c>
    </row>
    <row r="543" spans="1:11" x14ac:dyDescent="0.25">
      <c r="A543" t="s">
        <v>510</v>
      </c>
      <c r="B543" t="s">
        <v>1003</v>
      </c>
      <c r="C543" t="s">
        <v>1232</v>
      </c>
      <c r="D543" s="2">
        <v>40886</v>
      </c>
      <c r="E543">
        <v>0.79071999999999998</v>
      </c>
      <c r="F543" s="2">
        <v>41047</v>
      </c>
      <c r="G543">
        <v>1.176196</v>
      </c>
      <c r="H543" s="3">
        <v>0.48749999999999999</v>
      </c>
      <c r="I543">
        <v>23212.27</v>
      </c>
      <c r="J543" s="3">
        <v>0.48499999999999999</v>
      </c>
      <c r="K543">
        <v>60526</v>
      </c>
    </row>
    <row r="544" spans="1:11" x14ac:dyDescent="0.25">
      <c r="A544" t="s">
        <v>83</v>
      </c>
      <c r="B544" t="s">
        <v>991</v>
      </c>
      <c r="C544" t="s">
        <v>1232</v>
      </c>
      <c r="D544" s="2">
        <v>40851</v>
      </c>
      <c r="E544">
        <v>1.1687240000000001</v>
      </c>
      <c r="F544" s="2">
        <v>41047</v>
      </c>
      <c r="G544">
        <v>1.562287</v>
      </c>
      <c r="H544" s="3">
        <v>0.3367</v>
      </c>
      <c r="I544">
        <v>15918.59</v>
      </c>
      <c r="J544" s="3">
        <v>0.33439999999999998</v>
      </c>
      <c r="K544">
        <v>40730</v>
      </c>
    </row>
    <row r="545" spans="1:11" x14ac:dyDescent="0.25">
      <c r="A545" t="s">
        <v>511</v>
      </c>
      <c r="B545" t="s">
        <v>1004</v>
      </c>
      <c r="C545" t="s">
        <v>1232</v>
      </c>
      <c r="D545" s="2">
        <v>40851</v>
      </c>
      <c r="E545">
        <v>1.685203</v>
      </c>
      <c r="F545" s="2">
        <v>41047</v>
      </c>
      <c r="G545">
        <v>1.8611690000000001</v>
      </c>
      <c r="H545" s="3">
        <v>0.10440000000000001</v>
      </c>
      <c r="I545">
        <v>4871.72</v>
      </c>
      <c r="J545" s="3">
        <v>0.1023</v>
      </c>
      <c r="K545">
        <v>28255</v>
      </c>
    </row>
    <row r="546" spans="1:11" x14ac:dyDescent="0.25">
      <c r="A546" t="s">
        <v>293</v>
      </c>
      <c r="B546" t="s">
        <v>968</v>
      </c>
      <c r="C546" t="s">
        <v>1232</v>
      </c>
      <c r="D546" s="2">
        <v>40984</v>
      </c>
      <c r="E546">
        <v>3.4429090000000002</v>
      </c>
      <c r="F546" s="2">
        <v>41044</v>
      </c>
      <c r="G546">
        <v>2.4476589999999998</v>
      </c>
      <c r="H546" s="3">
        <v>-0.28910000000000002</v>
      </c>
      <c r="I546">
        <v>-14653.69</v>
      </c>
      <c r="J546" s="3">
        <v>-0.2908</v>
      </c>
      <c r="K546">
        <v>14637</v>
      </c>
    </row>
    <row r="547" spans="1:11" x14ac:dyDescent="0.25">
      <c r="A547" t="s">
        <v>302</v>
      </c>
      <c r="B547" t="s">
        <v>1005</v>
      </c>
      <c r="C547" t="s">
        <v>1232</v>
      </c>
      <c r="D547" s="2">
        <v>40928</v>
      </c>
      <c r="E547">
        <v>7.9938500000000001</v>
      </c>
      <c r="F547" s="2">
        <v>41044</v>
      </c>
      <c r="G547">
        <v>6.9135999999999997</v>
      </c>
      <c r="H547" s="3">
        <v>-0.1351</v>
      </c>
      <c r="I547">
        <v>-6308.11</v>
      </c>
      <c r="J547" s="3">
        <v>-0.13700000000000001</v>
      </c>
      <c r="K547">
        <v>5760</v>
      </c>
    </row>
    <row r="548" spans="1:11" x14ac:dyDescent="0.25">
      <c r="A548" t="s">
        <v>489</v>
      </c>
      <c r="B548" t="s">
        <v>970</v>
      </c>
      <c r="C548" t="s">
        <v>1232</v>
      </c>
      <c r="D548" s="2">
        <v>40942</v>
      </c>
      <c r="E548">
        <v>1.8673120000000001</v>
      </c>
      <c r="F548" s="2">
        <v>41033</v>
      </c>
      <c r="G548">
        <v>1.4938499999999999</v>
      </c>
      <c r="H548" s="3">
        <v>-0.2</v>
      </c>
      <c r="I548">
        <v>-9379.51</v>
      </c>
      <c r="J548" s="3">
        <v>-0.20180000000000001</v>
      </c>
      <c r="K548">
        <v>24891</v>
      </c>
    </row>
    <row r="549" spans="1:11" x14ac:dyDescent="0.25">
      <c r="A549" t="s">
        <v>479</v>
      </c>
      <c r="B549" t="s">
        <v>957</v>
      </c>
      <c r="C549" t="s">
        <v>1232</v>
      </c>
      <c r="D549" s="2">
        <v>40935</v>
      </c>
      <c r="E549">
        <v>1.56</v>
      </c>
      <c r="F549" s="2">
        <v>41026</v>
      </c>
      <c r="G549">
        <v>1.405</v>
      </c>
      <c r="H549" s="3">
        <v>-9.9400000000000002E-2</v>
      </c>
      <c r="I549">
        <v>-4698.3500000000004</v>
      </c>
      <c r="J549" s="3">
        <v>-0.1013</v>
      </c>
      <c r="K549">
        <v>29743</v>
      </c>
    </row>
    <row r="550" spans="1:11" x14ac:dyDescent="0.25">
      <c r="A550" t="s">
        <v>412</v>
      </c>
      <c r="B550" t="s">
        <v>795</v>
      </c>
      <c r="C550" t="s">
        <v>1232</v>
      </c>
      <c r="D550" s="2">
        <v>40928</v>
      </c>
      <c r="E550">
        <v>5.9722030000000004</v>
      </c>
      <c r="F550" s="2">
        <v>41026</v>
      </c>
      <c r="G550">
        <v>8.3462460000000007</v>
      </c>
      <c r="H550" s="3">
        <v>0.39750000000000002</v>
      </c>
      <c r="I550">
        <v>18195.87</v>
      </c>
      <c r="J550" s="3">
        <v>0.39510000000000001</v>
      </c>
      <c r="K550">
        <v>7711</v>
      </c>
    </row>
    <row r="551" spans="1:11" x14ac:dyDescent="0.25">
      <c r="A551" t="s">
        <v>512</v>
      </c>
      <c r="B551" t="s">
        <v>1006</v>
      </c>
      <c r="C551" t="s">
        <v>1232</v>
      </c>
      <c r="D551" s="2">
        <v>40928</v>
      </c>
      <c r="E551">
        <v>6.4691729999999996</v>
      </c>
      <c r="F551" s="2">
        <v>41011</v>
      </c>
      <c r="G551">
        <v>5.5768740000000001</v>
      </c>
      <c r="H551" s="3">
        <v>-0.13789999999999999</v>
      </c>
      <c r="I551">
        <v>-6438.94</v>
      </c>
      <c r="J551" s="3">
        <v>-0.13980000000000001</v>
      </c>
      <c r="K551">
        <v>7120</v>
      </c>
    </row>
    <row r="552" spans="1:11" x14ac:dyDescent="0.25">
      <c r="A552" t="s">
        <v>513</v>
      </c>
      <c r="B552" t="s">
        <v>1007</v>
      </c>
      <c r="C552" t="s">
        <v>1232</v>
      </c>
      <c r="D552" s="2">
        <v>40885</v>
      </c>
      <c r="E552">
        <v>8.6770910000000008</v>
      </c>
      <c r="F552" s="2">
        <v>40984</v>
      </c>
      <c r="G552">
        <v>6.9306859999999997</v>
      </c>
      <c r="H552" s="3">
        <v>-0.20130000000000001</v>
      </c>
      <c r="I552">
        <v>-9726.31</v>
      </c>
      <c r="J552" s="3">
        <v>-0.2031</v>
      </c>
      <c r="K552">
        <v>5520</v>
      </c>
    </row>
    <row r="553" spans="1:11" x14ac:dyDescent="0.25">
      <c r="A553" t="s">
        <v>514</v>
      </c>
      <c r="B553" t="s">
        <v>1008</v>
      </c>
      <c r="C553" t="s">
        <v>1232</v>
      </c>
      <c r="D553" s="2">
        <v>40865</v>
      </c>
      <c r="E553">
        <v>4.41</v>
      </c>
      <c r="F553" s="2">
        <v>40969</v>
      </c>
      <c r="G553">
        <v>4.41</v>
      </c>
      <c r="H553" s="3">
        <v>0</v>
      </c>
      <c r="I553">
        <v>-96.38</v>
      </c>
      <c r="J553" s="3">
        <v>-2E-3</v>
      </c>
      <c r="K553">
        <v>10927</v>
      </c>
    </row>
    <row r="554" spans="1:11" x14ac:dyDescent="0.25">
      <c r="A554" t="s">
        <v>303</v>
      </c>
      <c r="B554" t="s">
        <v>1009</v>
      </c>
      <c r="C554" t="s">
        <v>1232</v>
      </c>
      <c r="D554" s="2">
        <v>40606</v>
      </c>
      <c r="E554">
        <v>0.59831990000000002</v>
      </c>
      <c r="F554" s="2">
        <v>40942</v>
      </c>
      <c r="G554">
        <v>0.59831990000000002</v>
      </c>
      <c r="H554" s="3">
        <v>0</v>
      </c>
      <c r="I554">
        <v>-99.8</v>
      </c>
      <c r="J554" s="3">
        <v>-2E-3</v>
      </c>
      <c r="K554">
        <v>83399</v>
      </c>
    </row>
    <row r="555" spans="1:11" x14ac:dyDescent="0.25">
      <c r="A555" t="s">
        <v>412</v>
      </c>
      <c r="B555" t="s">
        <v>795</v>
      </c>
      <c r="C555" t="s">
        <v>1232</v>
      </c>
      <c r="D555" s="2">
        <v>40851</v>
      </c>
      <c r="E555">
        <v>3.8578199999999998</v>
      </c>
      <c r="F555" s="2">
        <v>40907</v>
      </c>
      <c r="G555">
        <v>4.5997089999999998</v>
      </c>
      <c r="H555" s="3">
        <v>0.1923</v>
      </c>
      <c r="I555">
        <v>9053.48</v>
      </c>
      <c r="J555" s="3">
        <v>0.19009999999999999</v>
      </c>
      <c r="K555">
        <v>12344</v>
      </c>
    </row>
    <row r="556" spans="1:11" x14ac:dyDescent="0.25">
      <c r="A556" t="s">
        <v>515</v>
      </c>
      <c r="B556" t="s">
        <v>1010</v>
      </c>
      <c r="C556" t="s">
        <v>1232</v>
      </c>
      <c r="D556" s="2">
        <v>40886</v>
      </c>
      <c r="E556">
        <v>6.6068429999999996</v>
      </c>
      <c r="F556" s="2">
        <v>40907</v>
      </c>
      <c r="G556">
        <v>5.91716</v>
      </c>
      <c r="H556" s="3">
        <v>-0.10440000000000001</v>
      </c>
      <c r="I556">
        <v>-5086.09</v>
      </c>
      <c r="J556" s="3">
        <v>-0.10630000000000001</v>
      </c>
      <c r="K556">
        <v>7243</v>
      </c>
    </row>
    <row r="557" spans="1:11" x14ac:dyDescent="0.25">
      <c r="A557" t="s">
        <v>435</v>
      </c>
      <c r="B557" t="s">
        <v>878</v>
      </c>
      <c r="C557" t="s">
        <v>1232</v>
      </c>
      <c r="D557" s="2">
        <v>40851</v>
      </c>
      <c r="E557">
        <v>3.32</v>
      </c>
      <c r="F557" s="2">
        <v>40900</v>
      </c>
      <c r="G557">
        <v>3.17</v>
      </c>
      <c r="H557" s="3">
        <v>-4.5199999999999997E-2</v>
      </c>
      <c r="I557">
        <v>-2245.0100000000002</v>
      </c>
      <c r="J557" s="3">
        <v>-4.7100000000000003E-2</v>
      </c>
      <c r="K557">
        <v>14346</v>
      </c>
    </row>
    <row r="558" spans="1:11" x14ac:dyDescent="0.25">
      <c r="A558" t="s">
        <v>516</v>
      </c>
      <c r="B558" t="s">
        <v>1011</v>
      </c>
      <c r="C558" t="s">
        <v>1232</v>
      </c>
      <c r="D558" s="2">
        <v>40893</v>
      </c>
      <c r="E558">
        <v>0.61</v>
      </c>
      <c r="F558" s="2">
        <v>40900</v>
      </c>
      <c r="G558">
        <v>0.55000000000000004</v>
      </c>
      <c r="H558" s="3">
        <v>-9.8400000000000001E-2</v>
      </c>
      <c r="I558">
        <v>-4826.4399999999996</v>
      </c>
      <c r="J558" s="3">
        <v>-0.1003</v>
      </c>
      <c r="K558">
        <v>78915</v>
      </c>
    </row>
    <row r="559" spans="1:11" x14ac:dyDescent="0.25">
      <c r="A559" t="s">
        <v>304</v>
      </c>
      <c r="B559" t="s">
        <v>1012</v>
      </c>
      <c r="C559" t="s">
        <v>1232</v>
      </c>
      <c r="D559" s="2">
        <v>40886</v>
      </c>
      <c r="E559">
        <v>1.154598</v>
      </c>
      <c r="F559" s="2">
        <v>40900</v>
      </c>
      <c r="G559">
        <v>0.97696749999999999</v>
      </c>
      <c r="H559" s="3">
        <v>-0.15379999999999999</v>
      </c>
      <c r="I559">
        <v>-7447.72</v>
      </c>
      <c r="J559" s="3">
        <v>-0.15570000000000001</v>
      </c>
      <c r="K559">
        <v>41431</v>
      </c>
    </row>
    <row r="560" spans="1:11" x14ac:dyDescent="0.25">
      <c r="A560" t="s">
        <v>459</v>
      </c>
      <c r="B560" t="s">
        <v>921</v>
      </c>
      <c r="C560" t="s">
        <v>1232</v>
      </c>
      <c r="D560" s="2">
        <v>40858</v>
      </c>
      <c r="E560">
        <v>0.76723969999999997</v>
      </c>
      <c r="F560" s="2">
        <v>40900</v>
      </c>
      <c r="G560">
        <v>0.7482955</v>
      </c>
      <c r="H560" s="3">
        <v>-2.47E-2</v>
      </c>
      <c r="I560">
        <v>-1271.8800000000001</v>
      </c>
      <c r="J560" s="3">
        <v>-2.6700000000000002E-2</v>
      </c>
      <c r="K560">
        <v>62165</v>
      </c>
    </row>
    <row r="561" spans="1:11" x14ac:dyDescent="0.25">
      <c r="A561" t="s">
        <v>517</v>
      </c>
      <c r="B561" t="s">
        <v>1013</v>
      </c>
      <c r="C561" t="s">
        <v>1232</v>
      </c>
      <c r="D561" s="2">
        <v>40851</v>
      </c>
      <c r="E561">
        <v>0.54</v>
      </c>
      <c r="F561" s="2">
        <v>40900</v>
      </c>
      <c r="G561">
        <v>0.48</v>
      </c>
      <c r="H561" s="3">
        <v>-0.1111</v>
      </c>
      <c r="I561">
        <v>-5380.13</v>
      </c>
      <c r="J561" s="3">
        <v>-0.113</v>
      </c>
      <c r="K561">
        <v>88170</v>
      </c>
    </row>
    <row r="562" spans="1:11" x14ac:dyDescent="0.25">
      <c r="A562" t="s">
        <v>518</v>
      </c>
      <c r="B562" t="s">
        <v>1014</v>
      </c>
      <c r="C562" t="s">
        <v>1232</v>
      </c>
      <c r="D562" s="2">
        <v>40872</v>
      </c>
      <c r="E562">
        <v>1.1405069999999999</v>
      </c>
      <c r="F562" s="2">
        <v>40879</v>
      </c>
      <c r="G562">
        <v>1.026456</v>
      </c>
      <c r="H562" s="3">
        <v>-0.1</v>
      </c>
      <c r="I562">
        <v>-4927.99</v>
      </c>
      <c r="J562" s="3">
        <v>-0.1019</v>
      </c>
      <c r="K562">
        <v>42403</v>
      </c>
    </row>
    <row r="563" spans="1:11" x14ac:dyDescent="0.25">
      <c r="A563" t="s">
        <v>457</v>
      </c>
      <c r="B563" t="s">
        <v>919</v>
      </c>
      <c r="C563" t="s">
        <v>1232</v>
      </c>
      <c r="D563" s="2">
        <v>40872</v>
      </c>
      <c r="E563">
        <v>1.5442610000000001</v>
      </c>
      <c r="F563" s="2">
        <v>40879</v>
      </c>
      <c r="G563">
        <v>1.4855119999999999</v>
      </c>
      <c r="H563" s="3">
        <v>-3.7999999999999999E-2</v>
      </c>
      <c r="I563">
        <v>-1934.85</v>
      </c>
      <c r="J563" s="3">
        <v>-0.04</v>
      </c>
      <c r="K563">
        <v>31319</v>
      </c>
    </row>
    <row r="564" spans="1:11" x14ac:dyDescent="0.25">
      <c r="A564" t="s">
        <v>510</v>
      </c>
      <c r="B564" t="s">
        <v>1003</v>
      </c>
      <c r="C564" t="s">
        <v>1232</v>
      </c>
      <c r="D564" s="2">
        <v>40865</v>
      </c>
      <c r="E564">
        <v>0.65728600000000004</v>
      </c>
      <c r="F564" s="2">
        <v>40879</v>
      </c>
      <c r="G564">
        <v>0.64246000000000003</v>
      </c>
      <c r="H564" s="3">
        <v>-2.2599999999999999E-2</v>
      </c>
      <c r="I564">
        <v>-1182.57</v>
      </c>
      <c r="J564" s="3">
        <v>-2.4500000000000001E-2</v>
      </c>
      <c r="K564">
        <v>73334</v>
      </c>
    </row>
    <row r="565" spans="1:11" x14ac:dyDescent="0.25">
      <c r="A565" t="s">
        <v>305</v>
      </c>
      <c r="B565" t="s">
        <v>1015</v>
      </c>
      <c r="C565" t="s">
        <v>1232</v>
      </c>
      <c r="D565" s="2">
        <v>40858</v>
      </c>
      <c r="E565">
        <v>0.77671000000000001</v>
      </c>
      <c r="F565" s="2">
        <v>40879</v>
      </c>
      <c r="G565">
        <v>0.72577809999999998</v>
      </c>
      <c r="H565" s="3">
        <v>-6.5600000000000006E-2</v>
      </c>
      <c r="I565">
        <v>-3219.2</v>
      </c>
      <c r="J565" s="3">
        <v>-6.7500000000000004E-2</v>
      </c>
      <c r="K565">
        <v>61395</v>
      </c>
    </row>
    <row r="566" spans="1:11" x14ac:dyDescent="0.25">
      <c r="A566" t="s">
        <v>253</v>
      </c>
      <c r="B566" t="s">
        <v>853</v>
      </c>
      <c r="C566" t="s">
        <v>1232</v>
      </c>
      <c r="D566" s="2">
        <v>40858</v>
      </c>
      <c r="E566">
        <v>0.77185899999999996</v>
      </c>
      <c r="F566" s="2">
        <v>40879</v>
      </c>
      <c r="G566">
        <v>0.73255250000000005</v>
      </c>
      <c r="H566" s="3">
        <v>-5.0900000000000001E-2</v>
      </c>
      <c r="I566">
        <v>-2521.58</v>
      </c>
      <c r="J566" s="3">
        <v>-5.2900000000000003E-2</v>
      </c>
      <c r="K566">
        <v>61787</v>
      </c>
    </row>
    <row r="567" spans="1:11" x14ac:dyDescent="0.25">
      <c r="A567" t="s">
        <v>519</v>
      </c>
      <c r="B567" t="s">
        <v>1016</v>
      </c>
      <c r="C567" t="s">
        <v>1232</v>
      </c>
      <c r="D567" s="2">
        <v>40872</v>
      </c>
      <c r="E567">
        <v>1.4</v>
      </c>
      <c r="F567" s="2">
        <v>40875</v>
      </c>
      <c r="G567">
        <v>1.395</v>
      </c>
      <c r="H567" s="3">
        <v>-3.5999999999999999E-3</v>
      </c>
      <c r="I567">
        <v>-269.32</v>
      </c>
      <c r="J567" s="3">
        <v>-5.5999999999999999E-3</v>
      </c>
      <c r="K567">
        <v>34550</v>
      </c>
    </row>
    <row r="568" spans="1:11" x14ac:dyDescent="0.25">
      <c r="A568" t="s">
        <v>520</v>
      </c>
      <c r="B568" t="s">
        <v>1017</v>
      </c>
      <c r="C568" t="s">
        <v>1232</v>
      </c>
      <c r="D568" s="2">
        <v>40851</v>
      </c>
      <c r="E568">
        <v>1.79</v>
      </c>
      <c r="F568" s="2">
        <v>40862</v>
      </c>
      <c r="G568">
        <v>1.8</v>
      </c>
      <c r="H568" s="3">
        <v>5.5999999999999999E-3</v>
      </c>
      <c r="I568">
        <v>170.54</v>
      </c>
      <c r="J568" s="3">
        <v>3.5999999999999999E-3</v>
      </c>
      <c r="K568">
        <v>26606</v>
      </c>
    </row>
    <row r="569" spans="1:11" x14ac:dyDescent="0.25">
      <c r="A569" t="s">
        <v>54</v>
      </c>
      <c r="B569" t="s">
        <v>1018</v>
      </c>
      <c r="C569" t="s">
        <v>1232</v>
      </c>
      <c r="D569" s="2">
        <v>40431</v>
      </c>
      <c r="E569">
        <v>2.6977799999999998</v>
      </c>
      <c r="F569" s="2">
        <v>40774</v>
      </c>
      <c r="G569">
        <v>2.7614960000000002</v>
      </c>
      <c r="H569" s="3">
        <v>2.3599999999999999E-2</v>
      </c>
      <c r="I569">
        <v>829.4</v>
      </c>
      <c r="J569" s="3">
        <v>2.1600000000000001E-2</v>
      </c>
      <c r="K569">
        <v>14237</v>
      </c>
    </row>
    <row r="570" spans="1:11" x14ac:dyDescent="0.25">
      <c r="A570" t="s">
        <v>172</v>
      </c>
      <c r="B570" t="s">
        <v>726</v>
      </c>
      <c r="C570" t="s">
        <v>1232</v>
      </c>
      <c r="D570" s="2">
        <v>40410</v>
      </c>
      <c r="E570">
        <v>2.1276199999999998</v>
      </c>
      <c r="F570" s="2">
        <v>40767</v>
      </c>
      <c r="G570">
        <v>2.1957719999999998</v>
      </c>
      <c r="H570" s="3">
        <v>3.2000000000000001E-2</v>
      </c>
      <c r="I570">
        <v>1070.6600000000001</v>
      </c>
      <c r="J570" s="3">
        <v>0.03</v>
      </c>
      <c r="K570">
        <v>16774</v>
      </c>
    </row>
    <row r="571" spans="1:11" x14ac:dyDescent="0.25">
      <c r="A571" t="s">
        <v>155</v>
      </c>
      <c r="B571" t="s">
        <v>709</v>
      </c>
      <c r="C571" t="s">
        <v>1232</v>
      </c>
      <c r="D571" s="2">
        <v>40431</v>
      </c>
      <c r="E571">
        <v>0.78017510000000001</v>
      </c>
      <c r="F571" s="2">
        <v>40767</v>
      </c>
      <c r="G571">
        <v>0.94067029999999996</v>
      </c>
      <c r="H571" s="3">
        <v>0.20569999999999999</v>
      </c>
      <c r="I571">
        <v>7815.35</v>
      </c>
      <c r="J571" s="3">
        <v>0.20349999999999999</v>
      </c>
      <c r="K571">
        <v>49223</v>
      </c>
    </row>
    <row r="572" spans="1:11" x14ac:dyDescent="0.25">
      <c r="A572" t="s">
        <v>521</v>
      </c>
      <c r="B572" t="s">
        <v>1019</v>
      </c>
      <c r="C572" t="s">
        <v>1232</v>
      </c>
      <c r="D572" s="2">
        <v>40641</v>
      </c>
      <c r="E572">
        <v>1.27515</v>
      </c>
      <c r="F572" s="2">
        <v>40718</v>
      </c>
      <c r="G572">
        <v>1.135024</v>
      </c>
      <c r="H572" s="3">
        <v>-0.1099</v>
      </c>
      <c r="I572">
        <v>-5640.73</v>
      </c>
      <c r="J572" s="3">
        <v>-0.1118</v>
      </c>
      <c r="K572">
        <v>39574</v>
      </c>
    </row>
    <row r="573" spans="1:11" x14ac:dyDescent="0.25">
      <c r="A573" t="s">
        <v>522</v>
      </c>
      <c r="B573" t="s">
        <v>1020</v>
      </c>
      <c r="C573" t="s">
        <v>1232</v>
      </c>
      <c r="D573" s="2">
        <v>40641</v>
      </c>
      <c r="E573">
        <v>0.63</v>
      </c>
      <c r="F573" s="2">
        <v>40714</v>
      </c>
      <c r="G573">
        <v>0.69499999999999995</v>
      </c>
      <c r="H573" s="3">
        <v>0.1032</v>
      </c>
      <c r="I573">
        <v>5099.41</v>
      </c>
      <c r="J573" s="3">
        <v>0.1011</v>
      </c>
      <c r="K573">
        <v>80085</v>
      </c>
    </row>
    <row r="574" spans="1:11" x14ac:dyDescent="0.25">
      <c r="A574" t="s">
        <v>306</v>
      </c>
      <c r="B574" t="s">
        <v>1021</v>
      </c>
      <c r="C574" t="s">
        <v>1232</v>
      </c>
      <c r="D574" s="2">
        <v>40641</v>
      </c>
      <c r="E574">
        <v>5.3571859999999996</v>
      </c>
      <c r="F574" s="2">
        <v>40711</v>
      </c>
      <c r="G574">
        <v>6.6667199999999998</v>
      </c>
      <c r="H574" s="3">
        <v>0.24440000000000001</v>
      </c>
      <c r="I574">
        <v>12223.84</v>
      </c>
      <c r="J574" s="3">
        <v>0.2422</v>
      </c>
      <c r="K574">
        <v>9421</v>
      </c>
    </row>
    <row r="575" spans="1:11" x14ac:dyDescent="0.25">
      <c r="A575" t="s">
        <v>88</v>
      </c>
      <c r="B575" t="s">
        <v>986</v>
      </c>
      <c r="C575" t="s">
        <v>1232</v>
      </c>
      <c r="D575" s="2">
        <v>40529</v>
      </c>
      <c r="E575">
        <v>0.7186534</v>
      </c>
      <c r="F575" s="2">
        <v>40711</v>
      </c>
      <c r="G575">
        <v>0.67553419999999997</v>
      </c>
      <c r="H575" s="3">
        <v>-0.06</v>
      </c>
      <c r="I575">
        <v>-2874.63</v>
      </c>
      <c r="J575" s="3">
        <v>-6.1899999999999997E-2</v>
      </c>
      <c r="K575">
        <v>64579</v>
      </c>
    </row>
    <row r="576" spans="1:11" x14ac:dyDescent="0.25">
      <c r="A576" t="s">
        <v>93</v>
      </c>
      <c r="B576" t="s">
        <v>748</v>
      </c>
      <c r="C576" t="s">
        <v>1232</v>
      </c>
      <c r="D576" s="2">
        <v>40403</v>
      </c>
      <c r="E576">
        <v>2.5413869999999998</v>
      </c>
      <c r="F576" s="2">
        <v>40711</v>
      </c>
      <c r="G576">
        <v>4.4227299999999996</v>
      </c>
      <c r="H576" s="3">
        <v>0.74029999999999996</v>
      </c>
      <c r="I576">
        <v>26685.53</v>
      </c>
      <c r="J576" s="3">
        <v>0.73750000000000004</v>
      </c>
      <c r="K576">
        <v>14237</v>
      </c>
    </row>
    <row r="577" spans="1:11" x14ac:dyDescent="0.25">
      <c r="A577" t="s">
        <v>301</v>
      </c>
      <c r="B577" t="s">
        <v>999</v>
      </c>
      <c r="C577" t="s">
        <v>1232</v>
      </c>
      <c r="D577" s="2">
        <v>40025</v>
      </c>
      <c r="E577">
        <v>0.95894409999999997</v>
      </c>
      <c r="F577" s="2">
        <v>40704</v>
      </c>
      <c r="G577">
        <v>1.037355</v>
      </c>
      <c r="H577" s="3">
        <v>8.1799999999999998E-2</v>
      </c>
      <c r="I577">
        <v>2460.2399999999998</v>
      </c>
      <c r="J577" s="3">
        <v>7.9699999999999993E-2</v>
      </c>
      <c r="K577">
        <v>32196</v>
      </c>
    </row>
    <row r="578" spans="1:11" x14ac:dyDescent="0.25">
      <c r="A578" t="s">
        <v>82</v>
      </c>
      <c r="B578" t="s">
        <v>1022</v>
      </c>
      <c r="C578" t="s">
        <v>1232</v>
      </c>
      <c r="D578" s="2">
        <v>40403</v>
      </c>
      <c r="E578">
        <v>3.7447750000000002</v>
      </c>
      <c r="F578" s="2">
        <v>40704</v>
      </c>
      <c r="G578">
        <v>5.7520800000000003</v>
      </c>
      <c r="H578" s="3">
        <v>0.53600000000000003</v>
      </c>
      <c r="I578">
        <v>19292.830000000002</v>
      </c>
      <c r="J578" s="3">
        <v>0.53349999999999997</v>
      </c>
      <c r="K578">
        <v>9657</v>
      </c>
    </row>
    <row r="579" spans="1:11" x14ac:dyDescent="0.25">
      <c r="A579" t="s">
        <v>520</v>
      </c>
      <c r="B579" t="s">
        <v>1017</v>
      </c>
      <c r="C579" t="s">
        <v>1232</v>
      </c>
      <c r="D579" s="2">
        <v>40641</v>
      </c>
      <c r="E579">
        <v>1.68</v>
      </c>
      <c r="F579" s="2">
        <v>40690</v>
      </c>
      <c r="G579">
        <v>1.5</v>
      </c>
      <c r="H579" s="3">
        <v>-0.1071</v>
      </c>
      <c r="I579">
        <v>-5501.63</v>
      </c>
      <c r="J579" s="3">
        <v>-0.109</v>
      </c>
      <c r="K579">
        <v>30034</v>
      </c>
    </row>
    <row r="580" spans="1:11" x14ac:dyDescent="0.25">
      <c r="A580" t="s">
        <v>307</v>
      </c>
      <c r="B580" t="s">
        <v>1023</v>
      </c>
      <c r="C580" t="s">
        <v>1232</v>
      </c>
      <c r="D580" s="2">
        <v>40641</v>
      </c>
      <c r="E580">
        <v>1.405</v>
      </c>
      <c r="F580" s="2">
        <v>40683</v>
      </c>
      <c r="G580">
        <v>1.27</v>
      </c>
      <c r="H580" s="3">
        <v>-9.6100000000000005E-2</v>
      </c>
      <c r="I580">
        <v>-4946.25</v>
      </c>
      <c r="J580" s="3">
        <v>-9.8000000000000004E-2</v>
      </c>
      <c r="K580">
        <v>35927</v>
      </c>
    </row>
    <row r="581" spans="1:11" x14ac:dyDescent="0.25">
      <c r="A581" t="s">
        <v>456</v>
      </c>
      <c r="B581" t="s">
        <v>918</v>
      </c>
      <c r="C581" t="s">
        <v>1232</v>
      </c>
      <c r="D581" s="2">
        <v>40515</v>
      </c>
      <c r="E581">
        <v>0.49786999999999998</v>
      </c>
      <c r="F581" s="2">
        <v>40683</v>
      </c>
      <c r="G581">
        <v>0.53902870000000003</v>
      </c>
      <c r="H581" s="3">
        <v>8.2699999999999996E-2</v>
      </c>
      <c r="I581">
        <v>3621.19</v>
      </c>
      <c r="J581" s="3">
        <v>8.0600000000000005E-2</v>
      </c>
      <c r="K581">
        <v>90255</v>
      </c>
    </row>
    <row r="582" spans="1:11" x14ac:dyDescent="0.25">
      <c r="A582" t="s">
        <v>523</v>
      </c>
      <c r="B582" t="s">
        <v>1024</v>
      </c>
      <c r="C582" t="s">
        <v>1232</v>
      </c>
      <c r="D582" s="2">
        <v>40648</v>
      </c>
      <c r="E582">
        <v>2.41</v>
      </c>
      <c r="F582" s="2">
        <v>40669</v>
      </c>
      <c r="G582">
        <v>2.2000000000000002</v>
      </c>
      <c r="H582" s="3">
        <v>-8.7099999999999997E-2</v>
      </c>
      <c r="I582">
        <v>-4650.8100000000004</v>
      </c>
      <c r="J582" s="3">
        <v>-8.8999999999999996E-2</v>
      </c>
      <c r="K582">
        <v>21671</v>
      </c>
    </row>
    <row r="583" spans="1:11" x14ac:dyDescent="0.25">
      <c r="A583" t="s">
        <v>194</v>
      </c>
      <c r="B583" t="s">
        <v>758</v>
      </c>
      <c r="C583" t="s">
        <v>1232</v>
      </c>
      <c r="D583" s="2">
        <v>40641</v>
      </c>
      <c r="E583">
        <v>1.576092</v>
      </c>
      <c r="F583" s="2">
        <v>40669</v>
      </c>
      <c r="G583">
        <v>1.7337009999999999</v>
      </c>
      <c r="H583" s="3">
        <v>0.1</v>
      </c>
      <c r="I583">
        <v>4942.2</v>
      </c>
      <c r="J583" s="3">
        <v>9.7900000000000001E-2</v>
      </c>
      <c r="K583">
        <v>32030</v>
      </c>
    </row>
    <row r="584" spans="1:11" x14ac:dyDescent="0.25">
      <c r="A584" t="s">
        <v>308</v>
      </c>
      <c r="B584" t="s">
        <v>1025</v>
      </c>
      <c r="C584" t="s">
        <v>1232</v>
      </c>
      <c r="D584" s="2">
        <v>40641</v>
      </c>
      <c r="E584">
        <v>8.3120399999999997</v>
      </c>
      <c r="F584" s="2">
        <v>40669</v>
      </c>
      <c r="G584">
        <v>7.4724389999999996</v>
      </c>
      <c r="H584" s="3">
        <v>-0.10100000000000001</v>
      </c>
      <c r="I584">
        <v>-5194.75</v>
      </c>
      <c r="J584" s="3">
        <v>-0.10290000000000001</v>
      </c>
      <c r="K584">
        <v>6073</v>
      </c>
    </row>
    <row r="585" spans="1:11" x14ac:dyDescent="0.25">
      <c r="A585" t="s">
        <v>309</v>
      </c>
      <c r="B585" t="s">
        <v>1026</v>
      </c>
      <c r="C585" t="s">
        <v>1232</v>
      </c>
      <c r="D585" s="2">
        <v>40606</v>
      </c>
      <c r="E585">
        <v>3.6759110000000002</v>
      </c>
      <c r="F585" s="2">
        <v>40669</v>
      </c>
      <c r="G585">
        <v>4.395111</v>
      </c>
      <c r="H585" s="3">
        <v>0.19570000000000001</v>
      </c>
      <c r="I585">
        <v>9654.2900000000009</v>
      </c>
      <c r="J585" s="3">
        <v>0.19350000000000001</v>
      </c>
      <c r="K585">
        <v>13576</v>
      </c>
    </row>
    <row r="586" spans="1:11" x14ac:dyDescent="0.25">
      <c r="A586" t="s">
        <v>524</v>
      </c>
      <c r="B586" t="s">
        <v>1027</v>
      </c>
      <c r="C586" t="s">
        <v>1232</v>
      </c>
      <c r="D586" s="2">
        <v>40431</v>
      </c>
      <c r="E586">
        <v>3.4454940000000001</v>
      </c>
      <c r="F586" s="2">
        <v>40669</v>
      </c>
      <c r="G586">
        <v>5.5661449999999997</v>
      </c>
      <c r="H586" s="3">
        <v>0.61550000000000005</v>
      </c>
      <c r="I586">
        <v>23549</v>
      </c>
      <c r="J586" s="3">
        <v>0.6129</v>
      </c>
      <c r="K586">
        <v>11152</v>
      </c>
    </row>
    <row r="587" spans="1:11" x14ac:dyDescent="0.25">
      <c r="A587" t="s">
        <v>525</v>
      </c>
      <c r="B587" t="s">
        <v>1028</v>
      </c>
      <c r="C587" t="s">
        <v>1232</v>
      </c>
      <c r="D587" s="2">
        <v>40641</v>
      </c>
      <c r="E587">
        <v>1.99</v>
      </c>
      <c r="F587" s="2">
        <v>40648</v>
      </c>
      <c r="G587">
        <v>2.08</v>
      </c>
      <c r="H587" s="3">
        <v>4.5199999999999997E-2</v>
      </c>
      <c r="I587">
        <v>2179.1799999999998</v>
      </c>
      <c r="J587" s="3">
        <v>4.3200000000000002E-2</v>
      </c>
      <c r="K587">
        <v>25360</v>
      </c>
    </row>
    <row r="588" spans="1:11" x14ac:dyDescent="0.25">
      <c r="A588" t="s">
        <v>310</v>
      </c>
      <c r="B588" t="s">
        <v>1029</v>
      </c>
      <c r="C588" t="s">
        <v>1232</v>
      </c>
      <c r="D588" s="2">
        <v>40585</v>
      </c>
      <c r="E588">
        <v>2.2949999999999999</v>
      </c>
      <c r="F588" s="2">
        <v>40627</v>
      </c>
      <c r="G588">
        <v>2.6349999999999998</v>
      </c>
      <c r="H588" s="3">
        <v>0.14810000000000001</v>
      </c>
      <c r="I588">
        <v>7050.54</v>
      </c>
      <c r="J588" s="3">
        <v>0.14599999999999999</v>
      </c>
      <c r="K588">
        <v>21042</v>
      </c>
    </row>
    <row r="589" spans="1:11" x14ac:dyDescent="0.25">
      <c r="A589" t="s">
        <v>311</v>
      </c>
      <c r="B589" t="s">
        <v>1030</v>
      </c>
      <c r="C589" t="s">
        <v>1232</v>
      </c>
      <c r="D589" s="2">
        <v>40529</v>
      </c>
      <c r="E589">
        <v>0.64842</v>
      </c>
      <c r="F589" s="2">
        <v>40627</v>
      </c>
      <c r="G589">
        <v>0.58101000000000003</v>
      </c>
      <c r="H589" s="3">
        <v>-0.104</v>
      </c>
      <c r="I589">
        <v>-4913.21</v>
      </c>
      <c r="J589" s="3">
        <v>-0.10589999999999999</v>
      </c>
      <c r="K589">
        <v>71580</v>
      </c>
    </row>
    <row r="590" spans="1:11" x14ac:dyDescent="0.25">
      <c r="A590" t="s">
        <v>526</v>
      </c>
      <c r="B590" t="s">
        <v>1031</v>
      </c>
      <c r="C590" t="s">
        <v>1232</v>
      </c>
      <c r="D590" s="2">
        <v>40431</v>
      </c>
      <c r="E590">
        <v>0.87744370000000005</v>
      </c>
      <c r="F590" s="2">
        <v>40627</v>
      </c>
      <c r="G590">
        <v>0.93344559999999999</v>
      </c>
      <c r="H590" s="3">
        <v>6.3799999999999996E-2</v>
      </c>
      <c r="I590">
        <v>2372.65</v>
      </c>
      <c r="J590" s="3">
        <v>6.1800000000000001E-2</v>
      </c>
      <c r="K590">
        <v>43783</v>
      </c>
    </row>
    <row r="591" spans="1:11" x14ac:dyDescent="0.25">
      <c r="A591" t="s">
        <v>288</v>
      </c>
      <c r="B591" t="s">
        <v>949</v>
      </c>
      <c r="C591" t="s">
        <v>1232</v>
      </c>
      <c r="D591" s="2">
        <v>40578</v>
      </c>
      <c r="E591">
        <v>0.60222659999999995</v>
      </c>
      <c r="F591" s="2">
        <v>40620</v>
      </c>
      <c r="G591">
        <v>0.67771459999999994</v>
      </c>
      <c r="H591" s="3">
        <v>0.12529999999999999</v>
      </c>
      <c r="I591">
        <v>5710.09</v>
      </c>
      <c r="J591" s="3">
        <v>0.1232</v>
      </c>
      <c r="K591">
        <v>76947</v>
      </c>
    </row>
    <row r="592" spans="1:11" x14ac:dyDescent="0.25">
      <c r="A592" t="s">
        <v>312</v>
      </c>
      <c r="B592" t="s">
        <v>1032</v>
      </c>
      <c r="C592" t="s">
        <v>1232</v>
      </c>
      <c r="D592" s="2">
        <v>40571</v>
      </c>
      <c r="E592">
        <v>3.5</v>
      </c>
      <c r="F592" s="2">
        <v>40620</v>
      </c>
      <c r="G592">
        <v>3.1</v>
      </c>
      <c r="H592" s="3">
        <v>-0.1143</v>
      </c>
      <c r="I592">
        <v>-5461.04</v>
      </c>
      <c r="J592" s="3">
        <v>-0.1162</v>
      </c>
      <c r="K592">
        <v>13431</v>
      </c>
    </row>
    <row r="593" spans="1:11" x14ac:dyDescent="0.25">
      <c r="A593" t="s">
        <v>499</v>
      </c>
      <c r="B593" t="s">
        <v>989</v>
      </c>
      <c r="C593" t="s">
        <v>1232</v>
      </c>
      <c r="D593" s="2">
        <v>40487</v>
      </c>
      <c r="E593">
        <v>0.54202130000000004</v>
      </c>
      <c r="F593" s="2">
        <v>40620</v>
      </c>
      <c r="G593">
        <v>0.48167900000000002</v>
      </c>
      <c r="H593" s="3">
        <v>-0.1113</v>
      </c>
      <c r="I593">
        <v>-4993.72</v>
      </c>
      <c r="J593" s="3">
        <v>-0.1132</v>
      </c>
      <c r="K593">
        <v>81376</v>
      </c>
    </row>
    <row r="594" spans="1:11" x14ac:dyDescent="0.25">
      <c r="A594" t="s">
        <v>527</v>
      </c>
      <c r="B594" t="s">
        <v>1033</v>
      </c>
      <c r="C594" t="s">
        <v>1232</v>
      </c>
      <c r="D594" s="2">
        <v>40431</v>
      </c>
      <c r="E594">
        <v>1.572454</v>
      </c>
      <c r="F594" s="2">
        <v>40620</v>
      </c>
      <c r="G594">
        <v>2.7302339999999998</v>
      </c>
      <c r="H594" s="3">
        <v>0.73629999999999995</v>
      </c>
      <c r="I594">
        <v>28172.53</v>
      </c>
      <c r="J594" s="3">
        <v>0.73360000000000003</v>
      </c>
      <c r="K594">
        <v>24424</v>
      </c>
    </row>
    <row r="595" spans="1:11" x14ac:dyDescent="0.25">
      <c r="A595" t="s">
        <v>470</v>
      </c>
      <c r="B595" t="s">
        <v>939</v>
      </c>
      <c r="C595" t="s">
        <v>1232</v>
      </c>
      <c r="D595" s="2">
        <v>40403</v>
      </c>
      <c r="E595">
        <v>1.6645829999999999</v>
      </c>
      <c r="F595" s="2">
        <v>40620</v>
      </c>
      <c r="G595">
        <v>2.2371509999999999</v>
      </c>
      <c r="H595" s="3">
        <v>0.34399999999999997</v>
      </c>
      <c r="I595">
        <v>12359.96</v>
      </c>
      <c r="J595" s="3">
        <v>0.34160000000000001</v>
      </c>
      <c r="K595">
        <v>21735</v>
      </c>
    </row>
    <row r="596" spans="1:11" x14ac:dyDescent="0.25">
      <c r="A596" t="s">
        <v>528</v>
      </c>
      <c r="B596" t="s">
        <v>1034</v>
      </c>
      <c r="C596" t="s">
        <v>1232</v>
      </c>
      <c r="D596" s="2">
        <v>39906</v>
      </c>
      <c r="E596">
        <v>0.6156256</v>
      </c>
      <c r="F596" s="2">
        <v>40613</v>
      </c>
      <c r="G596">
        <v>0.70126929999999998</v>
      </c>
      <c r="H596" s="3">
        <v>0.1391</v>
      </c>
      <c r="I596">
        <v>3142.44</v>
      </c>
      <c r="J596" s="3">
        <v>0.13700000000000001</v>
      </c>
      <c r="K596">
        <v>37265</v>
      </c>
    </row>
    <row r="597" spans="1:11" x14ac:dyDescent="0.25">
      <c r="A597" t="s">
        <v>529</v>
      </c>
      <c r="B597" t="s">
        <v>1035</v>
      </c>
      <c r="C597" t="s">
        <v>1232</v>
      </c>
      <c r="D597" s="2">
        <v>40515</v>
      </c>
      <c r="E597">
        <v>2.95</v>
      </c>
      <c r="F597" s="2">
        <v>40606</v>
      </c>
      <c r="G597">
        <v>2.6</v>
      </c>
      <c r="H597" s="3">
        <v>-0.1186</v>
      </c>
      <c r="I597">
        <v>-5416.09</v>
      </c>
      <c r="J597" s="3">
        <v>-0.1205</v>
      </c>
      <c r="K597">
        <v>15233</v>
      </c>
    </row>
    <row r="598" spans="1:11" x14ac:dyDescent="0.25">
      <c r="A598" t="s">
        <v>530</v>
      </c>
      <c r="B598" t="s">
        <v>1036</v>
      </c>
      <c r="C598" t="s">
        <v>1232</v>
      </c>
      <c r="D598" s="2">
        <v>40431</v>
      </c>
      <c r="E598">
        <v>1.0852250000000001</v>
      </c>
      <c r="F598" s="2">
        <v>40606</v>
      </c>
      <c r="G598">
        <v>1.1968479999999999</v>
      </c>
      <c r="H598" s="3">
        <v>0.10290000000000001</v>
      </c>
      <c r="I598">
        <v>3870.34</v>
      </c>
      <c r="J598" s="3">
        <v>0.1008</v>
      </c>
      <c r="K598">
        <v>35397</v>
      </c>
    </row>
    <row r="599" spans="1:11" x14ac:dyDescent="0.25">
      <c r="A599" t="s">
        <v>78</v>
      </c>
      <c r="B599" t="s">
        <v>951</v>
      </c>
      <c r="C599" t="s">
        <v>1232</v>
      </c>
      <c r="D599" s="2">
        <v>40410</v>
      </c>
      <c r="E599">
        <v>0.65</v>
      </c>
      <c r="F599" s="2">
        <v>40585</v>
      </c>
      <c r="G599">
        <v>0.78</v>
      </c>
      <c r="H599" s="3">
        <v>0.2</v>
      </c>
      <c r="I599">
        <v>7058.75</v>
      </c>
      <c r="J599" s="3">
        <v>0.1978</v>
      </c>
      <c r="K599">
        <v>54902</v>
      </c>
    </row>
    <row r="600" spans="1:11" x14ac:dyDescent="0.25">
      <c r="A600" t="s">
        <v>531</v>
      </c>
      <c r="B600" t="s">
        <v>1037</v>
      </c>
      <c r="C600" t="s">
        <v>1232</v>
      </c>
      <c r="D600" s="2">
        <v>40501</v>
      </c>
      <c r="E600">
        <v>0.65500000000000003</v>
      </c>
      <c r="F600" s="2">
        <v>40578</v>
      </c>
      <c r="G600">
        <v>0.505</v>
      </c>
      <c r="H600" s="3">
        <v>-0.22900000000000001</v>
      </c>
      <c r="I600">
        <v>-10420.67</v>
      </c>
      <c r="J600" s="3">
        <v>-0.23080000000000001</v>
      </c>
      <c r="K600">
        <v>68938</v>
      </c>
    </row>
    <row r="601" spans="1:11" x14ac:dyDescent="0.25">
      <c r="A601" t="s">
        <v>435</v>
      </c>
      <c r="B601" t="s">
        <v>878</v>
      </c>
      <c r="C601" t="s">
        <v>1232</v>
      </c>
      <c r="D601" s="2">
        <v>40431</v>
      </c>
      <c r="E601">
        <v>2.3199999999999998</v>
      </c>
      <c r="F601" s="2">
        <v>40578</v>
      </c>
      <c r="G601">
        <v>1.91</v>
      </c>
      <c r="H601" s="3">
        <v>-0.1767</v>
      </c>
      <c r="I601">
        <v>-6860.89</v>
      </c>
      <c r="J601" s="3">
        <v>-0.17849999999999999</v>
      </c>
      <c r="K601">
        <v>16563</v>
      </c>
    </row>
    <row r="602" spans="1:11" x14ac:dyDescent="0.25">
      <c r="A602" t="s">
        <v>532</v>
      </c>
      <c r="B602" t="s">
        <v>1038</v>
      </c>
      <c r="C602" t="s">
        <v>1232</v>
      </c>
      <c r="D602" s="2">
        <v>40522</v>
      </c>
      <c r="E602">
        <v>0.92851499999999998</v>
      </c>
      <c r="F602" s="2">
        <v>40571</v>
      </c>
      <c r="G602">
        <v>0.73612</v>
      </c>
      <c r="H602" s="3">
        <v>-0.2072</v>
      </c>
      <c r="I602">
        <v>-9635.84</v>
      </c>
      <c r="J602" s="3">
        <v>-0.20899999999999999</v>
      </c>
      <c r="K602">
        <v>49654</v>
      </c>
    </row>
    <row r="603" spans="1:11" x14ac:dyDescent="0.25">
      <c r="A603" t="s">
        <v>533</v>
      </c>
      <c r="B603" t="s">
        <v>1039</v>
      </c>
      <c r="C603" t="s">
        <v>1232</v>
      </c>
      <c r="D603" s="2">
        <v>40431</v>
      </c>
      <c r="E603">
        <v>2.8777520000000001</v>
      </c>
      <c r="F603" s="2">
        <v>40527</v>
      </c>
      <c r="G603">
        <v>3.8301289999999999</v>
      </c>
      <c r="H603" s="3">
        <v>0.33090000000000003</v>
      </c>
      <c r="I603">
        <v>12625.63</v>
      </c>
      <c r="J603" s="3">
        <v>0.3286</v>
      </c>
      <c r="K603">
        <v>13351</v>
      </c>
    </row>
    <row r="604" spans="1:11" x14ac:dyDescent="0.25">
      <c r="A604" t="s">
        <v>80</v>
      </c>
      <c r="B604" t="s">
        <v>1040</v>
      </c>
      <c r="C604" t="s">
        <v>1232</v>
      </c>
      <c r="D604" s="2">
        <v>40410</v>
      </c>
      <c r="E604">
        <v>0.79163919999999999</v>
      </c>
      <c r="F604" s="2">
        <v>40522</v>
      </c>
      <c r="G604">
        <v>1.5188010000000001</v>
      </c>
      <c r="H604" s="3">
        <v>0.91859999999999997</v>
      </c>
      <c r="I604">
        <v>32671.95</v>
      </c>
      <c r="J604" s="3">
        <v>0.91559999999999997</v>
      </c>
      <c r="K604">
        <v>45074</v>
      </c>
    </row>
    <row r="605" spans="1:11" x14ac:dyDescent="0.25">
      <c r="A605" t="s">
        <v>534</v>
      </c>
      <c r="B605" t="s">
        <v>1041</v>
      </c>
      <c r="C605" t="s">
        <v>1232</v>
      </c>
      <c r="D605" s="2">
        <v>40403</v>
      </c>
      <c r="E605">
        <v>4.0199999999999996</v>
      </c>
      <c r="F605" s="2">
        <v>40519</v>
      </c>
      <c r="G605">
        <v>6.58</v>
      </c>
      <c r="H605" s="3">
        <v>0.63680000000000003</v>
      </c>
      <c r="I605">
        <v>22942.05</v>
      </c>
      <c r="J605" s="3">
        <v>0.63419999999999999</v>
      </c>
      <c r="K605">
        <v>8999</v>
      </c>
    </row>
    <row r="606" spans="1:11" x14ac:dyDescent="0.25">
      <c r="A606" t="s">
        <v>313</v>
      </c>
      <c r="B606" t="s">
        <v>1042</v>
      </c>
      <c r="C606" t="s">
        <v>1232</v>
      </c>
      <c r="D606" s="2">
        <v>40403</v>
      </c>
      <c r="E606">
        <v>1.591577</v>
      </c>
      <c r="F606" s="2">
        <v>40508</v>
      </c>
      <c r="G606">
        <v>4.6550630000000002</v>
      </c>
      <c r="H606" s="3">
        <v>1.9248000000000001</v>
      </c>
      <c r="I606">
        <v>69509.39</v>
      </c>
      <c r="J606" s="3">
        <v>1.9209000000000001</v>
      </c>
      <c r="K606">
        <v>22736</v>
      </c>
    </row>
    <row r="607" spans="1:11" x14ac:dyDescent="0.25">
      <c r="A607" t="s">
        <v>535</v>
      </c>
      <c r="B607" t="s">
        <v>1043</v>
      </c>
      <c r="C607" t="s">
        <v>1232</v>
      </c>
      <c r="D607" s="2">
        <v>40403</v>
      </c>
      <c r="E607">
        <v>1.6617550000000001</v>
      </c>
      <c r="F607" s="2">
        <v>40500</v>
      </c>
      <c r="G607">
        <v>1.77</v>
      </c>
      <c r="H607" s="3">
        <v>6.5100000000000005E-2</v>
      </c>
      <c r="I607">
        <v>2280.9499999999998</v>
      </c>
      <c r="J607" s="3">
        <v>6.3100000000000003E-2</v>
      </c>
      <c r="K607">
        <v>21762</v>
      </c>
    </row>
    <row r="608" spans="1:11" x14ac:dyDescent="0.25">
      <c r="A608" t="s">
        <v>536</v>
      </c>
      <c r="B608" t="s">
        <v>1044</v>
      </c>
      <c r="C608" t="s">
        <v>1232</v>
      </c>
      <c r="D608" s="2">
        <v>40403</v>
      </c>
      <c r="E608">
        <v>1.1903999999999999</v>
      </c>
      <c r="F608" s="2">
        <v>40483</v>
      </c>
      <c r="G608">
        <v>1.21</v>
      </c>
      <c r="H608" s="3">
        <v>1.6500000000000001E-2</v>
      </c>
      <c r="I608">
        <v>522.64</v>
      </c>
      <c r="J608" s="3">
        <v>1.44E-2</v>
      </c>
      <c r="K608">
        <v>30387</v>
      </c>
    </row>
    <row r="609" spans="1:11" x14ac:dyDescent="0.25">
      <c r="A609" t="s">
        <v>537</v>
      </c>
      <c r="B609" t="s">
        <v>1045</v>
      </c>
      <c r="C609" t="s">
        <v>1232</v>
      </c>
      <c r="D609" s="2">
        <v>40401</v>
      </c>
      <c r="E609">
        <v>0.92</v>
      </c>
      <c r="F609" s="2">
        <v>40427</v>
      </c>
      <c r="G609">
        <v>0.91500000000000004</v>
      </c>
      <c r="H609" s="3">
        <v>-5.4000000000000003E-3</v>
      </c>
      <c r="I609">
        <v>-268.92</v>
      </c>
      <c r="J609" s="3">
        <v>-7.4000000000000003E-3</v>
      </c>
      <c r="K609">
        <v>39344</v>
      </c>
    </row>
    <row r="610" spans="1:11" x14ac:dyDescent="0.25">
      <c r="A610" t="s">
        <v>538</v>
      </c>
      <c r="B610" t="s">
        <v>1046</v>
      </c>
      <c r="C610" t="s">
        <v>1232</v>
      </c>
      <c r="D610" s="2">
        <v>40403</v>
      </c>
      <c r="E610">
        <v>2.38104</v>
      </c>
      <c r="F610" s="2">
        <v>40417</v>
      </c>
      <c r="G610">
        <v>2.0238839999999998</v>
      </c>
      <c r="H610" s="3">
        <v>-0.15</v>
      </c>
      <c r="I610">
        <v>-5490.66</v>
      </c>
      <c r="J610" s="3">
        <v>-0.15179999999999999</v>
      </c>
      <c r="K610">
        <v>15186</v>
      </c>
    </row>
    <row r="611" spans="1:11" x14ac:dyDescent="0.25">
      <c r="A611" t="s">
        <v>314</v>
      </c>
      <c r="B611" t="s">
        <v>1047</v>
      </c>
      <c r="C611" t="s">
        <v>1232</v>
      </c>
      <c r="D611" s="2">
        <v>40403</v>
      </c>
      <c r="E611">
        <v>4.0355340000000002</v>
      </c>
      <c r="F611" s="2">
        <v>40417</v>
      </c>
      <c r="G611">
        <v>3.5855790000000001</v>
      </c>
      <c r="H611" s="3">
        <v>-0.1115</v>
      </c>
      <c r="I611">
        <v>-4100.8</v>
      </c>
      <c r="J611" s="3">
        <v>-0.1134</v>
      </c>
      <c r="K611">
        <v>8962</v>
      </c>
    </row>
    <row r="612" spans="1:11" x14ac:dyDescent="0.25">
      <c r="A612" t="s">
        <v>539</v>
      </c>
      <c r="B612" t="s">
        <v>1048</v>
      </c>
      <c r="C612" t="s">
        <v>1232</v>
      </c>
      <c r="D612" s="2">
        <v>40256</v>
      </c>
      <c r="E612">
        <v>1.647716</v>
      </c>
      <c r="F612" s="2">
        <v>40368</v>
      </c>
      <c r="G612">
        <v>1.2710950000000001</v>
      </c>
      <c r="H612" s="3">
        <v>-0.2286</v>
      </c>
      <c r="I612">
        <v>-9289.24</v>
      </c>
      <c r="J612" s="3">
        <v>-0.2303</v>
      </c>
      <c r="K612">
        <v>24475</v>
      </c>
    </row>
    <row r="613" spans="1:11" x14ac:dyDescent="0.25">
      <c r="A613" t="s">
        <v>484</v>
      </c>
      <c r="B613" t="s">
        <v>962</v>
      </c>
      <c r="C613" t="s">
        <v>1232</v>
      </c>
      <c r="D613" s="2">
        <v>40249</v>
      </c>
      <c r="E613">
        <v>2.4649160000000001</v>
      </c>
      <c r="F613" s="2">
        <v>40368</v>
      </c>
      <c r="G613">
        <v>3.1171120000000001</v>
      </c>
      <c r="H613" s="3">
        <v>0.2646</v>
      </c>
      <c r="I613">
        <v>10348.41</v>
      </c>
      <c r="J613" s="3">
        <v>0.26229999999999998</v>
      </c>
      <c r="K613">
        <v>16004</v>
      </c>
    </row>
    <row r="614" spans="1:11" x14ac:dyDescent="0.25">
      <c r="A614" t="s">
        <v>540</v>
      </c>
      <c r="B614" t="s">
        <v>1049</v>
      </c>
      <c r="C614" t="s">
        <v>1232</v>
      </c>
      <c r="D614" s="2">
        <v>40256</v>
      </c>
      <c r="E614">
        <v>1.531639</v>
      </c>
      <c r="F614" s="2">
        <v>40326</v>
      </c>
      <c r="G614">
        <v>1.5100150000000001</v>
      </c>
      <c r="H614" s="3">
        <v>-1.41E-2</v>
      </c>
      <c r="I614">
        <v>-649.20000000000005</v>
      </c>
      <c r="J614" s="3">
        <v>-1.61E-2</v>
      </c>
      <c r="K614">
        <v>26320</v>
      </c>
    </row>
    <row r="615" spans="1:11" x14ac:dyDescent="0.25">
      <c r="A615" t="s">
        <v>498</v>
      </c>
      <c r="B615" t="s">
        <v>988</v>
      </c>
      <c r="C615" t="s">
        <v>1232</v>
      </c>
      <c r="D615" s="2">
        <v>40256</v>
      </c>
      <c r="E615">
        <v>1.812916</v>
      </c>
      <c r="F615" s="2">
        <v>40326</v>
      </c>
      <c r="G615">
        <v>1.9123589999999999</v>
      </c>
      <c r="H615" s="3">
        <v>5.4899999999999997E-2</v>
      </c>
      <c r="I615">
        <v>2128.7600000000002</v>
      </c>
      <c r="J615" s="3">
        <v>5.28E-2</v>
      </c>
      <c r="K615">
        <v>22240</v>
      </c>
    </row>
    <row r="616" spans="1:11" x14ac:dyDescent="0.25">
      <c r="A616" t="s">
        <v>160</v>
      </c>
      <c r="B616" t="s">
        <v>714</v>
      </c>
      <c r="C616" t="s">
        <v>1232</v>
      </c>
      <c r="D616" s="2">
        <v>40256</v>
      </c>
      <c r="E616">
        <v>0.75988250000000002</v>
      </c>
      <c r="F616" s="2">
        <v>40326</v>
      </c>
      <c r="G616">
        <v>0.68982239999999995</v>
      </c>
      <c r="H616" s="3">
        <v>-9.2200000000000004E-2</v>
      </c>
      <c r="I616">
        <v>-3795.53</v>
      </c>
      <c r="J616" s="3">
        <v>-9.4100000000000003E-2</v>
      </c>
      <c r="K616">
        <v>53077</v>
      </c>
    </row>
    <row r="617" spans="1:11" x14ac:dyDescent="0.25">
      <c r="A617" t="s">
        <v>534</v>
      </c>
      <c r="B617" t="s">
        <v>1041</v>
      </c>
      <c r="C617" t="s">
        <v>1232</v>
      </c>
      <c r="D617" s="2">
        <v>40249</v>
      </c>
      <c r="E617">
        <v>2.75</v>
      </c>
      <c r="F617" s="2">
        <v>40326</v>
      </c>
      <c r="G617">
        <v>3.06</v>
      </c>
      <c r="H617" s="3">
        <v>0.11269999999999999</v>
      </c>
      <c r="I617">
        <v>4362.3900000000003</v>
      </c>
      <c r="J617" s="3">
        <v>0.1106</v>
      </c>
      <c r="K617">
        <v>14341</v>
      </c>
    </row>
    <row r="618" spans="1:11" x14ac:dyDescent="0.25">
      <c r="A618" t="s">
        <v>541</v>
      </c>
      <c r="B618" t="s">
        <v>1050</v>
      </c>
      <c r="C618" t="s">
        <v>1232</v>
      </c>
      <c r="D618" s="2">
        <v>40249</v>
      </c>
      <c r="E618">
        <v>1.084579</v>
      </c>
      <c r="F618" s="2">
        <v>40326</v>
      </c>
      <c r="G618">
        <v>0.88738320000000004</v>
      </c>
      <c r="H618" s="3">
        <v>-0.18179999999999999</v>
      </c>
      <c r="I618">
        <v>-7242.74</v>
      </c>
      <c r="J618" s="3">
        <v>-0.18360000000000001</v>
      </c>
      <c r="K618">
        <v>36365</v>
      </c>
    </row>
    <row r="619" spans="1:11" x14ac:dyDescent="0.25">
      <c r="A619" t="s">
        <v>64</v>
      </c>
      <c r="B619" t="s">
        <v>782</v>
      </c>
      <c r="C619" t="s">
        <v>1232</v>
      </c>
      <c r="D619" s="2">
        <v>40263</v>
      </c>
      <c r="E619">
        <v>1.89933</v>
      </c>
      <c r="F619" s="2">
        <v>40312</v>
      </c>
      <c r="G619">
        <v>1.7175910000000001</v>
      </c>
      <c r="H619" s="3">
        <v>-9.5699999999999993E-2</v>
      </c>
      <c r="I619">
        <v>-3898.96</v>
      </c>
      <c r="J619" s="3">
        <v>-9.7600000000000006E-2</v>
      </c>
      <c r="K619">
        <v>21035</v>
      </c>
    </row>
    <row r="620" spans="1:11" x14ac:dyDescent="0.25">
      <c r="A620" t="s">
        <v>471</v>
      </c>
      <c r="B620" t="s">
        <v>940</v>
      </c>
      <c r="C620" t="s">
        <v>1232</v>
      </c>
      <c r="D620" s="2">
        <v>40263</v>
      </c>
      <c r="E620">
        <v>1.0395540000000001</v>
      </c>
      <c r="F620" s="2">
        <v>40312</v>
      </c>
      <c r="G620">
        <v>1.0032559999999999</v>
      </c>
      <c r="H620" s="3">
        <v>-3.49E-2</v>
      </c>
      <c r="I620">
        <v>-1473.67</v>
      </c>
      <c r="J620" s="3">
        <v>-3.6900000000000002E-2</v>
      </c>
      <c r="K620">
        <v>38436</v>
      </c>
    </row>
    <row r="621" spans="1:11" x14ac:dyDescent="0.25">
      <c r="A621" t="s">
        <v>542</v>
      </c>
      <c r="B621" t="s">
        <v>1051</v>
      </c>
      <c r="C621" t="s">
        <v>1232</v>
      </c>
      <c r="D621" s="2">
        <v>40263</v>
      </c>
      <c r="E621">
        <v>3.6452559999999998</v>
      </c>
      <c r="F621" s="2">
        <v>40312</v>
      </c>
      <c r="G621">
        <v>3.2633719999999999</v>
      </c>
      <c r="H621" s="3">
        <v>-0.1048</v>
      </c>
      <c r="I621">
        <v>-4262.33</v>
      </c>
      <c r="J621" s="3">
        <v>-0.1067</v>
      </c>
      <c r="K621">
        <v>10963</v>
      </c>
    </row>
    <row r="622" spans="1:11" x14ac:dyDescent="0.25">
      <c r="A622" t="s">
        <v>515</v>
      </c>
      <c r="B622" t="s">
        <v>1010</v>
      </c>
      <c r="C622" t="s">
        <v>1232</v>
      </c>
      <c r="D622" s="2">
        <v>40256</v>
      </c>
      <c r="E622">
        <v>4.9673759999999998</v>
      </c>
      <c r="F622" s="2">
        <v>40312</v>
      </c>
      <c r="G622">
        <v>4.4782169999999999</v>
      </c>
      <c r="H622" s="3">
        <v>-9.8500000000000004E-2</v>
      </c>
      <c r="I622">
        <v>-4045.68</v>
      </c>
      <c r="J622" s="3">
        <v>-0.1004</v>
      </c>
      <c r="K622">
        <v>8114</v>
      </c>
    </row>
    <row r="623" spans="1:11" x14ac:dyDescent="0.25">
      <c r="A623" t="s">
        <v>98</v>
      </c>
      <c r="B623" t="s">
        <v>1052</v>
      </c>
      <c r="C623" t="s">
        <v>1232</v>
      </c>
      <c r="D623" s="2">
        <v>40256</v>
      </c>
      <c r="E623">
        <v>1.1843710000000001</v>
      </c>
      <c r="F623" s="2">
        <v>40312</v>
      </c>
      <c r="G623">
        <v>1.0081180000000001</v>
      </c>
      <c r="H623" s="3">
        <v>-0.14879999999999999</v>
      </c>
      <c r="I623">
        <v>-6074.28</v>
      </c>
      <c r="J623" s="3">
        <v>-0.1507</v>
      </c>
      <c r="K623">
        <v>34040</v>
      </c>
    </row>
    <row r="624" spans="1:11" x14ac:dyDescent="0.25">
      <c r="A624" t="s">
        <v>83</v>
      </c>
      <c r="B624" t="s">
        <v>991</v>
      </c>
      <c r="C624" t="s">
        <v>1232</v>
      </c>
      <c r="D624" s="2">
        <v>40256</v>
      </c>
      <c r="E624">
        <v>1.1136839999999999</v>
      </c>
      <c r="F624" s="2">
        <v>40312</v>
      </c>
      <c r="G624">
        <v>0.92878680000000002</v>
      </c>
      <c r="H624" s="3">
        <v>-0.16600000000000001</v>
      </c>
      <c r="I624">
        <v>-6768.71</v>
      </c>
      <c r="J624" s="3">
        <v>-0.16789999999999999</v>
      </c>
      <c r="K624">
        <v>36208</v>
      </c>
    </row>
    <row r="625" spans="1:11" x14ac:dyDescent="0.25">
      <c r="A625" t="s">
        <v>543</v>
      </c>
      <c r="B625" t="s">
        <v>1053</v>
      </c>
      <c r="C625" t="s">
        <v>1232</v>
      </c>
      <c r="D625" s="2">
        <v>40249</v>
      </c>
      <c r="E625">
        <v>1.87</v>
      </c>
      <c r="F625" s="2">
        <v>40312</v>
      </c>
      <c r="G625">
        <v>1.93</v>
      </c>
      <c r="H625" s="3">
        <v>3.2099999999999997E-2</v>
      </c>
      <c r="I625">
        <v>1185.43</v>
      </c>
      <c r="J625" s="3">
        <v>3.0099999999999998E-2</v>
      </c>
      <c r="K625">
        <v>21093</v>
      </c>
    </row>
    <row r="626" spans="1:11" x14ac:dyDescent="0.25">
      <c r="A626" t="s">
        <v>544</v>
      </c>
      <c r="B626" t="s">
        <v>1054</v>
      </c>
      <c r="C626" t="s">
        <v>1232</v>
      </c>
      <c r="D626" s="2">
        <v>40200</v>
      </c>
      <c r="E626">
        <v>1.630485</v>
      </c>
      <c r="F626" s="2">
        <v>40312</v>
      </c>
      <c r="G626">
        <v>1.528929</v>
      </c>
      <c r="H626" s="3">
        <v>-6.2300000000000001E-2</v>
      </c>
      <c r="I626">
        <v>-2807.11</v>
      </c>
      <c r="J626" s="3">
        <v>-6.4199999999999993E-2</v>
      </c>
      <c r="K626">
        <v>26807</v>
      </c>
    </row>
    <row r="627" spans="1:11" x14ac:dyDescent="0.25">
      <c r="A627" t="s">
        <v>315</v>
      </c>
      <c r="B627" t="s">
        <v>1055</v>
      </c>
      <c r="C627" t="s">
        <v>1232</v>
      </c>
      <c r="D627" s="2">
        <v>39912</v>
      </c>
      <c r="E627">
        <v>1.5094030000000001</v>
      </c>
      <c r="F627" s="2">
        <v>40312</v>
      </c>
      <c r="G627">
        <v>2.589912</v>
      </c>
      <c r="H627" s="3">
        <v>0.71589999999999998</v>
      </c>
      <c r="I627">
        <v>16261.32</v>
      </c>
      <c r="J627" s="3">
        <v>0.71309999999999996</v>
      </c>
      <c r="K627">
        <v>15107</v>
      </c>
    </row>
    <row r="628" spans="1:11" x14ac:dyDescent="0.25">
      <c r="A628" t="s">
        <v>545</v>
      </c>
      <c r="B628" t="s">
        <v>1056</v>
      </c>
      <c r="C628" t="s">
        <v>1232</v>
      </c>
      <c r="D628" s="2">
        <v>39906</v>
      </c>
      <c r="E628">
        <v>1.27</v>
      </c>
      <c r="F628" s="2">
        <v>40312</v>
      </c>
      <c r="G628">
        <v>2.67</v>
      </c>
      <c r="H628" s="3">
        <v>1.1024</v>
      </c>
      <c r="I628">
        <v>25235.18</v>
      </c>
      <c r="J628" s="3">
        <v>1.0992999999999999</v>
      </c>
      <c r="K628">
        <v>18076</v>
      </c>
    </row>
    <row r="629" spans="1:11" x14ac:dyDescent="0.25">
      <c r="A629" t="s">
        <v>546</v>
      </c>
      <c r="B629" t="s">
        <v>1057</v>
      </c>
      <c r="C629" t="s">
        <v>1232</v>
      </c>
      <c r="D629" s="2">
        <v>40263</v>
      </c>
      <c r="E629">
        <v>6.11</v>
      </c>
      <c r="F629" s="2">
        <v>40305</v>
      </c>
      <c r="G629">
        <v>4.71</v>
      </c>
      <c r="H629" s="3">
        <v>-0.2291</v>
      </c>
      <c r="I629">
        <v>-9226.76</v>
      </c>
      <c r="J629" s="3">
        <v>-0.23089999999999999</v>
      </c>
      <c r="K629">
        <v>6540</v>
      </c>
    </row>
    <row r="630" spans="1:11" x14ac:dyDescent="0.25">
      <c r="A630" t="s">
        <v>547</v>
      </c>
      <c r="B630" t="s">
        <v>1058</v>
      </c>
      <c r="C630" t="s">
        <v>1232</v>
      </c>
      <c r="D630" s="2">
        <v>40004</v>
      </c>
      <c r="E630">
        <v>2.0203790000000001</v>
      </c>
      <c r="F630" s="2">
        <v>40242</v>
      </c>
      <c r="G630">
        <v>2.1551779999999998</v>
      </c>
      <c r="H630" s="3">
        <v>6.6699999999999995E-2</v>
      </c>
      <c r="I630">
        <v>1842.18</v>
      </c>
      <c r="J630" s="3">
        <v>6.4699999999999994E-2</v>
      </c>
      <c r="K630">
        <v>14103</v>
      </c>
    </row>
    <row r="631" spans="1:11" x14ac:dyDescent="0.25">
      <c r="A631" t="s">
        <v>548</v>
      </c>
      <c r="B631" t="s">
        <v>1059</v>
      </c>
      <c r="C631" t="s">
        <v>1232</v>
      </c>
      <c r="D631" s="2">
        <v>40158</v>
      </c>
      <c r="E631">
        <v>0.7870743</v>
      </c>
      <c r="F631" s="2">
        <v>40228</v>
      </c>
      <c r="G631">
        <v>0.73261750000000003</v>
      </c>
      <c r="H631" s="3">
        <v>-6.9199999999999998E-2</v>
      </c>
      <c r="I631">
        <v>-3066.9</v>
      </c>
      <c r="J631" s="3">
        <v>-7.1099999999999997E-2</v>
      </c>
      <c r="K631">
        <v>54789</v>
      </c>
    </row>
    <row r="632" spans="1:11" x14ac:dyDescent="0.25">
      <c r="A632" t="s">
        <v>539</v>
      </c>
      <c r="B632" t="s">
        <v>1048</v>
      </c>
      <c r="C632" t="s">
        <v>1232</v>
      </c>
      <c r="D632" s="2">
        <v>40207</v>
      </c>
      <c r="E632">
        <v>1.3887890000000001</v>
      </c>
      <c r="F632" s="2">
        <v>40221</v>
      </c>
      <c r="G632">
        <v>1.257172</v>
      </c>
      <c r="H632" s="3">
        <v>-9.4799999999999995E-2</v>
      </c>
      <c r="I632">
        <v>-3974.18</v>
      </c>
      <c r="J632" s="3">
        <v>-9.6699999999999994E-2</v>
      </c>
      <c r="K632">
        <v>29600</v>
      </c>
    </row>
    <row r="633" spans="1:11" x14ac:dyDescent="0.25">
      <c r="A633" t="s">
        <v>316</v>
      </c>
      <c r="B633" t="s">
        <v>1060</v>
      </c>
      <c r="C633" t="s">
        <v>1232</v>
      </c>
      <c r="D633" s="2">
        <v>40193</v>
      </c>
      <c r="E633">
        <v>1.6707419999999999</v>
      </c>
      <c r="F633" s="2">
        <v>40221</v>
      </c>
      <c r="G633">
        <v>1.633197</v>
      </c>
      <c r="H633" s="3">
        <v>-2.2499999999999999E-2</v>
      </c>
      <c r="I633">
        <v>-1050.8</v>
      </c>
      <c r="J633" s="3">
        <v>-2.4400000000000002E-2</v>
      </c>
      <c r="K633">
        <v>25724</v>
      </c>
    </row>
    <row r="634" spans="1:11" x14ac:dyDescent="0.25">
      <c r="A634" t="s">
        <v>549</v>
      </c>
      <c r="B634" t="s">
        <v>1061</v>
      </c>
      <c r="C634" t="s">
        <v>1232</v>
      </c>
      <c r="D634" s="2">
        <v>39912</v>
      </c>
      <c r="E634">
        <v>0.50561869999999998</v>
      </c>
      <c r="F634" s="2">
        <v>40221</v>
      </c>
      <c r="G634">
        <v>1.258313</v>
      </c>
      <c r="H634" s="3">
        <v>1.4886999999999999</v>
      </c>
      <c r="I634">
        <v>33883.480000000003</v>
      </c>
      <c r="J634" s="3">
        <v>1.4852000000000001</v>
      </c>
      <c r="K634">
        <v>45122</v>
      </c>
    </row>
    <row r="635" spans="1:11" x14ac:dyDescent="0.25">
      <c r="A635" t="s">
        <v>550</v>
      </c>
      <c r="B635" t="s">
        <v>1062</v>
      </c>
      <c r="C635" t="s">
        <v>1232</v>
      </c>
      <c r="D635" s="2">
        <v>40158</v>
      </c>
      <c r="E635">
        <v>5.75</v>
      </c>
      <c r="F635" s="2">
        <v>40218</v>
      </c>
      <c r="G635">
        <v>5.28</v>
      </c>
      <c r="H635" s="3">
        <v>-8.1699999999999995E-2</v>
      </c>
      <c r="I635">
        <v>-3606.76</v>
      </c>
      <c r="J635" s="3">
        <v>-8.3699999999999997E-2</v>
      </c>
      <c r="K635">
        <v>7498</v>
      </c>
    </row>
    <row r="636" spans="1:11" x14ac:dyDescent="0.25">
      <c r="A636" t="s">
        <v>302</v>
      </c>
      <c r="B636" t="s">
        <v>1005</v>
      </c>
      <c r="C636" t="s">
        <v>1232</v>
      </c>
      <c r="D636" s="2">
        <v>40200</v>
      </c>
      <c r="E636">
        <v>7.4326169999999996</v>
      </c>
      <c r="F636" s="2">
        <v>40214</v>
      </c>
      <c r="G636">
        <v>6.0427780000000002</v>
      </c>
      <c r="H636" s="3">
        <v>-0.187</v>
      </c>
      <c r="I636">
        <v>-8251.49</v>
      </c>
      <c r="J636" s="3">
        <v>-0.1888</v>
      </c>
      <c r="K636">
        <v>5880</v>
      </c>
    </row>
    <row r="637" spans="1:11" x14ac:dyDescent="0.25">
      <c r="A637" t="s">
        <v>317</v>
      </c>
      <c r="B637" t="s">
        <v>1063</v>
      </c>
      <c r="C637" t="s">
        <v>1232</v>
      </c>
      <c r="D637" s="2">
        <v>40193</v>
      </c>
      <c r="E637">
        <v>1.9016409999999999</v>
      </c>
      <c r="F637" s="2">
        <v>40214</v>
      </c>
      <c r="G637">
        <v>1.442307</v>
      </c>
      <c r="H637" s="3">
        <v>-0.24149999999999999</v>
      </c>
      <c r="I637">
        <v>-10457.91</v>
      </c>
      <c r="J637" s="3">
        <v>-0.24329999999999999</v>
      </c>
      <c r="K637">
        <v>22603</v>
      </c>
    </row>
    <row r="638" spans="1:11" x14ac:dyDescent="0.25">
      <c r="A638" t="s">
        <v>543</v>
      </c>
      <c r="B638" t="s">
        <v>1053</v>
      </c>
      <c r="C638" t="s">
        <v>1232</v>
      </c>
      <c r="D638" s="2">
        <v>40193</v>
      </c>
      <c r="E638">
        <v>1.7196199999999999</v>
      </c>
      <c r="F638" s="2">
        <v>40214</v>
      </c>
      <c r="G638">
        <v>1.4413</v>
      </c>
      <c r="H638" s="3">
        <v>-0.1618</v>
      </c>
      <c r="I638">
        <v>-7036.46</v>
      </c>
      <c r="J638" s="3">
        <v>-0.16370000000000001</v>
      </c>
      <c r="K638">
        <v>24998</v>
      </c>
    </row>
    <row r="639" spans="1:11" x14ac:dyDescent="0.25">
      <c r="A639" t="s">
        <v>102</v>
      </c>
      <c r="B639" t="s">
        <v>777</v>
      </c>
      <c r="C639" t="s">
        <v>1232</v>
      </c>
      <c r="D639" s="2">
        <v>40186</v>
      </c>
      <c r="E639">
        <v>1.0743020000000001</v>
      </c>
      <c r="F639" s="2">
        <v>40214</v>
      </c>
      <c r="G639">
        <v>0.92927159999999998</v>
      </c>
      <c r="H639" s="3">
        <v>-0.13500000000000001</v>
      </c>
      <c r="I639">
        <v>-5799.46</v>
      </c>
      <c r="J639" s="3">
        <v>-0.13689999999999999</v>
      </c>
      <c r="K639">
        <v>39443</v>
      </c>
    </row>
    <row r="640" spans="1:11" x14ac:dyDescent="0.25">
      <c r="A640" t="s">
        <v>551</v>
      </c>
      <c r="B640" t="s">
        <v>1064</v>
      </c>
      <c r="C640" t="s">
        <v>1232</v>
      </c>
      <c r="D640" s="2">
        <v>40158</v>
      </c>
      <c r="E640">
        <v>0.57089900000000005</v>
      </c>
      <c r="F640" s="2">
        <v>40214</v>
      </c>
      <c r="G640">
        <v>0.55218089999999997</v>
      </c>
      <c r="H640" s="3">
        <v>-3.2800000000000003E-2</v>
      </c>
      <c r="I640">
        <v>-1498.84</v>
      </c>
      <c r="J640" s="3">
        <v>-3.4799999999999998E-2</v>
      </c>
      <c r="K640">
        <v>75542</v>
      </c>
    </row>
    <row r="641" spans="1:11" x14ac:dyDescent="0.25">
      <c r="A641" t="s">
        <v>552</v>
      </c>
      <c r="B641" t="s">
        <v>1065</v>
      </c>
      <c r="C641" t="s">
        <v>1232</v>
      </c>
      <c r="D641" s="2">
        <v>39997</v>
      </c>
      <c r="E641">
        <v>3.041979</v>
      </c>
      <c r="F641" s="2">
        <v>40214</v>
      </c>
      <c r="G641">
        <v>5.5979580000000002</v>
      </c>
      <c r="H641" s="3">
        <v>0.84019999999999995</v>
      </c>
      <c r="I641">
        <v>23868.57</v>
      </c>
      <c r="J641" s="3">
        <v>0.83740000000000003</v>
      </c>
      <c r="K641">
        <v>9370</v>
      </c>
    </row>
    <row r="642" spans="1:11" x14ac:dyDescent="0.25">
      <c r="A642" t="s">
        <v>318</v>
      </c>
      <c r="B642" t="s">
        <v>1066</v>
      </c>
      <c r="C642" t="s">
        <v>1232</v>
      </c>
      <c r="D642" s="2">
        <v>39912</v>
      </c>
      <c r="E642">
        <v>1.8181290000000001</v>
      </c>
      <c r="F642" s="2">
        <v>40214</v>
      </c>
      <c r="G642">
        <v>2.4749400000000001</v>
      </c>
      <c r="H642" s="3">
        <v>0.36130000000000001</v>
      </c>
      <c r="I642">
        <v>8186.49</v>
      </c>
      <c r="J642" s="3">
        <v>0.3589</v>
      </c>
      <c r="K642">
        <v>12546</v>
      </c>
    </row>
    <row r="643" spans="1:11" x14ac:dyDescent="0.25">
      <c r="A643" t="s">
        <v>93</v>
      </c>
      <c r="B643" t="s">
        <v>748</v>
      </c>
      <c r="C643" t="s">
        <v>1232</v>
      </c>
      <c r="D643" s="2">
        <v>39906</v>
      </c>
      <c r="E643">
        <v>1.1417299999999999</v>
      </c>
      <c r="F643" s="2">
        <v>40214</v>
      </c>
      <c r="G643">
        <v>1.3573010000000001</v>
      </c>
      <c r="H643" s="3">
        <v>0.1888</v>
      </c>
      <c r="I643">
        <v>4282.53</v>
      </c>
      <c r="J643" s="3">
        <v>0.18659999999999999</v>
      </c>
      <c r="K643">
        <v>20099</v>
      </c>
    </row>
    <row r="644" spans="1:11" x14ac:dyDescent="0.25">
      <c r="A644" t="s">
        <v>553</v>
      </c>
      <c r="B644" t="s">
        <v>1067</v>
      </c>
      <c r="C644" t="s">
        <v>1232</v>
      </c>
      <c r="D644" s="2">
        <v>40178</v>
      </c>
      <c r="E644">
        <v>0.98</v>
      </c>
      <c r="F644" s="2">
        <v>40205</v>
      </c>
      <c r="G644">
        <v>1.04</v>
      </c>
      <c r="H644" s="3">
        <v>6.1199999999999997E-2</v>
      </c>
      <c r="I644">
        <v>2473.66</v>
      </c>
      <c r="J644" s="3">
        <v>5.9200000000000003E-2</v>
      </c>
      <c r="K644">
        <v>42664</v>
      </c>
    </row>
    <row r="645" spans="1:11" x14ac:dyDescent="0.25">
      <c r="A645" t="s">
        <v>543</v>
      </c>
      <c r="B645" t="s">
        <v>1053</v>
      </c>
      <c r="C645" t="s">
        <v>1232</v>
      </c>
      <c r="D645" s="2">
        <v>40158</v>
      </c>
      <c r="E645">
        <v>1.38663</v>
      </c>
      <c r="F645" s="2">
        <v>40171</v>
      </c>
      <c r="G645">
        <v>1.26735</v>
      </c>
      <c r="H645" s="3">
        <v>-8.5999999999999993E-2</v>
      </c>
      <c r="I645">
        <v>-3792.76</v>
      </c>
      <c r="J645" s="3">
        <v>-8.7900000000000006E-2</v>
      </c>
      <c r="K645">
        <v>31105</v>
      </c>
    </row>
    <row r="646" spans="1:11" x14ac:dyDescent="0.25">
      <c r="A646" t="s">
        <v>554</v>
      </c>
      <c r="B646" t="s">
        <v>1068</v>
      </c>
      <c r="C646" t="s">
        <v>1232</v>
      </c>
      <c r="D646" s="2">
        <v>39912</v>
      </c>
      <c r="E646">
        <v>6.0716749999999999</v>
      </c>
      <c r="F646" s="2">
        <v>40171</v>
      </c>
      <c r="G646">
        <v>12.83234</v>
      </c>
      <c r="H646" s="3">
        <v>1.1134999999999999</v>
      </c>
      <c r="I646">
        <v>25328.799999999999</v>
      </c>
      <c r="J646" s="3">
        <v>1.1104000000000001</v>
      </c>
      <c r="K646">
        <v>3757</v>
      </c>
    </row>
    <row r="647" spans="1:11" x14ac:dyDescent="0.25">
      <c r="A647" t="s">
        <v>555</v>
      </c>
      <c r="B647" t="s">
        <v>1069</v>
      </c>
      <c r="C647" t="s">
        <v>1232</v>
      </c>
      <c r="D647" s="2">
        <v>39912</v>
      </c>
      <c r="E647">
        <v>1.546854</v>
      </c>
      <c r="F647" s="2">
        <v>40165</v>
      </c>
      <c r="G647">
        <v>2.3875350000000002</v>
      </c>
      <c r="H647" s="3">
        <v>0.54349999999999998</v>
      </c>
      <c r="I647">
        <v>12342.01</v>
      </c>
      <c r="J647" s="3">
        <v>0.54090000000000005</v>
      </c>
      <c r="K647">
        <v>14750</v>
      </c>
    </row>
    <row r="648" spans="1:11" x14ac:dyDescent="0.25">
      <c r="A648" t="s">
        <v>556</v>
      </c>
      <c r="B648" t="s">
        <v>1070</v>
      </c>
      <c r="C648" t="s">
        <v>1232</v>
      </c>
      <c r="D648" s="2">
        <v>39912</v>
      </c>
      <c r="E648">
        <v>0.63446780000000003</v>
      </c>
      <c r="F648" s="2">
        <v>40165</v>
      </c>
      <c r="G648">
        <v>2.62</v>
      </c>
      <c r="H648" s="3">
        <v>3.1294</v>
      </c>
      <c r="I648">
        <v>71300.55</v>
      </c>
      <c r="J648" s="3">
        <v>3.1242999999999999</v>
      </c>
      <c r="K648">
        <v>35969</v>
      </c>
    </row>
    <row r="649" spans="1:11" x14ac:dyDescent="0.25">
      <c r="A649" t="s">
        <v>440</v>
      </c>
      <c r="B649" t="s">
        <v>885</v>
      </c>
      <c r="C649" t="s">
        <v>1232</v>
      </c>
      <c r="D649" s="2">
        <v>39906</v>
      </c>
      <c r="E649">
        <v>1.0227409999999999</v>
      </c>
      <c r="F649" s="2">
        <v>40165</v>
      </c>
      <c r="G649">
        <v>1.6619550000000001</v>
      </c>
      <c r="H649" s="3">
        <v>0.625</v>
      </c>
      <c r="I649">
        <v>14276.72</v>
      </c>
      <c r="J649" s="3">
        <v>0.62239999999999995</v>
      </c>
      <c r="K649">
        <v>22429</v>
      </c>
    </row>
    <row r="650" spans="1:11" x14ac:dyDescent="0.25">
      <c r="A650" t="s">
        <v>541</v>
      </c>
      <c r="B650" t="s">
        <v>1050</v>
      </c>
      <c r="C650" t="s">
        <v>1232</v>
      </c>
      <c r="D650" s="2">
        <v>40018</v>
      </c>
      <c r="E650">
        <v>0.58560679999999998</v>
      </c>
      <c r="F650" s="2">
        <v>40158</v>
      </c>
      <c r="G650">
        <v>0.8380841</v>
      </c>
      <c r="H650" s="3">
        <v>0.43109999999999998</v>
      </c>
      <c r="I650">
        <v>12500.96</v>
      </c>
      <c r="J650" s="3">
        <v>0.42870000000000003</v>
      </c>
      <c r="K650">
        <v>49794</v>
      </c>
    </row>
    <row r="651" spans="1:11" x14ac:dyDescent="0.25">
      <c r="A651" t="s">
        <v>557</v>
      </c>
      <c r="B651" t="s">
        <v>1071</v>
      </c>
      <c r="C651" t="s">
        <v>1232</v>
      </c>
      <c r="D651" s="2">
        <v>40025</v>
      </c>
      <c r="E651">
        <v>0.79</v>
      </c>
      <c r="F651" s="2">
        <v>40151</v>
      </c>
      <c r="G651">
        <v>1.075</v>
      </c>
      <c r="H651" s="3">
        <v>0.36080000000000001</v>
      </c>
      <c r="I651">
        <v>11064.07</v>
      </c>
      <c r="J651" s="3">
        <v>0.3584</v>
      </c>
      <c r="K651">
        <v>39077</v>
      </c>
    </row>
    <row r="652" spans="1:11" x14ac:dyDescent="0.25">
      <c r="A652" t="s">
        <v>477</v>
      </c>
      <c r="B652" t="s">
        <v>955</v>
      </c>
      <c r="C652" t="s">
        <v>1232</v>
      </c>
      <c r="D652" s="2">
        <v>40025</v>
      </c>
      <c r="E652">
        <v>1.9477139999999999</v>
      </c>
      <c r="F652" s="2">
        <v>40151</v>
      </c>
      <c r="G652">
        <v>2.7023030000000001</v>
      </c>
      <c r="H652" s="3">
        <v>0.38740000000000002</v>
      </c>
      <c r="I652">
        <v>11888.78</v>
      </c>
      <c r="J652" s="3">
        <v>0.38500000000000001</v>
      </c>
      <c r="K652">
        <v>15853</v>
      </c>
    </row>
    <row r="653" spans="1:11" x14ac:dyDescent="0.25">
      <c r="A653" t="s">
        <v>558</v>
      </c>
      <c r="B653" t="s">
        <v>1072</v>
      </c>
      <c r="C653" t="s">
        <v>1232</v>
      </c>
      <c r="D653" s="2">
        <v>39906</v>
      </c>
      <c r="E653">
        <v>1.193689</v>
      </c>
      <c r="F653" s="2">
        <v>40151</v>
      </c>
      <c r="G653">
        <v>1.763404</v>
      </c>
      <c r="H653" s="3">
        <v>0.4773</v>
      </c>
      <c r="I653">
        <v>10894.22</v>
      </c>
      <c r="J653" s="3">
        <v>0.4748</v>
      </c>
      <c r="K653">
        <v>19222</v>
      </c>
    </row>
    <row r="654" spans="1:11" x14ac:dyDescent="0.25">
      <c r="A654" t="s">
        <v>512</v>
      </c>
      <c r="B654" t="s">
        <v>1006</v>
      </c>
      <c r="C654" t="s">
        <v>1232</v>
      </c>
      <c r="D654" s="2">
        <v>39906</v>
      </c>
      <c r="E654">
        <v>2.0399509999999998</v>
      </c>
      <c r="F654" s="2">
        <v>40151</v>
      </c>
      <c r="G654">
        <v>3.3461240000000001</v>
      </c>
      <c r="H654" s="3">
        <v>0.64029999999999998</v>
      </c>
      <c r="I654">
        <v>14636.45</v>
      </c>
      <c r="J654" s="3">
        <v>0.63770000000000004</v>
      </c>
      <c r="K654">
        <v>11252</v>
      </c>
    </row>
    <row r="655" spans="1:11" x14ac:dyDescent="0.25">
      <c r="A655" t="s">
        <v>546</v>
      </c>
      <c r="B655" t="s">
        <v>1057</v>
      </c>
      <c r="C655" t="s">
        <v>1232</v>
      </c>
      <c r="D655" s="2">
        <v>39906</v>
      </c>
      <c r="E655">
        <v>1.9</v>
      </c>
      <c r="F655" s="2">
        <v>40151</v>
      </c>
      <c r="G655">
        <v>4.3600000000000003</v>
      </c>
      <c r="H655" s="3">
        <v>1.2947</v>
      </c>
      <c r="I655">
        <v>29648.54</v>
      </c>
      <c r="J655" s="3">
        <v>1.2914000000000001</v>
      </c>
      <c r="K655">
        <v>12083</v>
      </c>
    </row>
    <row r="656" spans="1:11" x14ac:dyDescent="0.25">
      <c r="A656" t="s">
        <v>498</v>
      </c>
      <c r="B656" t="s">
        <v>988</v>
      </c>
      <c r="C656" t="s">
        <v>1232</v>
      </c>
      <c r="D656" s="2">
        <v>39906</v>
      </c>
      <c r="E656">
        <v>1.121356</v>
      </c>
      <c r="F656" s="2">
        <v>40130</v>
      </c>
      <c r="G656">
        <v>1.3100149999999999</v>
      </c>
      <c r="H656" s="3">
        <v>0.16819999999999999</v>
      </c>
      <c r="I656">
        <v>3810.22</v>
      </c>
      <c r="J656" s="3">
        <v>0.1661</v>
      </c>
      <c r="K656">
        <v>20460</v>
      </c>
    </row>
    <row r="657" spans="1:11" x14ac:dyDescent="0.25">
      <c r="A657" t="s">
        <v>319</v>
      </c>
      <c r="B657" t="s">
        <v>1073</v>
      </c>
      <c r="C657" t="s">
        <v>1232</v>
      </c>
      <c r="D657" s="2">
        <v>39912</v>
      </c>
      <c r="E657">
        <v>11.1</v>
      </c>
      <c r="F657" s="2">
        <v>40011</v>
      </c>
      <c r="G657">
        <v>10.45</v>
      </c>
      <c r="H657" s="3">
        <v>-5.8599999999999999E-2</v>
      </c>
      <c r="I657">
        <v>-1379.36</v>
      </c>
      <c r="J657" s="3">
        <v>-6.0499999999999998E-2</v>
      </c>
      <c r="K657">
        <v>2054</v>
      </c>
    </row>
    <row r="658" spans="1:11" x14ac:dyDescent="0.25">
      <c r="A658" t="s">
        <v>500</v>
      </c>
      <c r="B658" t="s">
        <v>992</v>
      </c>
      <c r="C658" t="s">
        <v>1232</v>
      </c>
      <c r="D658" s="2">
        <v>39906</v>
      </c>
      <c r="E658">
        <v>0.64721010000000001</v>
      </c>
      <c r="F658" s="2">
        <v>40011</v>
      </c>
      <c r="G658">
        <v>0.68409779999999998</v>
      </c>
      <c r="H658" s="3">
        <v>5.7000000000000002E-2</v>
      </c>
      <c r="I658">
        <v>1260.83</v>
      </c>
      <c r="J658" s="3">
        <v>5.4899999999999997E-2</v>
      </c>
      <c r="K658">
        <v>35460</v>
      </c>
    </row>
    <row r="659" spans="1:11" x14ac:dyDescent="0.25">
      <c r="A659" t="s">
        <v>455</v>
      </c>
      <c r="B659" t="s">
        <v>915</v>
      </c>
      <c r="C659" t="s">
        <v>1232</v>
      </c>
      <c r="D659" s="2">
        <v>39906</v>
      </c>
      <c r="E659">
        <v>1.308354</v>
      </c>
      <c r="F659" s="2">
        <v>40011</v>
      </c>
      <c r="G659">
        <v>1.794314</v>
      </c>
      <c r="H659" s="3">
        <v>0.37140000000000001</v>
      </c>
      <c r="I659">
        <v>8473.66</v>
      </c>
      <c r="J659" s="3">
        <v>0.36909999999999998</v>
      </c>
      <c r="K659">
        <v>17549</v>
      </c>
    </row>
    <row r="660" spans="1:11" x14ac:dyDescent="0.25">
      <c r="A660" t="s">
        <v>559</v>
      </c>
      <c r="B660" t="s">
        <v>1074</v>
      </c>
      <c r="C660" t="s">
        <v>1232</v>
      </c>
      <c r="D660" s="2">
        <v>39906</v>
      </c>
      <c r="E660">
        <v>4.4711999999999996</v>
      </c>
      <c r="F660" s="2">
        <v>39997</v>
      </c>
      <c r="G660">
        <v>6.55776</v>
      </c>
      <c r="H660" s="3">
        <v>0.4667</v>
      </c>
      <c r="I660">
        <v>10657.85</v>
      </c>
      <c r="J660" s="3">
        <v>0.4642</v>
      </c>
      <c r="K660">
        <v>5135</v>
      </c>
    </row>
    <row r="661" spans="1:11" x14ac:dyDescent="0.25">
      <c r="A661" t="s">
        <v>446</v>
      </c>
      <c r="B661" t="s">
        <v>898</v>
      </c>
      <c r="C661" t="s">
        <v>1232</v>
      </c>
      <c r="D661" s="2">
        <v>39912</v>
      </c>
      <c r="E661">
        <v>1.8008409999999999</v>
      </c>
      <c r="F661" s="2">
        <v>39997</v>
      </c>
      <c r="G661">
        <v>2.5932110000000002</v>
      </c>
      <c r="H661" s="3">
        <v>0.44</v>
      </c>
      <c r="I661">
        <v>9978.93</v>
      </c>
      <c r="J661" s="3">
        <v>0.43759999999999999</v>
      </c>
      <c r="K661">
        <v>12664</v>
      </c>
    </row>
    <row r="662" spans="1:11" x14ac:dyDescent="0.25">
      <c r="A662" t="s">
        <v>560</v>
      </c>
      <c r="B662" t="s">
        <v>1075</v>
      </c>
      <c r="C662" t="s">
        <v>1232</v>
      </c>
      <c r="D662" s="2">
        <v>39912</v>
      </c>
      <c r="E662">
        <v>1.2409570000000001</v>
      </c>
      <c r="F662" s="2">
        <v>39997</v>
      </c>
      <c r="G662">
        <v>1.051164</v>
      </c>
      <c r="H662" s="3">
        <v>-0.15290000000000001</v>
      </c>
      <c r="I662">
        <v>-3532.06</v>
      </c>
      <c r="J662" s="3">
        <v>-0.15479999999999999</v>
      </c>
      <c r="K662">
        <v>18388</v>
      </c>
    </row>
    <row r="663" spans="1:11" x14ac:dyDescent="0.25">
      <c r="A663" t="s">
        <v>561</v>
      </c>
      <c r="B663" t="s">
        <v>1076</v>
      </c>
      <c r="C663" t="s">
        <v>1232</v>
      </c>
      <c r="D663" s="2">
        <v>39906</v>
      </c>
      <c r="E663">
        <v>1.395</v>
      </c>
      <c r="F663" s="2">
        <v>39995</v>
      </c>
      <c r="G663">
        <v>1.4</v>
      </c>
      <c r="H663" s="3">
        <v>3.5999999999999999E-3</v>
      </c>
      <c r="I663">
        <v>36.28</v>
      </c>
      <c r="J663" s="3">
        <v>1.6000000000000001E-3</v>
      </c>
      <c r="K663">
        <v>16453</v>
      </c>
    </row>
    <row r="664" spans="1:11" x14ac:dyDescent="0.25">
      <c r="A664" t="s">
        <v>320</v>
      </c>
      <c r="B664" t="s">
        <v>1077</v>
      </c>
      <c r="C664" t="s">
        <v>1232</v>
      </c>
      <c r="D664" s="2">
        <v>37099</v>
      </c>
      <c r="E664">
        <v>1.5149790000000001</v>
      </c>
      <c r="F664" s="2">
        <v>39738</v>
      </c>
      <c r="G664">
        <v>3.1475520000000001</v>
      </c>
      <c r="H664" s="3">
        <v>1.0775999999999999</v>
      </c>
      <c r="I664">
        <v>5510.48</v>
      </c>
      <c r="J664" s="3">
        <v>1.0745</v>
      </c>
      <c r="K664">
        <v>3385</v>
      </c>
    </row>
    <row r="665" spans="1:11" x14ac:dyDescent="0.25">
      <c r="A665" t="s">
        <v>321</v>
      </c>
      <c r="B665" t="s">
        <v>1078</v>
      </c>
      <c r="C665" t="s">
        <v>1232</v>
      </c>
      <c r="D665" s="2">
        <v>37743</v>
      </c>
      <c r="E665">
        <v>0.98396620000000001</v>
      </c>
      <c r="F665" s="2">
        <v>39738</v>
      </c>
      <c r="G665">
        <v>1.379723</v>
      </c>
      <c r="H665" s="3">
        <v>0.4022</v>
      </c>
      <c r="I665">
        <v>2345.41</v>
      </c>
      <c r="J665" s="3">
        <v>0.39979999999999999</v>
      </c>
      <c r="K665">
        <v>5962</v>
      </c>
    </row>
    <row r="666" spans="1:11" x14ac:dyDescent="0.25">
      <c r="A666" t="s">
        <v>562</v>
      </c>
      <c r="B666" t="s">
        <v>1079</v>
      </c>
      <c r="C666" t="s">
        <v>1232</v>
      </c>
      <c r="D666" s="2">
        <v>39577</v>
      </c>
      <c r="E666">
        <v>6.27</v>
      </c>
      <c r="F666" s="2">
        <v>39716</v>
      </c>
      <c r="G666">
        <v>6.4</v>
      </c>
      <c r="H666" s="3">
        <v>2.07E-2</v>
      </c>
      <c r="I666">
        <v>422.15</v>
      </c>
      <c r="J666" s="3">
        <v>1.8700000000000001E-2</v>
      </c>
      <c r="K666">
        <v>3598</v>
      </c>
    </row>
    <row r="667" spans="1:11" x14ac:dyDescent="0.25">
      <c r="A667" t="s">
        <v>563</v>
      </c>
      <c r="B667" t="s">
        <v>1080</v>
      </c>
      <c r="C667" t="s">
        <v>1232</v>
      </c>
      <c r="D667" s="2">
        <v>39430</v>
      </c>
      <c r="E667">
        <v>1.77</v>
      </c>
      <c r="F667" s="2">
        <v>39668</v>
      </c>
      <c r="G667">
        <v>1.875</v>
      </c>
      <c r="H667" s="3">
        <v>5.9299999999999999E-2</v>
      </c>
      <c r="I667">
        <v>1388.56</v>
      </c>
      <c r="J667" s="3">
        <v>5.7299999999999997E-2</v>
      </c>
      <c r="K667">
        <v>13700</v>
      </c>
    </row>
    <row r="668" spans="1:11" x14ac:dyDescent="0.25">
      <c r="A668" t="s">
        <v>75</v>
      </c>
      <c r="B668" t="s">
        <v>1081</v>
      </c>
      <c r="C668" t="s">
        <v>1232</v>
      </c>
      <c r="D668" s="2">
        <v>39423</v>
      </c>
      <c r="E668">
        <v>2.1192739999999999</v>
      </c>
      <c r="F668" s="2">
        <v>39654</v>
      </c>
      <c r="G668">
        <v>1.9780679999999999</v>
      </c>
      <c r="H668" s="3">
        <v>-6.6600000000000006E-2</v>
      </c>
      <c r="I668">
        <v>-1656.89</v>
      </c>
      <c r="J668" s="3">
        <v>-6.8599999999999994E-2</v>
      </c>
      <c r="K668">
        <v>11403</v>
      </c>
    </row>
    <row r="669" spans="1:11" x14ac:dyDescent="0.25">
      <c r="A669" t="s">
        <v>564</v>
      </c>
      <c r="B669" t="s">
        <v>1082</v>
      </c>
      <c r="C669" t="s">
        <v>1232</v>
      </c>
      <c r="D669" s="2">
        <v>39570</v>
      </c>
      <c r="E669">
        <v>1.1696850000000001</v>
      </c>
      <c r="F669" s="2">
        <v>39647</v>
      </c>
      <c r="G669">
        <v>1.1568780000000001</v>
      </c>
      <c r="H669" s="3">
        <v>-1.09E-2</v>
      </c>
      <c r="I669">
        <v>-292.77</v>
      </c>
      <c r="J669" s="3">
        <v>-1.29E-2</v>
      </c>
      <c r="K669">
        <v>19346</v>
      </c>
    </row>
    <row r="670" spans="1:11" x14ac:dyDescent="0.25">
      <c r="A670" t="s">
        <v>565</v>
      </c>
      <c r="B670" t="s">
        <v>1083</v>
      </c>
      <c r="C670" t="s">
        <v>1232</v>
      </c>
      <c r="D670" s="2">
        <v>39570</v>
      </c>
      <c r="E670">
        <v>1.713392</v>
      </c>
      <c r="F670" s="2">
        <v>39646</v>
      </c>
      <c r="G670">
        <v>1.6539680000000001</v>
      </c>
      <c r="H670" s="3">
        <v>-3.4700000000000002E-2</v>
      </c>
      <c r="I670">
        <v>-829.22</v>
      </c>
      <c r="J670" s="3">
        <v>-3.6600000000000001E-2</v>
      </c>
      <c r="K670">
        <v>13206</v>
      </c>
    </row>
    <row r="671" spans="1:11" x14ac:dyDescent="0.25">
      <c r="A671" t="s">
        <v>64</v>
      </c>
      <c r="B671" t="s">
        <v>782</v>
      </c>
      <c r="C671" t="s">
        <v>1232</v>
      </c>
      <c r="D671" s="2">
        <v>39570</v>
      </c>
      <c r="E671">
        <v>1.2106220000000001</v>
      </c>
      <c r="F671" s="2">
        <v>39640</v>
      </c>
      <c r="G671">
        <v>1.337105</v>
      </c>
      <c r="H671" s="3">
        <v>0.1045</v>
      </c>
      <c r="I671">
        <v>2316.85</v>
      </c>
      <c r="J671" s="3">
        <v>0.1024</v>
      </c>
      <c r="K671">
        <v>18694</v>
      </c>
    </row>
    <row r="672" spans="1:11" x14ac:dyDescent="0.25">
      <c r="A672" t="s">
        <v>145</v>
      </c>
      <c r="B672" t="s">
        <v>698</v>
      </c>
      <c r="C672" t="s">
        <v>1232</v>
      </c>
      <c r="D672" s="2">
        <v>39584</v>
      </c>
      <c r="E672">
        <v>7.01</v>
      </c>
      <c r="F672" s="2">
        <v>39640</v>
      </c>
      <c r="G672">
        <v>7.04</v>
      </c>
      <c r="H672" s="3">
        <v>4.3E-3</v>
      </c>
      <c r="I672">
        <v>53.18</v>
      </c>
      <c r="J672" s="3">
        <v>2.3E-3</v>
      </c>
      <c r="K672">
        <v>3334</v>
      </c>
    </row>
    <row r="673" spans="1:11" x14ac:dyDescent="0.25">
      <c r="A673" t="s">
        <v>214</v>
      </c>
      <c r="B673" t="s">
        <v>792</v>
      </c>
      <c r="C673" t="s">
        <v>1232</v>
      </c>
      <c r="D673" s="2">
        <v>39570</v>
      </c>
      <c r="E673">
        <v>0.67496970000000001</v>
      </c>
      <c r="F673" s="2">
        <v>39640</v>
      </c>
      <c r="G673">
        <v>0.58658089999999996</v>
      </c>
      <c r="H673" s="3">
        <v>-0.13100000000000001</v>
      </c>
      <c r="I673">
        <v>-3004.81</v>
      </c>
      <c r="J673" s="3">
        <v>-0.1328</v>
      </c>
      <c r="K673">
        <v>33517</v>
      </c>
    </row>
    <row r="674" spans="1:11" x14ac:dyDescent="0.25">
      <c r="A674" t="s">
        <v>566</v>
      </c>
      <c r="B674" t="s">
        <v>1084</v>
      </c>
      <c r="C674" t="s">
        <v>1232</v>
      </c>
      <c r="D674" s="2">
        <v>39577</v>
      </c>
      <c r="E674">
        <v>4.9675200000000004</v>
      </c>
      <c r="F674" s="2">
        <v>39633</v>
      </c>
      <c r="G674">
        <v>6.0840290000000001</v>
      </c>
      <c r="H674" s="3">
        <v>0.2248</v>
      </c>
      <c r="I674">
        <v>5020.99</v>
      </c>
      <c r="J674" s="3">
        <v>0.2225</v>
      </c>
      <c r="K674">
        <v>4542</v>
      </c>
    </row>
    <row r="675" spans="1:11" x14ac:dyDescent="0.25">
      <c r="A675" t="s">
        <v>298</v>
      </c>
      <c r="B675" t="s">
        <v>983</v>
      </c>
      <c r="C675" t="s">
        <v>1232</v>
      </c>
      <c r="D675" s="2">
        <v>39577</v>
      </c>
      <c r="E675">
        <v>3.3683420000000002</v>
      </c>
      <c r="F675" s="2">
        <v>39626</v>
      </c>
      <c r="G675">
        <v>4.0234810000000003</v>
      </c>
      <c r="H675" s="3">
        <v>0.19450000000000001</v>
      </c>
      <c r="I675">
        <v>4336.67</v>
      </c>
      <c r="J675" s="3">
        <v>0.1923</v>
      </c>
      <c r="K675">
        <v>6695</v>
      </c>
    </row>
    <row r="676" spans="1:11" x14ac:dyDescent="0.25">
      <c r="A676" t="s">
        <v>188</v>
      </c>
      <c r="B676" t="s">
        <v>749</v>
      </c>
      <c r="C676" t="s">
        <v>1232</v>
      </c>
      <c r="D676" s="2">
        <v>39584</v>
      </c>
      <c r="E676">
        <v>1.5337000000000001</v>
      </c>
      <c r="F676" s="2">
        <v>39626</v>
      </c>
      <c r="G676">
        <v>1.44106</v>
      </c>
      <c r="H676" s="3">
        <v>-6.0400000000000002E-2</v>
      </c>
      <c r="I676">
        <v>-1457.46</v>
      </c>
      <c r="J676" s="3">
        <v>-6.2300000000000001E-2</v>
      </c>
      <c r="K676">
        <v>15243</v>
      </c>
    </row>
    <row r="677" spans="1:11" x14ac:dyDescent="0.25">
      <c r="A677" t="s">
        <v>476</v>
      </c>
      <c r="B677" t="s">
        <v>950</v>
      </c>
      <c r="C677" t="s">
        <v>1232</v>
      </c>
      <c r="D677" s="2">
        <v>39584</v>
      </c>
      <c r="E677">
        <v>4.1571199999999999</v>
      </c>
      <c r="F677" s="2">
        <v>39619</v>
      </c>
      <c r="G677">
        <v>3.4012799999999999</v>
      </c>
      <c r="H677" s="3">
        <v>-0.18179999999999999</v>
      </c>
      <c r="I677">
        <v>-4291.83</v>
      </c>
      <c r="J677" s="3">
        <v>-0.18360000000000001</v>
      </c>
      <c r="K677">
        <v>5622</v>
      </c>
    </row>
    <row r="678" spans="1:11" x14ac:dyDescent="0.25">
      <c r="A678" t="s">
        <v>567</v>
      </c>
      <c r="B678" t="s">
        <v>1085</v>
      </c>
      <c r="C678" t="s">
        <v>1232</v>
      </c>
      <c r="D678" s="2">
        <v>39577</v>
      </c>
      <c r="E678">
        <v>0.54</v>
      </c>
      <c r="F678" s="2">
        <v>39619</v>
      </c>
      <c r="G678">
        <v>0.81</v>
      </c>
      <c r="H678" s="3">
        <v>0.5</v>
      </c>
      <c r="I678">
        <v>11218.29</v>
      </c>
      <c r="J678" s="3">
        <v>0.4975</v>
      </c>
      <c r="K678">
        <v>41758</v>
      </c>
    </row>
    <row r="679" spans="1:11" x14ac:dyDescent="0.25">
      <c r="A679" t="s">
        <v>568</v>
      </c>
      <c r="B679" t="s">
        <v>1086</v>
      </c>
      <c r="C679" t="s">
        <v>1232</v>
      </c>
      <c r="D679" s="2">
        <v>39577</v>
      </c>
      <c r="E679">
        <v>13.576499999999999</v>
      </c>
      <c r="F679" s="2">
        <v>39619</v>
      </c>
      <c r="G679">
        <v>17.843399999999999</v>
      </c>
      <c r="H679" s="3">
        <v>0.31430000000000002</v>
      </c>
      <c r="I679">
        <v>7035.13</v>
      </c>
      <c r="J679" s="3">
        <v>0.312</v>
      </c>
      <c r="K679">
        <v>1661</v>
      </c>
    </row>
    <row r="680" spans="1:11" x14ac:dyDescent="0.25">
      <c r="A680" t="s">
        <v>569</v>
      </c>
      <c r="B680" t="s">
        <v>1087</v>
      </c>
      <c r="C680" t="s">
        <v>1232</v>
      </c>
      <c r="D680" s="2">
        <v>39577</v>
      </c>
      <c r="E680">
        <v>2.3588969999999998</v>
      </c>
      <c r="F680" s="2">
        <v>39619</v>
      </c>
      <c r="G680">
        <v>2.0790519999999999</v>
      </c>
      <c r="H680" s="3">
        <v>-0.1186</v>
      </c>
      <c r="I680">
        <v>-2718.31</v>
      </c>
      <c r="J680" s="3">
        <v>-0.1205</v>
      </c>
      <c r="K680">
        <v>9562</v>
      </c>
    </row>
    <row r="681" spans="1:11" x14ac:dyDescent="0.25">
      <c r="A681" t="s">
        <v>94</v>
      </c>
      <c r="B681" t="s">
        <v>1088</v>
      </c>
      <c r="C681" t="s">
        <v>1232</v>
      </c>
      <c r="D681" s="2">
        <v>39577</v>
      </c>
      <c r="E681">
        <v>1.2190099999999999</v>
      </c>
      <c r="F681" s="2">
        <v>39619</v>
      </c>
      <c r="G681">
        <v>1.1111740000000001</v>
      </c>
      <c r="H681" s="3">
        <v>-8.8499999999999995E-2</v>
      </c>
      <c r="I681">
        <v>-2039.07</v>
      </c>
      <c r="J681" s="3">
        <v>-9.0399999999999994E-2</v>
      </c>
      <c r="K681">
        <v>18509</v>
      </c>
    </row>
    <row r="682" spans="1:11" x14ac:dyDescent="0.25">
      <c r="A682" t="s">
        <v>322</v>
      </c>
      <c r="B682" t="s">
        <v>1089</v>
      </c>
      <c r="C682" t="s">
        <v>1232</v>
      </c>
      <c r="D682" s="2">
        <v>39577</v>
      </c>
      <c r="E682">
        <v>1.5147470000000001</v>
      </c>
      <c r="F682" s="2">
        <v>39619</v>
      </c>
      <c r="G682">
        <v>1.877319</v>
      </c>
      <c r="H682" s="3">
        <v>0.2394</v>
      </c>
      <c r="I682">
        <v>5351.06</v>
      </c>
      <c r="J682" s="3">
        <v>0.23710000000000001</v>
      </c>
      <c r="K682">
        <v>14898</v>
      </c>
    </row>
    <row r="683" spans="1:11" x14ac:dyDescent="0.25">
      <c r="A683" t="s">
        <v>570</v>
      </c>
      <c r="B683" t="s">
        <v>1090</v>
      </c>
      <c r="C683" t="s">
        <v>1232</v>
      </c>
      <c r="D683" s="2">
        <v>39570</v>
      </c>
      <c r="E683">
        <v>9.5478629999999995</v>
      </c>
      <c r="F683" s="2">
        <v>39619</v>
      </c>
      <c r="G683">
        <v>10.781689999999999</v>
      </c>
      <c r="H683" s="3">
        <v>0.12920000000000001</v>
      </c>
      <c r="I683">
        <v>2874.78</v>
      </c>
      <c r="J683" s="3">
        <v>0.12709999999999999</v>
      </c>
      <c r="K683">
        <v>2369</v>
      </c>
    </row>
    <row r="684" spans="1:11" x14ac:dyDescent="0.25">
      <c r="A684" t="s">
        <v>571</v>
      </c>
      <c r="B684" t="s">
        <v>1091</v>
      </c>
      <c r="C684" t="s">
        <v>1232</v>
      </c>
      <c r="D684" s="2">
        <v>39577</v>
      </c>
      <c r="E684">
        <v>3.1902180000000002</v>
      </c>
      <c r="F684" s="2">
        <v>39612</v>
      </c>
      <c r="G684">
        <v>3.3348179999999998</v>
      </c>
      <c r="H684" s="3">
        <v>4.53E-2</v>
      </c>
      <c r="I684">
        <v>976.33</v>
      </c>
      <c r="J684" s="3">
        <v>4.3299999999999998E-2</v>
      </c>
      <c r="K684">
        <v>7071</v>
      </c>
    </row>
    <row r="685" spans="1:11" x14ac:dyDescent="0.25">
      <c r="A685" t="s">
        <v>52</v>
      </c>
      <c r="B685" t="s">
        <v>866</v>
      </c>
      <c r="C685" t="s">
        <v>1232</v>
      </c>
      <c r="D685" s="2">
        <v>39101</v>
      </c>
      <c r="E685">
        <v>1.084549</v>
      </c>
      <c r="F685" s="2">
        <v>39534</v>
      </c>
      <c r="G685">
        <v>0.84998450000000003</v>
      </c>
      <c r="H685" s="3">
        <v>-0.21629999999999999</v>
      </c>
      <c r="I685">
        <v>-3836.49</v>
      </c>
      <c r="J685" s="3">
        <v>-0.21809999999999999</v>
      </c>
      <c r="K685">
        <v>16222</v>
      </c>
    </row>
    <row r="686" spans="1:11" x14ac:dyDescent="0.25">
      <c r="A686" t="s">
        <v>323</v>
      </c>
      <c r="B686" t="s">
        <v>1092</v>
      </c>
      <c r="C686" t="s">
        <v>1232</v>
      </c>
      <c r="D686" s="2">
        <v>37728</v>
      </c>
      <c r="E686">
        <v>1.345486</v>
      </c>
      <c r="F686" s="2">
        <v>39521</v>
      </c>
      <c r="G686">
        <v>2.499123</v>
      </c>
      <c r="H686" s="3">
        <v>0.85740000000000005</v>
      </c>
      <c r="I686">
        <v>4997</v>
      </c>
      <c r="J686" s="3">
        <v>0.85460000000000003</v>
      </c>
      <c r="K686">
        <v>4346</v>
      </c>
    </row>
    <row r="687" spans="1:11" x14ac:dyDescent="0.25">
      <c r="A687" t="s">
        <v>544</v>
      </c>
      <c r="B687" t="s">
        <v>1054</v>
      </c>
      <c r="C687" t="s">
        <v>1232</v>
      </c>
      <c r="D687" s="2">
        <v>39339</v>
      </c>
      <c r="E687">
        <v>1.7369060000000001</v>
      </c>
      <c r="F687" s="2">
        <v>39479</v>
      </c>
      <c r="G687">
        <v>1.7271129999999999</v>
      </c>
      <c r="H687" s="3">
        <v>-5.5999999999999999E-3</v>
      </c>
      <c r="I687">
        <v>-159.47</v>
      </c>
      <c r="J687" s="3">
        <v>-7.6E-3</v>
      </c>
      <c r="K687">
        <v>12029</v>
      </c>
    </row>
    <row r="688" spans="1:11" x14ac:dyDescent="0.25">
      <c r="A688" t="s">
        <v>303</v>
      </c>
      <c r="B688" t="s">
        <v>1009</v>
      </c>
      <c r="C688" t="s">
        <v>1232</v>
      </c>
      <c r="D688" s="2">
        <v>39332</v>
      </c>
      <c r="E688">
        <v>0.61900129999999998</v>
      </c>
      <c r="F688" s="2">
        <v>39479</v>
      </c>
      <c r="G688">
        <v>0.42186940000000001</v>
      </c>
      <c r="H688" s="3">
        <v>-0.31850000000000001</v>
      </c>
      <c r="I688">
        <v>-6723.61</v>
      </c>
      <c r="J688" s="3">
        <v>-0.3201</v>
      </c>
      <c r="K688">
        <v>33928</v>
      </c>
    </row>
    <row r="689" spans="1:11" x14ac:dyDescent="0.25">
      <c r="A689" t="s">
        <v>508</v>
      </c>
      <c r="B689" t="s">
        <v>1001</v>
      </c>
      <c r="C689" t="s">
        <v>1232</v>
      </c>
      <c r="D689" s="2">
        <v>38695</v>
      </c>
      <c r="E689">
        <v>1.8088679999999999</v>
      </c>
      <c r="F689" s="2">
        <v>39479</v>
      </c>
      <c r="G689">
        <v>2.3216109999999999</v>
      </c>
      <c r="H689" s="3">
        <v>0.28349999999999997</v>
      </c>
      <c r="I689">
        <v>3429.57</v>
      </c>
      <c r="J689" s="3">
        <v>0.28120000000000001</v>
      </c>
      <c r="K689">
        <v>6743</v>
      </c>
    </row>
    <row r="690" spans="1:11" x14ac:dyDescent="0.25">
      <c r="A690" t="s">
        <v>243</v>
      </c>
      <c r="B690" t="s">
        <v>833</v>
      </c>
      <c r="C690" t="s">
        <v>1232</v>
      </c>
      <c r="D690" s="2">
        <v>39423</v>
      </c>
      <c r="E690">
        <v>3.0951810000000002</v>
      </c>
      <c r="F690" s="2">
        <v>39479</v>
      </c>
      <c r="G690">
        <v>2.838775</v>
      </c>
      <c r="H690" s="3">
        <v>-8.2799999999999999E-2</v>
      </c>
      <c r="I690">
        <v>-2048.61</v>
      </c>
      <c r="J690" s="3">
        <v>-8.48E-2</v>
      </c>
      <c r="K690">
        <v>7809</v>
      </c>
    </row>
    <row r="691" spans="1:11" x14ac:dyDescent="0.25">
      <c r="A691" t="s">
        <v>498</v>
      </c>
      <c r="B691" t="s">
        <v>988</v>
      </c>
      <c r="C691" t="s">
        <v>1232</v>
      </c>
      <c r="D691" s="2">
        <v>39423</v>
      </c>
      <c r="E691">
        <v>1.411772</v>
      </c>
      <c r="F691" s="2">
        <v>39472</v>
      </c>
      <c r="G691">
        <v>1.522499</v>
      </c>
      <c r="H691" s="3">
        <v>7.8399999999999997E-2</v>
      </c>
      <c r="I691">
        <v>1845.63</v>
      </c>
      <c r="J691" s="3">
        <v>7.6399999999999996E-2</v>
      </c>
      <c r="K691">
        <v>17122</v>
      </c>
    </row>
    <row r="692" spans="1:11" x14ac:dyDescent="0.25">
      <c r="A692" t="s">
        <v>572</v>
      </c>
      <c r="B692" t="s">
        <v>1093</v>
      </c>
      <c r="C692" t="s">
        <v>1232</v>
      </c>
      <c r="D692" s="2">
        <v>39346</v>
      </c>
      <c r="E692">
        <v>2.2993670000000002</v>
      </c>
      <c r="F692" s="2">
        <v>39472</v>
      </c>
      <c r="G692">
        <v>1.6695610000000001</v>
      </c>
      <c r="H692" s="3">
        <v>-0.27389999999999998</v>
      </c>
      <c r="I692">
        <v>-5804.74</v>
      </c>
      <c r="J692" s="3">
        <v>-0.27560000000000001</v>
      </c>
      <c r="K692">
        <v>9159</v>
      </c>
    </row>
    <row r="693" spans="1:11" x14ac:dyDescent="0.25">
      <c r="A693" t="s">
        <v>96</v>
      </c>
      <c r="B693" t="s">
        <v>388</v>
      </c>
      <c r="C693" t="s">
        <v>1232</v>
      </c>
      <c r="D693" s="2">
        <v>39339</v>
      </c>
      <c r="E693">
        <v>4.3971559999999998</v>
      </c>
      <c r="F693" s="2">
        <v>39472</v>
      </c>
      <c r="G693">
        <v>4.4064329999999998</v>
      </c>
      <c r="H693" s="3">
        <v>2.0999999999999999E-3</v>
      </c>
      <c r="I693">
        <v>2.25</v>
      </c>
      <c r="J693" s="3">
        <v>1E-4</v>
      </c>
      <c r="K693">
        <v>4751</v>
      </c>
    </row>
    <row r="694" spans="1:11" x14ac:dyDescent="0.25">
      <c r="A694" t="s">
        <v>318</v>
      </c>
      <c r="B694" t="s">
        <v>1066</v>
      </c>
      <c r="C694" t="s">
        <v>1232</v>
      </c>
      <c r="D694" s="2">
        <v>39332</v>
      </c>
      <c r="E694">
        <v>3.9218280000000001</v>
      </c>
      <c r="F694" s="2">
        <v>39472</v>
      </c>
      <c r="G694">
        <v>3.3126120000000001</v>
      </c>
      <c r="H694" s="3">
        <v>-0.15529999999999999</v>
      </c>
      <c r="I694">
        <v>-3300.48</v>
      </c>
      <c r="J694" s="3">
        <v>-0.15720000000000001</v>
      </c>
      <c r="K694">
        <v>5354</v>
      </c>
    </row>
    <row r="695" spans="1:11" x14ac:dyDescent="0.25">
      <c r="A695" t="s">
        <v>573</v>
      </c>
      <c r="B695" t="s">
        <v>1094</v>
      </c>
      <c r="C695" t="s">
        <v>1232</v>
      </c>
      <c r="D695" s="2">
        <v>39332</v>
      </c>
      <c r="E695">
        <v>1.51</v>
      </c>
      <c r="F695" s="2">
        <v>39472</v>
      </c>
      <c r="G695">
        <v>1.46</v>
      </c>
      <c r="H695" s="3">
        <v>-3.3099999999999997E-2</v>
      </c>
      <c r="I695">
        <v>-736.76</v>
      </c>
      <c r="J695" s="3">
        <v>-3.5099999999999999E-2</v>
      </c>
      <c r="K695">
        <v>13909</v>
      </c>
    </row>
    <row r="696" spans="1:11" x14ac:dyDescent="0.25">
      <c r="A696" t="s">
        <v>446</v>
      </c>
      <c r="B696" t="s">
        <v>898</v>
      </c>
      <c r="C696" t="s">
        <v>1232</v>
      </c>
      <c r="D696" s="2">
        <v>39332</v>
      </c>
      <c r="E696">
        <v>3.8602409999999998</v>
      </c>
      <c r="F696" s="2">
        <v>39472</v>
      </c>
      <c r="G696">
        <v>3.7829000000000002</v>
      </c>
      <c r="H696" s="3">
        <v>-0.02</v>
      </c>
      <c r="I696">
        <v>-462.4</v>
      </c>
      <c r="J696" s="3">
        <v>-2.1999999999999999E-2</v>
      </c>
      <c r="K696">
        <v>5441</v>
      </c>
    </row>
    <row r="697" spans="1:11" x14ac:dyDescent="0.25">
      <c r="A697" t="s">
        <v>506</v>
      </c>
      <c r="B697" t="s">
        <v>998</v>
      </c>
      <c r="C697" t="s">
        <v>1232</v>
      </c>
      <c r="D697" s="2">
        <v>38912</v>
      </c>
      <c r="E697">
        <v>1.2344889999999999</v>
      </c>
      <c r="F697" s="2">
        <v>39472</v>
      </c>
      <c r="G697">
        <v>2.0769090000000001</v>
      </c>
      <c r="H697" s="3">
        <v>0.68240000000000001</v>
      </c>
      <c r="I697">
        <v>9518.85</v>
      </c>
      <c r="J697" s="3">
        <v>0.67969999999999997</v>
      </c>
      <c r="K697">
        <v>11344</v>
      </c>
    </row>
    <row r="698" spans="1:11" x14ac:dyDescent="0.25">
      <c r="A698" t="s">
        <v>92</v>
      </c>
      <c r="B698" t="s">
        <v>1095</v>
      </c>
      <c r="C698" t="s">
        <v>1232</v>
      </c>
      <c r="D698" s="2">
        <v>38177</v>
      </c>
      <c r="E698">
        <v>0.60112719999999997</v>
      </c>
      <c r="F698" s="2">
        <v>39465</v>
      </c>
      <c r="G698">
        <v>0.98672459999999995</v>
      </c>
      <c r="H698" s="3">
        <v>0.64149999999999996</v>
      </c>
      <c r="I698">
        <v>5590.41</v>
      </c>
      <c r="J698" s="3">
        <v>0.63880000000000003</v>
      </c>
      <c r="K698">
        <v>14558</v>
      </c>
    </row>
    <row r="699" spans="1:11" x14ac:dyDescent="0.25">
      <c r="A699" t="s">
        <v>574</v>
      </c>
      <c r="B699" t="s">
        <v>1096</v>
      </c>
      <c r="C699" t="s">
        <v>1232</v>
      </c>
      <c r="D699" s="2">
        <v>39430</v>
      </c>
      <c r="E699">
        <v>6.5526720000000003</v>
      </c>
      <c r="F699" s="2">
        <v>39458</v>
      </c>
      <c r="G699">
        <v>6.01776</v>
      </c>
      <c r="H699" s="3">
        <v>-8.1600000000000006E-2</v>
      </c>
      <c r="I699">
        <v>-2026.23</v>
      </c>
      <c r="J699" s="3">
        <v>-8.3599999999999994E-2</v>
      </c>
      <c r="K699">
        <v>3701</v>
      </c>
    </row>
    <row r="700" spans="1:11" x14ac:dyDescent="0.25">
      <c r="A700" t="s">
        <v>575</v>
      </c>
      <c r="B700" t="s">
        <v>1097</v>
      </c>
      <c r="C700" t="s">
        <v>1232</v>
      </c>
      <c r="D700" s="2">
        <v>39430</v>
      </c>
      <c r="E700">
        <v>11.09136</v>
      </c>
      <c r="F700" s="2">
        <v>39444</v>
      </c>
      <c r="G700">
        <v>9.3583350000000003</v>
      </c>
      <c r="H700" s="3">
        <v>-0.15629999999999999</v>
      </c>
      <c r="I700">
        <v>-3833.11</v>
      </c>
      <c r="J700" s="3">
        <v>-0.15809999999999999</v>
      </c>
      <c r="K700">
        <v>2186</v>
      </c>
    </row>
    <row r="701" spans="1:11" x14ac:dyDescent="0.25">
      <c r="A701" t="s">
        <v>497</v>
      </c>
      <c r="B701" t="s">
        <v>984</v>
      </c>
      <c r="C701" t="s">
        <v>1232</v>
      </c>
      <c r="D701" s="2">
        <v>39388</v>
      </c>
      <c r="E701">
        <v>0.5598187</v>
      </c>
      <c r="F701" s="2">
        <v>39444</v>
      </c>
      <c r="G701">
        <v>0.69341459999999999</v>
      </c>
      <c r="H701" s="3">
        <v>0.23860000000000001</v>
      </c>
      <c r="I701">
        <v>5750.55</v>
      </c>
      <c r="J701" s="3">
        <v>0.2364</v>
      </c>
      <c r="K701">
        <v>43452</v>
      </c>
    </row>
    <row r="702" spans="1:11" x14ac:dyDescent="0.25">
      <c r="A702" t="s">
        <v>576</v>
      </c>
      <c r="B702" t="s">
        <v>1098</v>
      </c>
      <c r="C702" t="s">
        <v>1232</v>
      </c>
      <c r="D702" s="2">
        <v>39353</v>
      </c>
      <c r="E702">
        <v>2</v>
      </c>
      <c r="F702" s="2">
        <v>39416</v>
      </c>
      <c r="G702">
        <v>2.37</v>
      </c>
      <c r="H702" s="3">
        <v>0.185</v>
      </c>
      <c r="I702">
        <v>3927.23</v>
      </c>
      <c r="J702" s="3">
        <v>0.18279999999999999</v>
      </c>
      <c r="K702">
        <v>10741</v>
      </c>
    </row>
    <row r="703" spans="1:11" x14ac:dyDescent="0.25">
      <c r="A703" t="s">
        <v>324</v>
      </c>
      <c r="B703" t="s">
        <v>1099</v>
      </c>
      <c r="C703" t="s">
        <v>1232</v>
      </c>
      <c r="D703" s="2">
        <v>39346</v>
      </c>
      <c r="E703">
        <v>6.1848910000000004</v>
      </c>
      <c r="F703" s="2">
        <v>39416</v>
      </c>
      <c r="G703">
        <v>6.1830080000000001</v>
      </c>
      <c r="H703" s="3">
        <v>-2.9999999999999997E-4</v>
      </c>
      <c r="I703">
        <v>-48.52</v>
      </c>
      <c r="J703" s="3">
        <v>-2.3E-3</v>
      </c>
      <c r="K703">
        <v>3405</v>
      </c>
    </row>
    <row r="704" spans="1:11" x14ac:dyDescent="0.25">
      <c r="A704" t="s">
        <v>577</v>
      </c>
      <c r="B704" t="s">
        <v>1100</v>
      </c>
      <c r="C704" t="s">
        <v>1232</v>
      </c>
      <c r="D704" s="2">
        <v>39339</v>
      </c>
      <c r="E704">
        <v>2.921713</v>
      </c>
      <c r="F704" s="2">
        <v>39416</v>
      </c>
      <c r="G704">
        <v>4.3871209999999996</v>
      </c>
      <c r="H704" s="3">
        <v>0.50160000000000005</v>
      </c>
      <c r="I704">
        <v>10428.33</v>
      </c>
      <c r="J704" s="3">
        <v>0.49909999999999999</v>
      </c>
      <c r="K704">
        <v>7152</v>
      </c>
    </row>
    <row r="705" spans="1:11" x14ac:dyDescent="0.25">
      <c r="A705" t="s">
        <v>509</v>
      </c>
      <c r="B705" t="s">
        <v>1002</v>
      </c>
      <c r="C705" t="s">
        <v>1232</v>
      </c>
      <c r="D705" s="2">
        <v>39339</v>
      </c>
      <c r="E705">
        <v>7.7362820000000001</v>
      </c>
      <c r="F705" s="2">
        <v>39416</v>
      </c>
      <c r="G705">
        <v>10.68069</v>
      </c>
      <c r="H705" s="3">
        <v>0.38059999999999999</v>
      </c>
      <c r="I705">
        <v>7903.1</v>
      </c>
      <c r="J705" s="3">
        <v>0.37819999999999998</v>
      </c>
      <c r="K705">
        <v>2701</v>
      </c>
    </row>
    <row r="706" spans="1:11" x14ac:dyDescent="0.25">
      <c r="A706" t="s">
        <v>578</v>
      </c>
      <c r="B706" t="s">
        <v>1101</v>
      </c>
      <c r="C706" t="s">
        <v>1232</v>
      </c>
      <c r="D706" s="2">
        <v>39339</v>
      </c>
      <c r="E706">
        <v>2.5565989999999998</v>
      </c>
      <c r="F706" s="2">
        <v>39416</v>
      </c>
      <c r="G706">
        <v>3.2205219999999999</v>
      </c>
      <c r="H706" s="3">
        <v>0.25969999999999999</v>
      </c>
      <c r="I706">
        <v>5380.34</v>
      </c>
      <c r="J706" s="3">
        <v>0.25740000000000002</v>
      </c>
      <c r="K706">
        <v>8175</v>
      </c>
    </row>
    <row r="707" spans="1:11" x14ac:dyDescent="0.25">
      <c r="A707" t="s">
        <v>575</v>
      </c>
      <c r="B707" t="s">
        <v>1097</v>
      </c>
      <c r="C707" t="s">
        <v>1232</v>
      </c>
      <c r="D707" s="2">
        <v>39339</v>
      </c>
      <c r="E707">
        <v>3.9611999999999998</v>
      </c>
      <c r="F707" s="2">
        <v>39416</v>
      </c>
      <c r="G707">
        <v>9.3484320000000007</v>
      </c>
      <c r="H707" s="3">
        <v>1.36</v>
      </c>
      <c r="I707">
        <v>28352.799999999999</v>
      </c>
      <c r="J707" s="3">
        <v>1.3566</v>
      </c>
      <c r="K707">
        <v>5276</v>
      </c>
    </row>
    <row r="708" spans="1:11" x14ac:dyDescent="0.25">
      <c r="A708" t="s">
        <v>99</v>
      </c>
      <c r="B708" t="s">
        <v>1102</v>
      </c>
      <c r="C708" t="s">
        <v>1232</v>
      </c>
      <c r="D708" s="2">
        <v>39332</v>
      </c>
      <c r="E708">
        <v>0.81391570000000002</v>
      </c>
      <c r="F708" s="2">
        <v>39388</v>
      </c>
      <c r="G708">
        <v>0.91636879999999998</v>
      </c>
      <c r="H708" s="3">
        <v>0.12590000000000001</v>
      </c>
      <c r="I708">
        <v>2599.66</v>
      </c>
      <c r="J708" s="3">
        <v>0.12379999999999999</v>
      </c>
      <c r="K708">
        <v>25810</v>
      </c>
    </row>
    <row r="709" spans="1:11" x14ac:dyDescent="0.25">
      <c r="A709" t="s">
        <v>325</v>
      </c>
      <c r="B709" t="s">
        <v>1103</v>
      </c>
      <c r="C709" t="s">
        <v>1232</v>
      </c>
      <c r="D709" s="2">
        <v>38625</v>
      </c>
      <c r="E709">
        <v>1.2892779999999999</v>
      </c>
      <c r="F709" s="2">
        <v>39318</v>
      </c>
      <c r="G709">
        <v>3.6391209999999998</v>
      </c>
      <c r="H709" s="3">
        <v>1.8226</v>
      </c>
      <c r="I709">
        <v>22086.75</v>
      </c>
      <c r="J709" s="3">
        <v>1.8188</v>
      </c>
      <c r="K709">
        <v>9419</v>
      </c>
    </row>
    <row r="710" spans="1:11" x14ac:dyDescent="0.25">
      <c r="A710" t="s">
        <v>579</v>
      </c>
      <c r="B710" t="s">
        <v>1104</v>
      </c>
      <c r="C710" t="s">
        <v>1232</v>
      </c>
      <c r="D710" s="2">
        <v>38954</v>
      </c>
      <c r="E710">
        <v>2.2513960000000002</v>
      </c>
      <c r="F710" s="2">
        <v>39318</v>
      </c>
      <c r="G710">
        <v>4.1159470000000002</v>
      </c>
      <c r="H710" s="3">
        <v>0.82820000000000005</v>
      </c>
      <c r="I710">
        <v>11883.08</v>
      </c>
      <c r="J710" s="3">
        <v>0.82530000000000003</v>
      </c>
      <c r="K710">
        <v>6395</v>
      </c>
    </row>
    <row r="711" spans="1:11" x14ac:dyDescent="0.25">
      <c r="A711" t="s">
        <v>503</v>
      </c>
      <c r="B711" t="s">
        <v>995</v>
      </c>
      <c r="C711" t="s">
        <v>1232</v>
      </c>
      <c r="D711" s="2">
        <v>38912</v>
      </c>
      <c r="E711">
        <v>0.54548140000000001</v>
      </c>
      <c r="F711" s="2">
        <v>39318</v>
      </c>
      <c r="G711">
        <v>0.79795099999999997</v>
      </c>
      <c r="H711" s="3">
        <v>0.46279999999999999</v>
      </c>
      <c r="I711">
        <v>6447.92</v>
      </c>
      <c r="J711" s="3">
        <v>0.46039999999999998</v>
      </c>
      <c r="K711">
        <v>25676</v>
      </c>
    </row>
    <row r="712" spans="1:11" x14ac:dyDescent="0.25">
      <c r="A712" t="s">
        <v>580</v>
      </c>
      <c r="B712" t="s">
        <v>1105</v>
      </c>
      <c r="C712" t="s">
        <v>1232</v>
      </c>
      <c r="D712" s="2">
        <v>38912</v>
      </c>
      <c r="E712">
        <v>11.44223</v>
      </c>
      <c r="F712" s="2">
        <v>39311</v>
      </c>
      <c r="G712">
        <v>25.702449999999999</v>
      </c>
      <c r="H712" s="3">
        <v>1.2463</v>
      </c>
      <c r="I712">
        <v>17394.82</v>
      </c>
      <c r="J712" s="3">
        <v>1.2430000000000001</v>
      </c>
      <c r="K712">
        <v>1223</v>
      </c>
    </row>
    <row r="713" spans="1:11" x14ac:dyDescent="0.25">
      <c r="A713" t="s">
        <v>509</v>
      </c>
      <c r="B713" t="s">
        <v>1002</v>
      </c>
      <c r="C713" t="s">
        <v>1232</v>
      </c>
      <c r="D713" s="2">
        <v>39171</v>
      </c>
      <c r="E713">
        <v>5.157019</v>
      </c>
      <c r="F713" s="2">
        <v>39304</v>
      </c>
      <c r="G713">
        <v>6.410914</v>
      </c>
      <c r="H713" s="3">
        <v>0.24310000000000001</v>
      </c>
      <c r="I713">
        <v>4604.0600000000004</v>
      </c>
      <c r="J713" s="3">
        <v>0.2409</v>
      </c>
      <c r="K713">
        <v>3706</v>
      </c>
    </row>
    <row r="714" spans="1:11" x14ac:dyDescent="0.25">
      <c r="A714" t="s">
        <v>570</v>
      </c>
      <c r="B714" t="s">
        <v>1090</v>
      </c>
      <c r="C714" t="s">
        <v>1232</v>
      </c>
      <c r="D714" s="2">
        <v>39143</v>
      </c>
      <c r="E714">
        <v>2.3999130000000002</v>
      </c>
      <c r="F714" s="2">
        <v>39304</v>
      </c>
      <c r="G714">
        <v>2.9477199999999999</v>
      </c>
      <c r="H714" s="3">
        <v>0.2283</v>
      </c>
      <c r="I714">
        <v>4357.03</v>
      </c>
      <c r="J714" s="3">
        <v>0.22600000000000001</v>
      </c>
      <c r="K714">
        <v>8032</v>
      </c>
    </row>
    <row r="715" spans="1:11" x14ac:dyDescent="0.25">
      <c r="A715" t="s">
        <v>326</v>
      </c>
      <c r="B715" t="s">
        <v>1106</v>
      </c>
      <c r="C715" t="s">
        <v>1232</v>
      </c>
      <c r="D715" s="2">
        <v>38667</v>
      </c>
      <c r="E715">
        <v>0.62716689999999997</v>
      </c>
      <c r="F715" s="2">
        <v>39304</v>
      </c>
      <c r="G715">
        <v>0.92676449999999999</v>
      </c>
      <c r="H715" s="3">
        <v>0.47770000000000001</v>
      </c>
      <c r="I715">
        <v>5682.2</v>
      </c>
      <c r="J715" s="3">
        <v>0.47520000000000001</v>
      </c>
      <c r="K715">
        <v>19065</v>
      </c>
    </row>
    <row r="716" spans="1:11" x14ac:dyDescent="0.25">
      <c r="A716" t="s">
        <v>530</v>
      </c>
      <c r="B716" t="s">
        <v>1036</v>
      </c>
      <c r="C716" t="s">
        <v>1232</v>
      </c>
      <c r="D716" s="2">
        <v>39255</v>
      </c>
      <c r="E716">
        <v>1.3882220000000001</v>
      </c>
      <c r="F716" s="2">
        <v>39297</v>
      </c>
      <c r="G716">
        <v>1.754923</v>
      </c>
      <c r="H716" s="3">
        <v>0.26419999999999999</v>
      </c>
      <c r="I716">
        <v>5396.29</v>
      </c>
      <c r="J716" s="3">
        <v>0.26190000000000002</v>
      </c>
      <c r="K716">
        <v>14843</v>
      </c>
    </row>
    <row r="717" spans="1:11" x14ac:dyDescent="0.25">
      <c r="A717" t="s">
        <v>574</v>
      </c>
      <c r="B717" t="s">
        <v>1096</v>
      </c>
      <c r="C717" t="s">
        <v>1232</v>
      </c>
      <c r="D717" s="2">
        <v>39177</v>
      </c>
      <c r="E717">
        <v>4.4798879999999999</v>
      </c>
      <c r="F717" s="2">
        <v>39297</v>
      </c>
      <c r="G717">
        <v>4.9479360000000003</v>
      </c>
      <c r="H717" s="3">
        <v>0.1045</v>
      </c>
      <c r="I717">
        <v>1962.89</v>
      </c>
      <c r="J717" s="3">
        <v>0.1024</v>
      </c>
      <c r="K717">
        <v>4280</v>
      </c>
    </row>
    <row r="718" spans="1:11" x14ac:dyDescent="0.25">
      <c r="A718" t="s">
        <v>214</v>
      </c>
      <c r="B718" t="s">
        <v>792</v>
      </c>
      <c r="C718" t="s">
        <v>1232</v>
      </c>
      <c r="D718" s="2">
        <v>39157</v>
      </c>
      <c r="E718">
        <v>0.54640409999999995</v>
      </c>
      <c r="F718" s="2">
        <v>39297</v>
      </c>
      <c r="G718">
        <v>0.60265150000000001</v>
      </c>
      <c r="H718" s="3">
        <v>0.10290000000000001</v>
      </c>
      <c r="I718">
        <v>1929.32</v>
      </c>
      <c r="J718" s="3">
        <v>0.1008</v>
      </c>
      <c r="K718">
        <v>35016</v>
      </c>
    </row>
    <row r="719" spans="1:11" x14ac:dyDescent="0.25">
      <c r="A719" t="s">
        <v>498</v>
      </c>
      <c r="B719" t="s">
        <v>988</v>
      </c>
      <c r="C719" t="s">
        <v>1232</v>
      </c>
      <c r="D719" s="2">
        <v>39038</v>
      </c>
      <c r="E719">
        <v>0.64007289999999994</v>
      </c>
      <c r="F719" s="2">
        <v>39297</v>
      </c>
      <c r="G719">
        <v>1.171462</v>
      </c>
      <c r="H719" s="3">
        <v>0.83020000000000005</v>
      </c>
      <c r="I719">
        <v>13415.79</v>
      </c>
      <c r="J719" s="3">
        <v>0.82740000000000002</v>
      </c>
      <c r="K719">
        <v>25333</v>
      </c>
    </row>
    <row r="720" spans="1:11" x14ac:dyDescent="0.25">
      <c r="A720" t="s">
        <v>97</v>
      </c>
      <c r="B720" t="s">
        <v>896</v>
      </c>
      <c r="C720" t="s">
        <v>1232</v>
      </c>
      <c r="D720" s="2">
        <v>39177</v>
      </c>
      <c r="E720">
        <v>6.6575249999999997</v>
      </c>
      <c r="F720" s="2">
        <v>39295</v>
      </c>
      <c r="G720">
        <v>9.0616310000000002</v>
      </c>
      <c r="H720" s="3">
        <v>0.36109999999999998</v>
      </c>
      <c r="I720">
        <v>6876.16</v>
      </c>
      <c r="J720" s="3">
        <v>0.35870000000000002</v>
      </c>
      <c r="K720">
        <v>2879</v>
      </c>
    </row>
    <row r="721" spans="1:11" x14ac:dyDescent="0.25">
      <c r="A721" t="s">
        <v>581</v>
      </c>
      <c r="B721" t="s">
        <v>1107</v>
      </c>
      <c r="C721" t="s">
        <v>1232</v>
      </c>
      <c r="D721" s="2">
        <v>38772</v>
      </c>
      <c r="E721">
        <v>1.336967</v>
      </c>
      <c r="F721" s="2">
        <v>39262</v>
      </c>
      <c r="G721">
        <v>1.755422</v>
      </c>
      <c r="H721" s="3">
        <v>0.313</v>
      </c>
      <c r="I721">
        <v>4078.86</v>
      </c>
      <c r="J721" s="3">
        <v>0.31069999999999998</v>
      </c>
      <c r="K721">
        <v>9820</v>
      </c>
    </row>
    <row r="722" spans="1:11" x14ac:dyDescent="0.25">
      <c r="A722" t="s">
        <v>582</v>
      </c>
      <c r="B722" t="s">
        <v>1108</v>
      </c>
      <c r="C722" t="s">
        <v>1232</v>
      </c>
      <c r="D722" s="2">
        <v>39171</v>
      </c>
      <c r="E722">
        <v>2.8943970000000001</v>
      </c>
      <c r="F722" s="2">
        <v>39255</v>
      </c>
      <c r="G722">
        <v>1.9326509999999999</v>
      </c>
      <c r="H722" s="3">
        <v>-0.33229999999999998</v>
      </c>
      <c r="I722">
        <v>-6382.28</v>
      </c>
      <c r="J722" s="3">
        <v>-0.33389999999999997</v>
      </c>
      <c r="K722">
        <v>6603</v>
      </c>
    </row>
    <row r="723" spans="1:11" x14ac:dyDescent="0.25">
      <c r="A723" t="s">
        <v>103</v>
      </c>
      <c r="B723" t="s">
        <v>769</v>
      </c>
      <c r="C723" t="s">
        <v>1232</v>
      </c>
      <c r="D723" s="2">
        <v>38541</v>
      </c>
      <c r="E723">
        <v>1.178696</v>
      </c>
      <c r="F723" s="2">
        <v>39177</v>
      </c>
      <c r="G723">
        <v>4.035507</v>
      </c>
      <c r="H723" s="3">
        <v>2.4237000000000002</v>
      </c>
      <c r="I723">
        <v>26271.759999999998</v>
      </c>
      <c r="J723" s="3">
        <v>2.4192999999999998</v>
      </c>
      <c r="K723">
        <v>9213</v>
      </c>
    </row>
    <row r="724" spans="1:11" x14ac:dyDescent="0.25">
      <c r="A724" t="s">
        <v>131</v>
      </c>
      <c r="B724" t="s">
        <v>400</v>
      </c>
      <c r="C724" t="s">
        <v>1232</v>
      </c>
      <c r="D724" s="2">
        <v>38534</v>
      </c>
      <c r="E724">
        <v>1.094608</v>
      </c>
      <c r="F724" s="2">
        <v>39171</v>
      </c>
      <c r="G724">
        <v>2.011441</v>
      </c>
      <c r="H724" s="3">
        <v>0.83760000000000001</v>
      </c>
      <c r="I724">
        <v>9012.09</v>
      </c>
      <c r="J724" s="3">
        <v>0.83479999999999999</v>
      </c>
      <c r="K724">
        <v>9863</v>
      </c>
    </row>
    <row r="725" spans="1:11" x14ac:dyDescent="0.25">
      <c r="A725" t="s">
        <v>583</v>
      </c>
      <c r="B725" t="s">
        <v>1109</v>
      </c>
      <c r="C725" t="s">
        <v>1232</v>
      </c>
      <c r="D725" s="2">
        <v>38562</v>
      </c>
      <c r="E725">
        <v>0.71317929999999996</v>
      </c>
      <c r="F725" s="2">
        <v>39164</v>
      </c>
      <c r="G725">
        <v>0.91674849999999997</v>
      </c>
      <c r="H725" s="3">
        <v>0.28539999999999999</v>
      </c>
      <c r="I725">
        <v>3113.3</v>
      </c>
      <c r="J725" s="3">
        <v>0.28320000000000001</v>
      </c>
      <c r="K725">
        <v>15417</v>
      </c>
    </row>
    <row r="726" spans="1:11" x14ac:dyDescent="0.25">
      <c r="A726" t="s">
        <v>584</v>
      </c>
      <c r="B726" t="s">
        <v>1110</v>
      </c>
      <c r="C726" t="s">
        <v>1232</v>
      </c>
      <c r="D726" s="2">
        <v>38779</v>
      </c>
      <c r="E726">
        <v>3.2727439999999999</v>
      </c>
      <c r="F726" s="2">
        <v>39157</v>
      </c>
      <c r="G726">
        <v>4.25</v>
      </c>
      <c r="H726" s="3">
        <v>0.29859999999999998</v>
      </c>
      <c r="I726">
        <v>3986.57</v>
      </c>
      <c r="J726" s="3">
        <v>0.29630000000000001</v>
      </c>
      <c r="K726">
        <v>4111</v>
      </c>
    </row>
    <row r="727" spans="1:11" x14ac:dyDescent="0.25">
      <c r="A727" t="s">
        <v>327</v>
      </c>
      <c r="B727" t="s">
        <v>1111</v>
      </c>
      <c r="C727" t="s">
        <v>1232</v>
      </c>
      <c r="D727" s="2">
        <v>38121</v>
      </c>
      <c r="E727">
        <v>0.76285400000000003</v>
      </c>
      <c r="F727" s="2">
        <v>39143</v>
      </c>
      <c r="G727">
        <v>1.7015210000000001</v>
      </c>
      <c r="H727" s="3">
        <v>1.2304999999999999</v>
      </c>
      <c r="I727">
        <v>10762.59</v>
      </c>
      <c r="J727" s="3">
        <v>1.2272000000000001</v>
      </c>
      <c r="K727">
        <v>11496</v>
      </c>
    </row>
    <row r="728" spans="1:11" x14ac:dyDescent="0.25">
      <c r="A728" t="s">
        <v>585</v>
      </c>
      <c r="B728" t="s">
        <v>1112</v>
      </c>
      <c r="C728" t="s">
        <v>1232</v>
      </c>
      <c r="D728" s="2">
        <v>38555</v>
      </c>
      <c r="E728">
        <v>1.483446</v>
      </c>
      <c r="F728" s="2">
        <v>39094</v>
      </c>
      <c r="G728">
        <v>2.6942759999999999</v>
      </c>
      <c r="H728" s="3">
        <v>0.81620000000000004</v>
      </c>
      <c r="I728">
        <v>8852</v>
      </c>
      <c r="J728" s="3">
        <v>0.81340000000000001</v>
      </c>
      <c r="K728">
        <v>7336</v>
      </c>
    </row>
    <row r="729" spans="1:11" x14ac:dyDescent="0.25">
      <c r="A729" t="s">
        <v>586</v>
      </c>
      <c r="B729" t="s">
        <v>1113</v>
      </c>
      <c r="C729" t="s">
        <v>1232</v>
      </c>
      <c r="D729" s="2">
        <v>38954</v>
      </c>
      <c r="E729">
        <v>2.8332670000000002</v>
      </c>
      <c r="F729" s="2">
        <v>39035</v>
      </c>
      <c r="G729">
        <v>2.99</v>
      </c>
      <c r="H729" s="3">
        <v>5.5300000000000002E-2</v>
      </c>
      <c r="I729">
        <v>766.77</v>
      </c>
      <c r="J729" s="3">
        <v>5.33E-2</v>
      </c>
      <c r="K729">
        <v>5081</v>
      </c>
    </row>
    <row r="730" spans="1:11" x14ac:dyDescent="0.25">
      <c r="A730" t="s">
        <v>67</v>
      </c>
      <c r="B730" t="s">
        <v>1114</v>
      </c>
      <c r="C730" t="s">
        <v>1232</v>
      </c>
      <c r="D730" s="2">
        <v>38954</v>
      </c>
      <c r="E730">
        <v>0.55617059999999996</v>
      </c>
      <c r="F730" s="2">
        <v>38989</v>
      </c>
      <c r="G730">
        <v>0.51917670000000005</v>
      </c>
      <c r="H730" s="3">
        <v>-6.6500000000000004E-2</v>
      </c>
      <c r="I730">
        <v>-985.73</v>
      </c>
      <c r="J730" s="3">
        <v>-6.8400000000000002E-2</v>
      </c>
      <c r="K730">
        <v>25893</v>
      </c>
    </row>
    <row r="731" spans="1:11" x14ac:dyDescent="0.25">
      <c r="A731" t="s">
        <v>519</v>
      </c>
      <c r="B731" t="s">
        <v>1016</v>
      </c>
      <c r="C731" t="s">
        <v>1232</v>
      </c>
      <c r="D731" s="2">
        <v>38674</v>
      </c>
      <c r="E731">
        <v>1.3117239999999999</v>
      </c>
      <c r="F731" s="2">
        <v>38891</v>
      </c>
      <c r="G731">
        <v>1.5677509999999999</v>
      </c>
      <c r="H731" s="3">
        <v>0.19520000000000001</v>
      </c>
      <c r="I731">
        <v>2309.21</v>
      </c>
      <c r="J731" s="3">
        <v>0.193</v>
      </c>
      <c r="K731">
        <v>9122</v>
      </c>
    </row>
    <row r="732" spans="1:11" x14ac:dyDescent="0.25">
      <c r="A732" t="s">
        <v>587</v>
      </c>
      <c r="B732" t="s">
        <v>1115</v>
      </c>
      <c r="C732" t="s">
        <v>1232</v>
      </c>
      <c r="D732" s="2">
        <v>38667</v>
      </c>
      <c r="E732">
        <v>0.66907190000000005</v>
      </c>
      <c r="F732" s="2">
        <v>38884</v>
      </c>
      <c r="G732">
        <v>0.71499999999999997</v>
      </c>
      <c r="H732" s="3">
        <v>6.8599999999999994E-2</v>
      </c>
      <c r="I732">
        <v>796.14</v>
      </c>
      <c r="J732" s="3">
        <v>6.6600000000000006E-2</v>
      </c>
      <c r="K732">
        <v>17873</v>
      </c>
    </row>
    <row r="733" spans="1:11" x14ac:dyDescent="0.25">
      <c r="A733" t="s">
        <v>588</v>
      </c>
      <c r="B733" t="s">
        <v>1116</v>
      </c>
      <c r="C733" t="s">
        <v>1232</v>
      </c>
      <c r="D733" s="2">
        <v>38575</v>
      </c>
      <c r="E733">
        <v>0.64157160000000002</v>
      </c>
      <c r="F733" s="2">
        <v>38884</v>
      </c>
      <c r="G733">
        <v>0.84885659999999996</v>
      </c>
      <c r="H733" s="3">
        <v>0.3231</v>
      </c>
      <c r="I733">
        <v>3596.26</v>
      </c>
      <c r="J733" s="3">
        <v>0.32079999999999997</v>
      </c>
      <c r="K733">
        <v>17475</v>
      </c>
    </row>
    <row r="734" spans="1:11" x14ac:dyDescent="0.25">
      <c r="A734" t="s">
        <v>589</v>
      </c>
      <c r="B734" t="s">
        <v>1117</v>
      </c>
      <c r="C734" t="s">
        <v>1232</v>
      </c>
      <c r="D734" s="2">
        <v>38527</v>
      </c>
      <c r="E734">
        <v>1.781576</v>
      </c>
      <c r="F734" s="2">
        <v>38877</v>
      </c>
      <c r="G734">
        <v>2.2349709999999998</v>
      </c>
      <c r="H734" s="3">
        <v>0.2545</v>
      </c>
      <c r="I734">
        <v>2752.44</v>
      </c>
      <c r="J734" s="3">
        <v>0.25219999999999998</v>
      </c>
      <c r="K734">
        <v>6125</v>
      </c>
    </row>
    <row r="735" spans="1:11" x14ac:dyDescent="0.25">
      <c r="A735" t="s">
        <v>590</v>
      </c>
      <c r="B735" t="s">
        <v>1118</v>
      </c>
      <c r="C735" t="s">
        <v>1232</v>
      </c>
      <c r="D735" s="2">
        <v>38751</v>
      </c>
      <c r="E735">
        <v>0.63</v>
      </c>
      <c r="F735" s="2">
        <v>38870</v>
      </c>
      <c r="G735">
        <v>0.39</v>
      </c>
      <c r="H735" s="3">
        <v>-0.38100000000000001</v>
      </c>
      <c r="I735">
        <v>-5004.78</v>
      </c>
      <c r="J735" s="3">
        <v>-0.3826</v>
      </c>
      <c r="K735">
        <v>20765</v>
      </c>
    </row>
    <row r="736" spans="1:11" x14ac:dyDescent="0.25">
      <c r="A736" t="s">
        <v>145</v>
      </c>
      <c r="B736" t="s">
        <v>698</v>
      </c>
      <c r="C736" t="s">
        <v>1232</v>
      </c>
      <c r="D736" s="2">
        <v>38695</v>
      </c>
      <c r="E736">
        <v>2.2200000000000002</v>
      </c>
      <c r="F736" s="2">
        <v>38870</v>
      </c>
      <c r="G736">
        <v>3.25</v>
      </c>
      <c r="H736" s="3">
        <v>0.46400000000000002</v>
      </c>
      <c r="I736">
        <v>5629.79</v>
      </c>
      <c r="J736" s="3">
        <v>0.46150000000000002</v>
      </c>
      <c r="K736">
        <v>5495</v>
      </c>
    </row>
    <row r="737" spans="1:11" x14ac:dyDescent="0.25">
      <c r="A737" t="s">
        <v>437</v>
      </c>
      <c r="B737" t="s">
        <v>880</v>
      </c>
      <c r="C737" t="s">
        <v>1232</v>
      </c>
      <c r="D737" s="2">
        <v>38562</v>
      </c>
      <c r="E737">
        <v>0.6817396</v>
      </c>
      <c r="F737" s="2">
        <v>38779</v>
      </c>
      <c r="G737">
        <v>0.40273999999999999</v>
      </c>
      <c r="H737" s="3">
        <v>-0.40920000000000001</v>
      </c>
      <c r="I737">
        <v>-4516.92</v>
      </c>
      <c r="J737" s="3">
        <v>-0.4108</v>
      </c>
      <c r="K737">
        <v>16127</v>
      </c>
    </row>
    <row r="738" spans="1:11" x14ac:dyDescent="0.25">
      <c r="A738" t="s">
        <v>467</v>
      </c>
      <c r="B738" t="s">
        <v>936</v>
      </c>
      <c r="C738" t="s">
        <v>1232</v>
      </c>
      <c r="D738" s="2">
        <v>38513</v>
      </c>
      <c r="E738">
        <v>2.3128669999999998</v>
      </c>
      <c r="F738" s="2">
        <v>38772</v>
      </c>
      <c r="G738">
        <v>2.7352249999999998</v>
      </c>
      <c r="H738" s="3">
        <v>0.18260000000000001</v>
      </c>
      <c r="I738">
        <v>1954.68</v>
      </c>
      <c r="J738" s="3">
        <v>0.1804</v>
      </c>
      <c r="K738">
        <v>4684</v>
      </c>
    </row>
    <row r="739" spans="1:11" x14ac:dyDescent="0.25">
      <c r="A739" t="s">
        <v>591</v>
      </c>
      <c r="B739" t="s">
        <v>1119</v>
      </c>
      <c r="C739" t="s">
        <v>1232</v>
      </c>
      <c r="D739" s="2">
        <v>38527</v>
      </c>
      <c r="E739">
        <v>0.70623029999999998</v>
      </c>
      <c r="F739" s="2">
        <v>38751</v>
      </c>
      <c r="G739">
        <v>0.81952939999999996</v>
      </c>
      <c r="H739" s="3">
        <v>0.16039999999999999</v>
      </c>
      <c r="I739">
        <v>1727.46</v>
      </c>
      <c r="J739" s="3">
        <v>0.1583</v>
      </c>
      <c r="K739">
        <v>15455</v>
      </c>
    </row>
    <row r="740" spans="1:11" x14ac:dyDescent="0.25">
      <c r="A740" t="s">
        <v>507</v>
      </c>
      <c r="B740" t="s">
        <v>1000</v>
      </c>
      <c r="C740" t="s">
        <v>1232</v>
      </c>
      <c r="D740" s="2">
        <v>38674</v>
      </c>
      <c r="E740">
        <v>2.7917420000000002</v>
      </c>
      <c r="F740" s="2">
        <v>38723</v>
      </c>
      <c r="G740">
        <v>2.3628439999999999</v>
      </c>
      <c r="H740" s="3">
        <v>-0.15359999999999999</v>
      </c>
      <c r="I740">
        <v>-1859.92</v>
      </c>
      <c r="J740" s="3">
        <v>-0.1555</v>
      </c>
      <c r="K740">
        <v>4285</v>
      </c>
    </row>
    <row r="741" spans="1:11" x14ac:dyDescent="0.25">
      <c r="A741" t="s">
        <v>592</v>
      </c>
      <c r="B741" t="s">
        <v>1120</v>
      </c>
      <c r="C741" t="s">
        <v>1232</v>
      </c>
      <c r="D741" s="2">
        <v>37735</v>
      </c>
      <c r="E741">
        <v>1.436599</v>
      </c>
      <c r="F741" s="2">
        <v>38695</v>
      </c>
      <c r="G741">
        <v>5.0539360000000002</v>
      </c>
      <c r="H741" s="3">
        <v>2.5179999999999998</v>
      </c>
      <c r="I741">
        <v>14797.25</v>
      </c>
      <c r="J741" s="3">
        <v>2.5135000000000001</v>
      </c>
      <c r="K741">
        <v>4098</v>
      </c>
    </row>
    <row r="742" spans="1:11" x14ac:dyDescent="0.25">
      <c r="A742" t="s">
        <v>188</v>
      </c>
      <c r="B742" t="s">
        <v>749</v>
      </c>
      <c r="C742" t="s">
        <v>1232</v>
      </c>
      <c r="D742" s="2">
        <v>38142</v>
      </c>
      <c r="E742">
        <v>0.51613560000000003</v>
      </c>
      <c r="F742" s="2">
        <v>38653</v>
      </c>
      <c r="G742">
        <v>1.1003259999999999</v>
      </c>
      <c r="H742" s="3">
        <v>1.1318999999999999</v>
      </c>
      <c r="I742">
        <v>9758.7000000000007</v>
      </c>
      <c r="J742" s="3">
        <v>1.1287</v>
      </c>
      <c r="K742">
        <v>16751</v>
      </c>
    </row>
    <row r="743" spans="1:11" x14ac:dyDescent="0.25">
      <c r="A743" t="s">
        <v>587</v>
      </c>
      <c r="B743" t="s">
        <v>1115</v>
      </c>
      <c r="C743" t="s">
        <v>1232</v>
      </c>
      <c r="D743" s="2">
        <v>38639</v>
      </c>
      <c r="E743">
        <v>0.53132179999999996</v>
      </c>
      <c r="F743" s="2">
        <v>38646</v>
      </c>
      <c r="G743">
        <v>0.49196459999999997</v>
      </c>
      <c r="H743" s="3">
        <v>-7.4099999999999999E-2</v>
      </c>
      <c r="I743">
        <v>-905.13</v>
      </c>
      <c r="J743" s="3">
        <v>-7.5999999999999998E-2</v>
      </c>
      <c r="K743">
        <v>22415</v>
      </c>
    </row>
    <row r="744" spans="1:11" x14ac:dyDescent="0.25">
      <c r="A744" t="s">
        <v>328</v>
      </c>
      <c r="B744" t="s">
        <v>1121</v>
      </c>
      <c r="C744" t="s">
        <v>1232</v>
      </c>
      <c r="D744" s="2">
        <v>38569</v>
      </c>
      <c r="E744">
        <v>0.50131990000000004</v>
      </c>
      <c r="F744" s="2">
        <v>38646</v>
      </c>
      <c r="G744">
        <v>0.46123429999999999</v>
      </c>
      <c r="H744" s="3">
        <v>-0.08</v>
      </c>
      <c r="I744">
        <v>-917.8</v>
      </c>
      <c r="J744" s="3">
        <v>-8.1900000000000001E-2</v>
      </c>
      <c r="K744">
        <v>22359</v>
      </c>
    </row>
    <row r="745" spans="1:11" x14ac:dyDescent="0.25">
      <c r="A745" t="s">
        <v>593</v>
      </c>
      <c r="B745" t="s">
        <v>1122</v>
      </c>
      <c r="C745" t="s">
        <v>1232</v>
      </c>
      <c r="D745" s="2">
        <v>38555</v>
      </c>
      <c r="E745">
        <v>0.76</v>
      </c>
      <c r="F745" s="2">
        <v>38646</v>
      </c>
      <c r="G745">
        <v>0.87</v>
      </c>
      <c r="H745" s="3">
        <v>0.1447</v>
      </c>
      <c r="I745">
        <v>1552.08</v>
      </c>
      <c r="J745" s="3">
        <v>0.1426</v>
      </c>
      <c r="K745">
        <v>14322</v>
      </c>
    </row>
    <row r="746" spans="1:11" x14ac:dyDescent="0.25">
      <c r="A746" t="s">
        <v>508</v>
      </c>
      <c r="B746" t="s">
        <v>1001</v>
      </c>
      <c r="C746" t="s">
        <v>1232</v>
      </c>
      <c r="D746" s="2">
        <v>38541</v>
      </c>
      <c r="E746">
        <v>1.6814830000000001</v>
      </c>
      <c r="F746" s="2">
        <v>38639</v>
      </c>
      <c r="G746">
        <v>1.5693839999999999</v>
      </c>
      <c r="H746" s="3">
        <v>-6.6699999999999995E-2</v>
      </c>
      <c r="I746">
        <v>-744.81</v>
      </c>
      <c r="J746" s="3">
        <v>-6.8599999999999994E-2</v>
      </c>
      <c r="K746">
        <v>6457</v>
      </c>
    </row>
    <row r="747" spans="1:11" x14ac:dyDescent="0.25">
      <c r="A747" t="s">
        <v>581</v>
      </c>
      <c r="B747" t="s">
        <v>1107</v>
      </c>
      <c r="C747" t="s">
        <v>1232</v>
      </c>
      <c r="D747" s="2">
        <v>37792</v>
      </c>
      <c r="E747">
        <v>0.70087630000000001</v>
      </c>
      <c r="F747" s="2">
        <v>38625</v>
      </c>
      <c r="G747">
        <v>1.1554789999999999</v>
      </c>
      <c r="H747" s="3">
        <v>0.64859999999999995</v>
      </c>
      <c r="I747">
        <v>4110.4799999999996</v>
      </c>
      <c r="J747" s="3">
        <v>0.64600000000000002</v>
      </c>
      <c r="K747">
        <v>9079</v>
      </c>
    </row>
    <row r="748" spans="1:11" x14ac:dyDescent="0.25">
      <c r="A748" t="s">
        <v>594</v>
      </c>
      <c r="B748" t="s">
        <v>1123</v>
      </c>
      <c r="C748" t="s">
        <v>1232</v>
      </c>
      <c r="D748" s="2">
        <v>38415</v>
      </c>
      <c r="E748">
        <v>0.95470569999999999</v>
      </c>
      <c r="F748" s="2">
        <v>38548</v>
      </c>
      <c r="G748">
        <v>0.78632040000000003</v>
      </c>
      <c r="H748" s="3">
        <v>-0.1764</v>
      </c>
      <c r="I748">
        <v>-2024.5</v>
      </c>
      <c r="J748" s="3">
        <v>-0.1782</v>
      </c>
      <c r="K748">
        <v>11900</v>
      </c>
    </row>
    <row r="749" spans="1:11" x14ac:dyDescent="0.25">
      <c r="A749" t="s">
        <v>507</v>
      </c>
      <c r="B749" t="s">
        <v>1000</v>
      </c>
      <c r="C749" t="s">
        <v>1232</v>
      </c>
      <c r="D749" s="2">
        <v>38163</v>
      </c>
      <c r="E749">
        <v>1.91055</v>
      </c>
      <c r="F749" s="2">
        <v>38506</v>
      </c>
      <c r="G749">
        <v>2.3472469999999999</v>
      </c>
      <c r="H749" s="3">
        <v>0.2286</v>
      </c>
      <c r="I749">
        <v>1926.08</v>
      </c>
      <c r="J749" s="3">
        <v>0.2263</v>
      </c>
      <c r="K749">
        <v>4454</v>
      </c>
    </row>
    <row r="750" spans="1:11" x14ac:dyDescent="0.25">
      <c r="A750" t="s">
        <v>595</v>
      </c>
      <c r="B750" t="s">
        <v>1124</v>
      </c>
      <c r="C750" t="s">
        <v>1232</v>
      </c>
      <c r="D750" s="2">
        <v>38093</v>
      </c>
      <c r="E750">
        <v>0.9875003</v>
      </c>
      <c r="F750" s="2">
        <v>38499</v>
      </c>
      <c r="G750">
        <v>1.6331169999999999</v>
      </c>
      <c r="H750" s="3">
        <v>0.65380000000000005</v>
      </c>
      <c r="I750">
        <v>5916.85</v>
      </c>
      <c r="J750" s="3">
        <v>0.65110000000000001</v>
      </c>
      <c r="K750">
        <v>9202</v>
      </c>
    </row>
    <row r="751" spans="1:11" x14ac:dyDescent="0.25">
      <c r="A751" t="s">
        <v>329</v>
      </c>
      <c r="B751" t="s">
        <v>1125</v>
      </c>
      <c r="C751" t="s">
        <v>1232</v>
      </c>
      <c r="D751" s="2">
        <v>37967</v>
      </c>
      <c r="E751">
        <v>1.4243030000000001</v>
      </c>
      <c r="F751" s="2">
        <v>38485</v>
      </c>
      <c r="G751">
        <v>1.315347</v>
      </c>
      <c r="H751" s="3">
        <v>-7.6499999999999999E-2</v>
      </c>
      <c r="I751">
        <v>-660.01</v>
      </c>
      <c r="J751" s="3">
        <v>-7.8399999999999997E-2</v>
      </c>
      <c r="K751">
        <v>5909</v>
      </c>
    </row>
    <row r="752" spans="1:11" x14ac:dyDescent="0.25">
      <c r="A752" t="s">
        <v>596</v>
      </c>
      <c r="B752" t="s">
        <v>1126</v>
      </c>
      <c r="C752" t="s">
        <v>1232</v>
      </c>
      <c r="D752" s="2">
        <v>37400</v>
      </c>
      <c r="E752">
        <v>1.8413440000000001</v>
      </c>
      <c r="F752" s="2">
        <v>38485</v>
      </c>
      <c r="G752">
        <v>2.771766</v>
      </c>
      <c r="H752" s="3">
        <v>0.50529999999999997</v>
      </c>
      <c r="I752">
        <v>3018.14</v>
      </c>
      <c r="J752" s="3">
        <v>0.50280000000000002</v>
      </c>
      <c r="K752">
        <v>3260</v>
      </c>
    </row>
    <row r="753" spans="1:11" x14ac:dyDescent="0.25">
      <c r="A753" t="s">
        <v>446</v>
      </c>
      <c r="B753" t="s">
        <v>898</v>
      </c>
      <c r="C753" t="s">
        <v>1232</v>
      </c>
      <c r="D753" s="2">
        <v>38149</v>
      </c>
      <c r="E753">
        <v>0.62389930000000005</v>
      </c>
      <c r="F753" s="2">
        <v>38478</v>
      </c>
      <c r="G753">
        <v>0.78525990000000001</v>
      </c>
      <c r="H753" s="3">
        <v>0.2586</v>
      </c>
      <c r="I753">
        <v>2208.13</v>
      </c>
      <c r="J753" s="3">
        <v>0.25640000000000002</v>
      </c>
      <c r="K753">
        <v>13805</v>
      </c>
    </row>
    <row r="754" spans="1:11" x14ac:dyDescent="0.25">
      <c r="A754" t="s">
        <v>330</v>
      </c>
      <c r="B754" t="s">
        <v>1127</v>
      </c>
      <c r="C754" t="s">
        <v>1232</v>
      </c>
      <c r="D754" s="2">
        <v>38373</v>
      </c>
      <c r="E754">
        <v>0.51</v>
      </c>
      <c r="F754" s="2">
        <v>38464</v>
      </c>
      <c r="G754">
        <v>0.98999990000000004</v>
      </c>
      <c r="H754" s="3">
        <v>0.94120000000000004</v>
      </c>
      <c r="I754">
        <v>10322.68</v>
      </c>
      <c r="J754" s="3">
        <v>0.93820000000000003</v>
      </c>
      <c r="K754">
        <v>21573</v>
      </c>
    </row>
    <row r="755" spans="1:11" x14ac:dyDescent="0.25">
      <c r="A755" t="s">
        <v>597</v>
      </c>
      <c r="B755" t="s">
        <v>1128</v>
      </c>
      <c r="C755" t="s">
        <v>1232</v>
      </c>
      <c r="D755" s="2">
        <v>38268</v>
      </c>
      <c r="E755">
        <v>1.2833060000000001</v>
      </c>
      <c r="F755" s="2">
        <v>38464</v>
      </c>
      <c r="G755">
        <v>1.3937889999999999</v>
      </c>
      <c r="H755" s="3">
        <v>8.6099999999999996E-2</v>
      </c>
      <c r="I755">
        <v>800.67</v>
      </c>
      <c r="J755" s="3">
        <v>8.4000000000000005E-2</v>
      </c>
      <c r="K755">
        <v>7427</v>
      </c>
    </row>
    <row r="756" spans="1:11" x14ac:dyDescent="0.25">
      <c r="A756" t="s">
        <v>243</v>
      </c>
      <c r="B756" t="s">
        <v>833</v>
      </c>
      <c r="C756" t="s">
        <v>1232</v>
      </c>
      <c r="D756" s="2">
        <v>38184</v>
      </c>
      <c r="E756">
        <v>1.008203</v>
      </c>
      <c r="F756" s="2">
        <v>38464</v>
      </c>
      <c r="G756">
        <v>1.226739</v>
      </c>
      <c r="H756" s="3">
        <v>0.21679999999999999</v>
      </c>
      <c r="I756">
        <v>1883.77</v>
      </c>
      <c r="J756" s="3">
        <v>0.2145</v>
      </c>
      <c r="K756">
        <v>8709</v>
      </c>
    </row>
    <row r="757" spans="1:11" x14ac:dyDescent="0.25">
      <c r="A757" t="s">
        <v>598</v>
      </c>
      <c r="B757" t="s">
        <v>1129</v>
      </c>
      <c r="C757" t="s">
        <v>1232</v>
      </c>
      <c r="D757" s="2">
        <v>38114</v>
      </c>
      <c r="E757">
        <v>1.2857909999999999</v>
      </c>
      <c r="F757" s="2">
        <v>38457</v>
      </c>
      <c r="G757">
        <v>2.1220880000000002</v>
      </c>
      <c r="H757" s="3">
        <v>0.65039999999999998</v>
      </c>
      <c r="I757">
        <v>5625.33</v>
      </c>
      <c r="J757" s="3">
        <v>0.64780000000000004</v>
      </c>
      <c r="K757">
        <v>6754</v>
      </c>
    </row>
    <row r="758" spans="1:11" x14ac:dyDescent="0.25">
      <c r="A758" t="s">
        <v>599</v>
      </c>
      <c r="B758" t="s">
        <v>1130</v>
      </c>
      <c r="C758" t="s">
        <v>1232</v>
      </c>
      <c r="D758" s="2">
        <v>38184</v>
      </c>
      <c r="E758">
        <v>1.538459</v>
      </c>
      <c r="F758" s="2">
        <v>38450</v>
      </c>
      <c r="G758">
        <v>1.560324</v>
      </c>
      <c r="H758" s="3">
        <v>1.4200000000000001E-2</v>
      </c>
      <c r="I758">
        <v>107.1</v>
      </c>
      <c r="J758" s="3">
        <v>1.2200000000000001E-2</v>
      </c>
      <c r="K758">
        <v>5707</v>
      </c>
    </row>
    <row r="759" spans="1:11" x14ac:dyDescent="0.25">
      <c r="A759" t="s">
        <v>297</v>
      </c>
      <c r="B759" t="s">
        <v>982</v>
      </c>
      <c r="C759" t="s">
        <v>1232</v>
      </c>
      <c r="D759" s="2">
        <v>37728</v>
      </c>
      <c r="E759">
        <v>0.64395539999999996</v>
      </c>
      <c r="F759" s="2">
        <v>38415</v>
      </c>
      <c r="G759">
        <v>1.2581199999999999</v>
      </c>
      <c r="H759" s="3">
        <v>0.95369999999999999</v>
      </c>
      <c r="I759">
        <v>5560.57</v>
      </c>
      <c r="J759" s="3">
        <v>0.95079999999999998</v>
      </c>
      <c r="K759">
        <v>9082</v>
      </c>
    </row>
    <row r="760" spans="1:11" x14ac:dyDescent="0.25">
      <c r="A760" t="s">
        <v>600</v>
      </c>
      <c r="B760" t="s">
        <v>1131</v>
      </c>
      <c r="C760" t="s">
        <v>1232</v>
      </c>
      <c r="D760" s="2">
        <v>38268</v>
      </c>
      <c r="E760">
        <v>0.54</v>
      </c>
      <c r="F760" s="2">
        <v>38356</v>
      </c>
      <c r="G760">
        <v>0.63</v>
      </c>
      <c r="H760" s="3">
        <v>0.16669999999999999</v>
      </c>
      <c r="I760">
        <v>1568.2</v>
      </c>
      <c r="J760" s="3">
        <v>0.16450000000000001</v>
      </c>
      <c r="K760">
        <v>17654</v>
      </c>
    </row>
    <row r="761" spans="1:11" x14ac:dyDescent="0.25">
      <c r="A761" t="s">
        <v>601</v>
      </c>
      <c r="B761" t="s">
        <v>1132</v>
      </c>
      <c r="C761" t="s">
        <v>1232</v>
      </c>
      <c r="D761" s="2">
        <v>38156</v>
      </c>
      <c r="E761">
        <v>1.2753779999999999</v>
      </c>
      <c r="F761" s="2">
        <v>38275</v>
      </c>
      <c r="G761">
        <v>1.282897</v>
      </c>
      <c r="H761" s="3">
        <v>5.8999999999999999E-3</v>
      </c>
      <c r="I761">
        <v>33.58</v>
      </c>
      <c r="J761" s="3">
        <v>3.8999999999999998E-3</v>
      </c>
      <c r="K761">
        <v>6769</v>
      </c>
    </row>
    <row r="762" spans="1:11" x14ac:dyDescent="0.25">
      <c r="A762" t="s">
        <v>602</v>
      </c>
      <c r="B762" t="s">
        <v>1133</v>
      </c>
      <c r="C762" t="s">
        <v>1232</v>
      </c>
      <c r="D762" s="2">
        <v>38205</v>
      </c>
      <c r="E762">
        <v>1.2277549999999999</v>
      </c>
      <c r="F762" s="2">
        <v>38268</v>
      </c>
      <c r="G762">
        <v>1.479787</v>
      </c>
      <c r="H762" s="3">
        <v>0.20530000000000001</v>
      </c>
      <c r="I762">
        <v>1897.86</v>
      </c>
      <c r="J762" s="3">
        <v>0.2031</v>
      </c>
      <c r="K762">
        <v>7612</v>
      </c>
    </row>
    <row r="763" spans="1:11" x14ac:dyDescent="0.25">
      <c r="A763" t="s">
        <v>603</v>
      </c>
      <c r="B763" t="s">
        <v>1134</v>
      </c>
      <c r="C763" t="s">
        <v>1232</v>
      </c>
      <c r="D763" s="2">
        <v>38085</v>
      </c>
      <c r="E763">
        <v>0.63534380000000001</v>
      </c>
      <c r="F763" s="2">
        <v>38202</v>
      </c>
      <c r="G763">
        <v>0.73731250000000004</v>
      </c>
      <c r="H763" s="3">
        <v>0.1605</v>
      </c>
      <c r="I763">
        <v>1438.83</v>
      </c>
      <c r="J763" s="3">
        <v>0.1583</v>
      </c>
      <c r="K763">
        <v>14303</v>
      </c>
    </row>
    <row r="764" spans="1:11" x14ac:dyDescent="0.25">
      <c r="A764" t="s">
        <v>257</v>
      </c>
      <c r="B764" t="s">
        <v>861</v>
      </c>
      <c r="C764" t="s">
        <v>1232</v>
      </c>
      <c r="D764" s="2">
        <v>38093</v>
      </c>
      <c r="E764">
        <v>1.5114259999999999</v>
      </c>
      <c r="F764" s="2">
        <v>38163</v>
      </c>
      <c r="G764">
        <v>1.2774399999999999</v>
      </c>
      <c r="H764" s="3">
        <v>-0.15479999999999999</v>
      </c>
      <c r="I764">
        <v>-1423.25</v>
      </c>
      <c r="J764" s="3">
        <v>-0.15670000000000001</v>
      </c>
      <c r="K764">
        <v>6011</v>
      </c>
    </row>
    <row r="765" spans="1:11" x14ac:dyDescent="0.25">
      <c r="A765" t="s">
        <v>604</v>
      </c>
      <c r="B765" t="s">
        <v>1135</v>
      </c>
      <c r="C765" t="s">
        <v>1232</v>
      </c>
      <c r="D765" s="2">
        <v>38051</v>
      </c>
      <c r="E765">
        <v>4.1527919999999998</v>
      </c>
      <c r="F765" s="2">
        <v>38163</v>
      </c>
      <c r="G765">
        <v>2.64</v>
      </c>
      <c r="H765" s="3">
        <v>-0.36430000000000001</v>
      </c>
      <c r="I765">
        <v>-3239.75</v>
      </c>
      <c r="J765" s="3">
        <v>-0.3659</v>
      </c>
      <c r="K765">
        <v>2132</v>
      </c>
    </row>
    <row r="766" spans="1:11" x14ac:dyDescent="0.25">
      <c r="A766" t="s">
        <v>331</v>
      </c>
      <c r="B766" t="s">
        <v>1136</v>
      </c>
      <c r="C766" t="s">
        <v>1232</v>
      </c>
      <c r="D766" s="2">
        <v>37792</v>
      </c>
      <c r="E766">
        <v>0.52807999999999999</v>
      </c>
      <c r="F766" s="2">
        <v>38163</v>
      </c>
      <c r="G766">
        <v>0.70021060000000002</v>
      </c>
      <c r="H766" s="3">
        <v>0.32600000000000001</v>
      </c>
      <c r="I766">
        <v>2059.54</v>
      </c>
      <c r="J766" s="3">
        <v>0.3236</v>
      </c>
      <c r="K766">
        <v>12051</v>
      </c>
    </row>
    <row r="767" spans="1:11" x14ac:dyDescent="0.25">
      <c r="A767" t="s">
        <v>605</v>
      </c>
      <c r="B767" t="s">
        <v>1137</v>
      </c>
      <c r="C767" t="s">
        <v>1232</v>
      </c>
      <c r="D767" s="2">
        <v>37638</v>
      </c>
      <c r="E767">
        <v>1.3332900000000001</v>
      </c>
      <c r="F767" s="2">
        <v>38163</v>
      </c>
      <c r="G767">
        <v>2.9783439999999999</v>
      </c>
      <c r="H767" s="3">
        <v>1.2338</v>
      </c>
      <c r="I767">
        <v>7414.51</v>
      </c>
      <c r="J767" s="3">
        <v>1.2305999999999999</v>
      </c>
      <c r="K767">
        <v>4519</v>
      </c>
    </row>
    <row r="768" spans="1:11" x14ac:dyDescent="0.25">
      <c r="A768" t="s">
        <v>332</v>
      </c>
      <c r="B768" t="s">
        <v>1138</v>
      </c>
      <c r="C768" t="s">
        <v>1232</v>
      </c>
      <c r="D768" s="2">
        <v>37727</v>
      </c>
      <c r="E768">
        <v>0.56326010000000004</v>
      </c>
      <c r="F768" s="2">
        <v>38156</v>
      </c>
      <c r="G768">
        <v>1.020421</v>
      </c>
      <c r="H768" s="3">
        <v>0.81159999999999999</v>
      </c>
      <c r="I768">
        <v>4732.99</v>
      </c>
      <c r="J768" s="3">
        <v>0.80879999999999996</v>
      </c>
      <c r="K768">
        <v>10389</v>
      </c>
    </row>
    <row r="769" spans="1:11" x14ac:dyDescent="0.25">
      <c r="A769" t="s">
        <v>507</v>
      </c>
      <c r="B769" t="s">
        <v>1000</v>
      </c>
      <c r="C769" t="s">
        <v>1232</v>
      </c>
      <c r="D769" s="2">
        <v>38085</v>
      </c>
      <c r="E769">
        <v>1.364679</v>
      </c>
      <c r="F769" s="2">
        <v>38135</v>
      </c>
      <c r="G769">
        <v>1.559633</v>
      </c>
      <c r="H769" s="3">
        <v>0.1429</v>
      </c>
      <c r="I769">
        <v>1278.73</v>
      </c>
      <c r="J769" s="3">
        <v>0.14069999999999999</v>
      </c>
      <c r="K769">
        <v>6659</v>
      </c>
    </row>
    <row r="770" spans="1:11" x14ac:dyDescent="0.25">
      <c r="A770" t="s">
        <v>606</v>
      </c>
      <c r="B770" t="s">
        <v>1139</v>
      </c>
      <c r="C770" t="s">
        <v>1232</v>
      </c>
      <c r="D770" s="2">
        <v>38016</v>
      </c>
      <c r="E770">
        <v>1.152433</v>
      </c>
      <c r="F770" s="2">
        <v>38128</v>
      </c>
      <c r="G770">
        <v>1.1861999999999999</v>
      </c>
      <c r="H770" s="3">
        <v>2.93E-2</v>
      </c>
      <c r="I770">
        <v>236.62</v>
      </c>
      <c r="J770" s="3">
        <v>2.7300000000000001E-2</v>
      </c>
      <c r="K770">
        <v>7529</v>
      </c>
    </row>
    <row r="771" spans="1:11" x14ac:dyDescent="0.25">
      <c r="A771" t="s">
        <v>333</v>
      </c>
      <c r="B771" t="s">
        <v>1140</v>
      </c>
      <c r="C771" t="s">
        <v>1232</v>
      </c>
      <c r="D771" s="2">
        <v>37638</v>
      </c>
      <c r="E771">
        <v>1.4644889999999999</v>
      </c>
      <c r="F771" s="2">
        <v>38121</v>
      </c>
      <c r="G771">
        <v>1.992699</v>
      </c>
      <c r="H771" s="3">
        <v>0.36070000000000002</v>
      </c>
      <c r="I771">
        <v>2159.88</v>
      </c>
      <c r="J771" s="3">
        <v>0.35830000000000001</v>
      </c>
      <c r="K771">
        <v>4116</v>
      </c>
    </row>
    <row r="772" spans="1:11" x14ac:dyDescent="0.25">
      <c r="A772" t="s">
        <v>607</v>
      </c>
      <c r="B772" t="s">
        <v>1141</v>
      </c>
      <c r="C772" t="s">
        <v>1232</v>
      </c>
      <c r="D772" s="2">
        <v>37988</v>
      </c>
      <c r="E772">
        <v>1.0402309999999999</v>
      </c>
      <c r="F772" s="2">
        <v>38114</v>
      </c>
      <c r="G772">
        <v>1.0227710000000001</v>
      </c>
      <c r="H772" s="3">
        <v>-1.6799999999999999E-2</v>
      </c>
      <c r="I772">
        <v>-159.5</v>
      </c>
      <c r="J772" s="3">
        <v>-1.8800000000000001E-2</v>
      </c>
      <c r="K772">
        <v>8170</v>
      </c>
    </row>
    <row r="773" spans="1:11" x14ac:dyDescent="0.25">
      <c r="A773" t="s">
        <v>105</v>
      </c>
      <c r="B773" t="s">
        <v>1142</v>
      </c>
      <c r="C773" t="s">
        <v>1232</v>
      </c>
      <c r="D773" s="2">
        <v>37735</v>
      </c>
      <c r="E773">
        <v>0.92630729999999994</v>
      </c>
      <c r="F773" s="2">
        <v>38079</v>
      </c>
      <c r="G773">
        <v>1.5868979999999999</v>
      </c>
      <c r="H773" s="3">
        <v>0.71309999999999996</v>
      </c>
      <c r="I773">
        <v>4182.08</v>
      </c>
      <c r="J773" s="3">
        <v>0.71040000000000003</v>
      </c>
      <c r="K773">
        <v>6355</v>
      </c>
    </row>
    <row r="774" spans="1:11" x14ac:dyDescent="0.25">
      <c r="A774" t="s">
        <v>608</v>
      </c>
      <c r="B774" t="s">
        <v>1143</v>
      </c>
      <c r="C774" t="s">
        <v>1232</v>
      </c>
      <c r="D774" s="2">
        <v>37979</v>
      </c>
      <c r="E774">
        <v>0.77271000000000001</v>
      </c>
      <c r="F774" s="2">
        <v>38072</v>
      </c>
      <c r="G774">
        <v>0.74575499999999995</v>
      </c>
      <c r="H774" s="3">
        <v>-3.49E-2</v>
      </c>
      <c r="I774">
        <v>-312.04000000000002</v>
      </c>
      <c r="J774" s="3">
        <v>-3.6799999999999999E-2</v>
      </c>
      <c r="K774">
        <v>10959</v>
      </c>
    </row>
    <row r="775" spans="1:11" x14ac:dyDescent="0.25">
      <c r="A775" t="s">
        <v>411</v>
      </c>
      <c r="B775" t="s">
        <v>794</v>
      </c>
      <c r="C775" t="s">
        <v>1232</v>
      </c>
      <c r="D775" s="2">
        <v>37967</v>
      </c>
      <c r="E775">
        <v>1.122463</v>
      </c>
      <c r="F775" s="2">
        <v>38072</v>
      </c>
      <c r="G775">
        <v>1.007509</v>
      </c>
      <c r="H775" s="3">
        <v>-0.1024</v>
      </c>
      <c r="I775">
        <v>-877.66</v>
      </c>
      <c r="J775" s="3">
        <v>-0.1043</v>
      </c>
      <c r="K775">
        <v>7496</v>
      </c>
    </row>
    <row r="776" spans="1:11" x14ac:dyDescent="0.25">
      <c r="A776" t="s">
        <v>53</v>
      </c>
      <c r="B776" t="s">
        <v>895</v>
      </c>
      <c r="C776" t="s">
        <v>1232</v>
      </c>
      <c r="D776" s="2">
        <v>37638</v>
      </c>
      <c r="E776">
        <v>2.6166399999999999</v>
      </c>
      <c r="F776" s="2">
        <v>38072</v>
      </c>
      <c r="G776">
        <v>3.1378710000000001</v>
      </c>
      <c r="H776" s="3">
        <v>0.19919999999999999</v>
      </c>
      <c r="I776">
        <v>1187.1400000000001</v>
      </c>
      <c r="J776" s="3">
        <v>0.19700000000000001</v>
      </c>
      <c r="K776">
        <v>2303</v>
      </c>
    </row>
    <row r="777" spans="1:11" x14ac:dyDescent="0.25">
      <c r="A777" t="s">
        <v>609</v>
      </c>
      <c r="B777" t="s">
        <v>1144</v>
      </c>
      <c r="C777" t="s">
        <v>1232</v>
      </c>
      <c r="D777" s="2">
        <v>38016</v>
      </c>
      <c r="E777">
        <v>1.653292</v>
      </c>
      <c r="F777" s="2">
        <v>38051</v>
      </c>
      <c r="G777">
        <v>1.4094679999999999</v>
      </c>
      <c r="H777" s="3">
        <v>-0.14749999999999999</v>
      </c>
      <c r="I777">
        <v>-1295.6600000000001</v>
      </c>
      <c r="J777" s="3">
        <v>-0.14929999999999999</v>
      </c>
      <c r="K777">
        <v>5248</v>
      </c>
    </row>
    <row r="778" spans="1:11" x14ac:dyDescent="0.25">
      <c r="A778" t="s">
        <v>233</v>
      </c>
      <c r="B778" t="s">
        <v>819</v>
      </c>
      <c r="C778" t="s">
        <v>1232</v>
      </c>
      <c r="D778" s="2">
        <v>37728</v>
      </c>
      <c r="E778">
        <v>1.520418</v>
      </c>
      <c r="F778" s="2">
        <v>38016</v>
      </c>
      <c r="G778">
        <v>2.0201359999999999</v>
      </c>
      <c r="H778" s="3">
        <v>0.32869999999999999</v>
      </c>
      <c r="I778">
        <v>1908.79</v>
      </c>
      <c r="J778" s="3">
        <v>0.32629999999999998</v>
      </c>
      <c r="K778">
        <v>3847</v>
      </c>
    </row>
    <row r="779" spans="1:11" x14ac:dyDescent="0.25">
      <c r="A779" t="s">
        <v>610</v>
      </c>
      <c r="B779" t="s">
        <v>1145</v>
      </c>
      <c r="C779" t="s">
        <v>1232</v>
      </c>
      <c r="D779" s="2">
        <v>37735</v>
      </c>
      <c r="E779">
        <v>2.1424400000000001</v>
      </c>
      <c r="F779" s="2">
        <v>38015</v>
      </c>
      <c r="G779">
        <v>3.9</v>
      </c>
      <c r="H779" s="3">
        <v>0.82040000000000002</v>
      </c>
      <c r="I779">
        <v>4811.42</v>
      </c>
      <c r="J779" s="3">
        <v>0.8175</v>
      </c>
      <c r="K779">
        <v>2747</v>
      </c>
    </row>
    <row r="780" spans="1:11" x14ac:dyDescent="0.25">
      <c r="A780" t="s">
        <v>611</v>
      </c>
      <c r="B780" t="s">
        <v>1146</v>
      </c>
      <c r="C780" t="s">
        <v>1232</v>
      </c>
      <c r="D780" s="2">
        <v>37967</v>
      </c>
      <c r="E780">
        <v>0.86277959999999998</v>
      </c>
      <c r="F780" s="2">
        <v>37979</v>
      </c>
      <c r="G780">
        <v>0.90725270000000002</v>
      </c>
      <c r="H780" s="3">
        <v>5.1499999999999997E-2</v>
      </c>
      <c r="I780">
        <v>416.48</v>
      </c>
      <c r="J780" s="3">
        <v>4.9500000000000002E-2</v>
      </c>
      <c r="K780">
        <v>9753</v>
      </c>
    </row>
    <row r="781" spans="1:11" x14ac:dyDescent="0.25">
      <c r="A781" t="s">
        <v>612</v>
      </c>
      <c r="B781" t="s">
        <v>1147</v>
      </c>
      <c r="C781" t="s">
        <v>1232</v>
      </c>
      <c r="D781" s="2">
        <v>37722</v>
      </c>
      <c r="E781">
        <v>1.7959799999999999</v>
      </c>
      <c r="F781" s="2">
        <v>37974</v>
      </c>
      <c r="G781">
        <v>2.5240800000000001</v>
      </c>
      <c r="H781" s="3">
        <v>0.40539999999999998</v>
      </c>
      <c r="I781">
        <v>2351.56</v>
      </c>
      <c r="J781" s="3">
        <v>0.40300000000000002</v>
      </c>
      <c r="K781">
        <v>3249</v>
      </c>
    </row>
    <row r="782" spans="1:11" x14ac:dyDescent="0.25">
      <c r="A782" t="s">
        <v>613</v>
      </c>
      <c r="B782" t="s">
        <v>1148</v>
      </c>
      <c r="C782" t="s">
        <v>1232</v>
      </c>
      <c r="D782" s="2">
        <v>37848</v>
      </c>
      <c r="E782">
        <v>0.7944502</v>
      </c>
      <c r="F782" s="2">
        <v>37967</v>
      </c>
      <c r="G782">
        <v>0.7944502</v>
      </c>
      <c r="H782" s="3">
        <v>0</v>
      </c>
      <c r="I782">
        <v>-14.93</v>
      </c>
      <c r="J782" s="3">
        <v>-2E-3</v>
      </c>
      <c r="K782">
        <v>9398</v>
      </c>
    </row>
    <row r="783" spans="1:11" x14ac:dyDescent="0.25">
      <c r="A783" t="s">
        <v>614</v>
      </c>
      <c r="B783" t="s">
        <v>1149</v>
      </c>
      <c r="C783" t="s">
        <v>1232</v>
      </c>
      <c r="D783" s="2">
        <v>37204</v>
      </c>
      <c r="E783">
        <v>0.51971259999999997</v>
      </c>
      <c r="F783" s="2">
        <v>37967</v>
      </c>
      <c r="G783">
        <v>0.64482260000000002</v>
      </c>
      <c r="H783" s="3">
        <v>0.2407</v>
      </c>
      <c r="I783">
        <v>1164.3399999999999</v>
      </c>
      <c r="J783" s="3">
        <v>0.23849999999999999</v>
      </c>
      <c r="K783">
        <v>9394</v>
      </c>
    </row>
    <row r="784" spans="1:11" x14ac:dyDescent="0.25">
      <c r="A784" t="s">
        <v>601</v>
      </c>
      <c r="B784" t="s">
        <v>1132</v>
      </c>
      <c r="C784" t="s">
        <v>1232</v>
      </c>
      <c r="D784" s="2">
        <v>37743</v>
      </c>
      <c r="E784">
        <v>0.52706280000000005</v>
      </c>
      <c r="F784" s="2">
        <v>37953</v>
      </c>
      <c r="G784">
        <v>1.0039290000000001</v>
      </c>
      <c r="H784" s="3">
        <v>0.90480000000000005</v>
      </c>
      <c r="I784">
        <v>5290.48</v>
      </c>
      <c r="J784" s="3">
        <v>0.90190000000000003</v>
      </c>
      <c r="K784">
        <v>11130</v>
      </c>
    </row>
    <row r="785" spans="1:11" x14ac:dyDescent="0.25">
      <c r="A785" t="s">
        <v>334</v>
      </c>
      <c r="B785" t="s">
        <v>1150</v>
      </c>
      <c r="C785" t="s">
        <v>1232</v>
      </c>
      <c r="D785" s="2">
        <v>37848</v>
      </c>
      <c r="E785">
        <v>1.057294</v>
      </c>
      <c r="F785" s="2">
        <v>37939</v>
      </c>
      <c r="G785">
        <v>0.92548039999999998</v>
      </c>
      <c r="H785" s="3">
        <v>-0.12470000000000001</v>
      </c>
      <c r="I785">
        <v>-944.87</v>
      </c>
      <c r="J785" s="3">
        <v>-0.1265</v>
      </c>
      <c r="K785">
        <v>7062</v>
      </c>
    </row>
    <row r="786" spans="1:11" x14ac:dyDescent="0.25">
      <c r="A786" t="s">
        <v>615</v>
      </c>
      <c r="B786" t="s">
        <v>1151</v>
      </c>
      <c r="C786" t="s">
        <v>1232</v>
      </c>
      <c r="D786" s="2">
        <v>37735</v>
      </c>
      <c r="E786">
        <v>0.54956439999999995</v>
      </c>
      <c r="F786" s="2">
        <v>37848</v>
      </c>
      <c r="G786">
        <v>0.94103499999999995</v>
      </c>
      <c r="H786" s="3">
        <v>0.71230000000000004</v>
      </c>
      <c r="I786">
        <v>4176.6899999999996</v>
      </c>
      <c r="J786" s="3">
        <v>0.70960000000000001</v>
      </c>
      <c r="K786">
        <v>10710</v>
      </c>
    </row>
    <row r="787" spans="1:11" x14ac:dyDescent="0.25">
      <c r="A787" t="s">
        <v>616</v>
      </c>
      <c r="B787" t="s">
        <v>1152</v>
      </c>
      <c r="C787" t="s">
        <v>1232</v>
      </c>
      <c r="D787" s="2">
        <v>37596</v>
      </c>
      <c r="E787">
        <v>0.69538869999999997</v>
      </c>
      <c r="F787" s="2">
        <v>37820</v>
      </c>
      <c r="G787">
        <v>0.60573169999999998</v>
      </c>
      <c r="H787" s="3">
        <v>-0.12889999999999999</v>
      </c>
      <c r="I787">
        <v>-786.88</v>
      </c>
      <c r="J787" s="3">
        <v>-0.1308</v>
      </c>
      <c r="K787">
        <v>8651</v>
      </c>
    </row>
    <row r="788" spans="1:11" x14ac:dyDescent="0.25">
      <c r="A788" t="s">
        <v>335</v>
      </c>
      <c r="B788" t="s">
        <v>1153</v>
      </c>
      <c r="C788" t="s">
        <v>1232</v>
      </c>
      <c r="D788" s="2">
        <v>37722</v>
      </c>
      <c r="E788">
        <v>3.4580099999999998</v>
      </c>
      <c r="F788" s="2">
        <v>37792</v>
      </c>
      <c r="G788">
        <v>3.0193080000000001</v>
      </c>
      <c r="H788" s="3">
        <v>-0.12690000000000001</v>
      </c>
      <c r="I788">
        <v>-751.02</v>
      </c>
      <c r="J788" s="3">
        <v>-0.12870000000000001</v>
      </c>
      <c r="K788">
        <v>1687</v>
      </c>
    </row>
    <row r="789" spans="1:11" x14ac:dyDescent="0.25">
      <c r="A789" t="s">
        <v>551</v>
      </c>
      <c r="B789" t="s">
        <v>1064</v>
      </c>
      <c r="C789" t="s">
        <v>1232</v>
      </c>
      <c r="D789" s="2">
        <v>37722</v>
      </c>
      <c r="E789">
        <v>0.53810239999999998</v>
      </c>
      <c r="F789" s="2">
        <v>37792</v>
      </c>
      <c r="G789">
        <v>0.39290009999999997</v>
      </c>
      <c r="H789" s="3">
        <v>-0.26979999999999998</v>
      </c>
      <c r="I789">
        <v>-1584.67</v>
      </c>
      <c r="J789" s="3">
        <v>-0.27160000000000001</v>
      </c>
      <c r="K789">
        <v>10844</v>
      </c>
    </row>
    <row r="790" spans="1:11" x14ac:dyDescent="0.25">
      <c r="A790" t="s">
        <v>617</v>
      </c>
      <c r="B790" t="s">
        <v>1154</v>
      </c>
      <c r="C790" t="s">
        <v>1232</v>
      </c>
      <c r="D790" s="2">
        <v>37617</v>
      </c>
      <c r="E790">
        <v>21.51</v>
      </c>
      <c r="F790" s="2">
        <v>37725</v>
      </c>
      <c r="G790">
        <v>18.55</v>
      </c>
      <c r="H790" s="3">
        <v>-0.1376</v>
      </c>
      <c r="I790">
        <v>-831.02</v>
      </c>
      <c r="J790" s="3">
        <v>-0.13950000000000001</v>
      </c>
      <c r="K790">
        <v>277</v>
      </c>
    </row>
    <row r="791" spans="1:11" x14ac:dyDescent="0.25">
      <c r="A791" t="s">
        <v>618</v>
      </c>
      <c r="B791" t="s">
        <v>1155</v>
      </c>
      <c r="C791" t="s">
        <v>1232</v>
      </c>
      <c r="D791" s="2">
        <v>37624</v>
      </c>
      <c r="E791">
        <v>1.983638</v>
      </c>
      <c r="F791" s="2">
        <v>37694</v>
      </c>
      <c r="G791">
        <v>1.3885460000000001</v>
      </c>
      <c r="H791" s="3">
        <v>-0.3</v>
      </c>
      <c r="I791">
        <v>-1824.12</v>
      </c>
      <c r="J791" s="3">
        <v>-0.30170000000000002</v>
      </c>
      <c r="K791">
        <v>3048</v>
      </c>
    </row>
    <row r="792" spans="1:11" x14ac:dyDescent="0.25">
      <c r="A792" t="s">
        <v>243</v>
      </c>
      <c r="B792" t="s">
        <v>833</v>
      </c>
      <c r="C792" t="s">
        <v>1232</v>
      </c>
      <c r="D792" s="2">
        <v>37617</v>
      </c>
      <c r="E792">
        <v>0.68483349999999998</v>
      </c>
      <c r="F792" s="2">
        <v>37694</v>
      </c>
      <c r="G792">
        <v>0.65537820000000002</v>
      </c>
      <c r="H792" s="3">
        <v>-4.2999999999999997E-2</v>
      </c>
      <c r="I792">
        <v>-268.83999999999997</v>
      </c>
      <c r="J792" s="3">
        <v>-4.4999999999999998E-2</v>
      </c>
      <c r="K792">
        <v>8730</v>
      </c>
    </row>
    <row r="793" spans="1:11" x14ac:dyDescent="0.25">
      <c r="A793" t="s">
        <v>336</v>
      </c>
      <c r="B793" t="s">
        <v>1156</v>
      </c>
      <c r="C793" t="s">
        <v>1232</v>
      </c>
      <c r="D793" s="2">
        <v>37015</v>
      </c>
      <c r="E793">
        <v>0.51886560000000004</v>
      </c>
      <c r="F793" s="2">
        <v>37694</v>
      </c>
      <c r="G793">
        <v>0.48531930000000001</v>
      </c>
      <c r="H793" s="3">
        <v>-6.4699999999999994E-2</v>
      </c>
      <c r="I793">
        <v>-309.19</v>
      </c>
      <c r="J793" s="3">
        <v>-6.6600000000000006E-2</v>
      </c>
      <c r="K793">
        <v>8949</v>
      </c>
    </row>
    <row r="794" spans="1:11" x14ac:dyDescent="0.25">
      <c r="A794" t="s">
        <v>619</v>
      </c>
      <c r="B794" t="s">
        <v>1157</v>
      </c>
      <c r="C794" t="s">
        <v>1232</v>
      </c>
      <c r="D794" s="2">
        <v>37638</v>
      </c>
      <c r="E794">
        <v>0.99</v>
      </c>
      <c r="F794" s="2">
        <v>37687</v>
      </c>
      <c r="G794">
        <v>0.83</v>
      </c>
      <c r="H794" s="3">
        <v>-0.16159999999999999</v>
      </c>
      <c r="I794">
        <v>-985</v>
      </c>
      <c r="J794" s="3">
        <v>-0.16350000000000001</v>
      </c>
      <c r="K794">
        <v>6087</v>
      </c>
    </row>
    <row r="795" spans="1:11" x14ac:dyDescent="0.25">
      <c r="A795" t="s">
        <v>233</v>
      </c>
      <c r="B795" t="s">
        <v>819</v>
      </c>
      <c r="C795" t="s">
        <v>1232</v>
      </c>
      <c r="D795" s="2">
        <v>37638</v>
      </c>
      <c r="E795">
        <v>0.97285500000000003</v>
      </c>
      <c r="F795" s="2">
        <v>37687</v>
      </c>
      <c r="G795">
        <v>1.270559</v>
      </c>
      <c r="H795" s="3">
        <v>0.30599999999999999</v>
      </c>
      <c r="I795">
        <v>1830.38</v>
      </c>
      <c r="J795" s="3">
        <v>0.30370000000000003</v>
      </c>
      <c r="K795">
        <v>6195</v>
      </c>
    </row>
    <row r="796" spans="1:11" x14ac:dyDescent="0.25">
      <c r="A796" t="s">
        <v>508</v>
      </c>
      <c r="B796" t="s">
        <v>1001</v>
      </c>
      <c r="C796" t="s">
        <v>1232</v>
      </c>
      <c r="D796" s="2">
        <v>37330</v>
      </c>
      <c r="E796">
        <v>1.122072</v>
      </c>
      <c r="F796" s="2">
        <v>37687</v>
      </c>
      <c r="G796">
        <v>0.80337130000000001</v>
      </c>
      <c r="H796" s="3">
        <v>-0.28399999999999997</v>
      </c>
      <c r="I796">
        <v>-1673.35</v>
      </c>
      <c r="J796" s="3">
        <v>-0.28570000000000001</v>
      </c>
      <c r="K796">
        <v>5219</v>
      </c>
    </row>
    <row r="797" spans="1:11" x14ac:dyDescent="0.25">
      <c r="A797" t="s">
        <v>620</v>
      </c>
      <c r="B797" t="s">
        <v>1158</v>
      </c>
      <c r="C797" t="s">
        <v>1232</v>
      </c>
      <c r="D797" s="2">
        <v>37113</v>
      </c>
      <c r="E797">
        <v>1.309202</v>
      </c>
      <c r="F797" s="2">
        <v>37673</v>
      </c>
      <c r="G797">
        <v>2.0754000000000001</v>
      </c>
      <c r="H797" s="3">
        <v>0.58520000000000005</v>
      </c>
      <c r="I797">
        <v>2997.86</v>
      </c>
      <c r="J797" s="3">
        <v>0.5827</v>
      </c>
      <c r="K797">
        <v>3930</v>
      </c>
    </row>
    <row r="798" spans="1:11" x14ac:dyDescent="0.25">
      <c r="A798" t="s">
        <v>621</v>
      </c>
      <c r="B798" t="s">
        <v>1159</v>
      </c>
      <c r="C798" t="s">
        <v>1232</v>
      </c>
      <c r="D798" s="2">
        <v>37631</v>
      </c>
      <c r="E798">
        <v>0.73</v>
      </c>
      <c r="F798" s="2">
        <v>37666</v>
      </c>
      <c r="G798">
        <v>0.61</v>
      </c>
      <c r="H798" s="3">
        <v>-0.16439999999999999</v>
      </c>
      <c r="I798">
        <v>-1004.09</v>
      </c>
      <c r="J798" s="3">
        <v>-0.16619999999999999</v>
      </c>
      <c r="K798">
        <v>8275</v>
      </c>
    </row>
    <row r="799" spans="1:11" x14ac:dyDescent="0.25">
      <c r="A799" t="s">
        <v>622</v>
      </c>
      <c r="B799" t="s">
        <v>1160</v>
      </c>
      <c r="C799" t="s">
        <v>1232</v>
      </c>
      <c r="D799" s="2">
        <v>37617</v>
      </c>
      <c r="E799">
        <v>0.79396129999999998</v>
      </c>
      <c r="F799" s="2">
        <v>37666</v>
      </c>
      <c r="G799">
        <v>0.89837719999999999</v>
      </c>
      <c r="H799" s="3">
        <v>0.13150000000000001</v>
      </c>
      <c r="I799">
        <v>773.41</v>
      </c>
      <c r="J799" s="3">
        <v>0.12939999999999999</v>
      </c>
      <c r="K799">
        <v>7529</v>
      </c>
    </row>
    <row r="800" spans="1:11" x14ac:dyDescent="0.25">
      <c r="A800" t="s">
        <v>623</v>
      </c>
      <c r="B800" t="s">
        <v>1161</v>
      </c>
      <c r="C800" t="s">
        <v>1232</v>
      </c>
      <c r="D800" s="2">
        <v>37596</v>
      </c>
      <c r="E800">
        <v>0.8316962</v>
      </c>
      <c r="F800" s="2">
        <v>37666</v>
      </c>
      <c r="G800">
        <v>0.74852660000000004</v>
      </c>
      <c r="H800" s="3">
        <v>-0.1</v>
      </c>
      <c r="I800">
        <v>-613</v>
      </c>
      <c r="J800" s="3">
        <v>-0.1019</v>
      </c>
      <c r="K800">
        <v>7233</v>
      </c>
    </row>
    <row r="801" spans="1:11" x14ac:dyDescent="0.25">
      <c r="A801" t="s">
        <v>145</v>
      </c>
      <c r="B801" t="s">
        <v>698</v>
      </c>
      <c r="C801" t="s">
        <v>1232</v>
      </c>
      <c r="D801" s="2">
        <v>37638</v>
      </c>
      <c r="E801">
        <v>1.27</v>
      </c>
      <c r="F801" s="2">
        <v>37659</v>
      </c>
      <c r="G801">
        <v>1.42</v>
      </c>
      <c r="H801" s="3">
        <v>0.1181</v>
      </c>
      <c r="I801">
        <v>699.28</v>
      </c>
      <c r="J801" s="3">
        <v>0.11600000000000001</v>
      </c>
      <c r="K801">
        <v>4747</v>
      </c>
    </row>
    <row r="802" spans="1:11" x14ac:dyDescent="0.25">
      <c r="A802" t="s">
        <v>624</v>
      </c>
      <c r="B802" t="s">
        <v>1162</v>
      </c>
      <c r="C802" t="s">
        <v>1232</v>
      </c>
      <c r="D802" s="2">
        <v>37624</v>
      </c>
      <c r="E802">
        <v>0.96996550000000004</v>
      </c>
      <c r="F802" s="2">
        <v>37659</v>
      </c>
      <c r="G802">
        <v>1.1154599999999999</v>
      </c>
      <c r="H802" s="3">
        <v>0.15</v>
      </c>
      <c r="I802">
        <v>894.3</v>
      </c>
      <c r="J802" s="3">
        <v>0.14779999999999999</v>
      </c>
      <c r="K802">
        <v>6236</v>
      </c>
    </row>
    <row r="803" spans="1:11" x14ac:dyDescent="0.25">
      <c r="A803" t="s">
        <v>625</v>
      </c>
      <c r="B803" t="s">
        <v>1163</v>
      </c>
      <c r="C803" t="s">
        <v>1232</v>
      </c>
      <c r="D803" s="2">
        <v>37624</v>
      </c>
      <c r="E803">
        <v>1.8527439999999999</v>
      </c>
      <c r="F803" s="2">
        <v>37631</v>
      </c>
      <c r="G803">
        <v>1.827188</v>
      </c>
      <c r="H803" s="3">
        <v>-1.38E-2</v>
      </c>
      <c r="I803">
        <v>-95.43</v>
      </c>
      <c r="J803" s="3">
        <v>-1.5800000000000002E-2</v>
      </c>
      <c r="K803">
        <v>3264</v>
      </c>
    </row>
    <row r="804" spans="1:11" x14ac:dyDescent="0.25">
      <c r="A804" t="s">
        <v>626</v>
      </c>
      <c r="B804" t="s">
        <v>1164</v>
      </c>
      <c r="C804" t="s">
        <v>1232</v>
      </c>
      <c r="D804" s="2">
        <v>37596</v>
      </c>
      <c r="E804">
        <v>23.5</v>
      </c>
      <c r="F804" s="2">
        <v>37603</v>
      </c>
      <c r="G804">
        <v>22</v>
      </c>
      <c r="H804" s="3">
        <v>-6.3799999999999996E-2</v>
      </c>
      <c r="I804">
        <v>-394.1</v>
      </c>
      <c r="J804" s="3">
        <v>-6.5799999999999997E-2</v>
      </c>
      <c r="K804">
        <v>255</v>
      </c>
    </row>
    <row r="805" spans="1:11" x14ac:dyDescent="0.25">
      <c r="A805" t="s">
        <v>627</v>
      </c>
      <c r="B805" t="s">
        <v>1165</v>
      </c>
      <c r="C805" t="s">
        <v>1232</v>
      </c>
      <c r="D805" s="2">
        <v>37343</v>
      </c>
      <c r="E805">
        <v>1.8</v>
      </c>
      <c r="F805" s="2">
        <v>37496</v>
      </c>
      <c r="G805">
        <v>2.7</v>
      </c>
      <c r="H805" s="3">
        <v>0.5</v>
      </c>
      <c r="I805">
        <v>2950.67</v>
      </c>
      <c r="J805" s="3">
        <v>0.4975</v>
      </c>
      <c r="K805">
        <v>3295</v>
      </c>
    </row>
    <row r="806" spans="1:11" x14ac:dyDescent="0.25">
      <c r="A806" t="s">
        <v>628</v>
      </c>
      <c r="B806" t="s">
        <v>1166</v>
      </c>
      <c r="C806" t="s">
        <v>1232</v>
      </c>
      <c r="D806" s="2">
        <v>37197</v>
      </c>
      <c r="E806">
        <v>1.3212060000000001</v>
      </c>
      <c r="F806" s="2">
        <v>37480</v>
      </c>
      <c r="G806">
        <v>1.98</v>
      </c>
      <c r="H806" s="3">
        <v>0.49859999999999999</v>
      </c>
      <c r="I806">
        <v>2424.67</v>
      </c>
      <c r="J806" s="3">
        <v>0.49609999999999999</v>
      </c>
      <c r="K806">
        <v>3699</v>
      </c>
    </row>
    <row r="807" spans="1:11" x14ac:dyDescent="0.25">
      <c r="A807" t="s">
        <v>68</v>
      </c>
      <c r="B807" t="s">
        <v>1167</v>
      </c>
      <c r="C807" t="s">
        <v>1232</v>
      </c>
      <c r="D807" s="2">
        <v>37211</v>
      </c>
      <c r="E807">
        <v>1.8372999999999999</v>
      </c>
      <c r="F807" s="2">
        <v>37463</v>
      </c>
      <c r="G807">
        <v>2.012178</v>
      </c>
      <c r="H807" s="3">
        <v>9.5200000000000007E-2</v>
      </c>
      <c r="I807">
        <v>453.23</v>
      </c>
      <c r="J807" s="3">
        <v>9.3100000000000002E-2</v>
      </c>
      <c r="K807">
        <v>2650</v>
      </c>
    </row>
    <row r="808" spans="1:11" x14ac:dyDescent="0.25">
      <c r="A808" t="s">
        <v>71</v>
      </c>
      <c r="B808" t="s">
        <v>1168</v>
      </c>
      <c r="C808" t="s">
        <v>1232</v>
      </c>
      <c r="D808" s="2">
        <v>36707</v>
      </c>
      <c r="E808">
        <v>1.3800809999999999</v>
      </c>
      <c r="F808" s="2">
        <v>37456</v>
      </c>
      <c r="G808">
        <v>1.8104469999999999</v>
      </c>
      <c r="H808" s="3">
        <v>0.31180000000000002</v>
      </c>
      <c r="I808">
        <v>1333.64</v>
      </c>
      <c r="J808" s="3">
        <v>0.3095</v>
      </c>
      <c r="K808">
        <v>3122</v>
      </c>
    </row>
    <row r="809" spans="1:11" x14ac:dyDescent="0.25">
      <c r="A809" t="s">
        <v>100</v>
      </c>
      <c r="B809" t="s">
        <v>379</v>
      </c>
      <c r="C809" t="s">
        <v>1232</v>
      </c>
      <c r="D809" s="2">
        <v>37232</v>
      </c>
      <c r="E809">
        <v>0.89837230000000001</v>
      </c>
      <c r="F809" s="2">
        <v>37449</v>
      </c>
      <c r="G809">
        <v>1.5285740000000001</v>
      </c>
      <c r="H809" s="3">
        <v>0.70150000000000001</v>
      </c>
      <c r="I809">
        <v>3542.53</v>
      </c>
      <c r="J809" s="3">
        <v>0.69879999999999998</v>
      </c>
      <c r="K809">
        <v>5643</v>
      </c>
    </row>
    <row r="810" spans="1:11" x14ac:dyDescent="0.25">
      <c r="A810" t="s">
        <v>629</v>
      </c>
      <c r="B810" t="s">
        <v>1169</v>
      </c>
      <c r="C810" t="s">
        <v>1232</v>
      </c>
      <c r="D810" s="2">
        <v>37400</v>
      </c>
      <c r="E810">
        <v>2.9795370000000001</v>
      </c>
      <c r="F810" s="2">
        <v>37442</v>
      </c>
      <c r="G810">
        <v>2.5809760000000002</v>
      </c>
      <c r="H810" s="3">
        <v>-0.1338</v>
      </c>
      <c r="I810">
        <v>-813.9</v>
      </c>
      <c r="J810" s="3">
        <v>-0.1356</v>
      </c>
      <c r="K810">
        <v>2014</v>
      </c>
    </row>
    <row r="811" spans="1:11" x14ac:dyDescent="0.25">
      <c r="A811" t="s">
        <v>630</v>
      </c>
      <c r="B811" t="s">
        <v>1170</v>
      </c>
      <c r="C811" t="s">
        <v>1232</v>
      </c>
      <c r="D811" s="2">
        <v>37343</v>
      </c>
      <c r="E811">
        <v>0.51445779999999997</v>
      </c>
      <c r="F811" s="2">
        <v>37421</v>
      </c>
      <c r="G811">
        <v>0.44769609999999999</v>
      </c>
      <c r="H811" s="3">
        <v>-0.1298</v>
      </c>
      <c r="I811">
        <v>-780.86</v>
      </c>
      <c r="J811" s="3">
        <v>-0.13159999999999999</v>
      </c>
      <c r="K811">
        <v>11530</v>
      </c>
    </row>
    <row r="812" spans="1:11" x14ac:dyDescent="0.25">
      <c r="A812" t="s">
        <v>631</v>
      </c>
      <c r="B812" t="s">
        <v>1171</v>
      </c>
      <c r="C812" t="s">
        <v>1232</v>
      </c>
      <c r="D812" s="2">
        <v>37253</v>
      </c>
      <c r="E812">
        <v>1.1260749999999999</v>
      </c>
      <c r="F812" s="2">
        <v>37407</v>
      </c>
      <c r="G812">
        <v>1.2994220000000001</v>
      </c>
      <c r="H812" s="3">
        <v>0.15390000000000001</v>
      </c>
      <c r="I812">
        <v>784.02</v>
      </c>
      <c r="J812" s="3">
        <v>0.15179999999999999</v>
      </c>
      <c r="K812">
        <v>4587</v>
      </c>
    </row>
    <row r="813" spans="1:11" x14ac:dyDescent="0.25">
      <c r="A813" t="s">
        <v>632</v>
      </c>
      <c r="B813" t="s">
        <v>1172</v>
      </c>
      <c r="C813" t="s">
        <v>1232</v>
      </c>
      <c r="D813" s="2">
        <v>36945</v>
      </c>
      <c r="E813">
        <v>0.76479799999999998</v>
      </c>
      <c r="F813" s="2">
        <v>37399</v>
      </c>
      <c r="G813">
        <v>1.2084509999999999</v>
      </c>
      <c r="H813" s="3">
        <v>0.58009999999999995</v>
      </c>
      <c r="I813">
        <v>2698.22</v>
      </c>
      <c r="J813" s="3">
        <v>0.57750000000000001</v>
      </c>
      <c r="K813">
        <v>6109</v>
      </c>
    </row>
    <row r="814" spans="1:11" x14ac:dyDescent="0.25">
      <c r="A814" t="s">
        <v>633</v>
      </c>
      <c r="B814" t="s">
        <v>1173</v>
      </c>
      <c r="C814" t="s">
        <v>1232</v>
      </c>
      <c r="D814" s="2">
        <v>37204</v>
      </c>
      <c r="E814">
        <v>0.98743740000000002</v>
      </c>
      <c r="F814" s="2">
        <v>37393</v>
      </c>
      <c r="G814">
        <v>1.0442199999999999</v>
      </c>
      <c r="H814" s="3">
        <v>5.7500000000000002E-2</v>
      </c>
      <c r="I814">
        <v>270.63</v>
      </c>
      <c r="J814" s="3">
        <v>5.5399999999999998E-2</v>
      </c>
      <c r="K814">
        <v>4943</v>
      </c>
    </row>
    <row r="815" spans="1:11" x14ac:dyDescent="0.25">
      <c r="A815" t="s">
        <v>634</v>
      </c>
      <c r="B815" t="s">
        <v>1174</v>
      </c>
      <c r="C815" t="s">
        <v>1232</v>
      </c>
      <c r="D815" s="2">
        <v>37197</v>
      </c>
      <c r="E815">
        <v>1.6811929999999999</v>
      </c>
      <c r="F815" s="2">
        <v>37393</v>
      </c>
      <c r="G815">
        <v>1.569439</v>
      </c>
      <c r="H815" s="3">
        <v>-6.6500000000000004E-2</v>
      </c>
      <c r="I815">
        <v>-334.32</v>
      </c>
      <c r="J815" s="3">
        <v>-6.8400000000000002E-2</v>
      </c>
      <c r="K815">
        <v>2907</v>
      </c>
    </row>
    <row r="816" spans="1:11" x14ac:dyDescent="0.25">
      <c r="A816" t="s">
        <v>411</v>
      </c>
      <c r="B816" t="s">
        <v>794</v>
      </c>
      <c r="C816" t="s">
        <v>1232</v>
      </c>
      <c r="D816" s="2">
        <v>37085</v>
      </c>
      <c r="E816">
        <v>0.93752610000000003</v>
      </c>
      <c r="F816" s="2">
        <v>37372</v>
      </c>
      <c r="G816">
        <v>1.345834</v>
      </c>
      <c r="H816" s="3">
        <v>0.4355</v>
      </c>
      <c r="I816">
        <v>2200.25</v>
      </c>
      <c r="J816" s="3">
        <v>0.43309999999999998</v>
      </c>
      <c r="K816">
        <v>5419</v>
      </c>
    </row>
    <row r="817" spans="1:11" x14ac:dyDescent="0.25">
      <c r="A817" t="s">
        <v>605</v>
      </c>
      <c r="B817" t="s">
        <v>1137</v>
      </c>
      <c r="C817" t="s">
        <v>1232</v>
      </c>
      <c r="D817" s="2">
        <v>37197</v>
      </c>
      <c r="E817">
        <v>0.81156490000000003</v>
      </c>
      <c r="F817" s="2">
        <v>37365</v>
      </c>
      <c r="G817">
        <v>1.350104</v>
      </c>
      <c r="H817" s="3">
        <v>0.66359999999999997</v>
      </c>
      <c r="I817">
        <v>3230.06</v>
      </c>
      <c r="J817" s="3">
        <v>0.66090000000000004</v>
      </c>
      <c r="K817">
        <v>6022</v>
      </c>
    </row>
    <row r="818" spans="1:11" x14ac:dyDescent="0.25">
      <c r="A818" t="s">
        <v>337</v>
      </c>
      <c r="B818" t="s">
        <v>1175</v>
      </c>
      <c r="C818" t="s">
        <v>1232</v>
      </c>
      <c r="D818" s="2">
        <v>37204</v>
      </c>
      <c r="E818">
        <v>1.99088</v>
      </c>
      <c r="F818" s="2">
        <v>37358</v>
      </c>
      <c r="G818">
        <v>2.1741030000000001</v>
      </c>
      <c r="H818" s="3">
        <v>9.1999999999999998E-2</v>
      </c>
      <c r="I818">
        <v>439.05</v>
      </c>
      <c r="J818" s="3">
        <v>8.9899999999999994E-2</v>
      </c>
      <c r="K818">
        <v>2452</v>
      </c>
    </row>
    <row r="819" spans="1:11" x14ac:dyDescent="0.25">
      <c r="A819" t="s">
        <v>635</v>
      </c>
      <c r="B819" t="s">
        <v>1176</v>
      </c>
      <c r="C819" t="s">
        <v>1232</v>
      </c>
      <c r="D819" s="2">
        <v>37197</v>
      </c>
      <c r="E819">
        <v>0.72394480000000005</v>
      </c>
      <c r="F819" s="2">
        <v>37358</v>
      </c>
      <c r="G819">
        <v>1.5274829999999999</v>
      </c>
      <c r="H819" s="3">
        <v>1.1099000000000001</v>
      </c>
      <c r="I819">
        <v>5408.69</v>
      </c>
      <c r="J819" s="3">
        <v>1.1068</v>
      </c>
      <c r="K819">
        <v>6750</v>
      </c>
    </row>
    <row r="820" spans="1:11" x14ac:dyDescent="0.25">
      <c r="A820" t="s">
        <v>624</v>
      </c>
      <c r="B820" t="s">
        <v>1162</v>
      </c>
      <c r="C820" t="s">
        <v>1232</v>
      </c>
      <c r="D820" s="2">
        <v>37295</v>
      </c>
      <c r="E820">
        <v>0.80507130000000005</v>
      </c>
      <c r="F820" s="2">
        <v>37337</v>
      </c>
      <c r="G820">
        <v>0.84386989999999995</v>
      </c>
      <c r="H820" s="3">
        <v>4.82E-2</v>
      </c>
      <c r="I820">
        <v>254.62</v>
      </c>
      <c r="J820" s="3">
        <v>4.6100000000000002E-2</v>
      </c>
      <c r="K820">
        <v>6854</v>
      </c>
    </row>
    <row r="821" spans="1:11" x14ac:dyDescent="0.25">
      <c r="A821" t="s">
        <v>497</v>
      </c>
      <c r="B821" t="s">
        <v>984</v>
      </c>
      <c r="C821" t="s">
        <v>1232</v>
      </c>
      <c r="D821" s="2">
        <v>37211</v>
      </c>
      <c r="E821">
        <v>0.67814569999999996</v>
      </c>
      <c r="F821" s="2">
        <v>37337</v>
      </c>
      <c r="G821">
        <v>0.70611919999999995</v>
      </c>
      <c r="H821" s="3">
        <v>4.1200000000000001E-2</v>
      </c>
      <c r="I821">
        <v>190.96</v>
      </c>
      <c r="J821" s="3">
        <v>3.9199999999999999E-2</v>
      </c>
      <c r="K821">
        <v>7182</v>
      </c>
    </row>
    <row r="822" spans="1:11" x14ac:dyDescent="0.25">
      <c r="A822" t="s">
        <v>51</v>
      </c>
      <c r="B822" t="s">
        <v>1177</v>
      </c>
      <c r="C822" t="s">
        <v>1232</v>
      </c>
      <c r="D822" s="2">
        <v>37197</v>
      </c>
      <c r="E822">
        <v>1.214388</v>
      </c>
      <c r="F822" s="2">
        <v>37330</v>
      </c>
      <c r="G822">
        <v>1.088036</v>
      </c>
      <c r="H822" s="3">
        <v>-0.104</v>
      </c>
      <c r="I822">
        <v>-517.58000000000004</v>
      </c>
      <c r="J822" s="3">
        <v>-0.10589999999999999</v>
      </c>
      <c r="K822">
        <v>4023</v>
      </c>
    </row>
    <row r="823" spans="1:11" x14ac:dyDescent="0.25">
      <c r="A823" t="s">
        <v>162</v>
      </c>
      <c r="B823" t="s">
        <v>716</v>
      </c>
      <c r="C823" t="s">
        <v>1232</v>
      </c>
      <c r="D823" s="2">
        <v>37204</v>
      </c>
      <c r="E823">
        <v>1.5321199999999999</v>
      </c>
      <c r="F823" s="2">
        <v>37309</v>
      </c>
      <c r="G823">
        <v>1.0836950000000001</v>
      </c>
      <c r="H823" s="3">
        <v>-0.29270000000000002</v>
      </c>
      <c r="I823">
        <v>-1437.02</v>
      </c>
      <c r="J823" s="3">
        <v>-0.2944</v>
      </c>
      <c r="K823">
        <v>3186</v>
      </c>
    </row>
    <row r="824" spans="1:11" x14ac:dyDescent="0.25">
      <c r="A824" t="s">
        <v>636</v>
      </c>
      <c r="B824" t="s">
        <v>1178</v>
      </c>
      <c r="C824" t="s">
        <v>1232</v>
      </c>
      <c r="D824" s="2">
        <v>37218</v>
      </c>
      <c r="E824">
        <v>3</v>
      </c>
      <c r="F824" s="2">
        <v>37293</v>
      </c>
      <c r="G824">
        <v>3.22</v>
      </c>
      <c r="H824" s="3">
        <v>7.3300000000000004E-2</v>
      </c>
      <c r="I824">
        <v>350.81</v>
      </c>
      <c r="J824" s="3">
        <v>7.1300000000000002E-2</v>
      </c>
      <c r="K824">
        <v>1641</v>
      </c>
    </row>
    <row r="825" spans="1:11" x14ac:dyDescent="0.25">
      <c r="A825" t="s">
        <v>637</v>
      </c>
      <c r="B825" t="s">
        <v>1179</v>
      </c>
      <c r="C825" t="s">
        <v>1232</v>
      </c>
      <c r="D825" s="2">
        <v>37099</v>
      </c>
      <c r="E825">
        <v>1.86287</v>
      </c>
      <c r="F825" s="2">
        <v>37249</v>
      </c>
      <c r="G825">
        <v>1.893113</v>
      </c>
      <c r="H825" s="3">
        <v>1.6199999999999999E-2</v>
      </c>
      <c r="I825">
        <v>72.92</v>
      </c>
      <c r="J825" s="3">
        <v>1.4200000000000001E-2</v>
      </c>
      <c r="K825">
        <v>2753</v>
      </c>
    </row>
    <row r="826" spans="1:11" x14ac:dyDescent="0.25">
      <c r="A826" t="s">
        <v>638</v>
      </c>
      <c r="B826" t="s">
        <v>1180</v>
      </c>
      <c r="C826" t="s">
        <v>1232</v>
      </c>
      <c r="D826" s="2">
        <v>36931</v>
      </c>
      <c r="E826">
        <v>0.58283459999999998</v>
      </c>
      <c r="F826" s="2">
        <v>37232</v>
      </c>
      <c r="G826">
        <v>0.73</v>
      </c>
      <c r="H826" s="3">
        <v>0.2525</v>
      </c>
      <c r="I826">
        <v>1176.5899999999999</v>
      </c>
      <c r="J826" s="3">
        <v>0.25019999999999998</v>
      </c>
      <c r="K826">
        <v>8067</v>
      </c>
    </row>
    <row r="827" spans="1:11" x14ac:dyDescent="0.25">
      <c r="A827" t="s">
        <v>639</v>
      </c>
      <c r="B827" t="s">
        <v>1181</v>
      </c>
      <c r="C827" t="s">
        <v>1232</v>
      </c>
      <c r="D827" s="2">
        <v>37197</v>
      </c>
      <c r="E827">
        <v>7.19</v>
      </c>
      <c r="F827" s="2">
        <v>37218</v>
      </c>
      <c r="G827">
        <v>7.2</v>
      </c>
      <c r="H827" s="3">
        <v>1.4E-3</v>
      </c>
      <c r="I827">
        <v>-2.98</v>
      </c>
      <c r="J827" s="3">
        <v>-5.9999999999999995E-4</v>
      </c>
      <c r="K827">
        <v>679</v>
      </c>
    </row>
    <row r="828" spans="1:11" x14ac:dyDescent="0.25">
      <c r="A828" t="s">
        <v>53</v>
      </c>
      <c r="B828" t="s">
        <v>895</v>
      </c>
      <c r="C828" t="s">
        <v>1232</v>
      </c>
      <c r="D828" s="2">
        <v>36854</v>
      </c>
      <c r="E828">
        <v>1.731554</v>
      </c>
      <c r="F828" s="2">
        <v>37197</v>
      </c>
      <c r="G828">
        <v>1.9421440000000001</v>
      </c>
      <c r="H828" s="3">
        <v>0.1216</v>
      </c>
      <c r="I828">
        <v>550.4</v>
      </c>
      <c r="J828" s="3">
        <v>0.1195</v>
      </c>
      <c r="K828">
        <v>2660</v>
      </c>
    </row>
    <row r="829" spans="1:11" x14ac:dyDescent="0.25">
      <c r="A829" t="s">
        <v>640</v>
      </c>
      <c r="B829" t="s">
        <v>1182</v>
      </c>
      <c r="C829" t="s">
        <v>1232</v>
      </c>
      <c r="D829" s="2">
        <v>37029</v>
      </c>
      <c r="E829">
        <v>0.51059279999999996</v>
      </c>
      <c r="F829" s="2">
        <v>37162</v>
      </c>
      <c r="G829">
        <v>0.45643899999999998</v>
      </c>
      <c r="H829" s="3">
        <v>-0.1061</v>
      </c>
      <c r="I829">
        <v>-510.09</v>
      </c>
      <c r="J829" s="3">
        <v>-0.108</v>
      </c>
      <c r="K829">
        <v>9254</v>
      </c>
    </row>
    <row r="830" spans="1:11" x14ac:dyDescent="0.25">
      <c r="A830" t="s">
        <v>641</v>
      </c>
      <c r="B830" t="s">
        <v>1183</v>
      </c>
      <c r="C830" t="s">
        <v>1232</v>
      </c>
      <c r="D830" s="2">
        <v>36931</v>
      </c>
      <c r="E830">
        <v>0.73956290000000002</v>
      </c>
      <c r="F830" s="2">
        <v>37162</v>
      </c>
      <c r="G830">
        <v>0.85037759999999996</v>
      </c>
      <c r="H830" s="3">
        <v>0.14979999999999999</v>
      </c>
      <c r="I830">
        <v>694.23</v>
      </c>
      <c r="J830" s="3">
        <v>0.1477</v>
      </c>
      <c r="K830">
        <v>6356</v>
      </c>
    </row>
    <row r="831" spans="1:11" x14ac:dyDescent="0.25">
      <c r="A831" t="s">
        <v>609</v>
      </c>
      <c r="B831" t="s">
        <v>1144</v>
      </c>
      <c r="C831" t="s">
        <v>1232</v>
      </c>
      <c r="D831" s="2">
        <v>36931</v>
      </c>
      <c r="E831">
        <v>1.0562609999999999</v>
      </c>
      <c r="F831" s="2">
        <v>37162</v>
      </c>
      <c r="G831">
        <v>0.57909880000000002</v>
      </c>
      <c r="H831" s="3">
        <v>-0.45169999999999999</v>
      </c>
      <c r="I831">
        <v>-2131.61</v>
      </c>
      <c r="J831" s="3">
        <v>-0.45329999999999998</v>
      </c>
      <c r="K831">
        <v>4452</v>
      </c>
    </row>
    <row r="832" spans="1:11" x14ac:dyDescent="0.25">
      <c r="A832" t="s">
        <v>642</v>
      </c>
      <c r="B832" t="s">
        <v>1184</v>
      </c>
      <c r="C832" t="s">
        <v>1232</v>
      </c>
      <c r="D832" s="2">
        <v>37085</v>
      </c>
      <c r="E832">
        <v>1.230178</v>
      </c>
      <c r="F832" s="2">
        <v>37155</v>
      </c>
      <c r="G832">
        <v>1.196445</v>
      </c>
      <c r="H832" s="3">
        <v>-2.7400000000000001E-2</v>
      </c>
      <c r="I832">
        <v>-149.34</v>
      </c>
      <c r="J832" s="3">
        <v>-2.9399999999999999E-2</v>
      </c>
      <c r="K832">
        <v>4130</v>
      </c>
    </row>
    <row r="833" spans="1:11" x14ac:dyDescent="0.25">
      <c r="A833" t="s">
        <v>500</v>
      </c>
      <c r="B833" t="s">
        <v>992</v>
      </c>
      <c r="C833" t="s">
        <v>1232</v>
      </c>
      <c r="D833" s="2">
        <v>37022</v>
      </c>
      <c r="E833">
        <v>0.83835510000000002</v>
      </c>
      <c r="F833" s="2">
        <v>37155</v>
      </c>
      <c r="G833">
        <v>0.77799359999999995</v>
      </c>
      <c r="H833" s="3">
        <v>-7.1999999999999995E-2</v>
      </c>
      <c r="I833">
        <v>-347.82</v>
      </c>
      <c r="J833" s="3">
        <v>-7.3899999999999993E-2</v>
      </c>
      <c r="K833">
        <v>5612</v>
      </c>
    </row>
    <row r="834" spans="1:11" x14ac:dyDescent="0.25">
      <c r="A834" t="s">
        <v>497</v>
      </c>
      <c r="B834" t="s">
        <v>984</v>
      </c>
      <c r="C834" t="s">
        <v>1232</v>
      </c>
      <c r="D834" s="2">
        <v>37008</v>
      </c>
      <c r="E834">
        <v>0.62280279999999999</v>
      </c>
      <c r="F834" s="2">
        <v>37155</v>
      </c>
      <c r="G834">
        <v>0.54929799999999995</v>
      </c>
      <c r="H834" s="3">
        <v>-0.11799999999999999</v>
      </c>
      <c r="I834">
        <v>-558.58000000000004</v>
      </c>
      <c r="J834" s="3">
        <v>-0.11990000000000001</v>
      </c>
      <c r="K834">
        <v>7480</v>
      </c>
    </row>
    <row r="835" spans="1:11" x14ac:dyDescent="0.25">
      <c r="A835" t="s">
        <v>86</v>
      </c>
      <c r="B835" t="s">
        <v>1185</v>
      </c>
      <c r="C835" t="s">
        <v>1232</v>
      </c>
      <c r="D835" s="2">
        <v>36931</v>
      </c>
      <c r="E835">
        <v>11.12509</v>
      </c>
      <c r="F835" s="2">
        <v>37155</v>
      </c>
      <c r="G835">
        <v>8.2758620000000001</v>
      </c>
      <c r="H835" s="3">
        <v>-0.25609999999999999</v>
      </c>
      <c r="I835">
        <v>-1210.56</v>
      </c>
      <c r="J835" s="3">
        <v>-0.25790000000000002</v>
      </c>
      <c r="K835">
        <v>422</v>
      </c>
    </row>
    <row r="836" spans="1:11" x14ac:dyDescent="0.25">
      <c r="A836" t="s">
        <v>338</v>
      </c>
      <c r="B836" t="s">
        <v>1186</v>
      </c>
      <c r="C836" t="s">
        <v>1232</v>
      </c>
      <c r="D836" s="2">
        <v>36840</v>
      </c>
      <c r="E836">
        <v>1.986224</v>
      </c>
      <c r="F836" s="2">
        <v>37155</v>
      </c>
      <c r="G836">
        <v>2.8807740000000002</v>
      </c>
      <c r="H836" s="3">
        <v>0.45040000000000002</v>
      </c>
      <c r="I836">
        <v>1979.54</v>
      </c>
      <c r="J836" s="3">
        <v>0.44790000000000002</v>
      </c>
      <c r="K836">
        <v>2225</v>
      </c>
    </row>
    <row r="837" spans="1:11" x14ac:dyDescent="0.25">
      <c r="A837" t="s">
        <v>584</v>
      </c>
      <c r="B837" t="s">
        <v>1110</v>
      </c>
      <c r="C837" t="s">
        <v>1232</v>
      </c>
      <c r="D837" s="2">
        <v>37113</v>
      </c>
      <c r="E837">
        <v>1.3340890000000001</v>
      </c>
      <c r="F837" s="2">
        <v>37127</v>
      </c>
      <c r="G837">
        <v>1.4105650000000001</v>
      </c>
      <c r="H837" s="3">
        <v>5.7299999999999997E-2</v>
      </c>
      <c r="I837">
        <v>284.38</v>
      </c>
      <c r="J837" s="3">
        <v>5.5300000000000002E-2</v>
      </c>
      <c r="K837">
        <v>3857</v>
      </c>
    </row>
    <row r="838" spans="1:11" x14ac:dyDescent="0.25">
      <c r="A838" t="s">
        <v>631</v>
      </c>
      <c r="B838" t="s">
        <v>1171</v>
      </c>
      <c r="C838" t="s">
        <v>1232</v>
      </c>
      <c r="D838" s="2">
        <v>37085</v>
      </c>
      <c r="E838">
        <v>1.035989</v>
      </c>
      <c r="F838" s="2">
        <v>37127</v>
      </c>
      <c r="G838">
        <v>0.98418939999999999</v>
      </c>
      <c r="H838" s="3">
        <v>-0.05</v>
      </c>
      <c r="I838">
        <v>-263.88</v>
      </c>
      <c r="J838" s="3">
        <v>-5.1999999999999998E-2</v>
      </c>
      <c r="K838">
        <v>4903</v>
      </c>
    </row>
    <row r="839" spans="1:11" x14ac:dyDescent="0.25">
      <c r="A839" t="s">
        <v>643</v>
      </c>
      <c r="B839" t="s">
        <v>1187</v>
      </c>
      <c r="C839" t="s">
        <v>1232</v>
      </c>
      <c r="D839" s="2">
        <v>36727</v>
      </c>
      <c r="E839">
        <v>0.71986430000000001</v>
      </c>
      <c r="F839" s="2">
        <v>37106</v>
      </c>
      <c r="G839">
        <v>0.91</v>
      </c>
      <c r="H839" s="3">
        <v>0.2641</v>
      </c>
      <c r="I839">
        <v>1140.46</v>
      </c>
      <c r="J839" s="3">
        <v>0.26190000000000002</v>
      </c>
      <c r="K839">
        <v>6050</v>
      </c>
    </row>
    <row r="840" spans="1:11" x14ac:dyDescent="0.25">
      <c r="A840" t="s">
        <v>644</v>
      </c>
      <c r="B840" t="s">
        <v>1188</v>
      </c>
      <c r="C840" t="s">
        <v>1232</v>
      </c>
      <c r="D840" s="2">
        <v>37008</v>
      </c>
      <c r="E840">
        <v>0.66</v>
      </c>
      <c r="F840" s="2">
        <v>37105</v>
      </c>
      <c r="G840">
        <v>0.64999989999999996</v>
      </c>
      <c r="H840" s="3">
        <v>-1.52E-2</v>
      </c>
      <c r="I840">
        <v>-79.84</v>
      </c>
      <c r="J840" s="3">
        <v>-1.7100000000000001E-2</v>
      </c>
      <c r="K840">
        <v>7059</v>
      </c>
    </row>
    <row r="841" spans="1:11" x14ac:dyDescent="0.25">
      <c r="A841" t="s">
        <v>131</v>
      </c>
      <c r="B841" t="s">
        <v>400</v>
      </c>
      <c r="C841" t="s">
        <v>1232</v>
      </c>
      <c r="D841" s="2">
        <v>36714</v>
      </c>
      <c r="E841">
        <v>1.482299</v>
      </c>
      <c r="F841" s="2">
        <v>37092</v>
      </c>
      <c r="G841">
        <v>2.0196770000000002</v>
      </c>
      <c r="H841" s="3">
        <v>0.36249999999999999</v>
      </c>
      <c r="I841">
        <v>1545.04</v>
      </c>
      <c r="J841" s="3">
        <v>0.36020000000000002</v>
      </c>
      <c r="K841">
        <v>2894</v>
      </c>
    </row>
    <row r="842" spans="1:11" x14ac:dyDescent="0.25">
      <c r="A842" t="s">
        <v>437</v>
      </c>
      <c r="B842" t="s">
        <v>880</v>
      </c>
      <c r="C842" t="s">
        <v>1232</v>
      </c>
      <c r="D842" s="2">
        <v>37008</v>
      </c>
      <c r="E842">
        <v>1.625597</v>
      </c>
      <c r="F842" s="2">
        <v>37085</v>
      </c>
      <c r="G842">
        <v>1.935535</v>
      </c>
      <c r="H842" s="3">
        <v>0.19070000000000001</v>
      </c>
      <c r="I842">
        <v>878.08</v>
      </c>
      <c r="J842" s="3">
        <v>0.1885</v>
      </c>
      <c r="K842">
        <v>2866</v>
      </c>
    </row>
    <row r="843" spans="1:11" x14ac:dyDescent="0.25">
      <c r="A843" t="s">
        <v>645</v>
      </c>
      <c r="B843" t="s">
        <v>1189</v>
      </c>
      <c r="C843" t="s">
        <v>1232</v>
      </c>
      <c r="D843" s="2">
        <v>36916</v>
      </c>
      <c r="E843">
        <v>1.067115</v>
      </c>
      <c r="F843" s="2">
        <v>37085</v>
      </c>
      <c r="G843">
        <v>1.3014600000000001</v>
      </c>
      <c r="H843" s="3">
        <v>0.21959999999999999</v>
      </c>
      <c r="I843">
        <v>1003.3</v>
      </c>
      <c r="J843" s="3">
        <v>0.21740000000000001</v>
      </c>
      <c r="K843">
        <v>4325</v>
      </c>
    </row>
    <row r="844" spans="1:11" x14ac:dyDescent="0.25">
      <c r="A844" t="s">
        <v>646</v>
      </c>
      <c r="B844" t="s">
        <v>1190</v>
      </c>
      <c r="C844" t="s">
        <v>1232</v>
      </c>
      <c r="D844" s="2">
        <v>36721</v>
      </c>
      <c r="E844">
        <v>0.91623310000000002</v>
      </c>
      <c r="F844" s="2">
        <v>37085</v>
      </c>
      <c r="G844">
        <v>1.7408710000000001</v>
      </c>
      <c r="H844" s="3">
        <v>0.9</v>
      </c>
      <c r="I844">
        <v>3894.55</v>
      </c>
      <c r="J844" s="3">
        <v>0.89710000000000001</v>
      </c>
      <c r="K844">
        <v>4738</v>
      </c>
    </row>
    <row r="845" spans="1:11" x14ac:dyDescent="0.25">
      <c r="A845" t="s">
        <v>647</v>
      </c>
      <c r="B845" t="s">
        <v>1191</v>
      </c>
      <c r="C845" t="s">
        <v>1232</v>
      </c>
      <c r="D845" s="2">
        <v>37008</v>
      </c>
      <c r="E845">
        <v>1.6649849999999999</v>
      </c>
      <c r="F845" s="2">
        <v>37085</v>
      </c>
      <c r="G845">
        <v>2.0247809999999999</v>
      </c>
      <c r="H845" s="3">
        <v>0.21609999999999999</v>
      </c>
      <c r="I845">
        <v>996.03</v>
      </c>
      <c r="J845" s="3">
        <v>0.21390000000000001</v>
      </c>
      <c r="K845">
        <v>2797</v>
      </c>
    </row>
    <row r="846" spans="1:11" x14ac:dyDescent="0.25">
      <c r="A846" t="s">
        <v>648</v>
      </c>
      <c r="B846" t="s">
        <v>1192</v>
      </c>
      <c r="C846" t="s">
        <v>1232</v>
      </c>
      <c r="D846" s="2">
        <v>36714</v>
      </c>
      <c r="E846">
        <v>0.92464539999999995</v>
      </c>
      <c r="F846" s="2">
        <v>37029</v>
      </c>
      <c r="G846">
        <v>0.84268609999999999</v>
      </c>
      <c r="H846" s="3">
        <v>-8.8599999999999998E-2</v>
      </c>
      <c r="I846">
        <v>-388.49</v>
      </c>
      <c r="J846" s="3">
        <v>-9.0499999999999997E-2</v>
      </c>
      <c r="K846">
        <v>4640</v>
      </c>
    </row>
    <row r="847" spans="1:11" x14ac:dyDescent="0.25">
      <c r="A847" t="s">
        <v>649</v>
      </c>
      <c r="B847" t="s">
        <v>1193</v>
      </c>
      <c r="C847" t="s">
        <v>1232</v>
      </c>
      <c r="D847" s="2">
        <v>36721</v>
      </c>
      <c r="E847">
        <v>1.2495780000000001</v>
      </c>
      <c r="F847" s="2">
        <v>37008</v>
      </c>
      <c r="G847">
        <v>1.2936879999999999</v>
      </c>
      <c r="H847" s="3">
        <v>3.5299999999999998E-2</v>
      </c>
      <c r="I847">
        <v>144.44</v>
      </c>
      <c r="J847" s="3">
        <v>3.3300000000000003E-2</v>
      </c>
      <c r="K847">
        <v>3475</v>
      </c>
    </row>
    <row r="848" spans="1:11" x14ac:dyDescent="0.25">
      <c r="A848" t="s">
        <v>339</v>
      </c>
      <c r="B848" t="s">
        <v>1194</v>
      </c>
      <c r="C848" t="s">
        <v>1232</v>
      </c>
      <c r="D848" s="2">
        <v>36916</v>
      </c>
      <c r="E848">
        <v>0.99870239999999999</v>
      </c>
      <c r="F848" s="2">
        <v>36987</v>
      </c>
      <c r="G848">
        <v>1.1752689999999999</v>
      </c>
      <c r="H848" s="3">
        <v>0.17680000000000001</v>
      </c>
      <c r="I848">
        <v>806.04</v>
      </c>
      <c r="J848" s="3">
        <v>0.17460000000000001</v>
      </c>
      <c r="K848">
        <v>4622</v>
      </c>
    </row>
    <row r="849" spans="1:11" x14ac:dyDescent="0.25">
      <c r="A849" t="s">
        <v>650</v>
      </c>
      <c r="B849" t="s">
        <v>1195</v>
      </c>
      <c r="C849" t="s">
        <v>1232</v>
      </c>
      <c r="D849" s="2">
        <v>36924</v>
      </c>
      <c r="E849">
        <v>1.55</v>
      </c>
      <c r="F849" s="2">
        <v>36980</v>
      </c>
      <c r="G849">
        <v>1.29</v>
      </c>
      <c r="H849" s="3">
        <v>-0.16769999999999999</v>
      </c>
      <c r="I849">
        <v>-787.21</v>
      </c>
      <c r="J849" s="3">
        <v>-0.1696</v>
      </c>
      <c r="K849">
        <v>2995</v>
      </c>
    </row>
    <row r="850" spans="1:11" x14ac:dyDescent="0.25">
      <c r="A850" t="s">
        <v>628</v>
      </c>
      <c r="B850" t="s">
        <v>1166</v>
      </c>
      <c r="C850" t="s">
        <v>1232</v>
      </c>
      <c r="D850" s="2">
        <v>36749</v>
      </c>
      <c r="E850">
        <v>0.73301159999999999</v>
      </c>
      <c r="F850" s="2">
        <v>36980</v>
      </c>
      <c r="G850">
        <v>0.84001919999999997</v>
      </c>
      <c r="H850" s="3">
        <v>0.14599999999999999</v>
      </c>
      <c r="I850">
        <v>649.69000000000005</v>
      </c>
      <c r="J850" s="3">
        <v>0.14380000000000001</v>
      </c>
      <c r="K850">
        <v>6162</v>
      </c>
    </row>
    <row r="851" spans="1:11" x14ac:dyDescent="0.25">
      <c r="A851" t="s">
        <v>651</v>
      </c>
      <c r="B851" t="s">
        <v>1196</v>
      </c>
      <c r="C851" t="s">
        <v>1232</v>
      </c>
      <c r="D851" s="2">
        <v>36931</v>
      </c>
      <c r="E851">
        <v>0.83090229999999998</v>
      </c>
      <c r="F851" s="2">
        <v>36980</v>
      </c>
      <c r="G851">
        <v>0.77521589999999996</v>
      </c>
      <c r="H851" s="3">
        <v>-6.7000000000000004E-2</v>
      </c>
      <c r="I851">
        <v>-324.10000000000002</v>
      </c>
      <c r="J851" s="3">
        <v>-6.9000000000000006E-2</v>
      </c>
      <c r="K851">
        <v>5657</v>
      </c>
    </row>
    <row r="852" spans="1:11" x14ac:dyDescent="0.25">
      <c r="A852" t="s">
        <v>437</v>
      </c>
      <c r="B852" t="s">
        <v>880</v>
      </c>
      <c r="C852" t="s">
        <v>1232</v>
      </c>
      <c r="D852" s="2">
        <v>36931</v>
      </c>
      <c r="E852">
        <v>1.2934140000000001</v>
      </c>
      <c r="F852" s="2">
        <v>36973</v>
      </c>
      <c r="G852">
        <v>1.3034399999999999</v>
      </c>
      <c r="H852" s="3">
        <v>7.7999999999999996E-3</v>
      </c>
      <c r="I852">
        <v>27</v>
      </c>
      <c r="J852" s="3">
        <v>5.7000000000000002E-3</v>
      </c>
      <c r="K852">
        <v>3635</v>
      </c>
    </row>
    <row r="853" spans="1:11" x14ac:dyDescent="0.25">
      <c r="A853" t="s">
        <v>652</v>
      </c>
      <c r="B853" t="s">
        <v>1197</v>
      </c>
      <c r="C853" t="s">
        <v>1232</v>
      </c>
      <c r="D853" s="2">
        <v>36945</v>
      </c>
      <c r="E853">
        <v>1.932296</v>
      </c>
      <c r="F853" s="2">
        <v>36973</v>
      </c>
      <c r="G853">
        <v>1.3930499999999999</v>
      </c>
      <c r="H853" s="3">
        <v>-0.27910000000000001</v>
      </c>
      <c r="I853">
        <v>-1311.94</v>
      </c>
      <c r="J853" s="3">
        <v>-0.28079999999999999</v>
      </c>
      <c r="K853">
        <v>2418</v>
      </c>
    </row>
    <row r="854" spans="1:11" x14ac:dyDescent="0.25">
      <c r="A854" t="s">
        <v>653</v>
      </c>
      <c r="B854" t="s">
        <v>1198</v>
      </c>
      <c r="C854" t="s">
        <v>1232</v>
      </c>
      <c r="D854" s="2">
        <v>36854</v>
      </c>
      <c r="E854">
        <v>0.57999999999999996</v>
      </c>
      <c r="F854" s="2">
        <v>36945</v>
      </c>
      <c r="G854">
        <v>0.6</v>
      </c>
      <c r="H854" s="3">
        <v>3.4500000000000003E-2</v>
      </c>
      <c r="I854">
        <v>149.47</v>
      </c>
      <c r="J854" s="3">
        <v>3.2399999999999998E-2</v>
      </c>
      <c r="K854">
        <v>7942</v>
      </c>
    </row>
    <row r="855" spans="1:11" x14ac:dyDescent="0.25">
      <c r="A855" t="s">
        <v>654</v>
      </c>
      <c r="B855" t="s">
        <v>1199</v>
      </c>
      <c r="C855" t="s">
        <v>1232</v>
      </c>
      <c r="D855" s="2">
        <v>36931</v>
      </c>
      <c r="E855">
        <v>1.3473679999999999</v>
      </c>
      <c r="F855" s="2">
        <v>36943</v>
      </c>
      <c r="G855">
        <v>1.2</v>
      </c>
      <c r="H855" s="3">
        <v>-0.1094</v>
      </c>
      <c r="I855">
        <v>-523.20000000000005</v>
      </c>
      <c r="J855" s="3">
        <v>-0.1113</v>
      </c>
      <c r="K855">
        <v>3490</v>
      </c>
    </row>
    <row r="856" spans="1:11" x14ac:dyDescent="0.25">
      <c r="A856" t="s">
        <v>654</v>
      </c>
      <c r="B856" t="s">
        <v>1199</v>
      </c>
      <c r="C856" t="s">
        <v>1232</v>
      </c>
      <c r="D856" s="2">
        <v>36854</v>
      </c>
      <c r="E856">
        <v>1.1645110000000001</v>
      </c>
      <c r="F856" s="2">
        <v>36916</v>
      </c>
      <c r="G856">
        <v>1.2318800000000001</v>
      </c>
      <c r="H856" s="3">
        <v>5.79E-2</v>
      </c>
      <c r="I856">
        <v>256.97000000000003</v>
      </c>
      <c r="J856" s="3">
        <v>5.5800000000000002E-2</v>
      </c>
      <c r="K856">
        <v>3955</v>
      </c>
    </row>
    <row r="857" spans="1:11" x14ac:dyDescent="0.25">
      <c r="A857" t="s">
        <v>655</v>
      </c>
      <c r="B857" t="s">
        <v>1200</v>
      </c>
      <c r="C857" t="s">
        <v>1232</v>
      </c>
      <c r="D857" s="2">
        <v>36714</v>
      </c>
      <c r="E857">
        <v>0.69372279999999997</v>
      </c>
      <c r="F857" s="2">
        <v>36910</v>
      </c>
      <c r="G857">
        <v>0.58999480000000004</v>
      </c>
      <c r="H857" s="3">
        <v>-0.14949999999999999</v>
      </c>
      <c r="I857">
        <v>-649.39</v>
      </c>
      <c r="J857" s="3">
        <v>-0.15140000000000001</v>
      </c>
      <c r="K857">
        <v>6184</v>
      </c>
    </row>
    <row r="858" spans="1:11" x14ac:dyDescent="0.25">
      <c r="A858" t="s">
        <v>656</v>
      </c>
      <c r="B858" t="s">
        <v>1201</v>
      </c>
      <c r="C858" t="s">
        <v>1232</v>
      </c>
      <c r="D858" s="2">
        <v>36756</v>
      </c>
      <c r="E858">
        <v>1.197225</v>
      </c>
      <c r="F858" s="2">
        <v>36903</v>
      </c>
      <c r="G858">
        <v>1.1575820000000001</v>
      </c>
      <c r="H858" s="3">
        <v>-3.3099999999999997E-2</v>
      </c>
      <c r="I858">
        <v>-157.87</v>
      </c>
      <c r="J858" s="3">
        <v>-3.5099999999999999E-2</v>
      </c>
      <c r="K858">
        <v>3759</v>
      </c>
    </row>
    <row r="859" spans="1:11" x14ac:dyDescent="0.25">
      <c r="A859" t="s">
        <v>657</v>
      </c>
      <c r="B859" t="s">
        <v>1202</v>
      </c>
      <c r="C859" t="s">
        <v>1232</v>
      </c>
      <c r="D859" s="2">
        <v>36847</v>
      </c>
      <c r="E859">
        <v>0.53688950000000002</v>
      </c>
      <c r="F859" s="2">
        <v>36889</v>
      </c>
      <c r="G859">
        <v>0.41555449999999999</v>
      </c>
      <c r="H859" s="3">
        <v>-0.22600000000000001</v>
      </c>
      <c r="I859">
        <v>-1011.19</v>
      </c>
      <c r="J859" s="3">
        <v>-0.2278</v>
      </c>
      <c r="K859">
        <v>8269</v>
      </c>
    </row>
    <row r="860" spans="1:11" x14ac:dyDescent="0.25">
      <c r="A860" t="s">
        <v>658</v>
      </c>
      <c r="B860" t="s">
        <v>1203</v>
      </c>
      <c r="C860" t="s">
        <v>1232</v>
      </c>
      <c r="D860" s="2">
        <v>36882</v>
      </c>
      <c r="E860">
        <v>0.77442489999999997</v>
      </c>
      <c r="F860" s="2">
        <v>36889</v>
      </c>
      <c r="G860">
        <v>0.72101630000000005</v>
      </c>
      <c r="H860" s="3">
        <v>-6.9000000000000006E-2</v>
      </c>
      <c r="I860">
        <v>-331.07</v>
      </c>
      <c r="J860" s="3">
        <v>-7.0900000000000005E-2</v>
      </c>
      <c r="K860">
        <v>6030</v>
      </c>
    </row>
    <row r="861" spans="1:11" x14ac:dyDescent="0.25">
      <c r="A861" t="s">
        <v>659</v>
      </c>
      <c r="B861" t="s">
        <v>1204</v>
      </c>
      <c r="C861" t="s">
        <v>1232</v>
      </c>
      <c r="D861" s="2">
        <v>36714</v>
      </c>
      <c r="E861">
        <v>1.5983540000000001</v>
      </c>
      <c r="F861" s="2">
        <v>36882</v>
      </c>
      <c r="G861">
        <v>1.963713</v>
      </c>
      <c r="H861" s="3">
        <v>0.2286</v>
      </c>
      <c r="I861">
        <v>971.42</v>
      </c>
      <c r="J861" s="3">
        <v>0.22639999999999999</v>
      </c>
      <c r="K861">
        <v>2685</v>
      </c>
    </row>
    <row r="862" spans="1:11" x14ac:dyDescent="0.25">
      <c r="A862" t="s">
        <v>579</v>
      </c>
      <c r="B862" t="s">
        <v>1104</v>
      </c>
      <c r="C862" t="s">
        <v>1232</v>
      </c>
      <c r="D862" s="2">
        <v>36847</v>
      </c>
      <c r="E862">
        <v>8.9836039999999997</v>
      </c>
      <c r="F862" s="2">
        <v>36875</v>
      </c>
      <c r="G862">
        <v>9.0320769999999992</v>
      </c>
      <c r="H862" s="3">
        <v>5.4000000000000003E-3</v>
      </c>
      <c r="I862">
        <v>15.05</v>
      </c>
      <c r="J862" s="3">
        <v>3.3999999999999998E-3</v>
      </c>
      <c r="K862">
        <v>494</v>
      </c>
    </row>
    <row r="863" spans="1:11" x14ac:dyDescent="0.25">
      <c r="A863" t="s">
        <v>660</v>
      </c>
      <c r="B863" t="s">
        <v>1205</v>
      </c>
      <c r="C863" t="s">
        <v>1232</v>
      </c>
      <c r="D863" s="2">
        <v>36721</v>
      </c>
      <c r="E863">
        <v>0.82405850000000003</v>
      </c>
      <c r="F863" s="2">
        <v>36868</v>
      </c>
      <c r="G863">
        <v>1.3040929999999999</v>
      </c>
      <c r="H863" s="3">
        <v>0.58250000000000002</v>
      </c>
      <c r="I863">
        <v>2518.5700000000002</v>
      </c>
      <c r="J863" s="3">
        <v>0.57989999999999997</v>
      </c>
      <c r="K863">
        <v>5270</v>
      </c>
    </row>
    <row r="864" spans="1:11" x14ac:dyDescent="0.25">
      <c r="A864" t="s">
        <v>561</v>
      </c>
      <c r="B864" t="s">
        <v>1076</v>
      </c>
      <c r="C864" t="s">
        <v>1232</v>
      </c>
      <c r="D864" s="2">
        <v>36847</v>
      </c>
      <c r="E864">
        <v>1.055463</v>
      </c>
      <c r="F864" s="2">
        <v>36868</v>
      </c>
      <c r="G864">
        <v>1.433802</v>
      </c>
      <c r="H864" s="3">
        <v>0.35849999999999999</v>
      </c>
      <c r="I864">
        <v>1581.2</v>
      </c>
      <c r="J864" s="3">
        <v>0.35610000000000003</v>
      </c>
      <c r="K864">
        <v>4207</v>
      </c>
    </row>
    <row r="865" spans="1:11" x14ac:dyDescent="0.25">
      <c r="A865" t="s">
        <v>661</v>
      </c>
      <c r="B865" t="s">
        <v>1206</v>
      </c>
      <c r="C865" t="s">
        <v>1232</v>
      </c>
      <c r="D865" s="2">
        <v>36713</v>
      </c>
      <c r="E865">
        <v>3.305129</v>
      </c>
      <c r="F865" s="2">
        <v>36854</v>
      </c>
      <c r="G865">
        <v>3.4969519999999998</v>
      </c>
      <c r="H865" s="3">
        <v>5.8000000000000003E-2</v>
      </c>
      <c r="I865">
        <v>240.9</v>
      </c>
      <c r="J865" s="3">
        <v>5.6000000000000001E-2</v>
      </c>
      <c r="K865">
        <v>1302</v>
      </c>
    </row>
    <row r="866" spans="1:11" x14ac:dyDescent="0.25">
      <c r="A866" t="s">
        <v>662</v>
      </c>
      <c r="B866" t="s">
        <v>1207</v>
      </c>
      <c r="C866" t="s">
        <v>1232</v>
      </c>
      <c r="D866" s="2">
        <v>36735</v>
      </c>
      <c r="E866">
        <v>1.329334</v>
      </c>
      <c r="F866" s="2">
        <v>36847</v>
      </c>
      <c r="G866">
        <v>1.1990069999999999</v>
      </c>
      <c r="H866" s="3">
        <v>-9.8000000000000004E-2</v>
      </c>
      <c r="I866">
        <v>-461.81</v>
      </c>
      <c r="J866" s="3">
        <v>-9.9900000000000003E-2</v>
      </c>
      <c r="K866">
        <v>3476</v>
      </c>
    </row>
    <row r="867" spans="1:11" x14ac:dyDescent="0.25">
      <c r="A867" t="s">
        <v>631</v>
      </c>
      <c r="B867" t="s">
        <v>1171</v>
      </c>
      <c r="C867" t="s">
        <v>1232</v>
      </c>
      <c r="D867" s="2">
        <v>36721</v>
      </c>
      <c r="E867">
        <v>1.2523299999999999</v>
      </c>
      <c r="F867" s="2">
        <v>36826</v>
      </c>
      <c r="G867">
        <v>1.0317510000000001</v>
      </c>
      <c r="H867" s="3">
        <v>-0.17610000000000001</v>
      </c>
      <c r="I867">
        <v>-772.89</v>
      </c>
      <c r="J867" s="3">
        <v>-0.17799999999999999</v>
      </c>
      <c r="K867">
        <v>3468</v>
      </c>
    </row>
    <row r="868" spans="1:11" x14ac:dyDescent="0.25">
      <c r="A868" t="s">
        <v>663</v>
      </c>
      <c r="B868" t="s">
        <v>1208</v>
      </c>
      <c r="C868" t="s">
        <v>1232</v>
      </c>
      <c r="D868" s="2">
        <v>36763</v>
      </c>
      <c r="E868">
        <v>2.5499999999999998</v>
      </c>
      <c r="F868" s="2">
        <v>36805</v>
      </c>
      <c r="G868">
        <v>2.5303849999999999</v>
      </c>
      <c r="H868" s="3">
        <v>-7.7000000000000002E-3</v>
      </c>
      <c r="I868">
        <v>-43.98</v>
      </c>
      <c r="J868" s="3">
        <v>-9.7000000000000003E-3</v>
      </c>
      <c r="K868">
        <v>1781</v>
      </c>
    </row>
    <row r="869" spans="1:11" x14ac:dyDescent="0.25">
      <c r="A869" t="s">
        <v>664</v>
      </c>
      <c r="B869" t="s">
        <v>1209</v>
      </c>
      <c r="C869" t="s">
        <v>1232</v>
      </c>
      <c r="D869" s="2">
        <v>36707</v>
      </c>
      <c r="E869">
        <v>2.2000000000000002</v>
      </c>
      <c r="F869" s="2">
        <v>36805</v>
      </c>
      <c r="G869">
        <v>1.75</v>
      </c>
      <c r="H869" s="3">
        <v>-0.20449999999999999</v>
      </c>
      <c r="I869">
        <v>-889.29</v>
      </c>
      <c r="J869" s="3">
        <v>-0.20630000000000001</v>
      </c>
      <c r="K869">
        <v>1959</v>
      </c>
    </row>
    <row r="870" spans="1:11" x14ac:dyDescent="0.25">
      <c r="A870" t="s">
        <v>665</v>
      </c>
      <c r="B870" t="s">
        <v>1210</v>
      </c>
      <c r="C870" t="s">
        <v>1232</v>
      </c>
      <c r="D870" s="2">
        <v>36721</v>
      </c>
      <c r="E870">
        <v>0.62127639999999995</v>
      </c>
      <c r="F870" s="2">
        <v>36798</v>
      </c>
      <c r="G870">
        <v>0.62127650000000001</v>
      </c>
      <c r="H870" s="3">
        <v>0</v>
      </c>
      <c r="I870">
        <v>-8.68</v>
      </c>
      <c r="J870" s="3">
        <v>-2E-3</v>
      </c>
      <c r="K870">
        <v>6988</v>
      </c>
    </row>
    <row r="871" spans="1:11" x14ac:dyDescent="0.25">
      <c r="A871" t="s">
        <v>666</v>
      </c>
      <c r="B871" t="s">
        <v>1211</v>
      </c>
      <c r="C871" t="s">
        <v>1232</v>
      </c>
      <c r="D871" s="2">
        <v>36581</v>
      </c>
      <c r="E871">
        <v>0.54042259999999998</v>
      </c>
      <c r="F871" s="2">
        <v>36798</v>
      </c>
      <c r="G871">
        <v>0.92825530000000001</v>
      </c>
      <c r="H871" s="3">
        <v>0.71760000000000002</v>
      </c>
      <c r="I871">
        <v>3367.55</v>
      </c>
      <c r="J871" s="3">
        <v>0.71489999999999998</v>
      </c>
      <c r="K871">
        <v>8716</v>
      </c>
    </row>
    <row r="872" spans="1:11" x14ac:dyDescent="0.25">
      <c r="A872" t="s">
        <v>667</v>
      </c>
      <c r="B872" t="s">
        <v>1212</v>
      </c>
      <c r="C872" t="s">
        <v>1232</v>
      </c>
      <c r="D872" s="2">
        <v>36728</v>
      </c>
      <c r="E872">
        <v>0.80684480000000003</v>
      </c>
      <c r="F872" s="2">
        <v>36798</v>
      </c>
      <c r="G872">
        <v>0.67764120000000005</v>
      </c>
      <c r="H872" s="3">
        <v>-0.16009999999999999</v>
      </c>
      <c r="I872">
        <v>-708.72</v>
      </c>
      <c r="J872" s="3">
        <v>-0.16200000000000001</v>
      </c>
      <c r="K872">
        <v>5423</v>
      </c>
    </row>
    <row r="873" spans="1:11" x14ac:dyDescent="0.25">
      <c r="A873" t="s">
        <v>668</v>
      </c>
      <c r="B873" t="s">
        <v>1213</v>
      </c>
      <c r="C873" t="s">
        <v>1232</v>
      </c>
      <c r="D873" s="2">
        <v>36721</v>
      </c>
      <c r="E873">
        <v>0.85748829999999998</v>
      </c>
      <c r="F873" s="2">
        <v>36759</v>
      </c>
      <c r="G873">
        <v>0.86</v>
      </c>
      <c r="H873" s="3">
        <v>2.8999999999999998E-3</v>
      </c>
      <c r="I873">
        <v>4.0199999999999996</v>
      </c>
      <c r="J873" s="3">
        <v>8.9999999999999998E-4</v>
      </c>
      <c r="K873">
        <v>5065</v>
      </c>
    </row>
    <row r="874" spans="1:11" x14ac:dyDescent="0.25">
      <c r="A874" t="s">
        <v>669</v>
      </c>
      <c r="B874" t="s">
        <v>1214</v>
      </c>
      <c r="C874" t="s">
        <v>1232</v>
      </c>
      <c r="D874" s="2">
        <v>36581</v>
      </c>
      <c r="E874">
        <v>0.78500000000000003</v>
      </c>
      <c r="F874" s="2">
        <v>36749</v>
      </c>
      <c r="G874">
        <v>0.6</v>
      </c>
      <c r="H874" s="3">
        <v>-0.23569999999999999</v>
      </c>
      <c r="I874">
        <v>-1118.5</v>
      </c>
      <c r="J874" s="3">
        <v>-0.2374</v>
      </c>
      <c r="K874">
        <v>6001</v>
      </c>
    </row>
    <row r="875" spans="1:11" x14ac:dyDescent="0.25">
      <c r="A875" t="s">
        <v>670</v>
      </c>
      <c r="B875" t="s">
        <v>1215</v>
      </c>
      <c r="C875" t="s">
        <v>1232</v>
      </c>
      <c r="D875" s="2">
        <v>36553</v>
      </c>
      <c r="E875">
        <v>1.2967219999999999</v>
      </c>
      <c r="F875" s="2">
        <v>36749</v>
      </c>
      <c r="G875">
        <v>1.6</v>
      </c>
      <c r="H875" s="3">
        <v>0.2339</v>
      </c>
      <c r="I875">
        <v>1086.48</v>
      </c>
      <c r="J875" s="3">
        <v>0.2316</v>
      </c>
      <c r="K875">
        <v>3617</v>
      </c>
    </row>
    <row r="876" spans="1:11" x14ac:dyDescent="0.25">
      <c r="A876" t="s">
        <v>53</v>
      </c>
      <c r="B876" t="s">
        <v>895</v>
      </c>
      <c r="C876" t="s">
        <v>1232</v>
      </c>
      <c r="D876" s="2">
        <v>36630</v>
      </c>
      <c r="E876">
        <v>1.817822</v>
      </c>
      <c r="F876" s="2">
        <v>36735</v>
      </c>
      <c r="G876">
        <v>1.5414049999999999</v>
      </c>
      <c r="H876" s="3">
        <v>-0.15210000000000001</v>
      </c>
      <c r="I876">
        <v>-740.29</v>
      </c>
      <c r="J876" s="3">
        <v>-0.15390000000000001</v>
      </c>
      <c r="K876">
        <v>2646</v>
      </c>
    </row>
    <row r="877" spans="1:11" x14ac:dyDescent="0.25">
      <c r="A877" t="s">
        <v>65</v>
      </c>
      <c r="B877" t="s">
        <v>1216</v>
      </c>
      <c r="C877" t="s">
        <v>1232</v>
      </c>
      <c r="D877" s="2">
        <v>36728</v>
      </c>
      <c r="E877">
        <v>0.62832589999999999</v>
      </c>
      <c r="F877" s="2">
        <v>36735</v>
      </c>
      <c r="G877">
        <v>0.60738179999999997</v>
      </c>
      <c r="H877" s="3">
        <v>-3.3300000000000003E-2</v>
      </c>
      <c r="I877">
        <v>-154.44</v>
      </c>
      <c r="J877" s="3">
        <v>-3.5299999999999998E-2</v>
      </c>
      <c r="K877">
        <v>6963</v>
      </c>
    </row>
    <row r="878" spans="1:11" x14ac:dyDescent="0.25">
      <c r="A878" t="s">
        <v>671</v>
      </c>
      <c r="B878" t="s">
        <v>1217</v>
      </c>
      <c r="C878" t="s">
        <v>1232</v>
      </c>
      <c r="D878" s="2">
        <v>36661</v>
      </c>
      <c r="E878">
        <v>0.47631570000000001</v>
      </c>
      <c r="F878" s="2">
        <v>36700</v>
      </c>
      <c r="G878">
        <v>0.47631570000000001</v>
      </c>
      <c r="H878" s="3">
        <v>0</v>
      </c>
      <c r="I878">
        <v>-8.61</v>
      </c>
      <c r="J878" s="3">
        <v>-2E-3</v>
      </c>
      <c r="K878">
        <v>9041</v>
      </c>
    </row>
    <row r="879" spans="1:11" x14ac:dyDescent="0.25">
      <c r="A879" t="s">
        <v>672</v>
      </c>
      <c r="B879" t="s">
        <v>1218</v>
      </c>
      <c r="C879" t="s">
        <v>1232</v>
      </c>
      <c r="D879" s="2">
        <v>36581</v>
      </c>
      <c r="E879">
        <v>0.72558</v>
      </c>
      <c r="F879" s="2">
        <v>36671</v>
      </c>
      <c r="G879">
        <v>0.62599660000000001</v>
      </c>
      <c r="H879" s="3">
        <v>-0.13719999999999999</v>
      </c>
      <c r="I879">
        <v>-655.57</v>
      </c>
      <c r="J879" s="3">
        <v>-0.1391</v>
      </c>
      <c r="K879">
        <v>6495</v>
      </c>
    </row>
    <row r="880" spans="1:11" x14ac:dyDescent="0.25">
      <c r="A880" t="s">
        <v>645</v>
      </c>
      <c r="B880" t="s">
        <v>1189</v>
      </c>
      <c r="C880" t="s">
        <v>1232</v>
      </c>
      <c r="D880" s="2">
        <v>36567</v>
      </c>
      <c r="E880">
        <v>0.58618349999999997</v>
      </c>
      <c r="F880" s="2">
        <v>36644</v>
      </c>
      <c r="G880">
        <v>0.53147310000000003</v>
      </c>
      <c r="H880" s="3">
        <v>-9.3299999999999994E-2</v>
      </c>
      <c r="I880">
        <v>-448.3</v>
      </c>
      <c r="J880" s="3">
        <v>-9.5200000000000007E-2</v>
      </c>
      <c r="K880">
        <v>8030</v>
      </c>
    </row>
    <row r="881" spans="1:11" x14ac:dyDescent="0.25">
      <c r="A881" t="s">
        <v>673</v>
      </c>
      <c r="B881" t="s">
        <v>1219</v>
      </c>
      <c r="C881" t="s">
        <v>1232</v>
      </c>
      <c r="D881" s="2">
        <v>36593</v>
      </c>
      <c r="E881">
        <v>0.53202720000000003</v>
      </c>
      <c r="F881" s="2">
        <v>36643</v>
      </c>
      <c r="G881">
        <v>0.384598</v>
      </c>
      <c r="H881" s="3">
        <v>-0.27710000000000001</v>
      </c>
      <c r="I881">
        <v>-1260.49</v>
      </c>
      <c r="J881" s="3">
        <v>-0.27879999999999999</v>
      </c>
      <c r="K881">
        <v>8497</v>
      </c>
    </row>
    <row r="882" spans="1:11" x14ac:dyDescent="0.25">
      <c r="A882" t="s">
        <v>507</v>
      </c>
      <c r="B882" t="s">
        <v>1000</v>
      </c>
      <c r="C882" t="s">
        <v>1232</v>
      </c>
      <c r="D882" s="2">
        <v>36581</v>
      </c>
      <c r="E882">
        <v>2.8115739999999998</v>
      </c>
      <c r="F882" s="2">
        <v>36636</v>
      </c>
      <c r="G882">
        <v>2.104562</v>
      </c>
      <c r="H882" s="3">
        <v>-0.2515</v>
      </c>
      <c r="I882">
        <v>-1192.48</v>
      </c>
      <c r="J882" s="3">
        <v>-0.25319999999999998</v>
      </c>
      <c r="K882">
        <v>1675</v>
      </c>
    </row>
    <row r="883" spans="1:11" x14ac:dyDescent="0.25">
      <c r="A883" t="s">
        <v>600</v>
      </c>
      <c r="B883" t="s">
        <v>1131</v>
      </c>
      <c r="C883" t="s">
        <v>1232</v>
      </c>
      <c r="D883" s="2">
        <v>36581</v>
      </c>
      <c r="E883">
        <v>1.139686</v>
      </c>
      <c r="F883" s="2">
        <v>36636</v>
      </c>
      <c r="G883">
        <v>0.8683322</v>
      </c>
      <c r="H883" s="3">
        <v>-0.23810000000000001</v>
      </c>
      <c r="I883">
        <v>-1130.08</v>
      </c>
      <c r="J883" s="3">
        <v>-0.2399</v>
      </c>
      <c r="K883">
        <v>4134</v>
      </c>
    </row>
    <row r="884" spans="1:11" x14ac:dyDescent="0.25">
      <c r="A884" t="s">
        <v>498</v>
      </c>
      <c r="B884" t="s">
        <v>988</v>
      </c>
      <c r="C884" t="s">
        <v>1232</v>
      </c>
      <c r="D884" s="2">
        <v>36581</v>
      </c>
      <c r="E884">
        <v>0.98695860000000002</v>
      </c>
      <c r="F884" s="2">
        <v>36636</v>
      </c>
      <c r="G884">
        <v>0.59046359999999998</v>
      </c>
      <c r="H884" s="3">
        <v>-0.4017</v>
      </c>
      <c r="I884">
        <v>-1900.4</v>
      </c>
      <c r="J884" s="3">
        <v>-0.40329999999999999</v>
      </c>
      <c r="K884">
        <v>4774</v>
      </c>
    </row>
    <row r="885" spans="1:11" x14ac:dyDescent="0.25">
      <c r="A885" t="s">
        <v>674</v>
      </c>
      <c r="B885" t="s">
        <v>1220</v>
      </c>
      <c r="C885" t="s">
        <v>1232</v>
      </c>
      <c r="D885" s="2">
        <v>36574</v>
      </c>
      <c r="E885">
        <v>6.4</v>
      </c>
      <c r="F885" s="2">
        <v>36636</v>
      </c>
      <c r="G885">
        <v>4.7190000000000003</v>
      </c>
      <c r="H885" s="3">
        <v>-0.26269999999999999</v>
      </c>
      <c r="I885">
        <v>-1284.32</v>
      </c>
      <c r="J885" s="3">
        <v>-0.26440000000000002</v>
      </c>
      <c r="K885">
        <v>759</v>
      </c>
    </row>
    <row r="886" spans="1:11" x14ac:dyDescent="0.25">
      <c r="A886" t="s">
        <v>675</v>
      </c>
      <c r="B886" t="s">
        <v>1221</v>
      </c>
      <c r="C886" t="s">
        <v>1232</v>
      </c>
      <c r="D886" s="2">
        <v>36567</v>
      </c>
      <c r="E886">
        <v>5.1768840000000003</v>
      </c>
      <c r="F886" s="2">
        <v>36636</v>
      </c>
      <c r="G886">
        <v>3.4836589999999998</v>
      </c>
      <c r="H886" s="3">
        <v>-0.3271</v>
      </c>
      <c r="I886">
        <v>-1547.01</v>
      </c>
      <c r="J886" s="3">
        <v>-0.32869999999999999</v>
      </c>
      <c r="K886">
        <v>909</v>
      </c>
    </row>
    <row r="887" spans="1:11" x14ac:dyDescent="0.25">
      <c r="A887" t="s">
        <v>676</v>
      </c>
      <c r="B887" t="s">
        <v>1222</v>
      </c>
      <c r="C887" t="s">
        <v>1232</v>
      </c>
      <c r="D887" s="2">
        <v>36567</v>
      </c>
      <c r="E887">
        <v>0.74788829999999995</v>
      </c>
      <c r="F887" s="2">
        <v>36636</v>
      </c>
      <c r="G887">
        <v>0.44037150000000003</v>
      </c>
      <c r="H887" s="3">
        <v>-0.41120000000000001</v>
      </c>
      <c r="I887">
        <v>-1943.3</v>
      </c>
      <c r="J887" s="3">
        <v>-0.4128</v>
      </c>
      <c r="K887">
        <v>6295</v>
      </c>
    </row>
    <row r="888" spans="1:11" x14ac:dyDescent="0.25">
      <c r="A888" t="s">
        <v>677</v>
      </c>
      <c r="B888" t="s">
        <v>1223</v>
      </c>
      <c r="C888" t="s">
        <v>1232</v>
      </c>
      <c r="D888" s="2">
        <v>36532</v>
      </c>
      <c r="E888">
        <v>0.77925469999999997</v>
      </c>
      <c r="F888" s="2">
        <v>36636</v>
      </c>
      <c r="G888">
        <v>0.66055419999999998</v>
      </c>
      <c r="H888" s="3">
        <v>-0.15229999999999999</v>
      </c>
      <c r="I888">
        <v>-733.94</v>
      </c>
      <c r="J888" s="3">
        <v>-0.1542</v>
      </c>
      <c r="K888">
        <v>6109</v>
      </c>
    </row>
    <row r="889" spans="1:11" x14ac:dyDescent="0.25">
      <c r="A889" t="s">
        <v>338</v>
      </c>
      <c r="B889" t="s">
        <v>1186</v>
      </c>
      <c r="C889" t="s">
        <v>1232</v>
      </c>
      <c r="D889" s="2">
        <v>36630</v>
      </c>
      <c r="E889">
        <v>2.1738300000000002</v>
      </c>
      <c r="F889" s="2">
        <v>36635</v>
      </c>
      <c r="G889">
        <v>1.8205830000000001</v>
      </c>
      <c r="H889" s="3">
        <v>-0.16250000000000001</v>
      </c>
      <c r="I889">
        <v>-790.58</v>
      </c>
      <c r="J889" s="3">
        <v>-0.1643</v>
      </c>
      <c r="K889">
        <v>2213</v>
      </c>
    </row>
    <row r="890" spans="1:11" x14ac:dyDescent="0.25">
      <c r="A890" t="s">
        <v>678</v>
      </c>
      <c r="B890" t="s">
        <v>1224</v>
      </c>
      <c r="C890" t="s">
        <v>1232</v>
      </c>
      <c r="D890" s="2">
        <v>36567</v>
      </c>
      <c r="E890">
        <v>6.1324740000000002</v>
      </c>
      <c r="F890" s="2">
        <v>36630</v>
      </c>
      <c r="G890">
        <v>9.2468889999999995</v>
      </c>
      <c r="H890" s="3">
        <v>0.50790000000000002</v>
      </c>
      <c r="I890">
        <v>2376.96</v>
      </c>
      <c r="J890" s="3">
        <v>0.50529999999999997</v>
      </c>
      <c r="K890">
        <v>767</v>
      </c>
    </row>
    <row r="891" spans="1:11" x14ac:dyDescent="0.25">
      <c r="A891" t="s">
        <v>679</v>
      </c>
      <c r="B891" t="s">
        <v>1225</v>
      </c>
      <c r="C891" t="s">
        <v>1232</v>
      </c>
      <c r="D891" s="2">
        <v>36546</v>
      </c>
      <c r="E891">
        <v>0.57976159999999999</v>
      </c>
      <c r="F891" s="2">
        <v>36630</v>
      </c>
      <c r="G891">
        <v>0.3681026</v>
      </c>
      <c r="H891" s="3">
        <v>-0.36509999999999998</v>
      </c>
      <c r="I891">
        <v>-1721.48</v>
      </c>
      <c r="J891" s="3">
        <v>-0.36670000000000003</v>
      </c>
      <c r="K891">
        <v>8097</v>
      </c>
    </row>
    <row r="892" spans="1:11" x14ac:dyDescent="0.25">
      <c r="A892" t="s">
        <v>340</v>
      </c>
      <c r="B892" t="s">
        <v>1226</v>
      </c>
      <c r="C892" t="s">
        <v>1232</v>
      </c>
      <c r="D892" s="2">
        <v>36532</v>
      </c>
      <c r="E892">
        <v>0.80354099999999995</v>
      </c>
      <c r="F892" s="2">
        <v>36630</v>
      </c>
      <c r="G892">
        <v>0.62015140000000002</v>
      </c>
      <c r="H892" s="3">
        <v>-0.22819999999999999</v>
      </c>
      <c r="I892">
        <v>-1095.2</v>
      </c>
      <c r="J892" s="3">
        <v>-0.23</v>
      </c>
      <c r="K892">
        <v>5926</v>
      </c>
    </row>
    <row r="893" spans="1:11" x14ac:dyDescent="0.25">
      <c r="A893" t="s">
        <v>680</v>
      </c>
      <c r="B893" t="s">
        <v>1227</v>
      </c>
      <c r="C893" t="s">
        <v>1232</v>
      </c>
      <c r="D893" s="2">
        <v>36602</v>
      </c>
      <c r="E893">
        <v>1.35</v>
      </c>
      <c r="F893" s="2">
        <v>36623</v>
      </c>
      <c r="G893">
        <v>1.07</v>
      </c>
      <c r="H893" s="3">
        <v>-0.2074</v>
      </c>
      <c r="I893">
        <v>-1005.13</v>
      </c>
      <c r="J893" s="3">
        <v>-0.2092</v>
      </c>
      <c r="K893">
        <v>3559</v>
      </c>
    </row>
    <row r="894" spans="1:11" x14ac:dyDescent="0.25">
      <c r="A894" t="s">
        <v>681</v>
      </c>
      <c r="B894" t="s">
        <v>1228</v>
      </c>
      <c r="C894" t="s">
        <v>1232</v>
      </c>
      <c r="D894" s="2">
        <v>36602</v>
      </c>
      <c r="E894">
        <v>0.90836399999999995</v>
      </c>
      <c r="F894" s="2">
        <v>36623</v>
      </c>
      <c r="G894">
        <v>1.033072</v>
      </c>
      <c r="H894" s="3">
        <v>0.13730000000000001</v>
      </c>
      <c r="I894">
        <v>649.55999999999995</v>
      </c>
      <c r="J894" s="3">
        <v>0.13519999999999999</v>
      </c>
      <c r="K894">
        <v>5291</v>
      </c>
    </row>
    <row r="895" spans="1:11" x14ac:dyDescent="0.25">
      <c r="A895" t="s">
        <v>682</v>
      </c>
      <c r="B895" t="s">
        <v>1229</v>
      </c>
      <c r="C895" t="s">
        <v>1232</v>
      </c>
      <c r="D895" s="2">
        <v>36595</v>
      </c>
      <c r="E895">
        <v>8.045147</v>
      </c>
      <c r="F895" s="2">
        <v>36623</v>
      </c>
      <c r="G895">
        <v>7.7787509999999997</v>
      </c>
      <c r="H895" s="3">
        <v>-3.3099999999999997E-2</v>
      </c>
      <c r="I895">
        <v>-161.15</v>
      </c>
      <c r="J895" s="3">
        <v>-3.5099999999999999E-2</v>
      </c>
      <c r="K895">
        <v>571</v>
      </c>
    </row>
    <row r="896" spans="1:11" x14ac:dyDescent="0.25">
      <c r="A896" t="s">
        <v>475</v>
      </c>
      <c r="B896" t="s">
        <v>948</v>
      </c>
      <c r="C896" t="s">
        <v>1232</v>
      </c>
      <c r="D896" s="2">
        <v>36581</v>
      </c>
      <c r="E896">
        <v>1.248162</v>
      </c>
      <c r="F896" s="2">
        <v>36623</v>
      </c>
      <c r="G896">
        <v>2.0530460000000001</v>
      </c>
      <c r="H896" s="3">
        <v>0.64490000000000003</v>
      </c>
      <c r="I896">
        <v>3026.78</v>
      </c>
      <c r="J896" s="3">
        <v>0.64219999999999999</v>
      </c>
      <c r="K896">
        <v>3776</v>
      </c>
    </row>
    <row r="897" spans="1:11" x14ac:dyDescent="0.25">
      <c r="A897" t="s">
        <v>683</v>
      </c>
      <c r="B897" t="s">
        <v>1230</v>
      </c>
      <c r="C897" t="s">
        <v>1232</v>
      </c>
      <c r="D897" s="2">
        <v>36532</v>
      </c>
      <c r="E897">
        <v>0.56999999999999995</v>
      </c>
      <c r="F897" s="2">
        <v>36623</v>
      </c>
      <c r="G897">
        <v>0.55000000000000004</v>
      </c>
      <c r="H897" s="3">
        <v>-3.5099999999999999E-2</v>
      </c>
      <c r="I897">
        <v>-176.42</v>
      </c>
      <c r="J897" s="3">
        <v>-3.7100000000000001E-2</v>
      </c>
      <c r="K897">
        <v>8353</v>
      </c>
    </row>
    <row r="898" spans="1:11" x14ac:dyDescent="0.25">
      <c r="A898" t="s">
        <v>71</v>
      </c>
      <c r="B898" t="s">
        <v>1168</v>
      </c>
      <c r="C898" t="s">
        <v>1232</v>
      </c>
      <c r="D898" s="2">
        <v>36539</v>
      </c>
      <c r="E898">
        <v>1.393167</v>
      </c>
      <c r="F898" s="2">
        <v>36602</v>
      </c>
      <c r="G898">
        <v>1.2568790000000001</v>
      </c>
      <c r="H898" s="3">
        <v>-9.7799999999999998E-2</v>
      </c>
      <c r="I898">
        <v>-469.05</v>
      </c>
      <c r="J898" s="3">
        <v>-9.9699999999999997E-2</v>
      </c>
      <c r="K898">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1247</v>
      </c>
      <c r="L27" t="s">
        <v>1247</v>
      </c>
      <c r="M27" t="s">
        <v>1247</v>
      </c>
      <c r="N27" s="3">
        <v>0.1645456511590222</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26"/>
      <c r="F36" s="26"/>
      <c r="G36" s="26"/>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4"/>
  <sheetViews>
    <sheetView topLeftCell="A1313" workbookViewId="0">
      <selection activeCell="A1354" sqref="A1354:G135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2025-10-04T02:35:26Z</dcterms:modified>
</cp:coreProperties>
</file>