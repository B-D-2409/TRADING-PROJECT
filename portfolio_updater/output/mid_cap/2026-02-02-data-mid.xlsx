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7D9EA4EE-DB14-418B-8AB6-E9BEBBF0DAAB}"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3" i="5" l="1"/>
  <c r="E1393" i="5" s="1"/>
  <c r="H1388" i="8"/>
  <c r="C2" i="4"/>
  <c r="E1392" i="5"/>
  <c r="D1391" i="5"/>
  <c r="E1391" i="5" s="1"/>
  <c r="D1392" i="5"/>
  <c r="H1387" i="8"/>
  <c r="D1390" i="5"/>
  <c r="E1390" i="5" s="1"/>
  <c r="H1386" i="8"/>
  <c r="D1389" i="5"/>
  <c r="E1389" i="5" s="1"/>
  <c r="H1385" i="8"/>
  <c r="D1388" i="5"/>
  <c r="E1388" i="5" s="1"/>
  <c r="H19" i="6"/>
  <c r="J19" i="6" s="1"/>
  <c r="I19" i="6" s="1"/>
  <c r="H18" i="6"/>
  <c r="J18" i="6" s="1"/>
  <c r="I18" i="6" s="1"/>
  <c r="H17" i="6"/>
  <c r="J17" i="6" s="1"/>
  <c r="I17" i="6" s="1"/>
  <c r="H16" i="6"/>
  <c r="J16" i="6" s="1"/>
  <c r="H15" i="6"/>
  <c r="J15" i="6" s="1"/>
  <c r="I15" i="6" s="1"/>
  <c r="H14" i="6"/>
  <c r="J14" i="6" s="1"/>
  <c r="I14" i="6" s="1"/>
  <c r="H13" i="6"/>
  <c r="J13" i="6" s="1"/>
  <c r="I13" i="6" s="1"/>
  <c r="H12" i="6"/>
  <c r="J12" i="6" s="1"/>
  <c r="I12" i="6" s="1"/>
  <c r="H11" i="6"/>
  <c r="J11" i="6" s="1"/>
  <c r="I11" i="6" s="1"/>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H1384" i="8"/>
  <c r="K9" i="3"/>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D1386" i="5"/>
  <c r="E1386" i="5" s="1"/>
  <c r="D1385" i="5"/>
  <c r="E1385" i="5" s="1"/>
  <c r="D1384" i="5"/>
  <c r="E1384" i="5" s="1"/>
  <c r="H22" i="6"/>
  <c r="J22" i="6" s="1"/>
  <c r="I22" i="6" s="1"/>
  <c r="K20" i="3"/>
  <c r="M29" i="7"/>
  <c r="D1383" i="5"/>
  <c r="E1383" i="5" s="1"/>
  <c r="D1382" i="5"/>
  <c r="E1382" i="5" s="1"/>
  <c r="D1381" i="5"/>
  <c r="E1381" i="5" s="1"/>
  <c r="D1380" i="5"/>
  <c r="E1380" i="5" s="1"/>
  <c r="H23" i="6"/>
  <c r="J23" i="6" s="1"/>
  <c r="I23" i="6" s="1"/>
  <c r="K21" i="3"/>
  <c r="D1379" i="5"/>
  <c r="E1379" i="5" s="1"/>
  <c r="D1378" i="5"/>
  <c r="E1378" i="5" s="1"/>
  <c r="H25" i="6"/>
  <c r="J25" i="6" s="1"/>
  <c r="I25" i="6" s="1"/>
  <c r="H24" i="6"/>
  <c r="J24" i="6" s="1"/>
  <c r="I24" i="6" s="1"/>
  <c r="K23" i="3"/>
  <c r="K22" i="3"/>
  <c r="D1377" i="5"/>
  <c r="E1377" i="5" s="1"/>
  <c r="D1376" i="5"/>
  <c r="E1376" i="5" s="1"/>
  <c r="H27" i="6"/>
  <c r="J27" i="6" s="1"/>
  <c r="I27" i="6" s="1"/>
  <c r="H26" i="6"/>
  <c r="J26" i="6" s="1"/>
  <c r="I26" i="6" s="1"/>
  <c r="K25" i="3"/>
  <c r="K24" i="3"/>
  <c r="D1375" i="5"/>
  <c r="E1375" i="5" s="1"/>
  <c r="D1374" i="5"/>
  <c r="E1374" i="5" s="1"/>
  <c r="D1373" i="5"/>
  <c r="E1373" i="5" s="1"/>
  <c r="D1372" i="5"/>
  <c r="E1372" i="5" s="1"/>
  <c r="D1371" i="5"/>
  <c r="E1371" i="5" s="1"/>
  <c r="H29" i="6"/>
  <c r="J29" i="6" s="1"/>
  <c r="I29" i="6" s="1"/>
  <c r="H28" i="6"/>
  <c r="J28" i="6" s="1"/>
  <c r="I28" i="6" s="1"/>
  <c r="K27" i="3"/>
  <c r="K26" i="3"/>
  <c r="F20" i="2"/>
  <c r="F21"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D1365" i="5"/>
  <c r="E1365" i="5" s="1"/>
  <c r="D1364" i="5"/>
  <c r="E1364" i="5" s="1"/>
  <c r="D1363" i="5"/>
  <c r="E1363" i="5" s="1"/>
  <c r="D1362" i="5"/>
  <c r="E1362" i="5" s="1"/>
  <c r="I16" i="6" l="1"/>
  <c r="D1361" i="5"/>
  <c r="E1361" i="5" s="1"/>
  <c r="K39" i="3" l="1"/>
  <c r="K38" i="3"/>
  <c r="D1360" i="5"/>
  <c r="E1360" i="5" s="1"/>
  <c r="D1359" i="5"/>
  <c r="E1359" i="5" s="1"/>
  <c r="K43" i="3"/>
  <c r="K42" i="3"/>
  <c r="K41" i="3"/>
  <c r="K40"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20" i="6" l="1"/>
  <c r="E2" i="4"/>
  <c r="D2" i="4"/>
  <c r="F2" i="4" s="1"/>
  <c r="G2" i="4"/>
</calcChain>
</file>

<file path=xl/sharedStrings.xml><?xml version="1.0" encoding="utf-8"?>
<sst xmlns="http://schemas.openxmlformats.org/spreadsheetml/2006/main" count="4358" uniqueCount="1695">
  <si>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</si>
  <si>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</si>
  <si>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</si>
  <si>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</si>
  <si>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</si>
  <si>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</si>
  <si>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</si>
  <si>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</si>
  <si>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</si>
  <si>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</si>
  <si>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</si>
  <si>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</si>
  <si>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</si>
  <si>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</si>
  <si>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</si>
  <si>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</si>
  <si>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</si>
  <si>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</si>
  <si>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</si>
  <si>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</si>
  <si>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</si>
  <si>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</si>
  <si>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</si>
  <si>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</si>
  <si>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</si>
  <si>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</si>
  <si>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</si>
  <si>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</si>
  <si>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</si>
  <si>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</si>
  <si>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</si>
  <si>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</si>
  <si>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</si>
  <si>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</si>
  <si>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</si>
  <si>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</si>
  <si>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</si>
  <si>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</si>
  <si>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</si>
  <si>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</si>
  <si>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</si>
  <si>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</si>
  <si>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</si>
  <si>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</si>
  <si>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</si>
  <si>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</si>
  <si>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</si>
  <si>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</si>
  <si>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</si>
  <si>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</si>
  <si>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</si>
  <si>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</si>
  <si>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</si>
  <si>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</si>
  <si>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</si>
  <si>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</si>
  <si>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</si>
  <si>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</si>
  <si>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</si>
  <si>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</si>
  <si>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</si>
  <si>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</si>
  <si>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</si>
  <si>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</si>
  <si>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</si>
  <si>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</si>
  <si>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</si>
  <si>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</si>
  <si>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</si>
  <si>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</si>
  <si>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</si>
  <si>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</si>
  <si>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</si>
  <si>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</si>
  <si>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</si>
  <si>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</si>
  <si>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</si>
  <si>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</si>
  <si>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</si>
  <si>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</si>
  <si>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</si>
  <si>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</si>
  <si>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</si>
  <si>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</si>
  <si>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</si>
  <si>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</si>
  <si>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</si>
  <si>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</si>
  <si>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</si>
  <si>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</si>
  <si>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</si>
  <si>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</si>
  <si>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</si>
  <si>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</si>
  <si>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</si>
  <si>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</si>
  <si>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</si>
  <si>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</si>
  <si>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</si>
  <si>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</si>
  <si>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</si>
  <si>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</si>
  <si>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</si>
  <si>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</si>
  <si>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</si>
  <si>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</si>
  <si>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</si>
  <si>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</si>
  <si>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</si>
  <si>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</si>
  <si>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</si>
  <si>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</si>
  <si>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</si>
  <si>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</si>
  <si>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</si>
  <si>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</si>
  <si>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</si>
  <si>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</si>
  <si>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</si>
  <si>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</si>
  <si>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</si>
  <si>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</si>
  <si>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</si>
  <si>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</si>
  <si>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</si>
  <si>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</si>
  <si>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</si>
  <si>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</si>
  <si>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</si>
  <si>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</si>
  <si>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</si>
  <si>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</si>
  <si>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</si>
  <si>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</si>
  <si>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</si>
  <si>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</si>
  <si>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</si>
  <si>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</si>
  <si>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</si>
  <si>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</si>
  <si>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</si>
  <si>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</si>
  <si>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</si>
  <si>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</si>
  <si>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</si>
  <si>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</si>
  <si>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</si>
  <si>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</si>
  <si>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</si>
  <si>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</si>
  <si>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</si>
  <si>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</si>
  <si>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</si>
  <si>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</si>
  <si>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</si>
  <si>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</si>
  <si>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</si>
  <si>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</si>
  <si>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</si>
  <si>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</si>
  <si>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</si>
  <si>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</si>
  <si>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</si>
  <si>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</si>
  <si>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</si>
  <si>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</si>
  <si>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</si>
  <si>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</si>
  <si>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</si>
  <si>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</si>
  <si>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</si>
  <si>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</si>
  <si>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</si>
  <si>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</si>
  <si>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</si>
  <si>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</si>
  <si>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</si>
  <si>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</si>
  <si>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</si>
  <si>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</si>
  <si>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</si>
  <si>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</si>
  <si>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</si>
  <si>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</si>
  <si>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</si>
  <si>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</si>
  <si>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</si>
  <si>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</si>
  <si>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</si>
  <si>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</si>
  <si>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</si>
  <si>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</si>
  <si>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</si>
  <si>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</si>
  <si>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</si>
  <si>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</si>
  <si>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</si>
  <si>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</si>
  <si>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</si>
  <si>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</si>
  <si>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</si>
  <si>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</si>
  <si>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</si>
  <si>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</si>
  <si>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</si>
  <si>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</si>
  <si>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</si>
  <si>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</si>
  <si>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</si>
  <si>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</si>
  <si>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</si>
  <si>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</si>
  <si>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</si>
  <si>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</si>
  <si>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</si>
  <si>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</si>
  <si>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</si>
  <si>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</si>
  <si>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</si>
  <si>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</si>
  <si>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</si>
  <si>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</si>
  <si>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</si>
  <si>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</si>
  <si>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</si>
  <si>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</si>
  <si>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</si>
  <si>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</si>
  <si>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</si>
  <si>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</si>
  <si>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</si>
  <si>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</si>
  <si>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</si>
  <si>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</si>
  <si>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</si>
  <si>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</si>
  <si>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</si>
  <si>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</si>
  <si>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</si>
  <si>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</si>
  <si>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</si>
  <si>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</si>
  <si>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</si>
  <si>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</si>
  <si>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</si>
  <si>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</si>
  <si>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</si>
  <si>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</si>
  <si>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</si>
  <si>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</si>
  <si>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</si>
  <si>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</si>
  <si>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</si>
  <si>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</si>
  <si>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</si>
  <si>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</si>
  <si>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</si>
  <si>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</si>
  <si>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</si>
  <si>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</si>
  <si>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</si>
  <si>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</si>
  <si>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</si>
  <si>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</si>
  <si>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</si>
  <si>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</si>
  <si>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</si>
  <si>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</si>
  <si>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</si>
  <si>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</si>
  <si>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</si>
  <si>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</si>
  <si>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</si>
  <si>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</si>
  <si>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</si>
  <si>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</si>
  <si>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</si>
  <si>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</si>
  <si>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</si>
  <si>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</si>
  <si>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</si>
  <si>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</si>
  <si>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</si>
  <si>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</si>
  <si>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</si>
  <si>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</si>
  <si>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</si>
  <si>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</si>
  <si>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</si>
  <si>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</si>
  <si>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</si>
  <si>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</si>
  <si>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</si>
  <si>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</si>
  <si>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</si>
  <si>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</si>
  <si>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</si>
  <si>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</si>
  <si>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</si>
  <si>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</si>
  <si>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</si>
  <si>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</si>
  <si>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</si>
  <si>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</si>
  <si>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</si>
  <si>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</si>
  <si>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</si>
  <si>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</si>
  <si>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</si>
  <si>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</si>
  <si>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</si>
  <si>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</si>
  <si>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</si>
  <si>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</si>
  <si>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</si>
  <si>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</si>
  <si>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</si>
  <si>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</si>
  <si>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</si>
  <si>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</si>
  <si>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</si>
  <si>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</si>
  <si>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</si>
  <si>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</si>
  <si>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</si>
  <si>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</si>
  <si>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</si>
  <si>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</si>
  <si>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</si>
  <si>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</si>
  <si>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</si>
  <si>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</si>
  <si>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</si>
  <si>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</si>
  <si>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</si>
  <si>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</si>
  <si>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</si>
  <si>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</si>
  <si>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</si>
  <si>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</si>
  <si>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</si>
  <si>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</si>
  <si>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</si>
  <si>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</si>
  <si>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</si>
  <si>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</si>
  <si>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</si>
  <si>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</si>
  <si>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</si>
  <si>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</si>
  <si>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</si>
  <si>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</si>
  <si>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</si>
  <si>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</si>
  <si>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</si>
  <si>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</si>
  <si>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</si>
  <si>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</si>
  <si>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</si>
  <si>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</si>
  <si>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</si>
  <si>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</si>
  <si>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</si>
  <si>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</si>
  <si>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</si>
  <si>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</si>
  <si>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</si>
  <si>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</si>
  <si>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</si>
  <si>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</si>
  <si>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</si>
  <si>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</si>
  <si>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</si>
  <si>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</si>
  <si>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</si>
  <si>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</si>
  <si>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</si>
  <si>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</si>
  <si>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</si>
  <si>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</si>
  <si>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</si>
  <si>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</si>
  <si>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</si>
  <si>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</si>
  <si>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</si>
  <si>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</si>
  <si>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</si>
  <si>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</si>
  <si>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</si>
  <si>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</si>
  <si>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</si>
  <si>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</si>
  <si>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</si>
  <si>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</si>
  <si>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</si>
  <si>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</si>
  <si>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</si>
  <si>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</si>
  <si>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</si>
  <si>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</si>
  <si>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</si>
  <si>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</si>
  <si>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</si>
  <si>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</si>
  <si>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</si>
  <si>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</si>
  <si>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</si>
  <si>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</si>
  <si>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</si>
  <si>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</si>
  <si>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</si>
  <si>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</si>
  <si>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</si>
  <si>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</si>
  <si>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</si>
  <si>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</si>
  <si>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</si>
  <si>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</si>
  <si>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</si>
  <si>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</si>
  <si>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</si>
  <si>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</si>
  <si>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</si>
  <si>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</si>
  <si>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</si>
  <si>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</si>
  <si>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</si>
  <si>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</si>
  <si>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</si>
  <si>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</si>
  <si>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</si>
  <si>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</si>
  <si>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</si>
  <si>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</si>
  <si>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</si>
  <si>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</si>
  <si>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</si>
  <si>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</si>
  <si>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</si>
  <si>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</si>
  <si>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</si>
  <si>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</si>
  <si>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</si>
  <si>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</si>
  <si>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</si>
  <si>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</si>
  <si>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</si>
  <si>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</si>
  <si>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</si>
  <si>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</si>
  <si>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</si>
  <si>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</si>
  <si>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</si>
  <si>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</si>
  <si>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</si>
  <si>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</si>
  <si>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</si>
  <si>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</si>
  <si>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</si>
  <si>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</si>
  <si>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</si>
  <si>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</si>
  <si>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</si>
  <si>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</si>
  <si>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</si>
  <si>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</si>
  <si>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</si>
  <si>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</si>
  <si>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</si>
  <si>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</si>
  <si>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</si>
  <si>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</si>
  <si>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</si>
  <si>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</si>
  <si>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</si>
  <si>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</si>
  <si>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</si>
  <si>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</si>
  <si>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</si>
  <si>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</si>
  <si>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</si>
  <si>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</si>
  <si>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</si>
  <si>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</si>
  <si>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</si>
  <si>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</si>
  <si>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</si>
  <si>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</si>
  <si>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</si>
  <si>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</si>
  <si>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</si>
  <si>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</si>
  <si>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</si>
  <si>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</si>
  <si>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</si>
  <si>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</si>
  <si>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</si>
  <si>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</si>
  <si>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</si>
  <si>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</si>
  <si>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</si>
  <si>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</si>
  <si>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</si>
  <si>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</si>
  <si>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</si>
  <si>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</si>
  <si>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</si>
  <si>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</si>
  <si>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</si>
  <si>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</si>
  <si>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</si>
  <si>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</si>
  <si>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</si>
  <si>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</si>
  <si>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</si>
  <si>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</si>
  <si>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</si>
  <si>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</si>
  <si>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</si>
  <si>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</si>
  <si>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</si>
  <si>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</si>
  <si>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</si>
  <si>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</si>
  <si>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</si>
  <si>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</si>
  <si>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</si>
  <si>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</si>
  <si>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</si>
  <si>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</si>
  <si>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</si>
  <si>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</si>
  <si>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</si>
  <si>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</si>
  <si>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</si>
  <si>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</si>
  <si>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</si>
  <si>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</si>
  <si>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</si>
  <si>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</si>
  <si>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</si>
  <si>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</si>
  <si>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</si>
  <si>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</si>
  <si>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</si>
  <si>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</si>
  <si>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</si>
  <si>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</si>
  <si>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</si>
  <si>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</si>
  <si>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</si>
  <si>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</si>
  <si>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</si>
  <si>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</si>
  <si>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</si>
  <si>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</si>
  <si>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</si>
  <si>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</si>
  <si>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</si>
  <si>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</si>
  <si>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</si>
  <si>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</si>
  <si>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</si>
  <si>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</si>
  <si>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</si>
  <si>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</si>
  <si>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</si>
  <si>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</si>
  <si>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</si>
  <si>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</si>
  <si>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</si>
  <si>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</si>
  <si>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</si>
  <si>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</si>
  <si>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</si>
  <si>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</si>
  <si>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</si>
  <si>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</si>
  <si>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</si>
  <si>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</si>
  <si>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</si>
  <si>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</si>
  <si>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</si>
  <si>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</si>
  <si>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</si>
  <si>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</si>
  <si>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</si>
  <si>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</si>
  <si>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</si>
  <si>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</si>
  <si>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</si>
  <si>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</si>
  <si>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</si>
  <si>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</si>
  <si>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</si>
  <si>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</si>
  <si>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</si>
  <si>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</si>
  <si>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</si>
  <si>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</si>
  <si>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</si>
  <si>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</si>
  <si>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</si>
  <si>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</si>
  <si>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</si>
  <si>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</si>
  <si>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</si>
  <si>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</si>
  <si>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</si>
  <si>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</si>
  <si>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</si>
  <si>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</si>
  <si>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</si>
  <si>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</si>
  <si>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</si>
  <si>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</si>
  <si>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</si>
  <si>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</si>
  <si>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</si>
  <si>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</si>
  <si>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</si>
  <si>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</si>
  <si>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</si>
  <si>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</si>
  <si>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</si>
  <si>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</si>
  <si>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</si>
  <si>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</si>
  <si>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</si>
  <si>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</si>
  <si>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</si>
  <si>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</si>
  <si>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</si>
  <si>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</si>
  <si>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</si>
  <si>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</si>
  <si>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</si>
  <si>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</si>
  <si>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</si>
  <si>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</si>
  <si>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</si>
  <si>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</si>
  <si>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</si>
  <si>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</si>
  <si>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</si>
  <si>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</si>
  <si>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</si>
  <si>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</si>
  <si>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</si>
  <si>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</si>
  <si>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</si>
  <si>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</si>
  <si>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</si>
  <si>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</si>
  <si>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</si>
  <si>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</si>
  <si>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</si>
  <si>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</si>
  <si>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</si>
  <si>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</si>
  <si>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</si>
  <si>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</si>
  <si>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</si>
  <si>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</si>
  <si>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</si>
  <si>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</si>
  <si>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</si>
  <si>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</si>
  <si>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</si>
  <si>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</si>
  <si>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</si>
  <si>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</si>
  <si>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</si>
  <si>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</si>
  <si>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</si>
  <si>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</si>
  <si>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</si>
  <si>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</si>
  <si>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</si>
  <si>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</si>
  <si>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</si>
  <si>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</si>
  <si>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</si>
  <si>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</si>
  <si>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</si>
  <si>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</si>
  <si>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</si>
  <si>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</si>
  <si>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</si>
  <si>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</si>
  <si>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</si>
  <si>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</si>
  <si>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</si>
  <si>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</si>
  <si>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</si>
  <si>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</si>
  <si>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</si>
  <si>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</si>
  <si>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</si>
  <si>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</si>
  <si>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</si>
  <si>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</si>
  <si>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</si>
  <si>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</si>
  <si>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</si>
  <si>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</si>
  <si>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</si>
  <si>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</si>
  <si>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</si>
  <si>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</si>
  <si>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</si>
  <si>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</si>
  <si>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</si>
  <si>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</si>
  <si>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</si>
  <si>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</si>
  <si>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</si>
  <si>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</si>
  <si>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</si>
  <si>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</si>
  <si>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</si>
  <si>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</si>
  <si>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</si>
  <si>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</si>
  <si>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</si>
  <si>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</si>
  <si>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</si>
  <si>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</si>
  <si>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</si>
  <si>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</si>
  <si>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</si>
  <si>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</si>
  <si>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</si>
  <si>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</si>
  <si>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</si>
  <si>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</si>
  <si>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</si>
  <si>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</si>
  <si>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</si>
  <si>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</si>
  <si>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</si>
  <si>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</si>
  <si>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</si>
  <si>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</si>
  <si>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</si>
  <si>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</si>
  <si>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</si>
  <si>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</si>
  <si>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</si>
  <si>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</si>
  <si>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</si>
  <si>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</si>
  <si>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</si>
  <si>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</si>
  <si>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</si>
  <si>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</si>
  <si>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</si>
  <si>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</si>
  <si>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</si>
  <si>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</si>
  <si>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</si>
  <si>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</si>
  <si>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</si>
  <si>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</si>
  <si>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</si>
  <si>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</si>
  <si>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</si>
  <si>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</si>
  <si>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</si>
  <si>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</si>
  <si>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</si>
  <si>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</si>
  <si>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</si>
  <si>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</si>
  <si>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</si>
  <si>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</si>
  <si>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</si>
  <si>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</si>
  <si>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</si>
  <si>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</si>
  <si>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</si>
  <si>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</si>
  <si>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</si>
  <si>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</si>
  <si>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</si>
  <si>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</si>
  <si>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</si>
  <si>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</si>
  <si>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</si>
  <si>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</si>
  <si>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</si>
  <si>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</si>
  <si>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</si>
  <si>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</si>
  <si>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</si>
  <si>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</si>
  <si>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</si>
  <si>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</si>
  <si>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</si>
  <si>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</si>
  <si>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</si>
  <si>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</si>
  <si>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</si>
  <si>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</si>
  <si>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</si>
  <si>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</si>
  <si>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</si>
  <si>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</si>
  <si>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</si>
  <si>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</si>
  <si>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</si>
  <si>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</si>
  <si>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</si>
  <si>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</si>
  <si>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</si>
  <si>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</si>
  <si>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</si>
  <si>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</si>
  <si>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</si>
  <si>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</si>
  <si>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</si>
  <si>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</si>
  <si>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</si>
  <si>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</si>
  <si>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</si>
  <si>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</si>
  <si>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</si>
  <si>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</si>
  <si>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</si>
  <si>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</si>
  <si>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</si>
  <si>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</si>
  <si>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</si>
  <si>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</si>
  <si>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</si>
  <si>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</si>
  <si>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</si>
  <si>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</si>
  <si>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</si>
  <si>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</si>
  <si>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</si>
  <si>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</si>
  <si>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</si>
  <si>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</si>
  <si>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</si>
  <si>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</si>
  <si>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</si>
  <si>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</si>
  <si>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</si>
  <si>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</si>
  <si>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</si>
  <si>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</si>
  <si>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</si>
  <si>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</si>
  <si>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</si>
  <si>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</si>
  <si>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</si>
  <si>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</si>
  <si>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</si>
  <si>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</si>
  <si>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</si>
  <si>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</si>
  <si>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</si>
  <si>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</si>
  <si>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</si>
  <si>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</si>
  <si>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</si>
  <si>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</si>
  <si>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</si>
  <si>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</si>
  <si>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</si>
  <si>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</si>
  <si>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</si>
  <si>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</si>
  <si>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</si>
  <si>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</si>
  <si>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</si>
  <si>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</si>
  <si>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</si>
  <si>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</si>
  <si>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</si>
  <si>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</si>
  <si>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</si>
  <si>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</si>
  <si>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</si>
  <si>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</si>
  <si>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</si>
  <si>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</si>
  <si>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</si>
  <si>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</si>
  <si>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</si>
  <si>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</si>
  <si>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</si>
  <si>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</si>
  <si>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</si>
  <si>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</si>
  <si>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</si>
  <si>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</si>
  <si>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</si>
  <si>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</si>
  <si>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</si>
  <si>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</si>
  <si>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</si>
  <si>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</si>
  <si>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</si>
  <si>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</si>
  <si>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</si>
  <si>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</si>
  <si>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</si>
  <si>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</si>
  <si>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</si>
  <si>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</si>
  <si>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</si>
  <si>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</si>
  <si>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</si>
  <si>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</si>
  <si>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</si>
  <si>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</si>
  <si>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</si>
  <si>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</si>
  <si>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</si>
  <si>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</si>
  <si>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</si>
  <si>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</si>
  <si>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</si>
  <si>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</si>
  <si>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</si>
  <si>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</si>
  <si>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</si>
  <si>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</si>
  <si>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</si>
  <si>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</si>
  <si>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</si>
  <si>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</si>
  <si>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</si>
  <si>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</si>
  <si>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</si>
  <si>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</si>
  <si>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</si>
  <si>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</si>
  <si>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</si>
  <si>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</si>
  <si>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</si>
  <si>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</si>
  <si>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</si>
  <si>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</si>
  <si>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</si>
  <si>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</si>
  <si>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</si>
  <si>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</si>
  <si>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</si>
  <si>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</si>
  <si>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</si>
  <si>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</si>
  <si>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</si>
  <si>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</si>
  <si>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</si>
  <si>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</si>
  <si>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</si>
  <si>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</si>
  <si>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</si>
  <si>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</si>
  <si>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</si>
  <si>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</si>
  <si>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</si>
  <si>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</si>
  <si>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</si>
  <si>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</si>
  <si>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</si>
  <si>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</si>
  <si>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</si>
  <si>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</si>
  <si>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</si>
  <si>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</si>
  <si>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</si>
  <si>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</si>
  <si>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</si>
  <si>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</si>
  <si>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</si>
  <si>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</si>
  <si>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</si>
  <si>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</si>
  <si>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</si>
  <si>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</si>
  <si>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</si>
  <si>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</si>
  <si>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</si>
  <si>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</si>
  <si>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</si>
  <si>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</si>
  <si>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</si>
  <si>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</si>
  <si>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</si>
  <si>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</si>
  <si>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</si>
  <si>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</si>
  <si>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</si>
  <si>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</si>
  <si>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</si>
  <si>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</si>
  <si>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</si>
  <si>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</si>
  <si>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</si>
  <si>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</si>
  <si>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</si>
  <si>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</si>
  <si>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</si>
  <si>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</si>
  <si>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</si>
  <si>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</si>
  <si>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</si>
  <si>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</si>
  <si>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</si>
  <si>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</si>
  <si>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</si>
  <si>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</si>
  <si>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</si>
  <si>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</si>
  <si>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</si>
  <si>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</si>
  <si>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</si>
  <si>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</si>
  <si>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</si>
  <si>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</si>
  <si>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</si>
  <si>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</si>
  <si>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</si>
  <si>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</si>
  <si>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</si>
  <si>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</si>
  <si>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</si>
  <si>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</si>
  <si>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</si>
  <si>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</si>
  <si>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</si>
  <si>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</si>
  <si>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</si>
  <si>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</si>
  <si>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</si>
  <si>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</si>
  <si>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</si>
  <si>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</si>
  <si>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</si>
  <si>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</si>
  <si>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</si>
  <si>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</si>
  <si>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</si>
  <si>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</si>
  <si>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</si>
  <si>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</si>
  <si>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</si>
  <si>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</si>
  <si>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</si>
  <si>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</si>
  <si>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</si>
  <si>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</si>
  <si>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</si>
  <si>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</si>
  <si>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</si>
  <si>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</si>
  <si>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</si>
  <si>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</si>
  <si>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</si>
  <si>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</si>
  <si>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</si>
  <si>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</si>
  <si>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</si>
  <si>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</si>
  <si>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</si>
  <si>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</si>
  <si>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</si>
  <si>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</si>
  <si>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</si>
  <si>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</si>
  <si>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</si>
  <si>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</si>
  <si>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</si>
  <si>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</si>
  <si>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</si>
  <si>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</si>
  <si>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</si>
  <si>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</si>
  <si>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</si>
  <si>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</si>
  <si>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</si>
  <si>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</si>
  <si>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</si>
  <si>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</si>
  <si>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</si>
  <si>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</si>
  <si>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</si>
  <si>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</si>
  <si>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</si>
  <si>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</si>
  <si>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</si>
  <si>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</si>
  <si>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</si>
  <si>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</si>
  <si>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</si>
  <si>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</si>
  <si>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</si>
  <si>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</si>
  <si>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</si>
  <si>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</si>
  <si>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</si>
  <si>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</si>
  <si>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</si>
  <si>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</si>
  <si>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</si>
  <si>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</si>
  <si>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</si>
  <si>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</si>
  <si>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</si>
  <si>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</si>
  <si>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</si>
  <si>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</si>
  <si>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</si>
  <si>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</si>
  <si>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</si>
  <si>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</si>
  <si>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</si>
  <si>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</si>
  <si>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</si>
  <si>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</si>
  <si>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</si>
  <si>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</si>
  <si>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</si>
  <si>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</si>
  <si>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</si>
  <si>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</si>
  <si>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</si>
  <si>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</si>
  <si>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</si>
  <si>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</si>
  <si>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</si>
  <si>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</si>
  <si>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</si>
  <si>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</si>
  <si>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</si>
  <si>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</si>
  <si>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</si>
  <si>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</si>
  <si>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</si>
  <si>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</si>
  <si>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</si>
  <si>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</si>
  <si>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</si>
  <si>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</si>
  <si>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</si>
  <si>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</si>
  <si>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</si>
  <si>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</si>
  <si>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</si>
  <si>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</si>
  <si>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</si>
  <si>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</si>
  <si>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</si>
  <si>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</si>
  <si>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</si>
  <si>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</si>
  <si>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</si>
  <si>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</si>
  <si>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</si>
  <si>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</si>
  <si>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</si>
  <si>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</si>
  <si>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</si>
  <si>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</si>
  <si>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</si>
  <si>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</si>
  <si>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</si>
  <si>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</si>
  <si>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</si>
  <si>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</si>
  <si>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</si>
  <si>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</si>
  <si>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</si>
  <si>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</si>
  <si>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</si>
  <si>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</si>
  <si>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</si>
  <si>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</si>
  <si>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</si>
  <si>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</si>
  <si>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</si>
  <si>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</si>
  <si>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</si>
  <si>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</si>
  <si>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</si>
  <si>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</si>
  <si>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</si>
  <si>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</si>
  <si>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</si>
  <si>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</si>
  <si>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</si>
  <si>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</si>
  <si>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</si>
  <si>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</si>
  <si>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</si>
  <si>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</si>
  <si>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</si>
  <si>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</si>
  <si>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</si>
  <si>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</si>
  <si>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</si>
  <si>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</si>
  <si>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</si>
  <si>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</si>
  <si>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</si>
  <si>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</si>
  <si>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</si>
  <si>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</si>
  <si>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</si>
  <si>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</si>
  <si>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</si>
  <si>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</si>
  <si>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</si>
  <si>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</si>
  <si>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</si>
  <si>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</si>
  <si>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</si>
  <si>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</si>
  <si>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</si>
  <si>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</si>
  <si>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</si>
  <si>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</si>
  <si>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</si>
  <si>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</si>
  <si>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</si>
  <si>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</si>
  <si>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</si>
  <si>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</si>
  <si>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</si>
  <si>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</si>
  <si>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</si>
  <si>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</si>
  <si>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</si>
  <si>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</si>
  <si>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</si>
  <si>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</si>
  <si>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</si>
  <si>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</si>
  <si>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</si>
  <si>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</si>
  <si>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</si>
  <si>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</si>
  <si>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</si>
  <si>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</si>
  <si>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</si>
  <si>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</si>
  <si>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</si>
  <si>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</si>
  <si>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</si>
  <si>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</si>
  <si>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</si>
  <si>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</si>
  <si>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</si>
  <si>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</si>
  <si>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</si>
  <si>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</si>
  <si>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</si>
  <si>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</si>
  <si>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</si>
  <si>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</si>
  <si>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</si>
  <si>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</si>
  <si>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</si>
  <si>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</si>
  <si>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</si>
  <si>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</si>
  <si>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</si>
  <si>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</si>
  <si>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</si>
  <si>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</si>
  <si>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</si>
  <si>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</si>
  <si>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</si>
  <si>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</si>
  <si>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</si>
  <si>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</si>
  <si>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</si>
  <si>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</si>
  <si>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</si>
  <si>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</si>
  <si>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</si>
  <si>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</si>
  <si>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</si>
  <si>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</si>
  <si>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</si>
  <si>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</si>
  <si>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</si>
  <si>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</si>
  <si>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</si>
  <si>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</si>
  <si>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</si>
  <si>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</si>
  <si>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</si>
  <si>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</si>
  <si>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</si>
  <si>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</si>
  <si>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</si>
  <si>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</si>
  <si>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</si>
  <si>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</si>
  <si>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</si>
  <si>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</si>
  <si>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</si>
  <si>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</si>
  <si>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</si>
  <si>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</si>
  <si>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</si>
  <si>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</si>
  <si>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</si>
  <si>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</si>
  <si>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</si>
  <si>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</si>
  <si>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</si>
  <si>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</si>
  <si>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</si>
  <si>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</si>
  <si>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</si>
  <si>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</si>
  <si>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</si>
  <si>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</si>
  <si>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</si>
  <si>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</si>
  <si>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</si>
  <si>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</si>
  <si>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</si>
  <si>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</si>
  <si>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</si>
  <si>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</si>
  <si>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</si>
  <si>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</si>
  <si>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</si>
  <si>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</si>
  <si>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</si>
  <si>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</si>
  <si>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</si>
  <si>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</si>
  <si>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</si>
  <si>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</si>
  <si>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</si>
  <si>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</si>
  <si>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</si>
  <si>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</si>
  <si>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</si>
  <si>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</si>
  <si>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</si>
  <si>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</si>
  <si>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</si>
  <si>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</si>
  <si>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</si>
  <si>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</si>
  <si>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</si>
  <si>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</si>
  <si>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</si>
  <si>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</si>
  <si>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</si>
  <si>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</si>
  <si>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</si>
  <si>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</si>
  <si>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</si>
  <si>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</si>
  <si>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</si>
  <si>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</si>
  <si>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</si>
  <si>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</si>
  <si>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</si>
  <si>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</si>
  <si>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</si>
  <si>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</si>
  <si>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</si>
  <si>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</si>
  <si>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</si>
  <si>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</si>
  <si>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</si>
  <si>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</si>
  <si>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</si>
  <si>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</si>
  <si>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</si>
  <si>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</si>
  <si>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</si>
  <si>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</si>
  <si>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</si>
  <si>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</si>
  <si>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</si>
  <si>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</si>
  <si>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</si>
  <si>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</si>
  <si>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</si>
  <si>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</si>
  <si>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</si>
  <si>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</si>
  <si>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</si>
  <si>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</si>
  <si>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</si>
  <si>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</si>
  <si>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</si>
  <si>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</si>
  <si>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</si>
  <si>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</si>
  <si>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</si>
  <si>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</si>
  <si>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</si>
  <si>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</si>
  <si>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</si>
  <si>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</si>
  <si>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</si>
  <si>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</si>
  <si>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</si>
  <si>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</si>
  <si>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</si>
  <si>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</si>
  <si>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</si>
  <si>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</si>
  <si>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</si>
  <si>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</si>
  <si>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</si>
  <si>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</si>
  <si>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</si>
  <si>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</si>
  <si>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</si>
  <si>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</si>
  <si>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</si>
  <si>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</si>
  <si>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</si>
  <si>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</si>
  <si>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</si>
  <si>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</si>
  <si>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</si>
  <si>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</si>
  <si>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</si>
  <si>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</si>
  <si>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</si>
  <si>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</si>
  <si>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</si>
  <si>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</si>
  <si>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</si>
  <si>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</si>
  <si>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</si>
  <si>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</si>
  <si>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</si>
  <si>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</si>
  <si>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</si>
  <si>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</si>
  <si>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</si>
  <si>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</si>
  <si>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</si>
  <si>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</si>
  <si>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</si>
  <si>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</si>
  <si>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</si>
  <si>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</si>
  <si>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</si>
  <si>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</si>
  <si>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</si>
  <si>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</si>
  <si>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</si>
  <si>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</si>
  <si>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</si>
  <si>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</si>
  <si>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</si>
  <si>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</si>
  <si>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</si>
  <si>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</si>
  <si>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</si>
  <si>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</si>
  <si>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</si>
  <si>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</si>
  <si>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</si>
  <si>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</si>
  <si>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</si>
  <si>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</si>
  <si>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</si>
  <si>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</si>
  <si>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</si>
  <si>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</si>
  <si>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</si>
  <si>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</si>
  <si>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</si>
  <si>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</si>
  <si>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</si>
  <si>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</si>
  <si>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</si>
  <si>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</si>
  <si>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</si>
  <si>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</si>
  <si>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</si>
  <si>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</si>
  <si>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</si>
  <si>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</si>
  <si>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</si>
  <si>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</si>
  <si>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</si>
  <si>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</si>
  <si>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</si>
  <si>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</si>
  <si>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</si>
  <si>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</si>
  <si>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</si>
  <si>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</si>
  <si>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</si>
  <si>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</si>
  <si>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</si>
  <si>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</si>
  <si>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</si>
  <si>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</si>
  <si>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</si>
  <si>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</si>
  <si>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</si>
  <si>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</si>
  <si>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</si>
  <si>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</si>
  <si>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</si>
  <si>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</si>
  <si>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</si>
  <si>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</si>
  <si>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</si>
  <si>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</si>
  <si>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</si>
  <si>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</si>
  <si>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</si>
  <si>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</si>
  <si>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</si>
  <si>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</si>
  <si>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</si>
  <si>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</si>
  <si>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</si>
  <si>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</si>
  <si>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</si>
  <si>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</si>
  <si>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</si>
  <si>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</si>
  <si>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</si>
  <si>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</si>
  <si>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</si>
  <si>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</si>
  <si>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</si>
  <si>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</si>
  <si>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</si>
  <si>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</si>
  <si>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</si>
  <si>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</si>
  <si>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</si>
  <si>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</si>
  <si>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</si>
  <si>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</si>
  <si>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</si>
  <si>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</si>
  <si>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</si>
  <si>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</si>
  <si>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</si>
  <si>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</si>
  <si>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</si>
  <si>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</si>
  <si>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</si>
  <si>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</si>
  <si>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</si>
  <si>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</si>
  <si>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</si>
  <si>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</si>
  <si>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</si>
  <si>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</si>
  <si>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</si>
  <si>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</si>
  <si>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</si>
  <si>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</si>
  <si>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</si>
  <si>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</si>
  <si>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</si>
  <si>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</si>
  <si>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</si>
  <si>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</si>
  <si>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</si>
  <si>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</si>
  <si>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</si>
  <si>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</si>
  <si>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</si>
  <si>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</si>
  <si>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</si>
  <si>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</si>
  <si>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</si>
  <si>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</si>
  <si>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</si>
  <si>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</si>
  <si>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</si>
  <si>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</si>
  <si>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</si>
  <si>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</si>
  <si>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</si>
  <si>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</si>
  <si>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</si>
  <si>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</si>
  <si>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</si>
  <si>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</si>
  <si>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</si>
  <si>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</si>
  <si>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</si>
  <si>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</si>
  <si>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</si>
  <si>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</si>
  <si>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</si>
  <si>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</si>
  <si>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</si>
  <si>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</si>
  <si>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</si>
  <si>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</si>
  <si>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</si>
  <si>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</si>
  <si>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</si>
  <si>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</si>
  <si>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</si>
  <si>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</si>
  <si>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</si>
  <si>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</si>
  <si>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</si>
  <si>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</si>
  <si>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</si>
  <si>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</si>
  <si>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</si>
  <si>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</si>
  <si>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</si>
  <si>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</si>
  <si>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</si>
  <si>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</si>
  <si>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</si>
  <si>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</si>
  <si>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</si>
  <si>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</si>
  <si>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</si>
  <si>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</si>
  <si>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</si>
  <si>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</si>
  <si>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</si>
  <si>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</si>
  <si>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</si>
  <si>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</si>
  <si>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</si>
  <si>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</si>
  <si>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</si>
  <si>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</si>
  <si>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</si>
  <si>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</si>
  <si>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</si>
  <si>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</si>
  <si>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</si>
  <si>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</si>
  <si>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</si>
  <si>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</si>
  <si>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</si>
  <si>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</si>
  <si>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</si>
  <si>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</si>
  <si>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</si>
  <si>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</si>
  <si>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</si>
  <si>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</si>
  <si>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</si>
  <si>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</si>
  <si>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</si>
  <si>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</si>
  <si>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</si>
  <si>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</si>
  <si>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</si>
  <si>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</si>
  <si>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</si>
  <si>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</si>
  <si>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</si>
  <si>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</si>
  <si>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</si>
  <si>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</si>
  <si>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</si>
  <si>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</si>
  <si>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</si>
  <si>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</si>
  <si>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</si>
  <si>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</si>
  <si>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</si>
  <si>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1.399999976158142</t>
  </si>
  <si>
    <t>3.8499999046325684</t>
  </si>
  <si>
    <t>0.7699999809265137</t>
  </si>
  <si>
    <t>2.5299999713897705</t>
  </si>
  <si>
    <t>0.4300000071525574</t>
  </si>
  <si>
    <t>0.8799999952316284</t>
  </si>
  <si>
    <t>1.3326233625411987</t>
  </si>
  <si>
    <t>2.8499999046325684</t>
  </si>
  <si>
    <t>4.869999885559082</t>
  </si>
  <si>
    <t>2.759999990463257</t>
  </si>
  <si>
    <t>3.8450000286102295</t>
  </si>
  <si>
    <t>0.20000000298023224</t>
  </si>
  <si>
    <t>0.6499999761581421</t>
  </si>
  <si>
    <t>2.0799999237060547</t>
  </si>
  <si>
    <t>0.7950000166893005</t>
  </si>
  <si>
    <t>1.5480726957321167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</si>
</sst>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26" sqref="C2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6.7</v>
      </c>
      <c r="F2">
        <f t="shared" ref="F2:F19" si="0">(E2/D2-1)*100</f>
        <v>-27.252985884907709</v>
      </c>
      <c r="G2" s="28" t="s">
        <v>1689</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0.37</v>
      </c>
      <c r="F3">
        <f t="shared" si="0"/>
        <v>-15.909090909090907</v>
      </c>
      <c r="G3" s="28" t="s">
        <v>1690</v>
      </c>
      <c r="H3" s="4">
        <v>0.48</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3.17</v>
      </c>
      <c r="F4">
        <f t="shared" si="0"/>
        <v>-37.598425196850393</v>
      </c>
      <c r="G4" s="28" t="s">
        <v>1679</v>
      </c>
      <c r="H4" s="4">
        <v>5.42</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6.52</v>
      </c>
      <c r="F5">
        <f t="shared" si="0"/>
        <v>0</v>
      </c>
      <c r="G5" s="28" t="s">
        <v>1680</v>
      </c>
      <c r="H5" s="4">
        <v>7.29</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1.3</v>
      </c>
      <c r="F6">
        <f t="shared" si="0"/>
        <v>4.0000000000000036</v>
      </c>
      <c r="G6" s="28" t="s">
        <v>1681</v>
      </c>
      <c r="H6" s="4">
        <v>1.43</v>
      </c>
      <c r="I6" s="4">
        <v>0.45</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3.02</v>
      </c>
      <c r="F7">
        <f t="shared" si="0"/>
        <v>-3.5143769968051131</v>
      </c>
      <c r="G7" s="28" t="s">
        <v>1682</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3.17</v>
      </c>
      <c r="F8">
        <f t="shared" si="0"/>
        <v>1.6025641025640969</v>
      </c>
      <c r="G8" s="28" t="s">
        <v>1688</v>
      </c>
      <c r="H8" s="4">
        <v>3.34</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0.92</v>
      </c>
      <c r="F9">
        <f t="shared" si="0"/>
        <v>5.7471264367816133</v>
      </c>
      <c r="G9" s="28" t="s">
        <v>1683</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0.81</v>
      </c>
      <c r="F10">
        <f t="shared" si="0"/>
        <v>-1.2195121951219412</v>
      </c>
      <c r="G10" s="28" t="s">
        <v>1691</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3.01</v>
      </c>
      <c r="F11">
        <f t="shared" si="0"/>
        <v>0.33333333333331883</v>
      </c>
      <c r="G11" s="28" t="s">
        <v>1692</v>
      </c>
      <c r="H11" s="4">
        <v>3.12</v>
      </c>
      <c r="I11" s="4">
        <v>1.58</v>
      </c>
      <c r="J11" t="s">
        <v>1645</v>
      </c>
      <c r="K11" s="3">
        <v>1</v>
      </c>
      <c r="L11" t="s">
        <v>1646</v>
      </c>
      <c r="M11" t="s">
        <v>1647</v>
      </c>
      <c r="N11" s="3">
        <v>3.5999999999999997E-2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1.01</v>
      </c>
      <c r="F12">
        <f t="shared" si="0"/>
        <v>3.0612244897959107</v>
      </c>
      <c r="G12" s="28" t="s">
        <v>1693</v>
      </c>
      <c r="H12" s="4">
        <v>1.07</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1.0900000000000001</v>
      </c>
      <c r="F13">
        <f t="shared" si="0"/>
        <v>0.92592592592593004</v>
      </c>
      <c r="G13">
        <v>0.75</v>
      </c>
      <c r="H13" s="4">
        <v>1.2</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5.5E-2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1.63</v>
      </c>
      <c r="F15">
        <f t="shared" si="0"/>
        <v>5.8441558441558294</v>
      </c>
      <c r="G15" s="28" t="s">
        <v>1684</v>
      </c>
      <c r="H15" s="4">
        <v>1.7</v>
      </c>
      <c r="I15" s="4">
        <v>0.56000000000000005</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3.15</v>
      </c>
      <c r="F16">
        <f t="shared" si="0"/>
        <v>-3.669724770642202</v>
      </c>
      <c r="G16">
        <v>2.5</v>
      </c>
      <c r="H16" s="4">
        <v>4.34</v>
      </c>
      <c r="I16" s="4">
        <v>1.9650000000000001</v>
      </c>
      <c r="J16" t="s">
        <v>1252</v>
      </c>
      <c r="K16" s="3">
        <v>1</v>
      </c>
      <c r="L16" t="s">
        <v>1663</v>
      </c>
      <c r="M16" t="s">
        <v>1664</v>
      </c>
      <c r="N16" s="3">
        <v>0.04</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1.55</v>
      </c>
      <c r="F17">
        <f t="shared" si="0"/>
        <v>-1.2738853503184711</v>
      </c>
      <c r="G17" s="28" t="s">
        <v>1685</v>
      </c>
      <c r="H17" s="4">
        <v>1.61</v>
      </c>
      <c r="I17" s="4">
        <v>1.08</v>
      </c>
      <c r="J17" t="s">
        <v>1419</v>
      </c>
      <c r="K17" s="3">
        <v>0.25</v>
      </c>
      <c r="L17" t="s">
        <v>375</v>
      </c>
      <c r="M17" t="s">
        <v>1398</v>
      </c>
      <c r="N17" s="3">
        <v>0.04</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4.2</v>
      </c>
      <c r="F18">
        <f t="shared" si="0"/>
        <v>-5.8295964125560484</v>
      </c>
      <c r="G18" s="28" t="s">
        <v>1686</v>
      </c>
      <c r="H18" s="4">
        <v>11.17</v>
      </c>
      <c r="I18" s="4">
        <v>2.85</v>
      </c>
      <c r="J18" t="s">
        <v>1252</v>
      </c>
      <c r="K18" s="3">
        <v>0</v>
      </c>
      <c r="L18" t="s">
        <v>1669</v>
      </c>
      <c r="M18" t="s">
        <v>1670</v>
      </c>
      <c r="N18" s="3">
        <v>2.9000000000000001E-2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s="28" t="s">
        <v>1687</v>
      </c>
      <c r="H19" s="4">
        <v>4.99</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1.86</v>
      </c>
      <c r="F20">
        <f t="shared" ref="F20:F21" si="1">(E20/D20-1)*100</f>
        <v>3.9106145251396773</v>
      </c>
      <c r="G20" s="28" t="s">
        <v>1694</v>
      </c>
      <c r="H20" s="4">
        <v>1.98</v>
      </c>
      <c r="I20" s="4">
        <v>1.135</v>
      </c>
      <c r="J20" t="s">
        <v>355</v>
      </c>
      <c r="K20" s="3">
        <v>1</v>
      </c>
      <c r="L20" t="s">
        <v>356</v>
      </c>
      <c r="M20" t="s">
        <v>1556</v>
      </c>
      <c r="N20" s="3">
        <v>7.3999999999999996E-2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3.01</v>
      </c>
      <c r="F21">
        <f t="shared" si="1"/>
        <v>13.157894736842103</v>
      </c>
      <c r="G21" s="28" t="s">
        <v>1688</v>
      </c>
      <c r="H21" s="4">
        <v>3.13</v>
      </c>
      <c r="I21" s="4">
        <v>2.0099999999999998</v>
      </c>
      <c r="J21" t="s">
        <v>363</v>
      </c>
      <c r="K21" s="3">
        <v>1</v>
      </c>
      <c r="L21" t="s">
        <v>1503</v>
      </c>
      <c r="M21" t="s">
        <v>1449</v>
      </c>
      <c r="N21" s="3">
        <v>0.06</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topLeftCell="A39" zoomScale="80" zoomScaleNormal="80" workbookViewId="0">
      <selection activeCell="G72" sqref="G7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46041</v>
      </c>
      <c r="B2" t="s">
        <v>1580</v>
      </c>
      <c r="C2" s="4">
        <v>9.2100000000000009</v>
      </c>
      <c r="D2" s="13" t="s">
        <v>1255</v>
      </c>
      <c r="E2" s="13" t="s">
        <v>1559</v>
      </c>
      <c r="F2" t="s">
        <v>1258</v>
      </c>
      <c r="G2" t="s">
        <v>1256</v>
      </c>
      <c r="H2" t="s">
        <v>1592</v>
      </c>
      <c r="I2" t="s">
        <v>342</v>
      </c>
      <c r="J2" s="4">
        <v>6.7</v>
      </c>
      <c r="K2" s="13">
        <f t="shared" ref="K2:K19" si="0">(J2/C2-1)*100</f>
        <v>-27.252985884907709</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46041</v>
      </c>
      <c r="B3" t="s">
        <v>1581</v>
      </c>
      <c r="C3" s="4">
        <v>0.44</v>
      </c>
      <c r="D3" s="13" t="s">
        <v>1255</v>
      </c>
      <c r="E3" s="13" t="s">
        <v>1559</v>
      </c>
      <c r="F3" t="s">
        <v>1258</v>
      </c>
      <c r="G3" t="s">
        <v>1256</v>
      </c>
      <c r="H3" t="s">
        <v>1593</v>
      </c>
      <c r="I3" t="s">
        <v>342</v>
      </c>
      <c r="J3" s="4">
        <v>0.37</v>
      </c>
      <c r="K3" s="13">
        <f t="shared" si="0"/>
        <v>-15.909090909090907</v>
      </c>
      <c r="L3" s="4">
        <v>0.48</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46041</v>
      </c>
      <c r="B4" t="s">
        <v>1582</v>
      </c>
      <c r="C4" s="4">
        <v>5.08</v>
      </c>
      <c r="D4" s="13" t="s">
        <v>1255</v>
      </c>
      <c r="E4" s="13" t="s">
        <v>1559</v>
      </c>
      <c r="F4" t="s">
        <v>1258</v>
      </c>
      <c r="G4" t="s">
        <v>1256</v>
      </c>
      <c r="H4" t="s">
        <v>1594</v>
      </c>
      <c r="I4" t="s">
        <v>358</v>
      </c>
      <c r="J4" s="4">
        <v>3.17</v>
      </c>
      <c r="K4" s="13">
        <f t="shared" si="0"/>
        <v>-37.598425196850393</v>
      </c>
      <c r="L4" s="4">
        <v>5.42</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46041</v>
      </c>
      <c r="B5" t="s">
        <v>100</v>
      </c>
      <c r="C5" s="4">
        <v>6.52</v>
      </c>
      <c r="D5" s="13" t="s">
        <v>1255</v>
      </c>
      <c r="E5" s="13" t="s">
        <v>1559</v>
      </c>
      <c r="F5" t="s">
        <v>1258</v>
      </c>
      <c r="G5" t="s">
        <v>1256</v>
      </c>
      <c r="H5" t="s">
        <v>376</v>
      </c>
      <c r="I5" t="s">
        <v>342</v>
      </c>
      <c r="J5" s="4">
        <v>6.52</v>
      </c>
      <c r="K5" s="13">
        <f t="shared" si="0"/>
        <v>0</v>
      </c>
      <c r="L5" s="4">
        <v>7.29</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46041</v>
      </c>
      <c r="B6" t="s">
        <v>214</v>
      </c>
      <c r="C6" s="4">
        <v>1.25</v>
      </c>
      <c r="D6" s="13" t="s">
        <v>1255</v>
      </c>
      <c r="E6" s="13" t="s">
        <v>1559</v>
      </c>
      <c r="F6" t="s">
        <v>1258</v>
      </c>
      <c r="G6" t="s">
        <v>1256</v>
      </c>
      <c r="H6" t="s">
        <v>786</v>
      </c>
      <c r="I6" t="s">
        <v>342</v>
      </c>
      <c r="J6" s="4">
        <v>1.3</v>
      </c>
      <c r="K6" s="13">
        <f t="shared" si="0"/>
        <v>4.0000000000000036</v>
      </c>
      <c r="L6" s="4">
        <v>1.43</v>
      </c>
      <c r="M6" s="4">
        <v>0.45</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46041</v>
      </c>
      <c r="B7" t="s">
        <v>1583</v>
      </c>
      <c r="C7" s="4">
        <v>3.13</v>
      </c>
      <c r="D7" s="13" t="s">
        <v>1255</v>
      </c>
      <c r="E7" s="13" t="s">
        <v>1559</v>
      </c>
      <c r="F7" t="s">
        <v>1258</v>
      </c>
      <c r="G7" t="s">
        <v>1256</v>
      </c>
      <c r="H7" t="s">
        <v>1595</v>
      </c>
      <c r="I7" t="s">
        <v>21</v>
      </c>
      <c r="J7" s="4">
        <v>3.02</v>
      </c>
      <c r="K7" s="13">
        <f t="shared" si="0"/>
        <v>-3.5143769968051131</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46041</v>
      </c>
      <c r="B8" t="s">
        <v>1584</v>
      </c>
      <c r="C8" s="4">
        <v>3.12</v>
      </c>
      <c r="D8" s="13" t="s">
        <v>1255</v>
      </c>
      <c r="E8" s="13" t="s">
        <v>1559</v>
      </c>
      <c r="F8" t="s">
        <v>1258</v>
      </c>
      <c r="G8" t="s">
        <v>1256</v>
      </c>
      <c r="H8" t="s">
        <v>1596</v>
      </c>
      <c r="I8" t="s">
        <v>22</v>
      </c>
      <c r="J8" s="4">
        <v>3.17</v>
      </c>
      <c r="K8" s="13">
        <f t="shared" si="0"/>
        <v>1.6025641025640969</v>
      </c>
      <c r="L8" s="4">
        <v>3.34</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46041</v>
      </c>
      <c r="B9" t="s">
        <v>1585</v>
      </c>
      <c r="C9" s="4">
        <v>0.87</v>
      </c>
      <c r="D9" s="13" t="s">
        <v>1255</v>
      </c>
      <c r="E9" s="13" t="s">
        <v>1559</v>
      </c>
      <c r="F9" t="s">
        <v>1258</v>
      </c>
      <c r="G9" t="s">
        <v>1256</v>
      </c>
      <c r="H9" t="s">
        <v>1597</v>
      </c>
      <c r="I9" t="s">
        <v>1606</v>
      </c>
      <c r="J9" s="4">
        <v>0.92</v>
      </c>
      <c r="K9" s="13">
        <f>(J9/C9-1)*100</f>
        <v>5.7471264367816133</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46041</v>
      </c>
      <c r="B10" t="s">
        <v>1586</v>
      </c>
      <c r="C10" s="4">
        <v>0.82</v>
      </c>
      <c r="D10" s="13" t="s">
        <v>1255</v>
      </c>
      <c r="E10" s="13" t="s">
        <v>1559</v>
      </c>
      <c r="F10" t="s">
        <v>1258</v>
      </c>
      <c r="G10" t="s">
        <v>1256</v>
      </c>
      <c r="H10" t="s">
        <v>1598</v>
      </c>
      <c r="I10" t="s">
        <v>347</v>
      </c>
      <c r="J10" s="4">
        <v>0.81</v>
      </c>
      <c r="K10" s="13">
        <f t="shared" si="0"/>
        <v>-1.2195121951219412</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46041</v>
      </c>
      <c r="B11" t="s">
        <v>176</v>
      </c>
      <c r="C11" s="4">
        <v>3</v>
      </c>
      <c r="D11" s="13" t="s">
        <v>1255</v>
      </c>
      <c r="E11" s="13" t="s">
        <v>1559</v>
      </c>
      <c r="F11" t="s">
        <v>1258</v>
      </c>
      <c r="G11" t="s">
        <v>1256</v>
      </c>
      <c r="H11" t="s">
        <v>726</v>
      </c>
      <c r="I11" t="s">
        <v>342</v>
      </c>
      <c r="J11" s="4">
        <v>3.01</v>
      </c>
      <c r="K11" s="13">
        <f t="shared" si="0"/>
        <v>0.33333333333331883</v>
      </c>
      <c r="L11" s="4">
        <v>3.12</v>
      </c>
      <c r="M11" s="4">
        <v>1.58</v>
      </c>
      <c r="N11" t="s">
        <v>1645</v>
      </c>
      <c r="O11" s="3">
        <v>1</v>
      </c>
      <c r="P11" t="s">
        <v>1646</v>
      </c>
      <c r="Q11" t="s">
        <v>1647</v>
      </c>
      <c r="R11" s="3">
        <v>3.5999999999999997E-2</v>
      </c>
      <c r="S11" t="s">
        <v>1266</v>
      </c>
      <c r="T11" t="s">
        <v>1526</v>
      </c>
      <c r="U11" t="s">
        <v>1648</v>
      </c>
      <c r="V11" s="3">
        <v>0.34599999999999997</v>
      </c>
      <c r="W11" s="3">
        <v>0.01</v>
      </c>
      <c r="X11" t="s">
        <v>1649</v>
      </c>
      <c r="Y11" s="3">
        <v>2E-3</v>
      </c>
      <c r="Z11" s="3">
        <v>1.028</v>
      </c>
      <c r="AA11" s="3">
        <v>1.002</v>
      </c>
      <c r="AB11" s="3">
        <v>3.0000000000000001E-3</v>
      </c>
    </row>
    <row r="12" spans="1:28" x14ac:dyDescent="0.25">
      <c r="A12" s="2">
        <v>46041</v>
      </c>
      <c r="B12" t="s">
        <v>1587</v>
      </c>
      <c r="C12" s="4">
        <v>0.98</v>
      </c>
      <c r="D12" s="13" t="s">
        <v>1255</v>
      </c>
      <c r="E12" s="13" t="s">
        <v>1559</v>
      </c>
      <c r="F12" t="s">
        <v>1258</v>
      </c>
      <c r="G12" t="s">
        <v>1256</v>
      </c>
      <c r="H12" t="s">
        <v>1599</v>
      </c>
      <c r="I12" t="s">
        <v>342</v>
      </c>
      <c r="J12" s="4">
        <v>1.01</v>
      </c>
      <c r="K12" s="13">
        <f t="shared" si="0"/>
        <v>3.0612244897959107</v>
      </c>
      <c r="L12" s="4">
        <v>1.07</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46041</v>
      </c>
      <c r="B13" t="s">
        <v>1588</v>
      </c>
      <c r="C13" s="4">
        <v>1.08</v>
      </c>
      <c r="D13" s="13" t="s">
        <v>1255</v>
      </c>
      <c r="E13" s="13" t="s">
        <v>1559</v>
      </c>
      <c r="F13" t="s">
        <v>1258</v>
      </c>
      <c r="G13" t="s">
        <v>1256</v>
      </c>
      <c r="H13" t="s">
        <v>1600</v>
      </c>
      <c r="I13" t="s">
        <v>342</v>
      </c>
      <c r="J13" s="4">
        <v>1.0900000000000001</v>
      </c>
      <c r="K13" s="13">
        <f t="shared" si="0"/>
        <v>0.92592592592593004</v>
      </c>
      <c r="L13" s="4">
        <v>1.2</v>
      </c>
      <c r="M13" s="4">
        <v>0.4</v>
      </c>
      <c r="N13" t="s">
        <v>1244</v>
      </c>
      <c r="P13" t="s">
        <v>1654</v>
      </c>
      <c r="R13" s="3">
        <v>0</v>
      </c>
      <c r="U13" t="s">
        <v>1655</v>
      </c>
      <c r="V13" s="3">
        <v>2E-3</v>
      </c>
      <c r="W13" s="3">
        <v>0.13600000000000001</v>
      </c>
      <c r="X13" t="s">
        <v>1414</v>
      </c>
      <c r="AB13" s="3">
        <v>-0.02</v>
      </c>
    </row>
    <row r="14" spans="1:28" x14ac:dyDescent="0.25">
      <c r="A14" s="2">
        <v>46041</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5.5E-2</v>
      </c>
      <c r="S14" t="s">
        <v>1657</v>
      </c>
      <c r="U14" t="s">
        <v>1658</v>
      </c>
      <c r="V14" s="3">
        <v>1E-3</v>
      </c>
      <c r="W14" s="3">
        <v>1.7000000000000001E-2</v>
      </c>
      <c r="X14" t="s">
        <v>1659</v>
      </c>
      <c r="Y14" s="3">
        <v>4.2359999999999998</v>
      </c>
      <c r="AB14" s="3">
        <v>7.1999999999999995E-2</v>
      </c>
    </row>
    <row r="15" spans="1:28" x14ac:dyDescent="0.25">
      <c r="A15" s="2">
        <v>46041</v>
      </c>
      <c r="B15" t="s">
        <v>194</v>
      </c>
      <c r="C15" s="4">
        <v>1.54</v>
      </c>
      <c r="D15" s="13" t="s">
        <v>1255</v>
      </c>
      <c r="E15" s="13" t="s">
        <v>1559</v>
      </c>
      <c r="F15" t="s">
        <v>1258</v>
      </c>
      <c r="G15" t="s">
        <v>1256</v>
      </c>
      <c r="H15" t="s">
        <v>752</v>
      </c>
      <c r="I15" t="s">
        <v>342</v>
      </c>
      <c r="J15" s="4">
        <v>1.63</v>
      </c>
      <c r="K15" s="13">
        <f t="shared" si="0"/>
        <v>5.8441558441558294</v>
      </c>
      <c r="L15" s="4">
        <v>1.7</v>
      </c>
      <c r="M15" s="4">
        <v>0.56000000000000005</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46041</v>
      </c>
      <c r="B16" t="s">
        <v>1590</v>
      </c>
      <c r="C16" s="4">
        <v>3.27</v>
      </c>
      <c r="D16" s="13" t="s">
        <v>1255</v>
      </c>
      <c r="E16" s="13" t="s">
        <v>1559</v>
      </c>
      <c r="F16" t="s">
        <v>1258</v>
      </c>
      <c r="G16" t="s">
        <v>1256</v>
      </c>
      <c r="H16" t="s">
        <v>1602</v>
      </c>
      <c r="I16" t="s">
        <v>21</v>
      </c>
      <c r="J16" s="4">
        <v>3.15</v>
      </c>
      <c r="K16" s="13">
        <f t="shared" si="0"/>
        <v>-3.669724770642202</v>
      </c>
      <c r="L16" s="4">
        <v>4.34</v>
      </c>
      <c r="M16" s="4">
        <v>1.9650000000000001</v>
      </c>
      <c r="N16" t="s">
        <v>1252</v>
      </c>
      <c r="O16" s="3">
        <v>1</v>
      </c>
      <c r="P16" t="s">
        <v>1663</v>
      </c>
      <c r="Q16" t="s">
        <v>1664</v>
      </c>
      <c r="R16" s="3">
        <v>0.04</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46041</v>
      </c>
      <c r="B17" t="s">
        <v>125</v>
      </c>
      <c r="C17" s="4">
        <v>1.57</v>
      </c>
      <c r="D17" s="13" t="s">
        <v>1255</v>
      </c>
      <c r="E17" s="13" t="s">
        <v>1559</v>
      </c>
      <c r="F17" t="s">
        <v>1258</v>
      </c>
      <c r="G17" t="s">
        <v>1256</v>
      </c>
      <c r="H17" t="s">
        <v>374</v>
      </c>
      <c r="I17" t="s">
        <v>25</v>
      </c>
      <c r="J17" s="4">
        <v>1.55</v>
      </c>
      <c r="K17" s="13">
        <f t="shared" si="0"/>
        <v>-1.2738853503184711</v>
      </c>
      <c r="L17" s="4">
        <v>1.61</v>
      </c>
      <c r="M17" s="4">
        <v>1.08</v>
      </c>
      <c r="N17" t="s">
        <v>1419</v>
      </c>
      <c r="O17" s="3">
        <v>0.25</v>
      </c>
      <c r="P17" t="s">
        <v>375</v>
      </c>
      <c r="Q17" t="s">
        <v>1398</v>
      </c>
      <c r="R17" s="3">
        <v>0.04</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46041</v>
      </c>
      <c r="B18" t="s">
        <v>239</v>
      </c>
      <c r="C18" s="4">
        <v>4.46</v>
      </c>
      <c r="D18" s="13" t="s">
        <v>1255</v>
      </c>
      <c r="E18" s="13" t="s">
        <v>1559</v>
      </c>
      <c r="F18" t="s">
        <v>1258</v>
      </c>
      <c r="G18" t="s">
        <v>1256</v>
      </c>
      <c r="H18" t="s">
        <v>822</v>
      </c>
      <c r="I18" t="s">
        <v>22</v>
      </c>
      <c r="J18" s="4">
        <v>4.2</v>
      </c>
      <c r="K18" s="13">
        <f t="shared" si="0"/>
        <v>-5.8295964125560484</v>
      </c>
      <c r="L18" s="4">
        <v>11.17</v>
      </c>
      <c r="M18" s="4">
        <v>2.85</v>
      </c>
      <c r="N18" t="s">
        <v>1252</v>
      </c>
      <c r="O18" s="3">
        <v>0</v>
      </c>
      <c r="P18" t="s">
        <v>1669</v>
      </c>
      <c r="Q18" t="s">
        <v>1670</v>
      </c>
      <c r="R18" s="3">
        <v>2.9000000000000001E-2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46041</v>
      </c>
      <c r="B19" t="s">
        <v>1591</v>
      </c>
      <c r="C19" s="4">
        <v>4.9800000000000004</v>
      </c>
      <c r="D19" s="13" t="s">
        <v>1255</v>
      </c>
      <c r="E19" s="13" t="s">
        <v>1559</v>
      </c>
      <c r="F19" t="s">
        <v>1258</v>
      </c>
      <c r="G19" t="s">
        <v>1256</v>
      </c>
      <c r="H19" t="s">
        <v>1603</v>
      </c>
      <c r="I19" t="s">
        <v>1267</v>
      </c>
      <c r="J19" s="4">
        <v>4.9800000000000004</v>
      </c>
      <c r="K19" s="13">
        <f t="shared" si="0"/>
        <v>0</v>
      </c>
      <c r="L19" s="4">
        <v>4.99</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1.86</v>
      </c>
      <c r="K64">
        <f t="shared" si="6"/>
        <v>7.2046109510086387</v>
      </c>
      <c r="L64" s="4">
        <v>1.98</v>
      </c>
      <c r="M64" s="4">
        <v>1.135</v>
      </c>
      <c r="N64" t="s">
        <v>355</v>
      </c>
      <c r="O64" s="3">
        <v>1</v>
      </c>
      <c r="P64" t="s">
        <v>356</v>
      </c>
      <c r="Q64" t="s">
        <v>1556</v>
      </c>
      <c r="R64" s="3">
        <v>7.3999999999999996E-2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3.01</v>
      </c>
      <c r="K73">
        <f t="shared" si="6"/>
        <v>14.885496183206094</v>
      </c>
      <c r="L73" s="4">
        <v>3.13</v>
      </c>
      <c r="M73" s="4">
        <v>2.0099999999999998</v>
      </c>
      <c r="N73" t="s">
        <v>363</v>
      </c>
      <c r="O73" s="3">
        <v>1</v>
      </c>
      <c r="P73" t="s">
        <v>1503</v>
      </c>
      <c r="Q73" t="s">
        <v>1449</v>
      </c>
      <c r="R73" s="3">
        <v>0.06</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F16" sqref="F1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COUNTA(Trades!$A$2:A1048576)</f>
        <v>918</v>
      </c>
      <c r="D2">
        <f>COUNTIF(Trades!$J$2:J919,"&gt;0")</f>
        <v>461</v>
      </c>
      <c r="E2">
        <f>AVERAGEIF(Trades!$J$2:J919,"&gt;0")*100</f>
        <v>36.28804154091597</v>
      </c>
      <c r="F2">
        <f>C2-D2</f>
        <v>457</v>
      </c>
      <c r="G2">
        <f>AVERAGEIF(Trades!$J$2:J919,"&lt;0")*100</f>
        <v>-13.530408982728334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3"/>
  <sheetViews>
    <sheetView topLeftCell="A1365" workbookViewId="0">
      <selection activeCell="B1395" sqref="B139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B1391-MAX(100000,B57:B1391)</f>
        <v>-1063206.5</v>
      </c>
      <c r="E1391">
        <f>D1391/MAX($B$2:B1391,100000)</f>
        <v>-0.14704198747771979</v>
      </c>
    </row>
    <row r="1392" spans="1:5" x14ac:dyDescent="0.25">
      <c r="A1392" s="2">
        <v>46054</v>
      </c>
      <c r="B1392">
        <v>6167425.5</v>
      </c>
      <c r="C1392" s="4">
        <v>88518.215135000602</v>
      </c>
      <c r="D1392">
        <f>B1392-MAX(100000,B58:B1392)</f>
        <v>-1063206.5</v>
      </c>
      <c r="E1392">
        <f>D1392/MAX($B$2:B1392,100000)</f>
        <v>-0.14704198747771979</v>
      </c>
    </row>
    <row r="1393" spans="1:5" x14ac:dyDescent="0.25">
      <c r="A1393" s="2">
        <v>46055</v>
      </c>
      <c r="B1393">
        <v>6040936.5</v>
      </c>
      <c r="C1393" s="4">
        <v>88518.215135000602</v>
      </c>
      <c r="D1393">
        <f>B1393-MAX(100000,B59:B1393)</f>
        <v>-1189695.5</v>
      </c>
      <c r="E1393">
        <f>D1393/MAX($B$2:B1393,100000)</f>
        <v>-0.16453547905632593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M6" sqref="M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t="s">
        <v>1580</v>
      </c>
      <c r="B2" t="s">
        <v>1592</v>
      </c>
      <c r="C2" t="s">
        <v>1225</v>
      </c>
      <c r="D2" s="12">
        <v>46041</v>
      </c>
      <c r="E2" s="13">
        <v>9.15</v>
      </c>
      <c r="F2" s="12">
        <v>46054</v>
      </c>
      <c r="G2" s="4">
        <v>6.7</v>
      </c>
      <c r="H2" s="3">
        <f t="shared" ref="H2:H19" si="0">G2/E2-1</f>
        <v>-0.26775956284153002</v>
      </c>
      <c r="I2" s="20">
        <f t="shared" ref="I2:I19" si="1">K2*E2*J2</f>
        <v>-85763.551800000001</v>
      </c>
      <c r="J2" s="21">
        <f t="shared" ref="J2:J19" si="2">H2-0.002</f>
        <v>-0.26975956284153002</v>
      </c>
      <c r="K2" s="13">
        <v>34746</v>
      </c>
      <c r="M2" s="4"/>
      <c r="N2" s="26"/>
      <c r="O2" s="11"/>
    </row>
    <row r="3" spans="1:15" x14ac:dyDescent="0.25">
      <c r="A3" t="s">
        <v>1581</v>
      </c>
      <c r="B3" t="s">
        <v>1593</v>
      </c>
      <c r="C3" t="s">
        <v>1225</v>
      </c>
      <c r="D3" s="12">
        <v>46041</v>
      </c>
      <c r="E3" s="13">
        <v>0.44</v>
      </c>
      <c r="F3" s="12">
        <v>46054</v>
      </c>
      <c r="G3" s="4">
        <v>0.37</v>
      </c>
      <c r="H3" s="3">
        <f t="shared" si="0"/>
        <v>-0.15909090909090906</v>
      </c>
      <c r="I3" s="20">
        <f t="shared" si="1"/>
        <v>-51551.591039999992</v>
      </c>
      <c r="J3" s="21">
        <f t="shared" si="2"/>
        <v>-0.16109090909090906</v>
      </c>
      <c r="K3" s="13">
        <v>727308</v>
      </c>
      <c r="M3" s="4"/>
      <c r="N3" s="26"/>
      <c r="O3" s="11"/>
    </row>
    <row r="4" spans="1:15" x14ac:dyDescent="0.25">
      <c r="A4" t="s">
        <v>1582</v>
      </c>
      <c r="B4" t="s">
        <v>1594</v>
      </c>
      <c r="C4" t="s">
        <v>1225</v>
      </c>
      <c r="D4" s="12">
        <v>46041</v>
      </c>
      <c r="E4" s="13">
        <v>5.04</v>
      </c>
      <c r="F4" s="12">
        <v>46054</v>
      </c>
      <c r="G4" s="4">
        <v>3.17</v>
      </c>
      <c r="H4" s="3">
        <f t="shared" si="0"/>
        <v>-0.37103174603174605</v>
      </c>
      <c r="I4" s="20">
        <f t="shared" si="1"/>
        <v>-118435.63959999999</v>
      </c>
      <c r="J4" s="21">
        <f t="shared" si="2"/>
        <v>-0.37303174603174605</v>
      </c>
      <c r="K4" s="13">
        <v>62995</v>
      </c>
      <c r="M4" s="4"/>
      <c r="N4" s="26"/>
      <c r="O4" s="11"/>
    </row>
    <row r="5" spans="1:15" x14ac:dyDescent="0.25">
      <c r="A5" t="s">
        <v>100</v>
      </c>
      <c r="B5" t="s">
        <v>376</v>
      </c>
      <c r="C5" t="s">
        <v>1225</v>
      </c>
      <c r="D5" s="12">
        <v>46041</v>
      </c>
      <c r="E5" s="13">
        <v>6.54</v>
      </c>
      <c r="F5" s="12">
        <v>46054</v>
      </c>
      <c r="G5" s="4">
        <v>6.52</v>
      </c>
      <c r="H5" s="3">
        <f t="shared" si="0"/>
        <v>-3.0581039755351869E-3</v>
      </c>
      <c r="I5" s="20">
        <f t="shared" si="1"/>
        <v>-1623.6325600000062</v>
      </c>
      <c r="J5" s="21">
        <f t="shared" si="2"/>
        <v>-5.0581039755351869E-3</v>
      </c>
      <c r="K5" s="13">
        <v>49082</v>
      </c>
      <c r="M5" s="4"/>
      <c r="N5" s="26"/>
      <c r="O5" s="11"/>
    </row>
    <row r="6" spans="1:15" x14ac:dyDescent="0.25">
      <c r="A6" t="s">
        <v>214</v>
      </c>
      <c r="B6" t="s">
        <v>786</v>
      </c>
      <c r="C6" t="s">
        <v>1225</v>
      </c>
      <c r="D6" s="12">
        <v>46041</v>
      </c>
      <c r="E6" s="13">
        <v>1.2</v>
      </c>
      <c r="F6" s="12">
        <v>46054</v>
      </c>
      <c r="G6" s="4">
        <v>1.3</v>
      </c>
      <c r="H6" s="3">
        <f t="shared" si="0"/>
        <v>8.3333333333333481E-2</v>
      </c>
      <c r="I6" s="20">
        <f t="shared" si="1"/>
        <v>24986.771200000043</v>
      </c>
      <c r="J6" s="21">
        <f t="shared" si="2"/>
        <v>8.133333333333348E-2</v>
      </c>
      <c r="K6" s="13">
        <v>256012</v>
      </c>
      <c r="M6" s="4"/>
      <c r="N6" s="26"/>
      <c r="O6" s="11"/>
    </row>
    <row r="7" spans="1:15" x14ac:dyDescent="0.25">
      <c r="A7" t="s">
        <v>1583</v>
      </c>
      <c r="B7" t="s">
        <v>1595</v>
      </c>
      <c r="C7" t="s">
        <v>1225</v>
      </c>
      <c r="D7" s="12">
        <v>46041</v>
      </c>
      <c r="E7" s="13">
        <v>3.13</v>
      </c>
      <c r="F7" s="12">
        <v>46054</v>
      </c>
      <c r="G7" s="4">
        <v>3.02</v>
      </c>
      <c r="H7" s="3">
        <f t="shared" si="0"/>
        <v>-3.5143769968051131E-2</v>
      </c>
      <c r="I7" s="20">
        <f t="shared" si="1"/>
        <v>-11886.538660000006</v>
      </c>
      <c r="J7" s="21">
        <f t="shared" si="2"/>
        <v>-3.7143769968051132E-2</v>
      </c>
      <c r="K7" s="13">
        <v>102241</v>
      </c>
      <c r="M7" s="4"/>
      <c r="N7" s="26"/>
      <c r="O7" s="11"/>
    </row>
    <row r="8" spans="1:15" x14ac:dyDescent="0.25">
      <c r="A8" t="s">
        <v>1584</v>
      </c>
      <c r="B8" t="s">
        <v>1596</v>
      </c>
      <c r="C8" t="s">
        <v>1225</v>
      </c>
      <c r="D8" s="12">
        <v>46041</v>
      </c>
      <c r="E8" s="13">
        <v>3.14</v>
      </c>
      <c r="F8" s="12">
        <v>46054</v>
      </c>
      <c r="G8" s="4">
        <v>3.17</v>
      </c>
      <c r="H8" s="3">
        <f t="shared" si="0"/>
        <v>9.5541401273884219E-3</v>
      </c>
      <c r="I8" s="20">
        <f t="shared" si="1"/>
        <v>2432.9366799999639</v>
      </c>
      <c r="J8" s="21">
        <f t="shared" si="2"/>
        <v>7.5541401273884218E-3</v>
      </c>
      <c r="K8" s="13">
        <v>102569</v>
      </c>
      <c r="M8" s="4"/>
      <c r="N8" s="26"/>
      <c r="O8" s="11"/>
    </row>
    <row r="9" spans="1:15" x14ac:dyDescent="0.25">
      <c r="A9" t="s">
        <v>1585</v>
      </c>
      <c r="B9" t="s">
        <v>1597</v>
      </c>
      <c r="C9" t="s">
        <v>1225</v>
      </c>
      <c r="D9" s="12">
        <v>46041</v>
      </c>
      <c r="E9" s="13">
        <v>0.86499999999999999</v>
      </c>
      <c r="F9" s="12">
        <v>46054</v>
      </c>
      <c r="G9" s="4">
        <v>0.92</v>
      </c>
      <c r="H9" s="3">
        <f t="shared" si="0"/>
        <v>6.3583815028901869E-2</v>
      </c>
      <c r="I9" s="20">
        <f t="shared" si="1"/>
        <v>19594.517180000039</v>
      </c>
      <c r="J9" s="21">
        <f t="shared" si="2"/>
        <v>6.1583815028901867E-2</v>
      </c>
      <c r="K9" s="13">
        <v>367834</v>
      </c>
      <c r="M9" s="4"/>
      <c r="N9" s="26"/>
      <c r="O9" s="11"/>
    </row>
    <row r="10" spans="1:15" x14ac:dyDescent="0.25">
      <c r="A10" t="s">
        <v>1586</v>
      </c>
      <c r="B10" t="s">
        <v>1598</v>
      </c>
      <c r="C10" t="s">
        <v>1225</v>
      </c>
      <c r="D10" s="12">
        <v>46041</v>
      </c>
      <c r="E10" s="13">
        <v>0.83</v>
      </c>
      <c r="F10" s="12">
        <v>46054</v>
      </c>
      <c r="G10" s="4">
        <v>0.81</v>
      </c>
      <c r="H10" s="3">
        <f t="shared" si="0"/>
        <v>-2.409638554216853E-2</v>
      </c>
      <c r="I10" s="20">
        <f t="shared" si="1"/>
        <v>-8453.096579999954</v>
      </c>
      <c r="J10" s="21">
        <f t="shared" si="2"/>
        <v>-2.6096385542168532E-2</v>
      </c>
      <c r="K10" s="13">
        <v>390263</v>
      </c>
      <c r="M10" s="4"/>
      <c r="N10" s="26"/>
      <c r="O10" s="11"/>
    </row>
    <row r="11" spans="1:15" x14ac:dyDescent="0.25">
      <c r="A11" t="s">
        <v>176</v>
      </c>
      <c r="B11" t="s">
        <v>726</v>
      </c>
      <c r="C11" t="s">
        <v>1225</v>
      </c>
      <c r="D11" s="12">
        <v>46041</v>
      </c>
      <c r="E11" s="13">
        <v>2.99</v>
      </c>
      <c r="F11" s="12">
        <v>46054</v>
      </c>
      <c r="G11" s="4">
        <v>3.01</v>
      </c>
      <c r="H11" s="3">
        <f t="shared" si="0"/>
        <v>6.6889632107021146E-3</v>
      </c>
      <c r="I11" s="20">
        <f t="shared" si="1"/>
        <v>1495.5274199999278</v>
      </c>
      <c r="J11" s="21">
        <f t="shared" si="2"/>
        <v>4.6889632107021146E-3</v>
      </c>
      <c r="K11" s="13">
        <v>106671</v>
      </c>
      <c r="M11" s="4"/>
      <c r="N11" s="26"/>
      <c r="O11" s="11"/>
    </row>
    <row r="12" spans="1:15" x14ac:dyDescent="0.25">
      <c r="A12" t="s">
        <v>1587</v>
      </c>
      <c r="B12" t="s">
        <v>1599</v>
      </c>
      <c r="C12" t="s">
        <v>1225</v>
      </c>
      <c r="D12" s="12">
        <v>46041</v>
      </c>
      <c r="E12" s="13">
        <v>0.99</v>
      </c>
      <c r="F12" s="12">
        <v>46054</v>
      </c>
      <c r="G12" s="4">
        <v>1.01</v>
      </c>
      <c r="H12" s="3">
        <f t="shared" si="0"/>
        <v>2.020202020202011E-2</v>
      </c>
      <c r="I12" s="20">
        <f t="shared" si="1"/>
        <v>5884.3589199999697</v>
      </c>
      <c r="J12" s="21">
        <f t="shared" si="2"/>
        <v>1.8202020202020108E-2</v>
      </c>
      <c r="K12" s="13">
        <v>326546</v>
      </c>
      <c r="M12" s="4"/>
      <c r="N12" s="26"/>
      <c r="O12" s="11"/>
    </row>
    <row r="13" spans="1:15" x14ac:dyDescent="0.25">
      <c r="A13" t="s">
        <v>1588</v>
      </c>
      <c r="B13" t="s">
        <v>1600</v>
      </c>
      <c r="C13" t="s">
        <v>1225</v>
      </c>
      <c r="D13" s="12">
        <v>46041</v>
      </c>
      <c r="E13" s="13">
        <v>1.0900000000000001</v>
      </c>
      <c r="F13" s="12">
        <v>46054</v>
      </c>
      <c r="G13" s="4">
        <v>1.0900000000000001</v>
      </c>
      <c r="H13" s="3">
        <f t="shared" si="0"/>
        <v>0</v>
      </c>
      <c r="I13" s="20">
        <f t="shared" si="1"/>
        <v>-645.95580000000007</v>
      </c>
      <c r="J13" s="21">
        <f t="shared" si="2"/>
        <v>-2E-3</v>
      </c>
      <c r="K13" s="13">
        <v>296310</v>
      </c>
      <c r="M13" s="4"/>
      <c r="N13" s="26"/>
      <c r="O13" s="11"/>
    </row>
    <row r="14" spans="1:15" x14ac:dyDescent="0.25">
      <c r="A14" t="s">
        <v>1589</v>
      </c>
      <c r="B14" t="s">
        <v>1601</v>
      </c>
      <c r="C14" t="s">
        <v>1225</v>
      </c>
      <c r="D14" s="12">
        <v>46041</v>
      </c>
      <c r="E14" s="13">
        <v>0.28499999999999998</v>
      </c>
      <c r="F14" s="12">
        <v>46054</v>
      </c>
      <c r="G14" s="4">
        <v>0.28000000000000003</v>
      </c>
      <c r="H14" s="3">
        <f t="shared" si="0"/>
        <v>-1.754385964912264E-2</v>
      </c>
      <c r="I14" s="20">
        <f t="shared" si="1"/>
        <v>-6366.0254099999456</v>
      </c>
      <c r="J14" s="21">
        <f t="shared" si="2"/>
        <v>-1.9543859649122641E-2</v>
      </c>
      <c r="K14" s="13">
        <v>1142913</v>
      </c>
      <c r="M14" s="4"/>
      <c r="N14" s="26"/>
      <c r="O14" s="11"/>
    </row>
    <row r="15" spans="1:15" x14ac:dyDescent="0.25">
      <c r="A15" t="s">
        <v>194</v>
      </c>
      <c r="B15" t="s">
        <v>752</v>
      </c>
      <c r="C15" t="s">
        <v>1225</v>
      </c>
      <c r="D15" s="12">
        <v>46041</v>
      </c>
      <c r="E15" s="13">
        <v>1.52</v>
      </c>
      <c r="F15" s="12">
        <v>46054</v>
      </c>
      <c r="G15" s="4">
        <v>1.63</v>
      </c>
      <c r="H15" s="3">
        <f t="shared" si="0"/>
        <v>7.2368421052631415E-2</v>
      </c>
      <c r="I15" s="20">
        <f t="shared" si="1"/>
        <v>22226.501919999948</v>
      </c>
      <c r="J15" s="21">
        <f t="shared" si="2"/>
        <v>7.0368421052631414E-2</v>
      </c>
      <c r="K15" s="13">
        <v>207802</v>
      </c>
      <c r="M15" s="4"/>
      <c r="N15" s="26"/>
      <c r="O15" s="11"/>
    </row>
    <row r="16" spans="1:15" x14ac:dyDescent="0.25">
      <c r="A16" t="s">
        <v>1590</v>
      </c>
      <c r="B16" t="s">
        <v>1602</v>
      </c>
      <c r="C16" t="s">
        <v>1225</v>
      </c>
      <c r="D16" s="12">
        <v>46041</v>
      </c>
      <c r="E16" s="13">
        <v>3.27</v>
      </c>
      <c r="F16" s="12">
        <v>46054</v>
      </c>
      <c r="G16" s="4">
        <v>3.15</v>
      </c>
      <c r="H16" s="3">
        <f t="shared" si="0"/>
        <v>-3.669724770642202E-2</v>
      </c>
      <c r="I16" s="20">
        <f t="shared" si="1"/>
        <v>-12383.710560000003</v>
      </c>
      <c r="J16" s="21">
        <f t="shared" si="2"/>
        <v>-3.8697247706422022E-2</v>
      </c>
      <c r="K16" s="13">
        <v>97864</v>
      </c>
      <c r="M16" s="4"/>
      <c r="N16" s="26"/>
      <c r="O16" s="11"/>
    </row>
    <row r="17" spans="1:15" x14ac:dyDescent="0.25">
      <c r="A17" t="s">
        <v>125</v>
      </c>
      <c r="B17" t="s">
        <v>374</v>
      </c>
      <c r="C17" t="s">
        <v>1225</v>
      </c>
      <c r="D17" s="12">
        <v>46041</v>
      </c>
      <c r="E17" s="13">
        <v>1.55</v>
      </c>
      <c r="F17" s="12">
        <v>46054</v>
      </c>
      <c r="G17" s="4">
        <v>1.55</v>
      </c>
      <c r="H17" s="3">
        <f t="shared" si="0"/>
        <v>0</v>
      </c>
      <c r="I17" s="20">
        <f t="shared" si="1"/>
        <v>-631.87609999999995</v>
      </c>
      <c r="J17" s="21">
        <f t="shared" si="2"/>
        <v>-2E-3</v>
      </c>
      <c r="K17" s="13">
        <v>203831</v>
      </c>
      <c r="M17" s="4"/>
      <c r="N17" s="26"/>
      <c r="O17" s="11"/>
    </row>
    <row r="18" spans="1:15" x14ac:dyDescent="0.25">
      <c r="A18" t="s">
        <v>239</v>
      </c>
      <c r="B18" t="s">
        <v>822</v>
      </c>
      <c r="C18" t="s">
        <v>1225</v>
      </c>
      <c r="D18" s="12">
        <v>46041</v>
      </c>
      <c r="E18" s="13">
        <v>4.45</v>
      </c>
      <c r="F18" s="12">
        <v>46054</v>
      </c>
      <c r="G18" s="4">
        <v>4.2</v>
      </c>
      <c r="H18" s="3">
        <f t="shared" si="0"/>
        <v>-5.6179775280898903E-2</v>
      </c>
      <c r="I18" s="20">
        <f t="shared" si="1"/>
        <v>-18576.592800000009</v>
      </c>
      <c r="J18" s="21">
        <f t="shared" si="2"/>
        <v>-5.8179775280898904E-2</v>
      </c>
      <c r="K18" s="13">
        <v>71752</v>
      </c>
      <c r="M18" s="4"/>
      <c r="N18" s="26"/>
      <c r="O18" s="11"/>
    </row>
    <row r="19" spans="1:15" x14ac:dyDescent="0.25">
      <c r="A19" t="s">
        <v>1591</v>
      </c>
      <c r="B19" t="s">
        <v>1603</v>
      </c>
      <c r="C19" t="s">
        <v>1225</v>
      </c>
      <c r="D19" s="12">
        <v>46041</v>
      </c>
      <c r="E19" s="13">
        <v>4.96</v>
      </c>
      <c r="F19" s="12">
        <v>46054</v>
      </c>
      <c r="G19" s="4">
        <v>4.9800000000000004</v>
      </c>
      <c r="H19" s="3">
        <f t="shared" si="0"/>
        <v>4.0322580645162365E-3</v>
      </c>
      <c r="I19" s="20">
        <f t="shared" si="1"/>
        <v>647.74080000003414</v>
      </c>
      <c r="J19" s="21">
        <f t="shared" si="2"/>
        <v>2.0322580645162364E-3</v>
      </c>
      <c r="K19" s="13">
        <v>64260</v>
      </c>
      <c r="M19" s="4"/>
      <c r="N19" s="26"/>
      <c r="O19" s="11"/>
    </row>
    <row r="20" spans="1:15" x14ac:dyDescent="0.25">
      <c r="A20" t="s">
        <v>118</v>
      </c>
      <c r="B20" t="s">
        <v>354</v>
      </c>
      <c r="C20" t="s">
        <v>1225</v>
      </c>
      <c r="D20" s="2">
        <v>45786</v>
      </c>
      <c r="E20">
        <v>1.79</v>
      </c>
      <c r="F20" s="12">
        <v>46054</v>
      </c>
      <c r="G20" s="4">
        <v>1.86</v>
      </c>
      <c r="H20" s="3">
        <f t="shared" ref="H20:H21" si="3">G20/E20-1</f>
        <v>3.9106145251396773E-2</v>
      </c>
      <c r="I20" s="20">
        <f t="shared" ref="I20:I21" si="4">K20*E20*J20</f>
        <v>9689.0175000000327</v>
      </c>
      <c r="J20" s="21">
        <f t="shared" ref="J20:J21" si="5">H20-0.002</f>
        <v>3.7106145251396772E-2</v>
      </c>
      <c r="K20">
        <v>145875</v>
      </c>
      <c r="M20" s="4"/>
    </row>
    <row r="21" spans="1:15" x14ac:dyDescent="0.25">
      <c r="A21" t="s">
        <v>126</v>
      </c>
      <c r="B21" t="s">
        <v>379</v>
      </c>
      <c r="C21" t="s">
        <v>1225</v>
      </c>
      <c r="D21" s="2">
        <v>45786</v>
      </c>
      <c r="E21">
        <v>2.66</v>
      </c>
      <c r="F21" s="12">
        <v>46054</v>
      </c>
      <c r="G21" s="4">
        <v>3.01</v>
      </c>
      <c r="H21" s="3">
        <f t="shared" si="3"/>
        <v>0.13157894736842102</v>
      </c>
      <c r="I21" s="20">
        <f t="shared" si="4"/>
        <v>33864.120639999994</v>
      </c>
      <c r="J21" s="21">
        <f t="shared" si="5"/>
        <v>0.12957894736842102</v>
      </c>
      <c r="K21">
        <v>98248</v>
      </c>
      <c r="M21" s="4"/>
      <c r="N21" s="4"/>
    </row>
    <row r="22" spans="1:15"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c r="L22" s="4"/>
    </row>
    <row r="23" spans="1:15"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c r="L23" s="4"/>
    </row>
    <row r="24" spans="1:15"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c r="L24" s="4"/>
    </row>
    <row r="25" spans="1:15"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c r="L25" s="4"/>
    </row>
    <row r="26" spans="1:15" x14ac:dyDescent="0.25">
      <c r="A26" t="s">
        <v>114</v>
      </c>
      <c r="B26" t="s">
        <v>341</v>
      </c>
      <c r="C26" t="s">
        <v>1226</v>
      </c>
      <c r="D26" s="2">
        <v>45793</v>
      </c>
      <c r="E26">
        <v>3.31</v>
      </c>
      <c r="F26" s="12">
        <v>45999</v>
      </c>
      <c r="G26" s="24">
        <v>4.75</v>
      </c>
      <c r="H26" s="3">
        <f t="shared" ref="H26:H27" si="15">G26/E26-1</f>
        <v>0.43504531722054374</v>
      </c>
      <c r="I26" s="20">
        <f t="shared" ref="I26:I27" si="16">K26*E26*J26</f>
        <v>125905.23243999999</v>
      </c>
      <c r="J26" s="3">
        <f t="shared" ref="J26:J27" si="17">H26-0.002</f>
        <v>0.43304531722054374</v>
      </c>
      <c r="K26">
        <v>87838</v>
      </c>
      <c r="L26" s="4"/>
    </row>
    <row r="27" spans="1:15" x14ac:dyDescent="0.25">
      <c r="A27" t="s">
        <v>130</v>
      </c>
      <c r="B27" t="s">
        <v>393</v>
      </c>
      <c r="C27" t="s">
        <v>1226</v>
      </c>
      <c r="D27" s="2">
        <v>45660</v>
      </c>
      <c r="E27">
        <v>0.52570839999999996</v>
      </c>
      <c r="F27" s="12">
        <v>45999</v>
      </c>
      <c r="G27" s="24">
        <v>0.51500000000000001</v>
      </c>
      <c r="H27" s="3">
        <f t="shared" si="15"/>
        <v>-2.0369467179904177E-2</v>
      </c>
      <c r="I27" s="20">
        <f t="shared" si="16"/>
        <v>-6393.4595996559656</v>
      </c>
      <c r="J27" s="3">
        <f t="shared" si="17"/>
        <v>-2.2369467179904179E-2</v>
      </c>
      <c r="K27">
        <v>543670</v>
      </c>
      <c r="L27" s="4"/>
    </row>
    <row r="28" spans="1:15"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c r="L28" s="4"/>
    </row>
    <row r="29" spans="1:15"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c r="L29" s="4"/>
    </row>
    <row r="30" spans="1:15"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row>
    <row r="31" spans="1:15"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row>
    <row r="32" spans="1:15"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c r="L40" s="4"/>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c r="L41" s="4"/>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c r="L42" s="4"/>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c r="L44" s="4"/>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c r="L45" s="4"/>
      <c r="P45" s="15"/>
      <c r="R45" s="4"/>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c r="L47" s="4"/>
      <c r="P47" s="15"/>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8"/>
  <sheetViews>
    <sheetView tabSelected="1" topLeftCell="A1358" workbookViewId="0">
      <selection activeCell="W1368" sqref="W136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8"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2026-02-08T07:47:27Z</dcterms:modified>
</cp:coreProperties>
</file>