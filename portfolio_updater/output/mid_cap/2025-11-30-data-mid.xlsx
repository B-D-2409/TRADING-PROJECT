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417DFEC6-A6C6-470E-9E8F-A1BDA916B161}"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3" i="5" l="1"/>
  <c r="E1373" i="5" s="1"/>
  <c r="D1372" i="5"/>
  <c r="E1372" i="5" s="1"/>
  <c r="H1371" i="8"/>
  <c r="D1371" i="5"/>
  <c r="E1371" i="5" s="1"/>
  <c r="H11" i="6"/>
  <c r="J11" i="6" s="1"/>
  <c r="I11" i="6" s="1"/>
  <c r="H10" i="6"/>
  <c r="J10" i="6" s="1"/>
  <c r="I10" i="6" s="1"/>
  <c r="H1370" i="8"/>
  <c r="K3" i="3"/>
  <c r="K2" i="3"/>
  <c r="F2" i="2"/>
  <c r="F3" i="2"/>
  <c r="F4" i="2"/>
  <c r="F5" i="2"/>
  <c r="F6" i="2"/>
  <c r="F7" i="2"/>
  <c r="F8" i="2"/>
  <c r="F9"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c r="I31" i="6" s="1"/>
  <c r="K13" i="3"/>
  <c r="K12" i="3"/>
  <c r="K11" i="3"/>
  <c r="K10" i="3"/>
  <c r="K9" i="3"/>
  <c r="K8" i="3"/>
  <c r="K7" i="3"/>
  <c r="K6" i="3"/>
  <c r="K5" i="3"/>
  <c r="K4" i="3"/>
  <c r="D1366" i="5"/>
  <c r="E1366" i="5" s="1"/>
  <c r="H1365" i="8"/>
  <c r="D1365" i="5"/>
  <c r="E1365" i="5" s="1"/>
  <c r="H1364" i="8"/>
  <c r="D1364" i="5"/>
  <c r="E1364" i="5" s="1"/>
  <c r="H1363" i="8"/>
  <c r="D1363" i="5"/>
  <c r="E1363" i="5" s="1"/>
  <c r="H1362" i="8"/>
  <c r="D1362" i="5"/>
  <c r="E1362" i="5" s="1"/>
  <c r="H1361" i="8" l="1"/>
  <c r="D1361" i="5"/>
  <c r="E1361" i="5" s="1"/>
  <c r="H1360" i="8" l="1"/>
  <c r="K15" i="3"/>
  <c r="K14" i="3"/>
  <c r="D1360" i="5"/>
  <c r="E1360" i="5" s="1"/>
  <c r="H1359" i="8"/>
  <c r="D1359" i="5"/>
  <c r="E1359" i="5" s="1"/>
  <c r="H1358" i="8"/>
  <c r="K19" i="3"/>
  <c r="K18" i="3"/>
  <c r="K17" i="3"/>
  <c r="K16" i="3"/>
  <c r="D1358" i="5"/>
  <c r="E1358" i="5" s="1"/>
  <c r="H1357" i="8"/>
  <c r="D1357" i="5"/>
  <c r="E1357" i="5" s="1"/>
  <c r="H1356" i="8"/>
  <c r="D1356" i="5"/>
  <c r="E1356" i="5" s="1"/>
  <c r="H1355" i="8"/>
  <c r="C2" i="4"/>
  <c r="D1355" i="5"/>
  <c r="E1355" i="5" s="1"/>
  <c r="H1354" i="8"/>
  <c r="D1354" i="5"/>
  <c r="E1354" i="5" s="1"/>
  <c r="H1352" i="8" l="1"/>
  <c r="H1353" i="8"/>
  <c r="K20" i="3"/>
  <c r="K21" i="3"/>
  <c r="D1353" i="5"/>
  <c r="E1353" i="5" s="1"/>
  <c r="H1351" i="8"/>
  <c r="D1352" i="5"/>
  <c r="E1352" i="5" s="1"/>
  <c r="H2" i="6"/>
  <c r="J2" i="6" s="1"/>
  <c r="I2" i="6" s="1"/>
  <c r="H1350" i="8"/>
  <c r="K30" i="3"/>
  <c r="K27" i="3"/>
  <c r="K26" i="3"/>
  <c r="K25" i="3"/>
  <c r="K24" i="3" l="1"/>
  <c r="K23" i="3"/>
  <c r="K22" i="3"/>
  <c r="E1351" i="5"/>
  <c r="D1351" i="5"/>
  <c r="D1350" i="5"/>
  <c r="E1350" i="5" s="1"/>
  <c r="H1349" i="8"/>
  <c r="D1349" i="5"/>
  <c r="E1349" i="5" s="1"/>
  <c r="H1348" i="8"/>
  <c r="D1348" i="5"/>
  <c r="E1348" i="5" s="1"/>
  <c r="H1346" i="8"/>
  <c r="H1347" i="8" s="1"/>
  <c r="K28" i="3"/>
  <c r="K29" i="3"/>
  <c r="D1347" i="5"/>
  <c r="E1347" i="5" s="1"/>
  <c r="D1346" i="5"/>
  <c r="E1346" i="5" s="1"/>
  <c r="H1345" i="8"/>
  <c r="H9" i="6"/>
  <c r="J9" i="6" s="1"/>
  <c r="I9" i="6" s="1"/>
  <c r="D1345" i="5"/>
  <c r="E1345" i="5" s="1"/>
  <c r="K36" i="3"/>
  <c r="K37" i="3"/>
  <c r="K38" i="3"/>
  <c r="K39" i="3"/>
  <c r="K40" i="3"/>
  <c r="D1344" i="5"/>
  <c r="E1344" i="5" s="1"/>
  <c r="H1344" i="8"/>
  <c r="D1343" i="5"/>
  <c r="E1343" i="5" s="1"/>
  <c r="H1343" i="8"/>
  <c r="K31" i="3"/>
  <c r="K32" i="3"/>
  <c r="D1342" i="5"/>
  <c r="E1342" i="5" s="1"/>
  <c r="D1341" i="5"/>
  <c r="E1341" i="5" s="1"/>
  <c r="H1341" i="8"/>
  <c r="H1342" i="8"/>
  <c r="D1339" i="5"/>
  <c r="E1339" i="5" s="1"/>
  <c r="D1340" i="5"/>
  <c r="E1340" i="5" s="1"/>
  <c r="K33" i="3"/>
  <c r="K34" i="3"/>
  <c r="H1339" i="8"/>
  <c r="H1340" i="8" s="1"/>
  <c r="D1338" i="5"/>
  <c r="E1338" i="5" s="1"/>
  <c r="H1338" i="8"/>
  <c r="H3" i="6"/>
  <c r="J3" i="6" s="1"/>
  <c r="I3" i="6" s="1"/>
  <c r="H4" i="6"/>
  <c r="J4" i="6" s="1"/>
  <c r="I4" i="6" s="1"/>
  <c r="H5" i="6"/>
  <c r="J5" i="6" s="1"/>
  <c r="I5" i="6" s="1"/>
  <c r="H6" i="6"/>
  <c r="J6" i="6" s="1"/>
  <c r="I6" i="6" s="1"/>
  <c r="H7" i="6"/>
  <c r="J7" i="6" s="1"/>
  <c r="I7" i="6" s="1"/>
  <c r="H8" i="6"/>
  <c r="J8" i="6" s="1"/>
  <c r="I8"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35"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<sst xmlns="http://schemas.openxmlformats.org/spreadsheetml/2006/main" count="3870" uniqueCount="1568">
  <si>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</si>
  <si>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</si>
  <si>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</si>
  <si>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</si>
  <si>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</si>
  <si>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</si>
  <si>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</si>
  <si>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</si>
  <si>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</si>
  <si>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</si>
  <si>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</si>
  <si>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</si>
  <si>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</si>
  <si>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</si>
  <si>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</si>
  <si>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</si>
  <si>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</si>
  <si>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</si>
  <si>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</si>
  <si>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</si>
  <si>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</si>
  <si>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</si>
  <si>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</si>
  <si>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</si>
  <si>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</si>
  <si>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</si>
  <si>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</si>
  <si>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</si>
  <si>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</si>
  <si>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</si>
  <si>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</si>
  <si>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</si>
  <si>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</si>
  <si>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</si>
  <si>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</si>
  <si>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</si>
  <si>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</si>
  <si>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</si>
  <si>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</si>
  <si>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</si>
  <si>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</si>
  <si>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</si>
  <si>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</si>
  <si>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</si>
  <si>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</si>
  <si>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</si>
  <si>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</si>
  <si>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</si>
  <si>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</si>
  <si>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</si>
  <si>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</si>
  <si>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</si>
  <si>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</si>
  <si>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</si>
  <si>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</si>
  <si>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</si>
  <si>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</si>
  <si>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</si>
  <si>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</si>
  <si>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</si>
  <si>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</si>
  <si>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</si>
  <si>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</si>
  <si>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</si>
  <si>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</si>
  <si>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</si>
  <si>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</si>
  <si>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</si>
  <si>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</si>
  <si>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</si>
  <si>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</si>
  <si>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</si>
  <si>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</si>
  <si>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</si>
  <si>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</si>
  <si>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</si>
  <si>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</si>
  <si>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</si>
  <si>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</si>
  <si>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</si>
  <si>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</si>
  <si>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</si>
  <si>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</si>
  <si>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</si>
  <si>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</si>
  <si>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</si>
  <si>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</si>
  <si>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</si>
  <si>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</si>
  <si>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</si>
  <si>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</si>
  <si>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</si>
  <si>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</si>
  <si>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</si>
  <si>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</si>
  <si>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</si>
  <si>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</si>
  <si>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</si>
  <si>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</si>
  <si>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</si>
  <si>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</si>
  <si>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</si>
  <si>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</si>
  <si>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</si>
  <si>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</si>
  <si>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</si>
  <si>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</si>
  <si>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</si>
  <si>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</si>
  <si>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</si>
  <si>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</si>
  <si>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</si>
  <si>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</si>
  <si>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</si>
  <si>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</si>
  <si>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</si>
  <si>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</si>
  <si>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</si>
  <si>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</si>
  <si>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</si>
  <si>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</si>
  <si>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</si>
  <si>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</si>
  <si>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</si>
  <si>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</si>
  <si>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</si>
  <si>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</si>
  <si>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</si>
  <si>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</si>
  <si>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</si>
  <si>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</si>
  <si>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</si>
  <si>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</si>
  <si>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</si>
  <si>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</si>
  <si>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</si>
  <si>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</si>
  <si>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</si>
  <si>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</si>
  <si>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</si>
  <si>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</si>
  <si>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</si>
  <si>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</si>
  <si>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</si>
  <si>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</si>
  <si>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</si>
  <si>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</si>
  <si>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</si>
  <si>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</si>
  <si>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</si>
  <si>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</si>
  <si>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</si>
  <si>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</si>
  <si>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</si>
  <si>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</si>
  <si>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</si>
  <si>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</si>
  <si>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</si>
  <si>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</si>
  <si>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</si>
  <si>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</si>
  <si>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</si>
  <si>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</si>
  <si>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</si>
  <si>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</si>
  <si>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</si>
  <si>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</si>
  <si>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</si>
  <si>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</si>
  <si>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</si>
  <si>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</si>
  <si>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</si>
  <si>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</si>
  <si>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</si>
  <si>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</si>
  <si>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</si>
  <si>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</si>
  <si>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</si>
  <si>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</si>
  <si>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</si>
  <si>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</si>
  <si>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</si>
  <si>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</si>
  <si>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</si>
  <si>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</si>
  <si>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</si>
  <si>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</si>
  <si>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</si>
  <si>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</si>
  <si>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</si>
  <si>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</si>
  <si>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</si>
  <si>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</si>
  <si>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</si>
  <si>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</si>
  <si>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</si>
  <si>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</si>
  <si>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</si>
  <si>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</si>
  <si>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</si>
  <si>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</si>
  <si>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</si>
  <si>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</si>
  <si>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</si>
  <si>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</si>
  <si>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</si>
  <si>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</si>
  <si>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</si>
  <si>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</si>
  <si>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</si>
  <si>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</si>
  <si>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</si>
  <si>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</si>
  <si>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</si>
  <si>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</si>
  <si>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</si>
  <si>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</si>
  <si>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</si>
  <si>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</si>
  <si>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</si>
  <si>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</si>
  <si>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</si>
  <si>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</si>
  <si>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</si>
  <si>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</si>
  <si>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</si>
  <si>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</si>
  <si>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</si>
  <si>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</si>
  <si>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</si>
  <si>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</si>
  <si>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</si>
  <si>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</si>
  <si>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</si>
  <si>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</si>
  <si>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</si>
  <si>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</si>
  <si>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</si>
  <si>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</si>
  <si>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</si>
  <si>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</si>
  <si>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</si>
  <si>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</si>
  <si>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</si>
  <si>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</si>
  <si>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</si>
  <si>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</si>
  <si>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</si>
  <si>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</si>
  <si>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</si>
  <si>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</si>
  <si>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</si>
  <si>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</si>
  <si>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</si>
  <si>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</si>
  <si>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</si>
  <si>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</si>
  <si>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</si>
  <si>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</si>
  <si>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</si>
  <si>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</si>
  <si>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</si>
  <si>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</si>
  <si>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</si>
  <si>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</si>
  <si>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</si>
  <si>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</si>
  <si>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</si>
  <si>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</si>
  <si>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</si>
  <si>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</si>
  <si>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</si>
  <si>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</si>
  <si>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</si>
  <si>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</si>
  <si>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</si>
  <si>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</si>
  <si>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</si>
  <si>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</si>
  <si>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</si>
  <si>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</si>
  <si>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</si>
  <si>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</si>
  <si>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</si>
  <si>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</si>
  <si>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</si>
  <si>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</si>
  <si>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</si>
  <si>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</si>
  <si>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</si>
  <si>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</si>
  <si>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</si>
  <si>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</si>
  <si>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</si>
  <si>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</si>
  <si>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</si>
  <si>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</si>
  <si>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</si>
  <si>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</si>
  <si>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</si>
  <si>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</si>
  <si>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</si>
  <si>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</si>
  <si>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</si>
  <si>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</si>
  <si>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</si>
  <si>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</si>
  <si>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</si>
  <si>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</si>
  <si>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</si>
  <si>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</si>
  <si>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</si>
  <si>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</si>
  <si>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</si>
  <si>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</si>
  <si>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</si>
  <si>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</si>
  <si>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</si>
  <si>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</si>
  <si>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</si>
  <si>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</si>
  <si>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</si>
  <si>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</si>
  <si>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</si>
  <si>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</si>
  <si>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</si>
  <si>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</si>
  <si>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</si>
  <si>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</si>
  <si>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</si>
  <si>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</si>
  <si>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</si>
  <si>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</si>
  <si>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</si>
  <si>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</si>
  <si>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</si>
  <si>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</si>
  <si>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</si>
  <si>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</si>
  <si>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</si>
  <si>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</si>
  <si>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</si>
  <si>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</si>
  <si>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</si>
  <si>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</si>
  <si>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</si>
  <si>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</si>
  <si>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</si>
  <si>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</si>
  <si>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</si>
  <si>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</si>
  <si>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</si>
  <si>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</si>
  <si>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</si>
  <si>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</si>
  <si>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</si>
  <si>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</si>
  <si>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</si>
  <si>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</si>
  <si>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</si>
  <si>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</si>
  <si>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</si>
  <si>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</si>
  <si>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</si>
  <si>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</si>
  <si>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</si>
  <si>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</si>
  <si>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</si>
  <si>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</si>
  <si>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</si>
  <si>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</si>
  <si>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</si>
  <si>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</si>
  <si>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</si>
  <si>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</si>
  <si>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</si>
  <si>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</si>
  <si>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</si>
  <si>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</si>
  <si>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</si>
  <si>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</si>
  <si>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</si>
  <si>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</si>
  <si>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</si>
  <si>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</si>
  <si>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</si>
  <si>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</si>
  <si>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</si>
  <si>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</si>
  <si>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</si>
  <si>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</si>
  <si>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</si>
  <si>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</si>
  <si>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</si>
  <si>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</si>
  <si>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</si>
  <si>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</si>
  <si>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</si>
  <si>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</si>
  <si>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</si>
  <si>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</si>
  <si>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</si>
  <si>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</si>
  <si>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</si>
  <si>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</si>
  <si>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</si>
  <si>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</si>
  <si>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</si>
  <si>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</si>
  <si>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</si>
  <si>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</si>
  <si>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</si>
  <si>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</si>
  <si>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</si>
  <si>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</si>
  <si>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</si>
  <si>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</si>
  <si>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</si>
  <si>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</si>
  <si>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</si>
  <si>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</si>
  <si>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</si>
  <si>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</si>
  <si>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</si>
  <si>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</si>
  <si>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</si>
  <si>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</si>
  <si>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</si>
  <si>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</si>
  <si>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</si>
  <si>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</si>
  <si>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</si>
  <si>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</si>
  <si>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</si>
  <si>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</si>
  <si>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</si>
  <si>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</si>
  <si>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</si>
  <si>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</si>
  <si>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</si>
  <si>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</si>
  <si>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</si>
  <si>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</si>
  <si>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</si>
  <si>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</si>
  <si>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</si>
  <si>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</si>
  <si>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</si>
  <si>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</si>
  <si>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</si>
  <si>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</si>
  <si>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</si>
  <si>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</si>
  <si>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</si>
  <si>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</si>
  <si>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</si>
  <si>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</si>
  <si>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</si>
  <si>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</si>
  <si>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</si>
  <si>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</si>
  <si>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</si>
  <si>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</si>
  <si>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</si>
  <si>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</si>
  <si>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</si>
  <si>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</si>
  <si>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</si>
  <si>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</si>
  <si>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</si>
  <si>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</si>
  <si>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</si>
  <si>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</si>
  <si>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</si>
  <si>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</si>
  <si>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</si>
  <si>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</si>
  <si>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</si>
  <si>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</si>
  <si>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</si>
  <si>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</si>
  <si>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</si>
  <si>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</si>
  <si>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</si>
  <si>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</si>
  <si>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</si>
  <si>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</si>
  <si>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</si>
  <si>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</si>
  <si>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</si>
  <si>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</si>
  <si>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</si>
  <si>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</si>
  <si>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</si>
  <si>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</si>
  <si>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</si>
  <si>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</si>
  <si>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</si>
  <si>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</si>
  <si>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</si>
  <si>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</si>
  <si>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</si>
  <si>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</si>
  <si>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</si>
  <si>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</si>
  <si>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</si>
  <si>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</si>
  <si>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</si>
  <si>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</si>
  <si>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</si>
  <si>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</si>
  <si>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</si>
  <si>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</si>
  <si>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</si>
  <si>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</si>
  <si>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</si>
  <si>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</si>
  <si>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</si>
  <si>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</si>
  <si>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</si>
  <si>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</si>
  <si>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</si>
  <si>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</si>
  <si>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</si>
  <si>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</si>
  <si>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</si>
  <si>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</si>
  <si>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</si>
  <si>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</si>
  <si>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</si>
  <si>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</si>
  <si>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</si>
  <si>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</si>
  <si>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</si>
  <si>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</si>
  <si>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</si>
  <si>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</si>
  <si>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</si>
  <si>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</si>
  <si>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</si>
  <si>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</si>
  <si>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</si>
  <si>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</si>
  <si>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</si>
  <si>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</si>
  <si>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</si>
  <si>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</si>
  <si>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</si>
  <si>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</si>
  <si>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</si>
  <si>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</si>
  <si>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</si>
  <si>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</si>
  <si>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</si>
  <si>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</si>
  <si>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</si>
  <si>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</si>
  <si>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</si>
  <si>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</si>
  <si>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</si>
  <si>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</si>
  <si>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</si>
  <si>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</si>
  <si>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</si>
  <si>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</si>
  <si>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</si>
  <si>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</si>
  <si>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</si>
  <si>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</si>
  <si>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</si>
  <si>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</si>
  <si>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</si>
  <si>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</si>
  <si>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</si>
  <si>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</si>
  <si>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</si>
  <si>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</si>
  <si>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</si>
  <si>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</si>
  <si>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</si>
  <si>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</si>
  <si>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</si>
  <si>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</si>
  <si>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</si>
  <si>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</si>
  <si>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</si>
  <si>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</si>
  <si>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</si>
  <si>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</si>
  <si>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</si>
  <si>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</si>
  <si>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</si>
  <si>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</si>
  <si>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</si>
  <si>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</si>
  <si>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</si>
  <si>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</si>
  <si>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</si>
  <si>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</si>
  <si>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</si>
  <si>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</si>
  <si>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</si>
  <si>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</si>
  <si>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</si>
  <si>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</si>
  <si>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</si>
  <si>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</si>
  <si>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</si>
  <si>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</si>
  <si>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</si>
  <si>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</si>
  <si>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</si>
  <si>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</si>
  <si>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</si>
  <si>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</si>
  <si>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</si>
  <si>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</si>
  <si>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</si>
  <si>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</si>
  <si>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</si>
  <si>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</si>
  <si>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</si>
  <si>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</si>
  <si>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</si>
  <si>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</si>
  <si>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</si>
  <si>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</si>
  <si>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</si>
  <si>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</si>
  <si>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</si>
  <si>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</si>
  <si>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</si>
  <si>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</si>
  <si>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</si>
  <si>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</si>
  <si>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</si>
  <si>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</si>
  <si>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</si>
  <si>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</si>
  <si>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</si>
  <si>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</si>
  <si>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</si>
  <si>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</si>
  <si>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</si>
  <si>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</si>
  <si>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</si>
  <si>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</si>
  <si>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</si>
  <si>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</si>
  <si>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</si>
  <si>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</si>
  <si>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</si>
  <si>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</si>
  <si>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</si>
  <si>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</si>
  <si>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</si>
  <si>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</si>
  <si>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</si>
  <si>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</si>
  <si>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</si>
  <si>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</si>
  <si>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</si>
  <si>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</si>
  <si>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</si>
  <si>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</si>
  <si>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</si>
  <si>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</si>
  <si>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</si>
  <si>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</si>
  <si>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</si>
  <si>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</si>
  <si>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</si>
  <si>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</si>
  <si>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</si>
  <si>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</si>
  <si>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</si>
  <si>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</si>
  <si>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</si>
  <si>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</si>
  <si>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</si>
  <si>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</si>
  <si>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</si>
  <si>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</si>
  <si>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</si>
  <si>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</si>
  <si>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</si>
  <si>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</si>
  <si>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</si>
  <si>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</si>
  <si>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</si>
  <si>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</si>
  <si>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</si>
  <si>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</si>
  <si>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</si>
  <si>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</si>
  <si>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</si>
  <si>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</si>
  <si>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</si>
  <si>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</si>
  <si>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</si>
  <si>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</si>
  <si>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</si>
  <si>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</si>
  <si>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</si>
  <si>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</si>
  <si>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</si>
  <si>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</si>
  <si>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</si>
  <si>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</si>
  <si>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</si>
  <si>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</si>
  <si>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</si>
  <si>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</si>
  <si>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</si>
  <si>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</si>
  <si>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</si>
  <si>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</si>
  <si>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</si>
  <si>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</si>
  <si>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</si>
  <si>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</si>
  <si>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</si>
  <si>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</si>
  <si>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</si>
  <si>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</si>
  <si>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</si>
  <si>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</si>
  <si>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</si>
  <si>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</si>
  <si>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</si>
  <si>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</si>
  <si>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</si>
  <si>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</si>
  <si>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</si>
  <si>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</si>
  <si>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</si>
  <si>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</si>
  <si>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</si>
  <si>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</si>
  <si>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</si>
  <si>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</si>
  <si>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</si>
  <si>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</si>
  <si>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</si>
  <si>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</si>
  <si>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</si>
  <si>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</si>
  <si>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</si>
  <si>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</si>
  <si>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</si>
  <si>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</si>
  <si>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</si>
  <si>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</si>
  <si>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</si>
  <si>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</si>
  <si>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</si>
  <si>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</si>
  <si>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</si>
  <si>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</si>
  <si>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</si>
  <si>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</si>
  <si>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</si>
  <si>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</si>
  <si>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</si>
  <si>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</si>
  <si>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</si>
  <si>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</si>
  <si>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</si>
  <si>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</si>
  <si>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</si>
  <si>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</si>
  <si>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</si>
  <si>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</si>
  <si>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</si>
  <si>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</si>
  <si>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</si>
  <si>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</si>
  <si>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</si>
  <si>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</si>
  <si>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</si>
  <si>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</si>
  <si>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</si>
  <si>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</si>
  <si>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</si>
  <si>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</si>
  <si>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</si>
  <si>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</si>
  <si>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</si>
  <si>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</si>
  <si>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</si>
  <si>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</si>
  <si>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</si>
  <si>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</si>
  <si>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</si>
  <si>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</si>
  <si>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</si>
  <si>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</si>
  <si>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</si>
  <si>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</si>
  <si>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</si>
  <si>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</si>
  <si>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</si>
  <si>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</si>
  <si>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</si>
  <si>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</si>
  <si>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</si>
  <si>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</si>
  <si>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</si>
  <si>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</si>
  <si>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</si>
  <si>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</si>
  <si>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</si>
  <si>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</si>
  <si>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</si>
  <si>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</si>
  <si>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</si>
  <si>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</si>
  <si>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</si>
  <si>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</si>
  <si>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</si>
  <si>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</si>
  <si>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</si>
  <si>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</si>
  <si>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</si>
  <si>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</si>
  <si>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</si>
  <si>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</si>
  <si>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</si>
  <si>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</si>
  <si>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</si>
  <si>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</si>
  <si>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</si>
  <si>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</si>
  <si>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</si>
  <si>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</si>
  <si>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</si>
  <si>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</si>
  <si>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</si>
  <si>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</si>
  <si>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</si>
  <si>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</si>
  <si>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</si>
  <si>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</si>
  <si>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</si>
  <si>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</si>
  <si>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</si>
  <si>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</si>
  <si>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</si>
  <si>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</si>
  <si>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</si>
  <si>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</si>
  <si>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</si>
  <si>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</si>
  <si>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</si>
  <si>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</si>
  <si>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</si>
  <si>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</si>
  <si>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</si>
  <si>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</si>
  <si>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</si>
  <si>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</si>
  <si>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</si>
  <si>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</si>
  <si>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</si>
  <si>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</si>
  <si>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</si>
  <si>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</si>
  <si>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</si>
  <si>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</si>
  <si>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</si>
  <si>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</si>
  <si>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</si>
  <si>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</si>
  <si>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</si>
  <si>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</si>
  <si>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</si>
  <si>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</si>
  <si>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</si>
  <si>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</si>
  <si>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</si>
  <si>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</si>
  <si>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</si>
  <si>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</si>
  <si>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</si>
  <si>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</si>
  <si>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</si>
  <si>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</si>
  <si>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</si>
  <si>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</si>
  <si>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</si>
  <si>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</si>
  <si>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</si>
  <si>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</si>
  <si>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</si>
  <si>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</si>
  <si>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</si>
  <si>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</si>
  <si>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</si>
  <si>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</si>
  <si>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</si>
  <si>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</si>
  <si>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</si>
  <si>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</si>
  <si>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</si>
  <si>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</si>
  <si>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</si>
  <si>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</si>
  <si>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</si>
  <si>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</si>
  <si>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</si>
  <si>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</si>
  <si>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</si>
  <si>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</si>
  <si>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</si>
  <si>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</si>
  <si>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</si>
  <si>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</si>
  <si>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</si>
  <si>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</si>
  <si>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</si>
  <si>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</si>
  <si>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</si>
  <si>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</si>
  <si>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</si>
  <si>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</si>
  <si>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</si>
  <si>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</si>
  <si>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</si>
  <si>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</si>
  <si>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</si>
  <si>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</si>
  <si>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</si>
  <si>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</si>
  <si>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</si>
  <si>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</si>
  <si>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</si>
  <si>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</si>
  <si>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</si>
  <si>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</si>
  <si>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</si>
  <si>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</si>
  <si>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</si>
  <si>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</si>
  <si>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</si>
  <si>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</si>
  <si>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</si>
  <si>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</si>
  <si>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</si>
  <si>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</si>
  <si>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</si>
  <si>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</si>
  <si>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</si>
  <si>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</si>
  <si>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</si>
  <si>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</si>
  <si>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</si>
  <si>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</si>
  <si>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</si>
  <si>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</si>
  <si>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</si>
  <si>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</si>
  <si>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</si>
  <si>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</si>
  <si>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</si>
  <si>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</si>
  <si>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</si>
  <si>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</si>
  <si>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</si>
  <si>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</si>
  <si>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</si>
  <si>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</si>
  <si>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</si>
  <si>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</si>
  <si>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</si>
  <si>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</si>
  <si>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</si>
  <si>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</si>
  <si>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</si>
  <si>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</si>
  <si>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</si>
  <si>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</si>
  <si>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</si>
  <si>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</si>
  <si>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</si>
  <si>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</si>
  <si>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</si>
  <si>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</si>
  <si>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</si>
  <si>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</si>
  <si>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</si>
  <si>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</si>
  <si>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</si>
  <si>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</si>
  <si>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</si>
  <si>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</si>
  <si>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</si>
  <si>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</si>
  <si>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</si>
  <si>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</si>
  <si>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</si>
  <si>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</si>
  <si>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</si>
  <si>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</si>
  <si>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</si>
  <si>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</si>
  <si>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</si>
  <si>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</si>
  <si>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</si>
  <si>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</si>
  <si>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</si>
  <si>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</si>
  <si>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</si>
  <si>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</si>
  <si>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</si>
  <si>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</si>
  <si>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</si>
  <si>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</si>
  <si>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</si>
  <si>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</si>
  <si>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</si>
  <si>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</si>
  <si>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</si>
  <si>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</si>
  <si>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</si>
  <si>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</si>
  <si>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</si>
  <si>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</si>
  <si>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</si>
  <si>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</si>
  <si>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</si>
  <si>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</si>
  <si>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</si>
  <si>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</si>
  <si>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</si>
  <si>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</si>
  <si>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</si>
  <si>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</si>
  <si>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</si>
  <si>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</si>
  <si>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</si>
  <si>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</si>
  <si>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</si>
  <si>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</si>
  <si>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</si>
  <si>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</si>
  <si>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</si>
  <si>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</si>
  <si>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</si>
  <si>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</si>
  <si>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</si>
  <si>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</si>
  <si>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</si>
  <si>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</si>
  <si>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</si>
  <si>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</si>
  <si>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</si>
  <si>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</si>
  <si>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</si>
  <si>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</si>
  <si>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</si>
  <si>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</si>
  <si>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</si>
  <si>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</si>
  <si>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</si>
  <si>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</si>
  <si>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</si>
  <si>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</si>
  <si>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</si>
  <si>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</si>
  <si>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</si>
  <si>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</si>
  <si>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</si>
  <si>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</si>
  <si>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</si>
  <si>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</si>
  <si>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</si>
  <si>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</si>
  <si>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</si>
  <si>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</si>
  <si>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</si>
  <si>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</si>
  <si>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</si>
  <si>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</si>
  <si>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</si>
  <si>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</si>
  <si>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</si>
  <si>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</si>
  <si>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</si>
  <si>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</si>
  <si>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</si>
  <si>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</si>
  <si>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</si>
  <si>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</si>
  <si>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</si>
  <si>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</si>
  <si>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</si>
  <si>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</si>
  <si>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</si>
  <si>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</si>
  <si>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</si>
  <si>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</si>
  <si>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</si>
  <si>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</si>
  <si>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</si>
  <si>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</si>
  <si>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</si>
  <si>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</si>
  <si>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</si>
  <si>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</si>
  <si>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</si>
  <si>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</si>
  <si>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</si>
  <si>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</si>
  <si>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</si>
  <si>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</si>
  <si>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</si>
  <si>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</si>
  <si>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</si>
  <si>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</si>
  <si>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</si>
  <si>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</si>
  <si>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</si>
  <si>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</si>
  <si>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</si>
  <si>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</si>
  <si>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</si>
  <si>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</si>
  <si>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</si>
  <si>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</si>
  <si>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</si>
  <si>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</si>
  <si>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</si>
  <si>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</si>
  <si>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</si>
  <si>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</si>
  <si>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</si>
  <si>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</si>
  <si>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</si>
  <si>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</si>
  <si>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</si>
  <si>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</si>
  <si>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</si>
  <si>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</si>
  <si>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</si>
  <si>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</si>
  <si>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</si>
  <si>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</si>
  <si>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</si>
  <si>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</si>
  <si>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</si>
  <si>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</si>
  <si>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</si>
  <si>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</si>
  <si>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</si>
  <si>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</si>
  <si>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</si>
  <si>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</si>
  <si>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</si>
  <si>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</si>
  <si>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</si>
  <si>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</si>
  <si>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</si>
  <si>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</si>
  <si>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</si>
  <si>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</si>
  <si>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</si>
  <si>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</si>
  <si>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</si>
  <si>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</si>
  <si>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</si>
  <si>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</si>
  <si>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</si>
  <si>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</si>
  <si>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</si>
  <si>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</si>
  <si>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</si>
  <si>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</si>
  <si>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</si>
  <si>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</si>
  <si>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</si>
  <si>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</si>
  <si>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</si>
  <si>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</si>
  <si>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</si>
  <si>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</si>
  <si>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</si>
  <si>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</si>
  <si>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</si>
  <si>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</si>
  <si>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</si>
  <si>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</si>
  <si>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</si>
  <si>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</si>
  <si>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</si>
  <si>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</si>
  <si>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</si>
  <si>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</si>
  <si>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</si>
  <si>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</si>
  <si>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</si>
  <si>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</si>
  <si>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</si>
  <si>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</si>
  <si>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</si>
  <si>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</si>
  <si>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</si>
  <si>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</si>
  <si>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</si>
  <si>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</si>
  <si>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</si>
  <si>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</si>
  <si>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</si>
  <si>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</si>
  <si>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</si>
  <si>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</si>
  <si>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</si>
  <si>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</si>
  <si>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</si>
  <si>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</si>
  <si>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</si>
  <si>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</si>
  <si>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</si>
  <si>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</si>
  <si>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</si>
  <si>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</si>
  <si>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</si>
  <si>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</si>
  <si>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</si>
  <si>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</si>
  <si>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</si>
  <si>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</si>
  <si>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</si>
  <si>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</si>
  <si>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</si>
  <si>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</si>
  <si>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</si>
  <si>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</si>
  <si>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</si>
  <si>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</si>
  <si>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</si>
  <si>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</si>
  <si>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</si>
  <si>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</si>
  <si>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</si>
  <si>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</si>
  <si>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</si>
  <si>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</si>
  <si>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</si>
  <si>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</si>
  <si>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</si>
  <si>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</si>
  <si>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</si>
  <si>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</si>
  <si>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</si>
  <si>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</si>
  <si>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</si>
  <si>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</si>
  <si>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</si>
  <si>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</si>
  <si>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</si>
  <si>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</si>
  <si>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</si>
  <si>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</si>
  <si>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</si>
  <si>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</si>
  <si>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</si>
  <si>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</si>
  <si>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</si>
  <si>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</si>
  <si>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</si>
  <si>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</si>
  <si>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</si>
  <si>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</si>
  <si>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</si>
  <si>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</si>
  <si>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</si>
  <si>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</si>
  <si>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</si>
  <si>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</si>
  <si>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</si>
  <si>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</si>
  <si>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</si>
  <si>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</si>
  <si>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</si>
  <si>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</si>
  <si>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</si>
  <si>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</si>
  <si>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</si>
  <si>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</si>
  <si>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</si>
  <si>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</si>
  <si>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</si>
  <si>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</si>
  <si>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</si>
  <si>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</si>
  <si>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</si>
  <si>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</si>
  <si>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</si>
  <si>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</si>
  <si>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</si>
  <si>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</si>
  <si>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</si>
  <si>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</si>
  <si>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</si>
  <si>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</si>
  <si>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</si>
  <si>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</si>
  <si>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</si>
  <si>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</si>
  <si>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</si>
  <si>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</si>
  <si>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</si>
  <si>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</si>
  <si>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</si>
  <si>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</si>
  <si>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</si>
  <si>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</si>
  <si>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</si>
  <si>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</si>
  <si>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</si>
  <si>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</si>
  <si>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</si>
  <si>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</si>
  <si>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</si>
  <si>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</si>
  <si>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</si>
  <si>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</si>
  <si>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</si>
  <si>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</si>
  <si>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</si>
  <si>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</si>
  <si>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</si>
  <si>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</si>
  <si>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</si>
  <si>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</si>
  <si>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</si>
  <si>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</si>
  <si>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</si>
  <si>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</si>
  <si>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</si>
  <si>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</si>
  <si>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</si>
  <si>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</si>
  <si>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</si>
  <si>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</si>
  <si>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</si>
  <si>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</si>
  <si>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</si>
  <si>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</si>
  <si>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</si>
  <si>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</si>
  <si>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</si>
  <si>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</si>
  <si>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</si>
  <si>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</si>
  <si>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</si>
  <si>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</si>
  <si>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</si>
  <si>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</si>
  <si>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</si>
  <si>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</si>
  <si>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</si>
  <si>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</si>
  <si>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</si>
  <si>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</si>
  <si>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</si>
  <si>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</si>
  <si>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</si>
  <si>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</si>
  <si>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</si>
  <si>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</si>
  <si>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</si>
  <si>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</si>
  <si>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</si>
  <si>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</si>
  <si>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</si>
  <si>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</si>
  <si>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</si>
  <si>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</si>
  <si>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</si>
  <si>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</si>
  <si>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</si>
  <si>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</si>
  <si>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</si>
  <si>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</si>
  <si>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</si>
  <si>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</si>
  <si>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</si>
  <si>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</si>
  <si>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</si>
  <si>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</si>
  <si>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</si>
  <si>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</si>
  <si>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</si>
  <si>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</si>
  <si>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</si>
  <si>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</si>
  <si>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</si>
  <si>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</si>
  <si>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</si>
  <si>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</si>
  <si>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</si>
  <si>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</si>
  <si>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</si>
  <si>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</si>
  <si>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</si>
  <si>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</si>
  <si>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</si>
  <si>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</si>
  <si>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</si>
  <si>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</si>
  <si>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</si>
  <si>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</si>
  <si>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</si>
  <si>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</si>
  <si>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</si>
  <si>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</si>
  <si>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</si>
  <si>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</si>
  <si>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</si>
  <si>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</si>
  <si>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</si>
  <si>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</si>
  <si>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</si>
  <si>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</si>
  <si>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</si>
  <si>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</si>
  <si>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</si>
  <si>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</si>
  <si>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</si>
  <si>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</si>
  <si>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</si>
  <si>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</si>
  <si>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</si>
  <si>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</si>
  <si>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</si>
  <si>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</si>
  <si>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</si>
  <si>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</si>
  <si>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</si>
  <si>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</si>
  <si>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</si>
  <si>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</si>
  <si>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</si>
  <si>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</si>
  <si>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</si>
  <si>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</si>
  <si>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</si>
  <si>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</si>
  <si>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</si>
  <si>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</si>
  <si>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</si>
  <si>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</si>
  <si>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</si>
  <si>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</si>
  <si>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</si>
  <si>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</si>
  <si>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</si>
  <si>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</si>
  <si>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</si>
  <si>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</si>
  <si>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</si>
  <si>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</si>
  <si>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</si>
  <si>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</si>
  <si>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</si>
  <si>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</si>
  <si>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</si>
  <si>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</si>
  <si>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$2.2B</t>
  </si>
  <si>
    <t>2708.8x</t>
  </si>
  <si>
    <t>KCN.au</t>
  </si>
  <si>
    <t>IGL.au</t>
  </si>
  <si>
    <t>$2.8B</t>
  </si>
  <si>
    <t>48.8x</t>
  </si>
  <si>
    <t>PPM.au</t>
  </si>
  <si>
    <t>AIZ.au</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</si>
  <si>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</si>
  <si>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</si>
  <si>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</si>
  <si>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</si>
  <si>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</si>
  <si>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</si>
  <si>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</si>
  <si>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</si>
  <si>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</si>
  <si>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</si>
  <si>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</si>
  <si>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</si>
  <si>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</si>
  <si>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</si>
  <si>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</si>
  <si>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</si>
  <si>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</si>
  <si>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</si>
  <si>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</si>
  <si>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</si>
  <si>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</si>
  <si>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</si>
  <si>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</si>
  <si>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</si>
  <si>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</si>
  <si>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</si>
  <si>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</si>
  <si>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</si>
  <si>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</si>
  <si>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</si>
  <si>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</si>
  <si>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</si>
  <si>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</si>
  <si>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</si>
  <si>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</si>
  <si>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</si>
  <si>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</si>
  <si>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</si>
  <si>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</si>
  <si>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</si>
  <si>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</si>
  <si>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</si>
  <si>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</si>
  <si>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</si>
  <si>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</si>
  <si>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</si>
  <si>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</si>
  <si>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</si>
  <si>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</si>
  <si>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</si>
  <si>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</si>
  <si>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</si>
  <si>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</si>
  <si>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</si>
  <si>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</si>
  <si>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</si>
  <si>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</si>
  <si>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</si>
  <si>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</si>
  <si>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</si>
  <si>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</si>
  <si>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</si>
  <si>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</si>
  <si>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</si>
  <si>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</si>
  <si>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</si>
  <si>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</si>
  <si>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</si>
  <si>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</si>
  <si>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</si>
  <si>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</si>
  <si>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</si>
  <si>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</si>
  <si>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</si>
  <si>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</si>
  <si>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</si>
  <si>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</si>
  <si>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</si>
  <si>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</si>
  <si>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</si>
  <si>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</si>
  <si>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</si>
  <si>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</si>
  <si>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</si>
  <si>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</si>
  <si>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11.5x</t>
  </si>
  <si>
    <t>5.6x</t>
  </si>
  <si>
    <t>26.8x</t>
  </si>
  <si>
    <t>12.5x</t>
  </si>
  <si>
    <t>8.4x</t>
  </si>
  <si>
    <t>28.7x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</si>
</sst>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72" formatCode="0.000%"/>
    <numFmt numFmtId="173" formatCode="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4" fontId="1" fillId="0" borderId="0" xfId="0" applyNumberFormat="1" applyFont="1" applyAlignment="1">
      <alignment horizontal="center" vertical="top"/>
    </xf>
    <xf numFmtId="172" fontId="0" fillId="0" borderId="0" xfId="0" applyNumberFormat="1"/>
    <xf numFmtId="173"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B15" sqref="B15"/>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1486</v>
      </c>
      <c r="B2" t="s">
        <v>1487</v>
      </c>
      <c r="C2" t="s">
        <v>21</v>
      </c>
      <c r="D2" s="4">
        <v>6.21</v>
      </c>
      <c r="E2" s="4">
        <v>6.52</v>
      </c>
      <c r="F2" s="13">
        <f t="shared" ref="F2" si="0">(E2/D2-1)*100</f>
        <v>4.9919484702093397</v>
      </c>
      <c r="G2">
        <v>5.9399999999999995</v>
      </c>
      <c r="H2" s="4">
        <v>6.98</v>
      </c>
      <c r="I2" s="4">
        <v>2.31</v>
      </c>
      <c r="J2" t="s">
        <v>1264</v>
      </c>
      <c r="K2" s="3">
        <v>1</v>
      </c>
      <c r="L2" t="s">
        <v>1488</v>
      </c>
      <c r="M2" t="s">
        <v>1489</v>
      </c>
      <c r="N2" s="3">
        <v>6.0000000000000001E-3</v>
      </c>
      <c r="O2" t="s">
        <v>1322</v>
      </c>
      <c r="P2" t="s">
        <v>1562</v>
      </c>
      <c r="Q2" t="s">
        <v>1490</v>
      </c>
      <c r="R2" s="3">
        <v>0.32400000000000001</v>
      </c>
      <c r="S2" s="3">
        <v>1.2E-2</v>
      </c>
      <c r="T2" t="s">
        <v>1491</v>
      </c>
      <c r="U2" s="3">
        <v>4.7E-2</v>
      </c>
      <c r="V2" s="3">
        <v>0.185</v>
      </c>
      <c r="W2" s="3">
        <v>0.32300000000000001</v>
      </c>
      <c r="X2" s="3">
        <v>0.252</v>
      </c>
    </row>
    <row r="3" spans="1:24" x14ac:dyDescent="0.25">
      <c r="A3" t="s">
        <v>341</v>
      </c>
      <c r="B3" t="s">
        <v>1463</v>
      </c>
      <c r="C3" t="s">
        <v>342</v>
      </c>
      <c r="D3">
        <v>3.31</v>
      </c>
      <c r="E3" s="4">
        <v>5.39</v>
      </c>
      <c r="F3">
        <f t="shared" ref="F3:F9" si="1">(E3/D3-1)*100</f>
        <v>62.839879154078538</v>
      </c>
      <c r="G3">
        <v>4.851</v>
      </c>
      <c r="H3" s="4">
        <v>6.61</v>
      </c>
      <c r="I3" s="4">
        <v>1.48</v>
      </c>
      <c r="J3" t="s">
        <v>1421</v>
      </c>
      <c r="L3" t="s">
        <v>343</v>
      </c>
      <c r="M3" t="s">
        <v>1505</v>
      </c>
      <c r="N3" s="3">
        <v>0</v>
      </c>
      <c r="O3" t="s">
        <v>1563</v>
      </c>
      <c r="P3" t="s">
        <v>1564</v>
      </c>
      <c r="Q3" t="s">
        <v>1506</v>
      </c>
      <c r="R3" s="3">
        <v>0.154</v>
      </c>
      <c r="S3" s="3">
        <v>0.02</v>
      </c>
      <c r="T3" t="s">
        <v>1507</v>
      </c>
      <c r="U3" s="3">
        <v>0.159</v>
      </c>
      <c r="V3" s="3">
        <v>0.69399999999999995</v>
      </c>
      <c r="X3" s="3">
        <v>0.123</v>
      </c>
    </row>
    <row r="4" spans="1:24" x14ac:dyDescent="0.25">
      <c r="A4" t="s">
        <v>346</v>
      </c>
      <c r="B4" t="s">
        <v>1464</v>
      </c>
      <c r="C4" t="s">
        <v>347</v>
      </c>
      <c r="D4">
        <v>2.036613</v>
      </c>
      <c r="E4" s="4">
        <v>4.45</v>
      </c>
      <c r="F4">
        <f t="shared" si="1"/>
        <v>118.50002921517246</v>
      </c>
      <c r="G4">
        <v>4.1580000000000004</v>
      </c>
      <c r="H4" s="4">
        <v>4.7</v>
      </c>
      <c r="I4" s="4">
        <v>1.56</v>
      </c>
      <c r="J4" t="s">
        <v>381</v>
      </c>
      <c r="K4" s="3">
        <v>1</v>
      </c>
      <c r="L4" t="s">
        <v>1437</v>
      </c>
      <c r="M4" t="s">
        <v>1412</v>
      </c>
      <c r="N4" s="3">
        <v>1.7999999999999999E-2</v>
      </c>
      <c r="O4" t="s">
        <v>391</v>
      </c>
      <c r="P4" t="s">
        <v>1550</v>
      </c>
      <c r="Q4" t="s">
        <v>1413</v>
      </c>
      <c r="R4" s="3">
        <v>2.2029999999999998</v>
      </c>
      <c r="S4" s="3">
        <v>8.0000000000000002E-3</v>
      </c>
      <c r="T4" t="s">
        <v>1414</v>
      </c>
      <c r="U4" s="3">
        <v>1.0999999999999999E-2</v>
      </c>
      <c r="V4" s="3">
        <v>0.152</v>
      </c>
      <c r="W4" s="3">
        <v>-0.15</v>
      </c>
      <c r="X4" s="3">
        <v>6.6000000000000003E-2</v>
      </c>
    </row>
    <row r="5" spans="1:24" x14ac:dyDescent="0.25">
      <c r="A5" t="s">
        <v>354</v>
      </c>
      <c r="B5" t="s">
        <v>1467</v>
      </c>
      <c r="C5" t="s">
        <v>22</v>
      </c>
      <c r="D5">
        <v>1.79</v>
      </c>
      <c r="E5" s="4">
        <v>1.77</v>
      </c>
      <c r="F5">
        <f t="shared" si="1"/>
        <v>-1.1173184357541888</v>
      </c>
      <c r="G5">
        <v>1.6020000000000001</v>
      </c>
      <c r="H5" s="4">
        <v>1.78</v>
      </c>
      <c r="I5" s="4">
        <v>1.1200000000000001</v>
      </c>
      <c r="J5" t="s">
        <v>355</v>
      </c>
      <c r="K5" s="3">
        <v>1</v>
      </c>
      <c r="L5" t="s">
        <v>356</v>
      </c>
      <c r="M5" t="s">
        <v>1438</v>
      </c>
      <c r="N5" s="3">
        <v>7.9000000000000001E-2</v>
      </c>
      <c r="O5" t="s">
        <v>1322</v>
      </c>
      <c r="P5" t="s">
        <v>1565</v>
      </c>
      <c r="Q5" t="s">
        <v>1439</v>
      </c>
      <c r="R5" s="3">
        <v>1.6639999999999999</v>
      </c>
      <c r="T5" t="s">
        <v>1440</v>
      </c>
      <c r="U5" s="3">
        <v>0.152</v>
      </c>
      <c r="V5" s="3">
        <v>3.3000000000000002E-2</v>
      </c>
      <c r="W5" s="3">
        <v>-0.14199999999999999</v>
      </c>
      <c r="X5" s="3">
        <v>8.6999999999999994E-2</v>
      </c>
    </row>
    <row r="6" spans="1:24" x14ac:dyDescent="0.25">
      <c r="A6" t="s">
        <v>379</v>
      </c>
      <c r="B6" t="s">
        <v>1472</v>
      </c>
      <c r="C6" t="s">
        <v>23</v>
      </c>
      <c r="D6">
        <v>2.66</v>
      </c>
      <c r="E6" s="4">
        <v>2.85</v>
      </c>
      <c r="F6">
        <f t="shared" si="1"/>
        <v>7.1428571428571397</v>
      </c>
      <c r="G6">
        <v>2.7135000000000002</v>
      </c>
      <c r="H6" s="4">
        <v>3.13</v>
      </c>
      <c r="I6" s="4">
        <v>1.915</v>
      </c>
      <c r="J6" t="s">
        <v>348</v>
      </c>
      <c r="K6" s="3">
        <v>1</v>
      </c>
      <c r="L6" t="s">
        <v>1514</v>
      </c>
      <c r="M6" t="s">
        <v>1452</v>
      </c>
      <c r="N6" s="3">
        <v>6.3E-2</v>
      </c>
      <c r="O6" t="s">
        <v>390</v>
      </c>
      <c r="P6" t="s">
        <v>1566</v>
      </c>
      <c r="Q6" t="s">
        <v>1453</v>
      </c>
      <c r="R6" s="3">
        <v>1.2809999999999999</v>
      </c>
      <c r="S6" s="3">
        <v>1.4E-2</v>
      </c>
      <c r="T6" t="s">
        <v>1454</v>
      </c>
      <c r="U6" s="3">
        <v>4.9000000000000002E-2</v>
      </c>
      <c r="V6" s="3">
        <v>8.1000000000000003E-2</v>
      </c>
      <c r="W6" s="3">
        <v>0.17199999999999999</v>
      </c>
      <c r="X6" s="3">
        <v>0.22900000000000001</v>
      </c>
    </row>
    <row r="7" spans="1:24" x14ac:dyDescent="0.25">
      <c r="A7" t="s">
        <v>389</v>
      </c>
      <c r="B7" t="s">
        <v>1475</v>
      </c>
      <c r="C7" t="s">
        <v>22</v>
      </c>
      <c r="D7">
        <v>1.425</v>
      </c>
      <c r="E7" s="4">
        <v>2.4500000000000002</v>
      </c>
      <c r="F7">
        <f t="shared" si="1"/>
        <v>71.929824561403507</v>
      </c>
      <c r="G7">
        <v>2.25</v>
      </c>
      <c r="H7" s="4">
        <v>2.58</v>
      </c>
      <c r="I7" s="4">
        <v>1.135</v>
      </c>
      <c r="J7" t="s">
        <v>1361</v>
      </c>
      <c r="K7" s="3">
        <v>1</v>
      </c>
      <c r="L7" t="s">
        <v>1547</v>
      </c>
      <c r="M7" t="s">
        <v>1425</v>
      </c>
      <c r="N7" s="3">
        <v>5.2999999999999999E-2</v>
      </c>
      <c r="O7" t="s">
        <v>1524</v>
      </c>
      <c r="P7" t="s">
        <v>1363</v>
      </c>
      <c r="Q7" t="s">
        <v>1426</v>
      </c>
      <c r="R7" s="3">
        <v>20.748999999999999</v>
      </c>
      <c r="T7" t="s">
        <v>392</v>
      </c>
      <c r="U7" s="3">
        <v>6.6000000000000003E-2</v>
      </c>
      <c r="V7" s="3">
        <v>0.27</v>
      </c>
      <c r="W7" s="3">
        <v>-0.10299999999999999</v>
      </c>
      <c r="X7" s="3">
        <v>0.121</v>
      </c>
    </row>
    <row r="8" spans="1:24" x14ac:dyDescent="0.25">
      <c r="A8" t="s">
        <v>393</v>
      </c>
      <c r="B8" t="s">
        <v>1476</v>
      </c>
      <c r="C8" t="s">
        <v>21</v>
      </c>
      <c r="D8">
        <v>0.52570839999999996</v>
      </c>
      <c r="E8" s="4">
        <v>0.52</v>
      </c>
      <c r="F8">
        <f t="shared" si="1"/>
        <v>-1.0858491133107107</v>
      </c>
      <c r="G8">
        <v>0.48150000000000004</v>
      </c>
      <c r="H8" s="4">
        <v>0.56999999999999995</v>
      </c>
      <c r="I8" s="4">
        <v>0.48</v>
      </c>
      <c r="J8" t="s">
        <v>1558</v>
      </c>
      <c r="K8" s="3">
        <v>0</v>
      </c>
      <c r="L8" t="s">
        <v>394</v>
      </c>
      <c r="M8" t="s">
        <v>1460</v>
      </c>
      <c r="N8" s="3">
        <v>3.5999999999999997E-2</v>
      </c>
      <c r="O8" t="s">
        <v>391</v>
      </c>
      <c r="P8" t="s">
        <v>1567</v>
      </c>
      <c r="Q8" t="s">
        <v>1461</v>
      </c>
      <c r="R8" s="3">
        <v>1.458</v>
      </c>
      <c r="S8" s="3">
        <v>6.0000000000000001E-3</v>
      </c>
      <c r="T8" t="s">
        <v>1462</v>
      </c>
      <c r="U8" s="3">
        <v>1.9E-2</v>
      </c>
      <c r="V8" s="3">
        <v>0.35199999999999998</v>
      </c>
      <c r="X8" s="3">
        <v>6.4000000000000001E-2</v>
      </c>
    </row>
    <row r="9" spans="1:24" x14ac:dyDescent="0.25">
      <c r="A9" t="s">
        <v>395</v>
      </c>
      <c r="B9" t="s">
        <v>1477</v>
      </c>
      <c r="C9" t="s">
        <v>25</v>
      </c>
      <c r="D9">
        <v>4.8722630000000002</v>
      </c>
      <c r="E9" s="4">
        <v>7.06</v>
      </c>
      <c r="F9">
        <f t="shared" si="1"/>
        <v>44.901865929651152</v>
      </c>
      <c r="G9">
        <v>6.5250000000000004</v>
      </c>
      <c r="H9" s="4">
        <v>7.5</v>
      </c>
      <c r="I9" s="4">
        <v>4.53</v>
      </c>
      <c r="J9" t="s">
        <v>1418</v>
      </c>
      <c r="K9" s="3">
        <v>0.1</v>
      </c>
      <c r="L9" t="s">
        <v>396</v>
      </c>
      <c r="M9" t="s">
        <v>1427</v>
      </c>
      <c r="N9" s="3">
        <v>0.04</v>
      </c>
      <c r="O9" t="s">
        <v>1265</v>
      </c>
      <c r="P9" t="s">
        <v>1266</v>
      </c>
      <c r="Q9" t="s">
        <v>1428</v>
      </c>
      <c r="R9" s="3">
        <v>1.5549999999999999</v>
      </c>
      <c r="S9" s="3">
        <v>8.9999999999999993E-3</v>
      </c>
      <c r="T9" t="s">
        <v>1429</v>
      </c>
      <c r="U9" s="3">
        <v>0.152</v>
      </c>
      <c r="V9" s="3">
        <v>8.6999999999999994E-2</v>
      </c>
      <c r="W9" s="3">
        <v>0.221</v>
      </c>
      <c r="X9" s="3">
        <v>0.248</v>
      </c>
    </row>
    <row r="12" spans="1:24" x14ac:dyDescent="0.25">
      <c r="B12" s="13"/>
      <c r="C12" s="13"/>
    </row>
    <row r="13" spans="1:24" x14ac:dyDescent="0.25">
      <c r="B13" s="13"/>
      <c r="C13" s="13"/>
    </row>
    <row r="14" spans="1:24" x14ac:dyDescent="0.25">
      <c r="B14" s="13"/>
      <c r="C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row r="31" spans="1:12" x14ac:dyDescent="0.25">
      <c r="A31" s="13"/>
      <c r="B31" s="13"/>
      <c r="C31" s="13"/>
      <c r="D31" s="13"/>
      <c r="E31" s="13"/>
      <c r="F31" s="13"/>
      <c r="G31" s="13"/>
      <c r="H31" s="13"/>
      <c r="I31" s="13"/>
      <c r="J31" s="13"/>
      <c r="K31" s="13"/>
      <c r="L31" s="13"/>
    </row>
  </sheetData>
  <sortState xmlns:xlrd2="http://schemas.microsoft.com/office/spreadsheetml/2017/richdata2" ref="Z2:Z6">
    <sortCondition ref="Z2:Z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5"/>
  <sheetViews>
    <sheetView zoomScale="80" zoomScaleNormal="80" workbookViewId="0">
      <selection activeCell="G31" sqref="G31"/>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3">
        <v>45985</v>
      </c>
      <c r="B2" t="s">
        <v>1468</v>
      </c>
      <c r="C2" s="4">
        <v>0.67</v>
      </c>
      <c r="D2" s="13" t="s">
        <v>1256</v>
      </c>
      <c r="E2" t="s">
        <v>1262</v>
      </c>
      <c r="F2" s="13" t="s">
        <v>1377</v>
      </c>
      <c r="G2" t="s">
        <v>1261</v>
      </c>
      <c r="H2" t="s">
        <v>1403</v>
      </c>
      <c r="I2" t="s">
        <v>358</v>
      </c>
      <c r="J2" s="4">
        <v>0.67</v>
      </c>
      <c r="K2" s="13">
        <f t="shared" ref="K2:K13" si="0">(J2/C2-1)*100</f>
        <v>0</v>
      </c>
      <c r="L2" s="4">
        <v>0.81499999999999995</v>
      </c>
      <c r="M2" s="4">
        <v>0.35</v>
      </c>
      <c r="N2" t="s">
        <v>1245</v>
      </c>
      <c r="P2" t="s">
        <v>1404</v>
      </c>
      <c r="R2" s="3">
        <v>0</v>
      </c>
      <c r="S2" t="s">
        <v>1559</v>
      </c>
      <c r="U2" t="s">
        <v>1405</v>
      </c>
      <c r="V2" s="3">
        <v>6.9000000000000006E-2</v>
      </c>
      <c r="W2" s="3">
        <v>6.6000000000000003E-2</v>
      </c>
      <c r="X2" t="s">
        <v>1406</v>
      </c>
      <c r="Y2" s="3">
        <v>-4.4999999999999998E-2</v>
      </c>
      <c r="Z2" s="3">
        <v>0.28799999999999998</v>
      </c>
      <c r="AB2" s="3">
        <v>-4.1000000000000002E-2</v>
      </c>
    </row>
    <row r="3" spans="1:28" x14ac:dyDescent="0.25">
      <c r="A3" s="23">
        <v>45985</v>
      </c>
      <c r="B3" t="s">
        <v>1471</v>
      </c>
      <c r="C3" s="4">
        <v>3.93</v>
      </c>
      <c r="D3" s="13" t="s">
        <v>1256</v>
      </c>
      <c r="E3" t="s">
        <v>1262</v>
      </c>
      <c r="F3" s="13" t="s">
        <v>1377</v>
      </c>
      <c r="G3" t="s">
        <v>1261</v>
      </c>
      <c r="H3" t="s">
        <v>376</v>
      </c>
      <c r="I3" t="s">
        <v>342</v>
      </c>
      <c r="J3" s="4">
        <v>3.93</v>
      </c>
      <c r="K3" s="13">
        <f t="shared" si="0"/>
        <v>0</v>
      </c>
      <c r="L3" s="4">
        <v>4.8</v>
      </c>
      <c r="M3" s="4">
        <v>1.2150000000000001</v>
      </c>
      <c r="N3" t="s">
        <v>1267</v>
      </c>
      <c r="P3" t="s">
        <v>377</v>
      </c>
      <c r="Q3" t="s">
        <v>1512</v>
      </c>
      <c r="R3" s="3">
        <v>0</v>
      </c>
      <c r="S3" t="s">
        <v>1560</v>
      </c>
      <c r="T3" t="s">
        <v>1561</v>
      </c>
      <c r="U3" t="s">
        <v>1513</v>
      </c>
      <c r="V3" s="3">
        <v>0.36599999999999999</v>
      </c>
      <c r="W3" s="3">
        <v>1.2999999999999999E-2</v>
      </c>
      <c r="X3" t="s">
        <v>1451</v>
      </c>
      <c r="Y3" s="3">
        <v>8.6999999999999994E-2</v>
      </c>
      <c r="AB3" s="3">
        <v>0.104</v>
      </c>
    </row>
    <row r="4" spans="1:28" x14ac:dyDescent="0.25">
      <c r="A4" s="12">
        <v>45971</v>
      </c>
      <c r="B4" s="13" t="s">
        <v>1478</v>
      </c>
      <c r="C4">
        <v>3.45</v>
      </c>
      <c r="D4" s="13" t="s">
        <v>1256</v>
      </c>
      <c r="E4" t="s">
        <v>1262</v>
      </c>
      <c r="F4" s="13" t="s">
        <v>1377</v>
      </c>
      <c r="G4" t="s">
        <v>1261</v>
      </c>
      <c r="H4" t="s">
        <v>1480</v>
      </c>
      <c r="I4" t="s">
        <v>21</v>
      </c>
      <c r="J4" s="4">
        <v>3.45</v>
      </c>
      <c r="K4" s="13">
        <f t="shared" si="0"/>
        <v>0</v>
      </c>
      <c r="L4" s="4">
        <v>4.4800000000000004</v>
      </c>
      <c r="M4" s="4">
        <v>1.365</v>
      </c>
      <c r="N4" t="s">
        <v>348</v>
      </c>
      <c r="O4" s="3">
        <v>1</v>
      </c>
      <c r="P4" t="s">
        <v>1482</v>
      </c>
      <c r="Q4" t="s">
        <v>1483</v>
      </c>
      <c r="R4" s="3">
        <v>1.7000000000000001E-2</v>
      </c>
      <c r="S4" t="s">
        <v>378</v>
      </c>
      <c r="T4" t="s">
        <v>1548</v>
      </c>
      <c r="U4" t="s">
        <v>1484</v>
      </c>
      <c r="V4" s="3">
        <v>0.34499999999999997</v>
      </c>
      <c r="W4" s="3">
        <v>1.2E-2</v>
      </c>
      <c r="X4" t="s">
        <v>1485</v>
      </c>
      <c r="Y4" s="3">
        <v>5.2999999999999999E-2</v>
      </c>
      <c r="Z4" s="3">
        <v>0.57399999999999995</v>
      </c>
      <c r="AA4" s="3">
        <v>0.64600000000000002</v>
      </c>
      <c r="AB4" s="3">
        <v>0.76800000000000002</v>
      </c>
    </row>
    <row r="5" spans="1:28" x14ac:dyDescent="0.25">
      <c r="A5" s="12">
        <v>45971</v>
      </c>
      <c r="B5" s="13" t="s">
        <v>227</v>
      </c>
      <c r="C5">
        <v>3.97</v>
      </c>
      <c r="D5" s="13" t="s">
        <v>1256</v>
      </c>
      <c r="E5" t="s">
        <v>1262</v>
      </c>
      <c r="F5" s="13" t="s">
        <v>1377</v>
      </c>
      <c r="G5" t="s">
        <v>1261</v>
      </c>
      <c r="H5" t="s">
        <v>808</v>
      </c>
      <c r="I5" t="s">
        <v>1269</v>
      </c>
      <c r="J5" s="4">
        <v>3.97</v>
      </c>
      <c r="K5" s="13">
        <f t="shared" si="0"/>
        <v>0</v>
      </c>
      <c r="L5" s="4">
        <v>5.65</v>
      </c>
      <c r="M5" s="4">
        <v>1.38</v>
      </c>
      <c r="N5" t="s">
        <v>1246</v>
      </c>
      <c r="P5" t="s">
        <v>1534</v>
      </c>
      <c r="R5" s="3">
        <v>0</v>
      </c>
      <c r="S5" t="s">
        <v>1549</v>
      </c>
      <c r="U5" t="s">
        <v>1492</v>
      </c>
      <c r="V5" s="3">
        <v>6.0000000000000001E-3</v>
      </c>
      <c r="W5" s="3">
        <v>0.14299999999999999</v>
      </c>
      <c r="X5" t="s">
        <v>1493</v>
      </c>
      <c r="Y5" s="3">
        <v>-8.7050000000000001</v>
      </c>
      <c r="AB5" s="3">
        <v>-0.505</v>
      </c>
    </row>
    <row r="6" spans="1:28" x14ac:dyDescent="0.25">
      <c r="A6" s="12">
        <v>45971</v>
      </c>
      <c r="B6" s="13" t="s">
        <v>1408</v>
      </c>
      <c r="C6">
        <v>5.0599999999999996</v>
      </c>
      <c r="D6" s="13" t="s">
        <v>1256</v>
      </c>
      <c r="E6" t="s">
        <v>1262</v>
      </c>
      <c r="F6" s="13" t="s">
        <v>1377</v>
      </c>
      <c r="G6" t="s">
        <v>1261</v>
      </c>
      <c r="H6" t="s">
        <v>1409</v>
      </c>
      <c r="I6" t="s">
        <v>21</v>
      </c>
      <c r="J6" s="4">
        <v>5.0599999999999996</v>
      </c>
      <c r="K6" s="13">
        <f t="shared" si="0"/>
        <v>0</v>
      </c>
      <c r="L6" s="4">
        <v>10.42</v>
      </c>
      <c r="M6" s="4">
        <v>0.995</v>
      </c>
      <c r="N6" t="s">
        <v>1267</v>
      </c>
      <c r="P6" t="s">
        <v>1410</v>
      </c>
      <c r="R6" s="3">
        <v>0</v>
      </c>
      <c r="S6" t="s">
        <v>1541</v>
      </c>
      <c r="U6" t="s">
        <v>1432</v>
      </c>
      <c r="V6" s="3">
        <v>5.6000000000000001E-2</v>
      </c>
      <c r="W6" s="3">
        <v>4.3999999999999997E-2</v>
      </c>
      <c r="X6" t="s">
        <v>1411</v>
      </c>
      <c r="Y6" s="3">
        <v>-0.98</v>
      </c>
      <c r="Z6" s="3">
        <v>-0.06</v>
      </c>
      <c r="AB6" s="3">
        <v>-0.29399999999999998</v>
      </c>
    </row>
    <row r="7" spans="1:28" x14ac:dyDescent="0.25">
      <c r="A7" s="12">
        <v>45971</v>
      </c>
      <c r="B7" s="13" t="s">
        <v>1516</v>
      </c>
      <c r="C7">
        <v>0.39</v>
      </c>
      <c r="D7" s="13" t="s">
        <v>1256</v>
      </c>
      <c r="E7" t="s">
        <v>1262</v>
      </c>
      <c r="F7" s="13" t="s">
        <v>1377</v>
      </c>
      <c r="G7" t="s">
        <v>1261</v>
      </c>
      <c r="H7" t="s">
        <v>1518</v>
      </c>
      <c r="I7" t="s">
        <v>342</v>
      </c>
      <c r="J7" s="4">
        <v>0.39</v>
      </c>
      <c r="K7" s="13">
        <f t="shared" si="0"/>
        <v>0</v>
      </c>
      <c r="L7" s="4">
        <v>0.61499999999999999</v>
      </c>
      <c r="M7" s="4">
        <v>0.13500000000000001</v>
      </c>
      <c r="N7" t="s">
        <v>348</v>
      </c>
      <c r="P7" t="s">
        <v>1535</v>
      </c>
      <c r="Q7" t="s">
        <v>1520</v>
      </c>
      <c r="R7" s="3">
        <v>0</v>
      </c>
      <c r="S7" t="s">
        <v>1333</v>
      </c>
      <c r="T7" t="s">
        <v>1550</v>
      </c>
      <c r="U7" t="s">
        <v>1522</v>
      </c>
      <c r="V7" s="3">
        <v>0.17399999999999999</v>
      </c>
      <c r="W7" s="3">
        <v>8.9999999999999993E-3</v>
      </c>
      <c r="X7" t="s">
        <v>1523</v>
      </c>
      <c r="Y7" s="3">
        <v>7.8E-2</v>
      </c>
      <c r="Z7" s="3">
        <v>0.14299999999999999</v>
      </c>
      <c r="AA7" s="3">
        <v>0.57599999999999996</v>
      </c>
      <c r="AB7" s="3">
        <v>0.153</v>
      </c>
    </row>
    <row r="8" spans="1:28" x14ac:dyDescent="0.25">
      <c r="A8" s="12">
        <v>45971</v>
      </c>
      <c r="B8" s="13" t="s">
        <v>120</v>
      </c>
      <c r="C8">
        <v>2.27</v>
      </c>
      <c r="D8" s="13" t="s">
        <v>1256</v>
      </c>
      <c r="E8" t="s">
        <v>1262</v>
      </c>
      <c r="F8" s="13" t="s">
        <v>1377</v>
      </c>
      <c r="G8" t="s">
        <v>1261</v>
      </c>
      <c r="H8" t="s">
        <v>362</v>
      </c>
      <c r="I8" t="s">
        <v>22</v>
      </c>
      <c r="J8" s="4">
        <v>2.27</v>
      </c>
      <c r="K8" s="13">
        <f t="shared" si="0"/>
        <v>0</v>
      </c>
      <c r="L8" s="4">
        <v>2.86</v>
      </c>
      <c r="M8" s="4">
        <v>1.395</v>
      </c>
      <c r="N8" t="s">
        <v>1244</v>
      </c>
      <c r="O8" s="3">
        <v>1</v>
      </c>
      <c r="P8" t="s">
        <v>1551</v>
      </c>
      <c r="Q8" t="s">
        <v>1441</v>
      </c>
      <c r="R8" s="3">
        <v>0.04</v>
      </c>
      <c r="S8" t="s">
        <v>1268</v>
      </c>
      <c r="T8" t="s">
        <v>1552</v>
      </c>
      <c r="U8" t="s">
        <v>1442</v>
      </c>
      <c r="V8" s="3">
        <v>25.291</v>
      </c>
      <c r="X8" t="s">
        <v>1443</v>
      </c>
      <c r="Y8" s="3">
        <v>3.6999999999999998E-2</v>
      </c>
      <c r="Z8" s="3">
        <v>0.03</v>
      </c>
      <c r="AA8" s="3">
        <v>-3.6999999999999998E-2</v>
      </c>
      <c r="AB8" s="3">
        <v>0.16800000000000001</v>
      </c>
    </row>
    <row r="9" spans="1:28" x14ac:dyDescent="0.25">
      <c r="A9" s="12">
        <v>45971</v>
      </c>
      <c r="B9" s="13" t="s">
        <v>1498</v>
      </c>
      <c r="C9">
        <v>0.41</v>
      </c>
      <c r="D9" s="13" t="s">
        <v>1256</v>
      </c>
      <c r="E9" t="s">
        <v>1262</v>
      </c>
      <c r="F9" s="13" t="s">
        <v>1377</v>
      </c>
      <c r="G9" t="s">
        <v>1261</v>
      </c>
      <c r="H9" t="s">
        <v>1500</v>
      </c>
      <c r="I9" t="s">
        <v>342</v>
      </c>
      <c r="J9" s="4">
        <v>0.41</v>
      </c>
      <c r="K9" s="13">
        <f t="shared" si="0"/>
        <v>0</v>
      </c>
      <c r="L9" s="4">
        <v>0.55000000000000004</v>
      </c>
      <c r="M9" s="4">
        <v>0.105</v>
      </c>
      <c r="N9" t="s">
        <v>1244</v>
      </c>
      <c r="O9" s="3">
        <v>1</v>
      </c>
      <c r="P9" t="s">
        <v>1502</v>
      </c>
      <c r="R9" s="3">
        <v>0</v>
      </c>
      <c r="S9" t="s">
        <v>1553</v>
      </c>
      <c r="U9" t="s">
        <v>1503</v>
      </c>
      <c r="V9" s="3">
        <v>0.54400000000000004</v>
      </c>
      <c r="W9" s="3">
        <v>1.7999999999999999E-2</v>
      </c>
      <c r="X9" t="s">
        <v>1504</v>
      </c>
      <c r="Y9" s="3">
        <v>-5.7000000000000002E-2</v>
      </c>
      <c r="Z9" s="3">
        <v>-2.8000000000000001E-2</v>
      </c>
      <c r="AB9" s="3">
        <v>-8.5999999999999993E-2</v>
      </c>
    </row>
    <row r="10" spans="1:28" x14ac:dyDescent="0.25">
      <c r="A10" s="12">
        <v>45971</v>
      </c>
      <c r="B10" s="13" t="s">
        <v>122</v>
      </c>
      <c r="C10">
        <v>3.35</v>
      </c>
      <c r="D10" s="13" t="s">
        <v>1256</v>
      </c>
      <c r="E10" t="s">
        <v>1262</v>
      </c>
      <c r="F10" s="13" t="s">
        <v>1377</v>
      </c>
      <c r="G10" t="s">
        <v>1261</v>
      </c>
      <c r="H10" t="s">
        <v>366</v>
      </c>
      <c r="I10" t="s">
        <v>342</v>
      </c>
      <c r="J10" s="4">
        <v>3.35</v>
      </c>
      <c r="K10" s="13">
        <f t="shared" si="0"/>
        <v>0</v>
      </c>
      <c r="L10" s="4">
        <v>5.19</v>
      </c>
      <c r="M10" s="4">
        <v>1.895</v>
      </c>
      <c r="N10" t="s">
        <v>1361</v>
      </c>
      <c r="P10" t="s">
        <v>367</v>
      </c>
      <c r="Q10" t="s">
        <v>1508</v>
      </c>
      <c r="R10" s="3">
        <v>0</v>
      </c>
      <c r="S10" t="s">
        <v>1277</v>
      </c>
      <c r="U10" t="s">
        <v>1509</v>
      </c>
      <c r="V10" s="3">
        <v>0.251</v>
      </c>
      <c r="W10" s="3">
        <v>2.5999999999999999E-2</v>
      </c>
      <c r="X10" t="s">
        <v>1510</v>
      </c>
      <c r="Y10" s="3">
        <v>0.315</v>
      </c>
      <c r="Z10" s="3">
        <v>2.7029999999999998</v>
      </c>
      <c r="AB10" s="3">
        <v>0.14799999999999999</v>
      </c>
    </row>
    <row r="11" spans="1:28" x14ac:dyDescent="0.25">
      <c r="A11" s="12">
        <v>45971</v>
      </c>
      <c r="B11" s="13" t="s">
        <v>1517</v>
      </c>
      <c r="C11">
        <v>3.06</v>
      </c>
      <c r="D11" s="13" t="s">
        <v>1256</v>
      </c>
      <c r="E11" t="s">
        <v>1262</v>
      </c>
      <c r="F11" s="13" t="s">
        <v>1377</v>
      </c>
      <c r="G11" t="s">
        <v>1261</v>
      </c>
      <c r="H11" t="s">
        <v>1519</v>
      </c>
      <c r="I11" t="s">
        <v>358</v>
      </c>
      <c r="J11" s="4">
        <v>3.06</v>
      </c>
      <c r="K11" s="13">
        <f t="shared" si="0"/>
        <v>0</v>
      </c>
      <c r="L11" s="4">
        <v>4.9000000000000004</v>
      </c>
      <c r="M11" s="4">
        <v>0.92</v>
      </c>
      <c r="N11" t="s">
        <v>363</v>
      </c>
      <c r="P11" t="s">
        <v>1525</v>
      </c>
      <c r="R11" s="3">
        <v>0</v>
      </c>
      <c r="S11" t="s">
        <v>1554</v>
      </c>
      <c r="U11" t="s">
        <v>1526</v>
      </c>
      <c r="V11" s="3">
        <v>0</v>
      </c>
      <c r="W11" s="3">
        <v>0.10299999999999999</v>
      </c>
      <c r="X11" t="s">
        <v>1527</v>
      </c>
      <c r="Y11" s="3">
        <v>-6.0720000000000001</v>
      </c>
      <c r="Z11" s="3">
        <v>1.4450000000000001</v>
      </c>
      <c r="AB11" s="3">
        <v>-0.27900000000000003</v>
      </c>
    </row>
    <row r="12" spans="1:28" x14ac:dyDescent="0.25">
      <c r="A12" s="12">
        <v>45971</v>
      </c>
      <c r="B12" s="13" t="s">
        <v>330</v>
      </c>
      <c r="C12">
        <v>0.92</v>
      </c>
      <c r="D12" s="13" t="s">
        <v>1256</v>
      </c>
      <c r="E12" t="s">
        <v>1262</v>
      </c>
      <c r="F12" s="13" t="s">
        <v>1377</v>
      </c>
      <c r="G12" t="s">
        <v>1261</v>
      </c>
      <c r="H12" t="s">
        <v>1122</v>
      </c>
      <c r="I12" t="s">
        <v>342</v>
      </c>
      <c r="J12" s="4">
        <v>0.92</v>
      </c>
      <c r="K12" s="13">
        <f t="shared" si="0"/>
        <v>0</v>
      </c>
      <c r="L12" s="4">
        <v>2.5299999999999998</v>
      </c>
      <c r="M12" s="4">
        <v>0.3</v>
      </c>
      <c r="N12" t="s">
        <v>348</v>
      </c>
      <c r="P12" t="s">
        <v>1531</v>
      </c>
      <c r="R12" s="3">
        <v>0</v>
      </c>
      <c r="S12" t="s">
        <v>1555</v>
      </c>
      <c r="U12" t="s">
        <v>1532</v>
      </c>
      <c r="V12" s="3">
        <v>1E-3</v>
      </c>
      <c r="W12" s="3">
        <v>2.9000000000000001E-2</v>
      </c>
      <c r="X12" t="s">
        <v>1532</v>
      </c>
      <c r="Y12" s="3">
        <v>-4.4260000000000002</v>
      </c>
      <c r="Z12" s="3">
        <v>-5.3999999999999999E-2</v>
      </c>
      <c r="AB12" s="3">
        <v>-0.17499999999999999</v>
      </c>
    </row>
    <row r="13" spans="1:28" x14ac:dyDescent="0.25">
      <c r="A13" s="12">
        <v>45971</v>
      </c>
      <c r="B13" s="13" t="s">
        <v>96</v>
      </c>
      <c r="C13">
        <v>2.77</v>
      </c>
      <c r="D13" s="13" t="s">
        <v>1256</v>
      </c>
      <c r="E13" t="s">
        <v>1262</v>
      </c>
      <c r="F13" s="13" t="s">
        <v>1377</v>
      </c>
      <c r="G13" t="s">
        <v>1261</v>
      </c>
      <c r="H13" t="s">
        <v>384</v>
      </c>
      <c r="I13" t="s">
        <v>347</v>
      </c>
      <c r="J13" s="4">
        <v>2.77</v>
      </c>
      <c r="K13" s="13">
        <f t="shared" si="0"/>
        <v>0</v>
      </c>
      <c r="L13" s="4">
        <v>3.26</v>
      </c>
      <c r="M13" s="4">
        <v>1.615</v>
      </c>
      <c r="N13" t="s">
        <v>355</v>
      </c>
      <c r="O13" s="3">
        <v>1</v>
      </c>
      <c r="P13" t="s">
        <v>385</v>
      </c>
      <c r="Q13" t="s">
        <v>1455</v>
      </c>
      <c r="R13" s="3">
        <v>0.09</v>
      </c>
      <c r="S13" t="s">
        <v>390</v>
      </c>
      <c r="T13" t="s">
        <v>1556</v>
      </c>
      <c r="U13" t="s">
        <v>1456</v>
      </c>
      <c r="V13" s="3">
        <v>0.104</v>
      </c>
      <c r="W13" s="3">
        <v>0.02</v>
      </c>
      <c r="X13" t="s">
        <v>1457</v>
      </c>
      <c r="Y13" s="3">
        <v>2.9000000000000001E-2</v>
      </c>
      <c r="Z13" s="3">
        <v>4.2000000000000003E-2</v>
      </c>
      <c r="AB13" s="3">
        <v>8.7999999999999995E-2</v>
      </c>
    </row>
    <row r="14" spans="1:28" x14ac:dyDescent="0.25">
      <c r="A14" s="12">
        <v>45950</v>
      </c>
      <c r="B14" s="13" t="s">
        <v>330</v>
      </c>
      <c r="C14" s="13">
        <v>1.53</v>
      </c>
      <c r="D14" s="13" t="s">
        <v>1257</v>
      </c>
      <c r="E14" t="s">
        <v>1263</v>
      </c>
      <c r="F14" t="s">
        <v>1260</v>
      </c>
      <c r="G14" t="s">
        <v>1258</v>
      </c>
      <c r="H14" t="s">
        <v>1122</v>
      </c>
      <c r="I14" t="s">
        <v>342</v>
      </c>
      <c r="J14" s="4">
        <v>1.46</v>
      </c>
      <c r="K14" s="13">
        <f t="shared" ref="K14:K19" si="1">(J14/C14-1)*100</f>
        <v>-4.5751633986928164</v>
      </c>
      <c r="L14" s="4">
        <v>2.5299999999999998</v>
      </c>
      <c r="M14" s="4">
        <v>0.3</v>
      </c>
      <c r="N14" t="s">
        <v>363</v>
      </c>
      <c r="P14" t="s">
        <v>1531</v>
      </c>
      <c r="R14" s="3">
        <v>0</v>
      </c>
      <c r="S14" t="s">
        <v>1545</v>
      </c>
      <c r="U14" t="s">
        <v>1532</v>
      </c>
      <c r="V14" s="3">
        <v>1E-3</v>
      </c>
      <c r="W14" s="3">
        <v>2.9000000000000001E-2</v>
      </c>
      <c r="X14" t="s">
        <v>1532</v>
      </c>
      <c r="Y14" s="3">
        <v>-4.4260000000000002</v>
      </c>
      <c r="Z14" s="3">
        <v>-5.3999999999999999E-2</v>
      </c>
      <c r="AB14" s="3">
        <v>-0.17499999999999999</v>
      </c>
    </row>
    <row r="15" spans="1:28" x14ac:dyDescent="0.25">
      <c r="A15" s="12">
        <v>45950</v>
      </c>
      <c r="B15" s="13" t="s">
        <v>127</v>
      </c>
      <c r="C15" s="13">
        <v>1.41</v>
      </c>
      <c r="D15" s="13" t="s">
        <v>1256</v>
      </c>
      <c r="E15" t="s">
        <v>1263</v>
      </c>
      <c r="F15" s="13" t="s">
        <v>1377</v>
      </c>
      <c r="G15" t="s">
        <v>1258</v>
      </c>
      <c r="H15" t="s">
        <v>380</v>
      </c>
      <c r="I15" t="s">
        <v>23</v>
      </c>
      <c r="J15" s="4">
        <v>1.41</v>
      </c>
      <c r="K15" s="13">
        <f t="shared" si="1"/>
        <v>0</v>
      </c>
      <c r="L15" s="4">
        <v>1.8049999999999999</v>
      </c>
      <c r="M15" s="4">
        <v>1.07</v>
      </c>
      <c r="N15" t="s">
        <v>1418</v>
      </c>
      <c r="O15" s="3">
        <v>1</v>
      </c>
      <c r="P15" t="s">
        <v>1533</v>
      </c>
      <c r="Q15" t="s">
        <v>1423</v>
      </c>
      <c r="R15" s="3">
        <v>4.1000000000000002E-2</v>
      </c>
      <c r="S15" t="s">
        <v>1515</v>
      </c>
      <c r="T15" t="s">
        <v>1400</v>
      </c>
      <c r="U15" t="s">
        <v>1424</v>
      </c>
      <c r="V15" s="3">
        <v>1.3260000000000001</v>
      </c>
      <c r="W15" s="3">
        <v>7.0000000000000001E-3</v>
      </c>
      <c r="X15" t="s">
        <v>383</v>
      </c>
      <c r="Y15" s="3">
        <v>2.8000000000000001E-2</v>
      </c>
      <c r="Z15" s="3">
        <v>8.1000000000000003E-2</v>
      </c>
      <c r="AB15" s="3">
        <v>2.7E-2</v>
      </c>
    </row>
    <row r="16" spans="1:28" x14ac:dyDescent="0.25">
      <c r="A16" s="12">
        <v>45943</v>
      </c>
      <c r="B16" s="13" t="s">
        <v>1516</v>
      </c>
      <c r="C16" s="13">
        <v>0.53</v>
      </c>
      <c r="D16" s="13" t="s">
        <v>1257</v>
      </c>
      <c r="E16" t="s">
        <v>1263</v>
      </c>
      <c r="F16" t="s">
        <v>1260</v>
      </c>
      <c r="G16" t="s">
        <v>1258</v>
      </c>
      <c r="H16" t="s">
        <v>1518</v>
      </c>
      <c r="I16" t="s">
        <v>342</v>
      </c>
      <c r="J16" s="4">
        <v>0.46</v>
      </c>
      <c r="K16" s="13">
        <f t="shared" si="1"/>
        <v>-13.207547169811317</v>
      </c>
      <c r="L16" s="4">
        <v>0.61499999999999999</v>
      </c>
      <c r="M16" s="4">
        <v>0.13500000000000001</v>
      </c>
      <c r="N16" t="s">
        <v>363</v>
      </c>
      <c r="P16" t="s">
        <v>1535</v>
      </c>
      <c r="Q16" t="s">
        <v>1520</v>
      </c>
      <c r="R16" s="3">
        <v>0</v>
      </c>
      <c r="S16" t="s">
        <v>1521</v>
      </c>
      <c r="T16" t="s">
        <v>1542</v>
      </c>
      <c r="U16" t="s">
        <v>1522</v>
      </c>
      <c r="V16" s="3">
        <v>0.17399999999999999</v>
      </c>
      <c r="W16" s="3">
        <v>8.9999999999999993E-3</v>
      </c>
      <c r="X16" t="s">
        <v>1523</v>
      </c>
      <c r="Y16" s="3">
        <v>7.8E-2</v>
      </c>
      <c r="Z16" s="3">
        <v>0.14299999999999999</v>
      </c>
      <c r="AA16" s="3">
        <v>0.57599999999999996</v>
      </c>
      <c r="AB16" s="3">
        <v>0.153</v>
      </c>
    </row>
    <row r="17" spans="1:29" x14ac:dyDescent="0.25">
      <c r="A17" s="12">
        <v>45943</v>
      </c>
      <c r="B17" s="13" t="s">
        <v>1517</v>
      </c>
      <c r="C17" s="13">
        <v>4.7</v>
      </c>
      <c r="D17" s="13" t="s">
        <v>1257</v>
      </c>
      <c r="E17" t="s">
        <v>1263</v>
      </c>
      <c r="F17" t="s">
        <v>1260</v>
      </c>
      <c r="G17" t="s">
        <v>1258</v>
      </c>
      <c r="H17" t="s">
        <v>1519</v>
      </c>
      <c r="I17" t="s">
        <v>358</v>
      </c>
      <c r="J17" s="4">
        <v>3.4</v>
      </c>
      <c r="K17" s="13">
        <f t="shared" si="1"/>
        <v>-27.659574468085111</v>
      </c>
      <c r="L17" s="4">
        <v>4.9000000000000004</v>
      </c>
      <c r="M17" s="4">
        <v>0.92</v>
      </c>
      <c r="N17" t="s">
        <v>1244</v>
      </c>
      <c r="P17" t="s">
        <v>1525</v>
      </c>
      <c r="R17" s="3">
        <v>0</v>
      </c>
      <c r="S17" t="s">
        <v>1544</v>
      </c>
      <c r="U17" t="s">
        <v>1526</v>
      </c>
      <c r="V17" s="3">
        <v>0</v>
      </c>
      <c r="W17" s="3">
        <v>0.10299999999999999</v>
      </c>
      <c r="X17" t="s">
        <v>1527</v>
      </c>
      <c r="Y17" s="3">
        <v>-6.0720000000000001</v>
      </c>
      <c r="Z17" s="3">
        <v>1.4450000000000001</v>
      </c>
      <c r="AB17" s="3">
        <v>-0.27900000000000003</v>
      </c>
    </row>
    <row r="18" spans="1:29" x14ac:dyDescent="0.25">
      <c r="A18" s="12">
        <v>45943</v>
      </c>
      <c r="B18" s="13" t="s">
        <v>117</v>
      </c>
      <c r="C18" s="13">
        <v>1.18</v>
      </c>
      <c r="D18" s="13" t="s">
        <v>1256</v>
      </c>
      <c r="E18" t="s">
        <v>1263</v>
      </c>
      <c r="F18" s="13" t="s">
        <v>1377</v>
      </c>
      <c r="G18" t="s">
        <v>1258</v>
      </c>
      <c r="H18" t="s">
        <v>352</v>
      </c>
      <c r="I18" t="s">
        <v>25</v>
      </c>
      <c r="J18" s="4">
        <v>1.18</v>
      </c>
      <c r="K18" s="13">
        <f t="shared" si="1"/>
        <v>0</v>
      </c>
      <c r="L18" s="4">
        <v>1.2949999999999999</v>
      </c>
      <c r="M18" s="4">
        <v>1.01</v>
      </c>
      <c r="N18" t="s">
        <v>1418</v>
      </c>
      <c r="O18" s="3">
        <v>0</v>
      </c>
      <c r="P18" t="s">
        <v>353</v>
      </c>
      <c r="R18" s="3">
        <v>8.5999999999999993E-2</v>
      </c>
      <c r="S18" t="s">
        <v>1529</v>
      </c>
      <c r="U18" t="s">
        <v>1419</v>
      </c>
      <c r="V18" s="3">
        <v>0.90500000000000003</v>
      </c>
      <c r="W18" s="3">
        <v>3.0000000000000001E-3</v>
      </c>
      <c r="X18" t="s">
        <v>1420</v>
      </c>
      <c r="Y18" s="3">
        <v>-0.129</v>
      </c>
      <c r="Z18" s="3">
        <v>-2.8000000000000001E-2</v>
      </c>
      <c r="AB18" s="3">
        <v>-1.9E-2</v>
      </c>
    </row>
    <row r="19" spans="1:29" x14ac:dyDescent="0.25">
      <c r="A19" s="12">
        <v>45943</v>
      </c>
      <c r="B19" s="13" t="s">
        <v>123</v>
      </c>
      <c r="C19" s="13">
        <v>0.65500000000000003</v>
      </c>
      <c r="D19" s="13" t="s">
        <v>1256</v>
      </c>
      <c r="E19" t="s">
        <v>1263</v>
      </c>
      <c r="F19" s="13" t="s">
        <v>1377</v>
      </c>
      <c r="G19" t="s">
        <v>1258</v>
      </c>
      <c r="H19" t="s">
        <v>368</v>
      </c>
      <c r="I19" t="s">
        <v>25</v>
      </c>
      <c r="J19" s="4">
        <v>0.65</v>
      </c>
      <c r="K19" s="13">
        <f t="shared" si="1"/>
        <v>-0.76335877862595547</v>
      </c>
      <c r="L19" s="4">
        <v>0.72499999999999998</v>
      </c>
      <c r="M19" s="4">
        <v>0.53500000000000003</v>
      </c>
      <c r="N19" t="s">
        <v>348</v>
      </c>
      <c r="O19" s="3">
        <v>0</v>
      </c>
      <c r="P19" t="s">
        <v>369</v>
      </c>
      <c r="Q19" t="s">
        <v>1448</v>
      </c>
      <c r="R19" s="3">
        <v>7.5999999999999998E-2</v>
      </c>
      <c r="S19" t="s">
        <v>1530</v>
      </c>
      <c r="U19" t="s">
        <v>1449</v>
      </c>
      <c r="V19" s="3">
        <v>0.59699999999999998</v>
      </c>
      <c r="W19" s="3">
        <v>1.4E-2</v>
      </c>
      <c r="X19" t="s">
        <v>1450</v>
      </c>
      <c r="Y19" s="3">
        <v>0.504</v>
      </c>
      <c r="Z19" s="3">
        <v>0.22900000000000001</v>
      </c>
      <c r="AA19" s="3">
        <v>-9.6000000000000002E-2</v>
      </c>
      <c r="AB19" s="3">
        <v>5.3999999999999999E-2</v>
      </c>
    </row>
    <row r="20" spans="1:29" x14ac:dyDescent="0.25">
      <c r="A20" s="12">
        <v>45929</v>
      </c>
      <c r="B20" s="13" t="s">
        <v>1498</v>
      </c>
      <c r="C20" s="13">
        <v>0.52</v>
      </c>
      <c r="D20" s="13" t="s">
        <v>1257</v>
      </c>
      <c r="E20" t="s">
        <v>1263</v>
      </c>
      <c r="F20" t="s">
        <v>1260</v>
      </c>
      <c r="G20" t="s">
        <v>1258</v>
      </c>
      <c r="H20" t="s">
        <v>1500</v>
      </c>
      <c r="I20" t="s">
        <v>342</v>
      </c>
      <c r="J20" s="4">
        <v>0.47</v>
      </c>
      <c r="K20" s="13">
        <f t="shared" ref="K20:K21" si="2">(J20/C20-1)*100</f>
        <v>-9.6153846153846256</v>
      </c>
      <c r="L20" s="4">
        <v>0.55000000000000004</v>
      </c>
      <c r="M20" s="4">
        <v>0.105</v>
      </c>
      <c r="N20" t="s">
        <v>1244</v>
      </c>
      <c r="O20" s="3">
        <v>1</v>
      </c>
      <c r="P20" t="s">
        <v>1502</v>
      </c>
      <c r="R20" s="3">
        <v>0</v>
      </c>
      <c r="S20" t="s">
        <v>1317</v>
      </c>
      <c r="U20" t="s">
        <v>1503</v>
      </c>
      <c r="V20" s="3">
        <v>0.54400000000000004</v>
      </c>
      <c r="W20" s="3">
        <v>1.7999999999999999E-2</v>
      </c>
      <c r="X20" t="s">
        <v>1504</v>
      </c>
      <c r="Y20" s="3">
        <v>-5.7000000000000002E-2</v>
      </c>
      <c r="Z20" s="3">
        <v>-2.8000000000000001E-2</v>
      </c>
      <c r="AB20" s="3">
        <v>-8.5999999999999993E-2</v>
      </c>
    </row>
    <row r="21" spans="1:29" x14ac:dyDescent="0.25">
      <c r="A21" s="12">
        <v>45929</v>
      </c>
      <c r="B21" s="13" t="s">
        <v>121</v>
      </c>
      <c r="C21" s="13">
        <v>6.3</v>
      </c>
      <c r="D21" s="13" t="s">
        <v>1256</v>
      </c>
      <c r="E21" t="s">
        <v>1263</v>
      </c>
      <c r="F21" s="13" t="s">
        <v>1377</v>
      </c>
      <c r="G21" t="s">
        <v>1258</v>
      </c>
      <c r="H21" t="s">
        <v>365</v>
      </c>
      <c r="I21" t="s">
        <v>358</v>
      </c>
      <c r="J21" s="4">
        <v>6.3</v>
      </c>
      <c r="K21">
        <f t="shared" si="2"/>
        <v>0</v>
      </c>
      <c r="L21" s="4">
        <v>9.4</v>
      </c>
      <c r="M21" s="4">
        <v>5.73</v>
      </c>
      <c r="N21" t="s">
        <v>1494</v>
      </c>
      <c r="O21" s="3">
        <v>0.7</v>
      </c>
      <c r="P21" t="s">
        <v>1444</v>
      </c>
      <c r="Q21" t="s">
        <v>1445</v>
      </c>
      <c r="R21" s="3">
        <v>1.7999999999999999E-2</v>
      </c>
      <c r="S21" t="s">
        <v>1495</v>
      </c>
      <c r="T21" t="s">
        <v>1496</v>
      </c>
      <c r="U21" t="s">
        <v>1446</v>
      </c>
      <c r="W21" s="3">
        <v>1E-3</v>
      </c>
      <c r="X21" t="s">
        <v>1447</v>
      </c>
      <c r="Y21" s="3">
        <v>3.7999999999999999E-2</v>
      </c>
      <c r="Z21" s="3">
        <v>0.17599999999999999</v>
      </c>
      <c r="AB21" s="3">
        <v>-2.762</v>
      </c>
    </row>
    <row r="22" spans="1:29" x14ac:dyDescent="0.25">
      <c r="A22" s="12">
        <v>45922</v>
      </c>
      <c r="B22" t="s">
        <v>1478</v>
      </c>
      <c r="C22" s="4">
        <v>3.45</v>
      </c>
      <c r="D22" s="13" t="s">
        <v>1257</v>
      </c>
      <c r="E22" t="s">
        <v>1263</v>
      </c>
      <c r="F22" t="s">
        <v>1260</v>
      </c>
      <c r="G22" t="s">
        <v>1258</v>
      </c>
      <c r="H22" t="s">
        <v>1480</v>
      </c>
      <c r="I22" t="s">
        <v>21</v>
      </c>
      <c r="J22" s="4">
        <v>3.8</v>
      </c>
      <c r="K22">
        <f t="shared" ref="K22:K27" si="3">(J22/C22-1)*100</f>
        <v>10.144927536231862</v>
      </c>
      <c r="L22" s="4">
        <v>4.4800000000000004</v>
      </c>
      <c r="M22" s="4">
        <v>1.365</v>
      </c>
      <c r="N22" t="s">
        <v>348</v>
      </c>
      <c r="O22" s="3">
        <v>1</v>
      </c>
      <c r="P22" t="s">
        <v>1482</v>
      </c>
      <c r="Q22" t="s">
        <v>1483</v>
      </c>
      <c r="R22" s="3">
        <v>1.6E-2</v>
      </c>
      <c r="S22" t="s">
        <v>1322</v>
      </c>
      <c r="T22" t="s">
        <v>1537</v>
      </c>
      <c r="U22" t="s">
        <v>1484</v>
      </c>
      <c r="V22" s="3">
        <v>0.34499999999999997</v>
      </c>
      <c r="W22" s="3">
        <v>1.2E-2</v>
      </c>
      <c r="X22" t="s">
        <v>1485</v>
      </c>
      <c r="Y22" s="3">
        <v>5.2999999999999999E-2</v>
      </c>
      <c r="Z22" s="3">
        <v>0.57399999999999995</v>
      </c>
      <c r="AA22" s="3">
        <v>0.64600000000000002</v>
      </c>
      <c r="AB22" s="3">
        <v>0.76800000000000002</v>
      </c>
    </row>
    <row r="23" spans="1:29" x14ac:dyDescent="0.25">
      <c r="A23" s="12">
        <v>45922</v>
      </c>
      <c r="B23" t="s">
        <v>1479</v>
      </c>
      <c r="C23" s="4">
        <v>6.21</v>
      </c>
      <c r="D23" s="13" t="s">
        <v>1257</v>
      </c>
      <c r="E23" t="s">
        <v>1263</v>
      </c>
      <c r="F23" t="s">
        <v>1260</v>
      </c>
      <c r="G23" t="s">
        <v>1258</v>
      </c>
      <c r="H23" t="s">
        <v>1486</v>
      </c>
      <c r="I23" t="s">
        <v>21</v>
      </c>
      <c r="J23" s="4">
        <v>6.52</v>
      </c>
      <c r="K23">
        <f t="shared" si="3"/>
        <v>4.9919484702093397</v>
      </c>
      <c r="L23" s="4">
        <v>6.98</v>
      </c>
      <c r="M23" s="4">
        <v>2.31</v>
      </c>
      <c r="N23" t="s">
        <v>1264</v>
      </c>
      <c r="O23" s="3">
        <v>1</v>
      </c>
      <c r="P23" t="s">
        <v>1488</v>
      </c>
      <c r="Q23" t="s">
        <v>1489</v>
      </c>
      <c r="R23" s="3">
        <v>6.0000000000000001E-3</v>
      </c>
      <c r="S23" t="s">
        <v>1322</v>
      </c>
      <c r="T23" t="s">
        <v>1562</v>
      </c>
      <c r="U23" t="s">
        <v>1490</v>
      </c>
      <c r="V23" s="3">
        <v>0.32400000000000001</v>
      </c>
      <c r="W23" s="3">
        <v>1.2E-2</v>
      </c>
      <c r="X23" t="s">
        <v>1491</v>
      </c>
      <c r="Y23" s="3">
        <v>4.7E-2</v>
      </c>
      <c r="Z23" s="3">
        <v>0.185</v>
      </c>
      <c r="AA23" s="3">
        <v>0.32300000000000001</v>
      </c>
      <c r="AB23" s="3">
        <v>0.252</v>
      </c>
    </row>
    <row r="24" spans="1:29" x14ac:dyDescent="0.25">
      <c r="A24" s="12">
        <v>45922</v>
      </c>
      <c r="B24" t="s">
        <v>227</v>
      </c>
      <c r="C24" s="4">
        <v>3.2</v>
      </c>
      <c r="D24" s="13" t="s">
        <v>1257</v>
      </c>
      <c r="E24" t="s">
        <v>1263</v>
      </c>
      <c r="F24" t="s">
        <v>1260</v>
      </c>
      <c r="G24" t="s">
        <v>1258</v>
      </c>
      <c r="H24" t="s">
        <v>808</v>
      </c>
      <c r="I24" t="s">
        <v>1269</v>
      </c>
      <c r="J24" s="4">
        <v>5.44</v>
      </c>
      <c r="K24">
        <f t="shared" si="3"/>
        <v>70</v>
      </c>
      <c r="L24" s="4">
        <v>5.59</v>
      </c>
      <c r="M24" s="4">
        <v>1.38</v>
      </c>
      <c r="N24" t="s">
        <v>1361</v>
      </c>
      <c r="P24" t="s">
        <v>1534</v>
      </c>
      <c r="R24" s="3">
        <v>0</v>
      </c>
      <c r="S24" t="s">
        <v>1538</v>
      </c>
      <c r="U24" t="s">
        <v>1492</v>
      </c>
      <c r="V24" s="3">
        <v>6.0000000000000001E-3</v>
      </c>
      <c r="W24" s="3">
        <v>0.14299999999999999</v>
      </c>
      <c r="X24" t="s">
        <v>1493</v>
      </c>
      <c r="Y24" s="3">
        <v>-8.7050000000000001</v>
      </c>
      <c r="AB24" s="3">
        <v>-0.505</v>
      </c>
    </row>
    <row r="25" spans="1:29" x14ac:dyDescent="0.25">
      <c r="A25" s="12">
        <v>45922</v>
      </c>
      <c r="B25" s="17" t="s">
        <v>1430</v>
      </c>
      <c r="C25" s="13">
        <v>6.45</v>
      </c>
      <c r="D25" s="13" t="s">
        <v>1256</v>
      </c>
      <c r="E25" s="13" t="s">
        <v>1497</v>
      </c>
      <c r="F25" s="13" t="s">
        <v>1377</v>
      </c>
      <c r="G25" t="s">
        <v>1258</v>
      </c>
      <c r="H25" t="s">
        <v>1431</v>
      </c>
      <c r="I25" t="s">
        <v>342</v>
      </c>
      <c r="J25" s="13">
        <v>6.45</v>
      </c>
      <c r="K25">
        <f t="shared" si="3"/>
        <v>0</v>
      </c>
      <c r="L25" s="4">
        <v>7.6</v>
      </c>
      <c r="M25" s="4">
        <v>2.0699999999999998</v>
      </c>
      <c r="N25" t="s">
        <v>1469</v>
      </c>
      <c r="P25" t="s">
        <v>1433</v>
      </c>
      <c r="R25" s="3">
        <v>0</v>
      </c>
      <c r="S25" t="s">
        <v>1470</v>
      </c>
      <c r="U25" t="s">
        <v>1434</v>
      </c>
      <c r="V25" s="3">
        <v>0.04</v>
      </c>
      <c r="W25" s="3">
        <v>0.11799999999999999</v>
      </c>
      <c r="X25" t="s">
        <v>1435</v>
      </c>
      <c r="Y25" s="3">
        <v>-5.8010000000000002</v>
      </c>
      <c r="Z25" s="3">
        <v>3.7549999999999999</v>
      </c>
      <c r="AB25" s="3">
        <v>-0.40699999999999997</v>
      </c>
    </row>
    <row r="26" spans="1:29" x14ac:dyDescent="0.25">
      <c r="A26" s="12">
        <v>45922</v>
      </c>
      <c r="B26" t="s">
        <v>116</v>
      </c>
      <c r="C26" s="13">
        <v>3.21</v>
      </c>
      <c r="D26" s="13" t="s">
        <v>1256</v>
      </c>
      <c r="E26" s="13" t="s">
        <v>1497</v>
      </c>
      <c r="F26" s="13" t="s">
        <v>1377</v>
      </c>
      <c r="G26" t="s">
        <v>1258</v>
      </c>
      <c r="H26" t="s">
        <v>349</v>
      </c>
      <c r="I26" t="s">
        <v>23</v>
      </c>
      <c r="J26" s="13">
        <v>3.21</v>
      </c>
      <c r="K26">
        <f t="shared" si="3"/>
        <v>0</v>
      </c>
      <c r="L26" s="4">
        <v>3.55</v>
      </c>
      <c r="M26" s="4">
        <v>1.635</v>
      </c>
      <c r="N26" t="s">
        <v>1254</v>
      </c>
      <c r="O26" s="3">
        <v>1</v>
      </c>
      <c r="P26" t="s">
        <v>350</v>
      </c>
      <c r="Q26" t="s">
        <v>1415</v>
      </c>
      <c r="R26" s="3">
        <v>0</v>
      </c>
      <c r="S26" t="s">
        <v>1465</v>
      </c>
      <c r="T26" t="s">
        <v>1466</v>
      </c>
      <c r="U26" t="s">
        <v>1416</v>
      </c>
      <c r="V26" s="3">
        <v>0.14000000000000001</v>
      </c>
      <c r="W26" s="3">
        <v>0.01</v>
      </c>
      <c r="X26" t="s">
        <v>1417</v>
      </c>
      <c r="Y26" s="3">
        <v>2E-3</v>
      </c>
      <c r="Z26" s="3">
        <v>0.30399999999999999</v>
      </c>
      <c r="AB26" s="3">
        <v>3.0000000000000001E-3</v>
      </c>
    </row>
    <row r="27" spans="1:29" x14ac:dyDescent="0.25">
      <c r="A27" s="12">
        <v>45922</v>
      </c>
      <c r="B27" t="s">
        <v>128</v>
      </c>
      <c r="C27" s="13">
        <v>3.22</v>
      </c>
      <c r="D27" s="13" t="s">
        <v>1256</v>
      </c>
      <c r="E27" s="13" t="s">
        <v>1497</v>
      </c>
      <c r="F27" s="13" t="s">
        <v>1377</v>
      </c>
      <c r="G27" t="s">
        <v>1258</v>
      </c>
      <c r="H27" t="s">
        <v>386</v>
      </c>
      <c r="I27" t="s">
        <v>21</v>
      </c>
      <c r="J27" s="13">
        <v>3.22</v>
      </c>
      <c r="K27">
        <f t="shared" si="3"/>
        <v>0</v>
      </c>
      <c r="L27" s="4">
        <v>4.3899999999999997</v>
      </c>
      <c r="M27" s="4">
        <v>0.58499999999999996</v>
      </c>
      <c r="N27" t="s">
        <v>1473</v>
      </c>
      <c r="P27" t="s">
        <v>387</v>
      </c>
      <c r="Q27" t="s">
        <v>1458</v>
      </c>
      <c r="R27" s="3">
        <v>0</v>
      </c>
      <c r="S27" t="s">
        <v>1474</v>
      </c>
      <c r="U27" t="s">
        <v>1459</v>
      </c>
      <c r="V27" s="3">
        <v>2.9000000000000001E-2</v>
      </c>
      <c r="W27" s="3">
        <v>0.127</v>
      </c>
      <c r="X27" t="s">
        <v>388</v>
      </c>
      <c r="Y27" s="3">
        <v>5.2999999999999999E-2</v>
      </c>
      <c r="Z27" s="3">
        <v>0.75700000000000001</v>
      </c>
      <c r="AB27" s="3">
        <v>2.1999999999999999E-2</v>
      </c>
    </row>
    <row r="28" spans="1:29" x14ac:dyDescent="0.25">
      <c r="A28" s="12">
        <v>45901</v>
      </c>
      <c r="B28" s="13" t="s">
        <v>1430</v>
      </c>
      <c r="C28" s="13">
        <v>6.63</v>
      </c>
      <c r="D28" s="13" t="s">
        <v>1257</v>
      </c>
      <c r="E28" t="s">
        <v>1263</v>
      </c>
      <c r="F28" t="s">
        <v>1260</v>
      </c>
      <c r="G28" t="s">
        <v>1258</v>
      </c>
      <c r="H28" t="s">
        <v>1431</v>
      </c>
      <c r="I28" t="s">
        <v>342</v>
      </c>
      <c r="J28" s="4">
        <v>6.63</v>
      </c>
      <c r="K28">
        <f t="shared" ref="K28:K29" si="4">(J28/C28-1)*100</f>
        <v>0</v>
      </c>
      <c r="L28" s="4">
        <v>7.6</v>
      </c>
      <c r="M28" s="4">
        <v>2.0699999999999998</v>
      </c>
      <c r="N28" t="s">
        <v>1469</v>
      </c>
      <c r="P28" t="s">
        <v>1433</v>
      </c>
      <c r="R28" s="3">
        <v>0</v>
      </c>
      <c r="S28" t="s">
        <v>1470</v>
      </c>
      <c r="U28" t="s">
        <v>1434</v>
      </c>
      <c r="V28" s="3">
        <v>0.04</v>
      </c>
      <c r="W28" s="3">
        <v>0.11799999999999999</v>
      </c>
      <c r="X28" t="s">
        <v>1435</v>
      </c>
      <c r="Y28" s="3">
        <v>-5.8010000000000002</v>
      </c>
      <c r="Z28" s="3">
        <v>3.7549999999999999</v>
      </c>
      <c r="AB28" s="3">
        <v>-0.40699999999999997</v>
      </c>
      <c r="AC28" s="3"/>
    </row>
    <row r="29" spans="1:29" x14ac:dyDescent="0.25">
      <c r="A29" s="12">
        <v>45901</v>
      </c>
      <c r="B29" s="13" t="s">
        <v>125</v>
      </c>
      <c r="C29" s="13">
        <v>1.42</v>
      </c>
      <c r="D29" s="13" t="s">
        <v>1256</v>
      </c>
      <c r="E29" t="s">
        <v>1263</v>
      </c>
      <c r="F29" s="13" t="s">
        <v>1377</v>
      </c>
      <c r="G29" t="s">
        <v>1258</v>
      </c>
      <c r="H29" t="s">
        <v>374</v>
      </c>
      <c r="I29" t="s">
        <v>25</v>
      </c>
      <c r="J29" s="13">
        <v>1.42</v>
      </c>
      <c r="K29" s="13">
        <f t="shared" si="4"/>
        <v>0</v>
      </c>
      <c r="L29" s="4">
        <v>1.615</v>
      </c>
      <c r="M29" s="4">
        <v>1.07</v>
      </c>
      <c r="N29" t="s">
        <v>1421</v>
      </c>
      <c r="O29" s="3">
        <v>0</v>
      </c>
      <c r="P29" t="s">
        <v>375</v>
      </c>
      <c r="Q29" t="s">
        <v>1400</v>
      </c>
      <c r="R29" s="3">
        <v>0.04</v>
      </c>
      <c r="S29" t="s">
        <v>1381</v>
      </c>
      <c r="T29" t="s">
        <v>1422</v>
      </c>
      <c r="U29" t="s">
        <v>1407</v>
      </c>
      <c r="V29" s="3">
        <v>0.49199999999999999</v>
      </c>
      <c r="W29" s="3">
        <v>1.7999999999999999E-2</v>
      </c>
      <c r="X29" t="s">
        <v>351</v>
      </c>
      <c r="Y29" s="3">
        <v>1.169</v>
      </c>
      <c r="Z29" s="3">
        <v>0.13300000000000001</v>
      </c>
      <c r="AA29" s="3">
        <v>0.64200000000000002</v>
      </c>
      <c r="AB29" s="3">
        <v>0.13</v>
      </c>
    </row>
    <row r="30" spans="1:29" x14ac:dyDescent="0.25">
      <c r="A30" s="12">
        <v>45887</v>
      </c>
      <c r="B30" s="13" t="s">
        <v>1408</v>
      </c>
      <c r="C30" s="13">
        <v>5.96</v>
      </c>
      <c r="D30" s="13" t="s">
        <v>1257</v>
      </c>
      <c r="E30" t="s">
        <v>1263</v>
      </c>
      <c r="F30" t="s">
        <v>1260</v>
      </c>
      <c r="G30" t="s">
        <v>1258</v>
      </c>
      <c r="H30" t="s">
        <v>1409</v>
      </c>
      <c r="I30" t="s">
        <v>21</v>
      </c>
      <c r="J30" s="4">
        <v>6.21</v>
      </c>
      <c r="K30" s="13">
        <f>(J30/C30-1)*100</f>
        <v>4.1946308724832182</v>
      </c>
      <c r="L30" s="4">
        <v>10.42</v>
      </c>
      <c r="M30" s="4">
        <v>0.995</v>
      </c>
      <c r="N30" t="s">
        <v>1536</v>
      </c>
      <c r="P30" t="s">
        <v>1410</v>
      </c>
      <c r="R30" s="3">
        <v>0</v>
      </c>
      <c r="S30" t="s">
        <v>1539</v>
      </c>
      <c r="U30" t="s">
        <v>1432</v>
      </c>
      <c r="V30" s="3">
        <v>5.6000000000000001E-2</v>
      </c>
      <c r="W30" s="3">
        <v>4.3999999999999997E-2</v>
      </c>
      <c r="X30" t="s">
        <v>1411</v>
      </c>
      <c r="Y30" s="3">
        <v>-0.98</v>
      </c>
      <c r="Z30" s="3">
        <v>-0.06</v>
      </c>
      <c r="AB30" s="3">
        <v>-0.29399999999999998</v>
      </c>
    </row>
    <row r="31" spans="1:29" x14ac:dyDescent="0.25">
      <c r="A31" s="12">
        <v>45887</v>
      </c>
      <c r="B31" s="13" t="s">
        <v>84</v>
      </c>
      <c r="C31" s="13">
        <v>2.67</v>
      </c>
      <c r="D31" s="13" t="s">
        <v>1256</v>
      </c>
      <c r="E31" t="s">
        <v>1263</v>
      </c>
      <c r="F31" s="13" t="s">
        <v>1377</v>
      </c>
      <c r="G31" t="s">
        <v>1258</v>
      </c>
      <c r="H31" t="s">
        <v>733</v>
      </c>
      <c r="I31" t="s">
        <v>22</v>
      </c>
      <c r="J31" s="4">
        <v>2.67</v>
      </c>
      <c r="K31" s="13">
        <f t="shared" ref="K31:K75" si="5">(J31/C31-1)*100</f>
        <v>0</v>
      </c>
      <c r="L31" s="4">
        <v>3.37</v>
      </c>
      <c r="M31" s="4">
        <v>2.38</v>
      </c>
      <c r="N31" t="s">
        <v>1244</v>
      </c>
      <c r="O31" s="3">
        <v>1</v>
      </c>
      <c r="P31" t="s">
        <v>1380</v>
      </c>
      <c r="Q31" t="s">
        <v>1381</v>
      </c>
      <c r="R31" s="3">
        <v>0</v>
      </c>
      <c r="S31" t="s">
        <v>1333</v>
      </c>
      <c r="U31" t="s">
        <v>1382</v>
      </c>
      <c r="V31" s="3">
        <v>2.7189999999999999</v>
      </c>
      <c r="X31" t="s">
        <v>1383</v>
      </c>
      <c r="Y31" s="3">
        <v>9.8000000000000004E-2</v>
      </c>
      <c r="Z31" s="3">
        <v>5.5E-2</v>
      </c>
      <c r="AA31" s="3">
        <v>0.11600000000000001</v>
      </c>
      <c r="AB31" s="3">
        <v>0.122</v>
      </c>
    </row>
    <row r="32" spans="1:29" x14ac:dyDescent="0.25">
      <c r="A32" s="12">
        <v>45873</v>
      </c>
      <c r="B32" s="13" t="s">
        <v>1402</v>
      </c>
      <c r="C32" s="13">
        <v>0.64</v>
      </c>
      <c r="D32" s="13" t="s">
        <v>1257</v>
      </c>
      <c r="E32" t="s">
        <v>1263</v>
      </c>
      <c r="F32" t="s">
        <v>1260</v>
      </c>
      <c r="G32" t="s">
        <v>1258</v>
      </c>
      <c r="H32" t="s">
        <v>1403</v>
      </c>
      <c r="I32" t="s">
        <v>358</v>
      </c>
      <c r="J32" s="4">
        <v>0.72</v>
      </c>
      <c r="K32" s="13">
        <f t="shared" si="5"/>
        <v>12.5</v>
      </c>
      <c r="L32" s="4">
        <v>0.81499999999999995</v>
      </c>
      <c r="M32" s="4">
        <v>0.35</v>
      </c>
      <c r="N32" t="s">
        <v>355</v>
      </c>
      <c r="P32" t="s">
        <v>1404</v>
      </c>
      <c r="R32" s="3">
        <v>0</v>
      </c>
      <c r="S32" t="s">
        <v>1540</v>
      </c>
      <c r="U32" t="s">
        <v>1405</v>
      </c>
      <c r="V32" s="3">
        <v>6.9000000000000006E-2</v>
      </c>
      <c r="W32" s="3">
        <v>6.6000000000000003E-2</v>
      </c>
      <c r="X32" t="s">
        <v>1406</v>
      </c>
      <c r="Y32" s="3">
        <v>-4.4999999999999998E-2</v>
      </c>
      <c r="Z32" s="3">
        <v>0.28799999999999998</v>
      </c>
      <c r="AB32" s="3">
        <v>-4.1000000000000002E-2</v>
      </c>
      <c r="AC32" s="3"/>
    </row>
    <row r="33" spans="1:28" x14ac:dyDescent="0.25">
      <c r="A33" s="12">
        <v>45873</v>
      </c>
      <c r="B33" s="13" t="s">
        <v>119</v>
      </c>
      <c r="C33" s="13">
        <v>0.48</v>
      </c>
      <c r="D33" s="13" t="s">
        <v>1256</v>
      </c>
      <c r="E33" t="s">
        <v>1263</v>
      </c>
      <c r="F33" s="13" t="s">
        <v>1377</v>
      </c>
      <c r="G33" t="s">
        <v>1258</v>
      </c>
      <c r="H33" t="s">
        <v>357</v>
      </c>
      <c r="I33" t="s">
        <v>358</v>
      </c>
      <c r="J33" s="16">
        <v>0.48</v>
      </c>
      <c r="K33" s="13">
        <f t="shared" si="5"/>
        <v>0</v>
      </c>
      <c r="L33" s="4">
        <v>0.78500000000000003</v>
      </c>
      <c r="M33" s="4">
        <v>0.3</v>
      </c>
      <c r="N33" t="s">
        <v>355</v>
      </c>
      <c r="P33" t="s">
        <v>359</v>
      </c>
      <c r="R33" s="3">
        <v>0</v>
      </c>
      <c r="S33" t="s">
        <v>1401</v>
      </c>
      <c r="U33" t="s">
        <v>360</v>
      </c>
      <c r="V33" s="3">
        <v>2.1999999999999999E-2</v>
      </c>
      <c r="W33" s="3">
        <v>4.8000000000000001E-2</v>
      </c>
      <c r="X33" t="s">
        <v>361</v>
      </c>
      <c r="Y33" s="3">
        <v>-26.218</v>
      </c>
      <c r="Z33" s="3">
        <v>6.2839999999999998</v>
      </c>
      <c r="AB33" s="3">
        <v>-5.2469999999999999</v>
      </c>
    </row>
    <row r="34" spans="1:28" x14ac:dyDescent="0.25">
      <c r="A34" s="12">
        <v>45856</v>
      </c>
      <c r="B34" s="13" t="s">
        <v>84</v>
      </c>
      <c r="C34" s="13">
        <v>3.23</v>
      </c>
      <c r="D34" s="13" t="s">
        <v>1257</v>
      </c>
      <c r="E34" t="s">
        <v>1263</v>
      </c>
      <c r="F34" t="s">
        <v>1260</v>
      </c>
      <c r="G34" t="s">
        <v>1258</v>
      </c>
      <c r="H34" t="s">
        <v>733</v>
      </c>
      <c r="I34" t="s">
        <v>22</v>
      </c>
      <c r="J34" s="4">
        <v>2.67</v>
      </c>
      <c r="K34" s="13">
        <f t="shared" si="5"/>
        <v>-17.337461300309599</v>
      </c>
      <c r="L34" s="4">
        <v>3.37</v>
      </c>
      <c r="M34" s="4">
        <v>2.38</v>
      </c>
      <c r="N34" t="s">
        <v>1244</v>
      </c>
      <c r="O34" s="3">
        <v>1</v>
      </c>
      <c r="P34" t="s">
        <v>1380</v>
      </c>
      <c r="Q34" t="s">
        <v>1381</v>
      </c>
      <c r="R34" s="3">
        <v>0</v>
      </c>
      <c r="S34" t="s">
        <v>1333</v>
      </c>
      <c r="U34" t="s">
        <v>1382</v>
      </c>
      <c r="V34" s="3">
        <v>2.7189999999999999</v>
      </c>
      <c r="X34" t="s">
        <v>1383</v>
      </c>
      <c r="Y34" s="3">
        <v>9.8000000000000004E-2</v>
      </c>
      <c r="Z34" s="3">
        <v>5.5E-2</v>
      </c>
      <c r="AA34" s="3">
        <v>0.11600000000000001</v>
      </c>
      <c r="AB34" s="3">
        <v>0.122</v>
      </c>
    </row>
    <row r="35" spans="1:28" x14ac:dyDescent="0.25">
      <c r="A35" s="12">
        <v>45856</v>
      </c>
      <c r="B35" t="s">
        <v>124</v>
      </c>
      <c r="C35" s="13">
        <v>1.2649999999999999</v>
      </c>
      <c r="D35" s="13" t="s">
        <v>1256</v>
      </c>
      <c r="E35" t="s">
        <v>1263</v>
      </c>
      <c r="F35" s="11" t="s">
        <v>1377</v>
      </c>
      <c r="G35" t="s">
        <v>1258</v>
      </c>
      <c r="H35" t="s">
        <v>370</v>
      </c>
      <c r="I35" t="s">
        <v>358</v>
      </c>
      <c r="J35" s="4">
        <v>1.2649999999999999</v>
      </c>
      <c r="K35">
        <f t="shared" si="5"/>
        <v>0</v>
      </c>
      <c r="L35" s="4">
        <v>1.855</v>
      </c>
      <c r="M35" s="4">
        <v>0.46</v>
      </c>
      <c r="N35" t="s">
        <v>348</v>
      </c>
      <c r="P35" t="s">
        <v>371</v>
      </c>
      <c r="R35" s="3">
        <v>0</v>
      </c>
      <c r="S35" t="s">
        <v>1376</v>
      </c>
      <c r="U35" t="s">
        <v>372</v>
      </c>
      <c r="W35" s="3">
        <v>7.8E-2</v>
      </c>
      <c r="X35" t="s">
        <v>373</v>
      </c>
      <c r="Y35" s="3">
        <v>-30.948</v>
      </c>
      <c r="Z35" s="3">
        <v>0.113</v>
      </c>
    </row>
    <row r="36" spans="1:28" x14ac:dyDescent="0.25">
      <c r="A36" s="2">
        <v>45793</v>
      </c>
      <c r="B36" t="s">
        <v>114</v>
      </c>
      <c r="C36">
        <v>3.26</v>
      </c>
      <c r="D36" t="s">
        <v>1257</v>
      </c>
      <c r="E36" t="s">
        <v>1263</v>
      </c>
      <c r="F36" t="s">
        <v>1260</v>
      </c>
      <c r="G36" t="s">
        <v>1258</v>
      </c>
      <c r="H36" t="s">
        <v>341</v>
      </c>
      <c r="I36" t="s">
        <v>342</v>
      </c>
      <c r="J36" s="4">
        <v>5.39</v>
      </c>
      <c r="K36">
        <f t="shared" si="5"/>
        <v>65.337423312883431</v>
      </c>
      <c r="L36" s="4">
        <v>6.61</v>
      </c>
      <c r="M36" s="4">
        <v>1.48</v>
      </c>
      <c r="N36" t="s">
        <v>1421</v>
      </c>
      <c r="P36" t="s">
        <v>343</v>
      </c>
      <c r="Q36" t="s">
        <v>1505</v>
      </c>
      <c r="R36" s="3">
        <v>0</v>
      </c>
      <c r="S36" t="s">
        <v>1563</v>
      </c>
      <c r="T36" t="s">
        <v>1564</v>
      </c>
      <c r="U36" t="s">
        <v>1506</v>
      </c>
      <c r="V36" s="3">
        <v>0.154</v>
      </c>
      <c r="W36" s="3">
        <v>0.02</v>
      </c>
      <c r="X36" t="s">
        <v>1507</v>
      </c>
      <c r="Y36" s="3">
        <v>0.159</v>
      </c>
      <c r="Z36" s="3">
        <v>0.69399999999999995</v>
      </c>
      <c r="AB36" s="3">
        <v>0.123</v>
      </c>
    </row>
    <row r="37" spans="1:28" x14ac:dyDescent="0.25">
      <c r="A37" s="2">
        <v>45786</v>
      </c>
      <c r="B37" t="s">
        <v>115</v>
      </c>
      <c r="C37">
        <v>2.04</v>
      </c>
      <c r="D37" t="s">
        <v>1257</v>
      </c>
      <c r="E37" t="s">
        <v>1263</v>
      </c>
      <c r="F37" t="s">
        <v>1260</v>
      </c>
      <c r="G37" t="s">
        <v>1258</v>
      </c>
      <c r="H37" t="s">
        <v>346</v>
      </c>
      <c r="I37" t="s">
        <v>347</v>
      </c>
      <c r="J37" s="4">
        <v>4.45</v>
      </c>
      <c r="K37">
        <f t="shared" si="5"/>
        <v>118.1372549019608</v>
      </c>
      <c r="L37" s="4">
        <v>4.7</v>
      </c>
      <c r="M37" s="4">
        <v>1.56</v>
      </c>
      <c r="N37" t="s">
        <v>381</v>
      </c>
      <c r="O37" s="3">
        <v>1</v>
      </c>
      <c r="P37" t="s">
        <v>1437</v>
      </c>
      <c r="Q37" t="s">
        <v>1412</v>
      </c>
      <c r="R37" s="3">
        <v>1.7999999999999999E-2</v>
      </c>
      <c r="S37" t="s">
        <v>391</v>
      </c>
      <c r="T37" t="s">
        <v>1550</v>
      </c>
      <c r="U37" t="s">
        <v>1413</v>
      </c>
      <c r="V37" s="3">
        <v>2.2029999999999998</v>
      </c>
      <c r="W37" s="3">
        <v>8.0000000000000002E-3</v>
      </c>
      <c r="X37" t="s">
        <v>1414</v>
      </c>
      <c r="Y37" s="3">
        <v>1.0999999999999999E-2</v>
      </c>
      <c r="Z37" s="3">
        <v>0.152</v>
      </c>
      <c r="AA37" s="3">
        <v>-0.15</v>
      </c>
      <c r="AB37" s="3">
        <v>6.6000000000000003E-2</v>
      </c>
    </row>
    <row r="38" spans="1:28" x14ac:dyDescent="0.25">
      <c r="A38" s="2">
        <v>45786</v>
      </c>
      <c r="B38" t="s">
        <v>116</v>
      </c>
      <c r="C38">
        <v>2.59</v>
      </c>
      <c r="D38" t="s">
        <v>1257</v>
      </c>
      <c r="E38" t="s">
        <v>1263</v>
      </c>
      <c r="F38" t="s">
        <v>1260</v>
      </c>
      <c r="G38" t="s">
        <v>1258</v>
      </c>
      <c r="H38" t="s">
        <v>349</v>
      </c>
      <c r="I38" t="s">
        <v>23</v>
      </c>
      <c r="J38" s="4">
        <v>3.05</v>
      </c>
      <c r="K38">
        <f t="shared" si="5"/>
        <v>17.76061776061777</v>
      </c>
      <c r="L38" s="4">
        <v>3.55</v>
      </c>
      <c r="M38" s="4">
        <v>1.635</v>
      </c>
      <c r="N38" t="s">
        <v>1254</v>
      </c>
      <c r="O38" s="3">
        <v>1</v>
      </c>
      <c r="P38" t="s">
        <v>350</v>
      </c>
      <c r="Q38" t="s">
        <v>1415</v>
      </c>
      <c r="R38" s="3">
        <v>0</v>
      </c>
      <c r="S38" t="s">
        <v>1465</v>
      </c>
      <c r="T38" t="s">
        <v>1466</v>
      </c>
      <c r="U38" t="s">
        <v>1416</v>
      </c>
      <c r="V38" s="3">
        <v>0.14000000000000001</v>
      </c>
      <c r="W38" s="3">
        <v>0.01</v>
      </c>
      <c r="X38" t="s">
        <v>1417</v>
      </c>
      <c r="Y38" s="3">
        <v>2E-3</v>
      </c>
      <c r="Z38" s="3">
        <v>0.30399999999999999</v>
      </c>
      <c r="AB38" s="3">
        <v>3.0000000000000001E-3</v>
      </c>
    </row>
    <row r="39" spans="1:28" x14ac:dyDescent="0.25">
      <c r="A39" s="2">
        <v>45786</v>
      </c>
      <c r="B39" t="s">
        <v>117</v>
      </c>
      <c r="C39">
        <v>1.2549999999999999</v>
      </c>
      <c r="D39" t="s">
        <v>1257</v>
      </c>
      <c r="E39" t="s">
        <v>1263</v>
      </c>
      <c r="F39" t="s">
        <v>1260</v>
      </c>
      <c r="G39" t="s">
        <v>1258</v>
      </c>
      <c r="H39" t="s">
        <v>352</v>
      </c>
      <c r="I39" t="s">
        <v>25</v>
      </c>
      <c r="J39" s="4">
        <v>1.2</v>
      </c>
      <c r="K39">
        <f t="shared" si="5"/>
        <v>-4.3824701195219085</v>
      </c>
      <c r="L39" s="4">
        <v>1.2949999999999999</v>
      </c>
      <c r="M39" s="4">
        <v>1.01</v>
      </c>
      <c r="N39" t="s">
        <v>1418</v>
      </c>
      <c r="O39" s="3">
        <v>0</v>
      </c>
      <c r="P39" t="s">
        <v>353</v>
      </c>
      <c r="R39" s="3">
        <v>8.4000000000000005E-2</v>
      </c>
      <c r="S39" t="s">
        <v>1501</v>
      </c>
      <c r="U39" t="s">
        <v>1419</v>
      </c>
      <c r="V39" s="3">
        <v>0.90500000000000003</v>
      </c>
      <c r="W39" s="3">
        <v>3.0000000000000001E-3</v>
      </c>
      <c r="X39" t="s">
        <v>1420</v>
      </c>
      <c r="Y39" s="3">
        <v>-0.129</v>
      </c>
      <c r="Z39" s="3">
        <v>-2.8000000000000001E-2</v>
      </c>
      <c r="AB39" s="3">
        <v>-1.9E-2</v>
      </c>
    </row>
    <row r="40" spans="1:28" x14ac:dyDescent="0.25">
      <c r="A40" s="2">
        <v>45786</v>
      </c>
      <c r="B40" t="s">
        <v>118</v>
      </c>
      <c r="C40">
        <v>1.7350000000000001</v>
      </c>
      <c r="D40" t="s">
        <v>1257</v>
      </c>
      <c r="E40" t="s">
        <v>1263</v>
      </c>
      <c r="F40" t="s">
        <v>1260</v>
      </c>
      <c r="G40" t="s">
        <v>1258</v>
      </c>
      <c r="H40" t="s">
        <v>354</v>
      </c>
      <c r="I40" t="s">
        <v>22</v>
      </c>
      <c r="J40" s="4">
        <v>1.77</v>
      </c>
      <c r="K40">
        <f t="shared" si="5"/>
        <v>2.0172910662824117</v>
      </c>
      <c r="L40" s="4">
        <v>1.78</v>
      </c>
      <c r="M40" s="4">
        <v>1.1200000000000001</v>
      </c>
      <c r="N40" t="s">
        <v>355</v>
      </c>
      <c r="O40" s="3">
        <v>1</v>
      </c>
      <c r="P40" t="s">
        <v>356</v>
      </c>
      <c r="Q40" t="s">
        <v>1438</v>
      </c>
      <c r="R40" s="3">
        <v>7.9000000000000001E-2</v>
      </c>
      <c r="S40" t="s">
        <v>1322</v>
      </c>
      <c r="T40" t="s">
        <v>1565</v>
      </c>
      <c r="U40" t="s">
        <v>1439</v>
      </c>
      <c r="V40" s="3">
        <v>1.6639999999999999</v>
      </c>
      <c r="X40" t="s">
        <v>1440</v>
      </c>
      <c r="Y40" s="3">
        <v>0.152</v>
      </c>
      <c r="Z40" s="3">
        <v>3.3000000000000002E-2</v>
      </c>
      <c r="AA40" s="3">
        <v>-0.14199999999999999</v>
      </c>
      <c r="AB40" s="3">
        <v>8.6999999999999994E-2</v>
      </c>
    </row>
    <row r="41" spans="1:28" x14ac:dyDescent="0.25">
      <c r="A41" s="2">
        <v>45786</v>
      </c>
      <c r="B41" t="s">
        <v>119</v>
      </c>
      <c r="C41">
        <v>0.755</v>
      </c>
      <c r="D41" t="s">
        <v>1257</v>
      </c>
      <c r="E41" t="s">
        <v>1263</v>
      </c>
      <c r="F41" t="s">
        <v>1260</v>
      </c>
      <c r="G41" t="s">
        <v>1258</v>
      </c>
      <c r="H41" t="s">
        <v>357</v>
      </c>
      <c r="I41" t="s">
        <v>358</v>
      </c>
      <c r="J41" s="4">
        <v>0.52</v>
      </c>
      <c r="K41">
        <f t="shared" si="5"/>
        <v>-31.12582781456954</v>
      </c>
      <c r="L41" s="4">
        <v>0.78500000000000003</v>
      </c>
      <c r="M41" s="4">
        <v>0.3</v>
      </c>
      <c r="N41" t="s">
        <v>355</v>
      </c>
      <c r="P41" t="s">
        <v>359</v>
      </c>
      <c r="R41" s="3">
        <v>0</v>
      </c>
      <c r="S41" t="s">
        <v>1401</v>
      </c>
      <c r="U41" t="s">
        <v>360</v>
      </c>
      <c r="V41" s="3">
        <v>2.1999999999999999E-2</v>
      </c>
      <c r="W41" s="3">
        <v>4.8000000000000001E-2</v>
      </c>
      <c r="X41" t="s">
        <v>361</v>
      </c>
      <c r="Y41" s="3">
        <v>-26.218</v>
      </c>
      <c r="Z41" s="3">
        <v>6.2839999999999998</v>
      </c>
      <c r="AB41" s="3">
        <v>-5.2469999999999999</v>
      </c>
    </row>
    <row r="42" spans="1:28" x14ac:dyDescent="0.25">
      <c r="A42" s="2">
        <v>45786</v>
      </c>
      <c r="B42" t="s">
        <v>120</v>
      </c>
      <c r="C42">
        <v>1.865</v>
      </c>
      <c r="D42" t="s">
        <v>1257</v>
      </c>
      <c r="E42" t="s">
        <v>1263</v>
      </c>
      <c r="F42" t="s">
        <v>1260</v>
      </c>
      <c r="G42" t="s">
        <v>1258</v>
      </c>
      <c r="H42" t="s">
        <v>362</v>
      </c>
      <c r="I42" t="s">
        <v>22</v>
      </c>
      <c r="J42" s="4">
        <v>2.38</v>
      </c>
      <c r="K42">
        <f t="shared" si="5"/>
        <v>27.613941018766752</v>
      </c>
      <c r="L42" s="4">
        <v>2.86</v>
      </c>
      <c r="M42" s="4">
        <v>1.395</v>
      </c>
      <c r="N42" t="s">
        <v>1244</v>
      </c>
      <c r="O42" s="3">
        <v>1</v>
      </c>
      <c r="P42" t="s">
        <v>364</v>
      </c>
      <c r="Q42" t="s">
        <v>1441</v>
      </c>
      <c r="R42" s="3">
        <v>3.7999999999999999E-2</v>
      </c>
      <c r="S42" t="s">
        <v>1524</v>
      </c>
      <c r="T42" t="s">
        <v>1543</v>
      </c>
      <c r="U42" t="s">
        <v>1442</v>
      </c>
      <c r="V42" s="3">
        <v>25.291</v>
      </c>
      <c r="X42" t="s">
        <v>1443</v>
      </c>
      <c r="Y42" s="3">
        <v>3.6999999999999998E-2</v>
      </c>
      <c r="Z42" s="3">
        <v>0.03</v>
      </c>
      <c r="AA42" s="3">
        <v>-3.6999999999999998E-2</v>
      </c>
      <c r="AB42" s="3">
        <v>0.16800000000000001</v>
      </c>
    </row>
    <row r="43" spans="1:28" x14ac:dyDescent="0.25">
      <c r="A43" s="2">
        <v>45786</v>
      </c>
      <c r="B43" t="s">
        <v>121</v>
      </c>
      <c r="C43">
        <v>7.29</v>
      </c>
      <c r="D43" t="s">
        <v>1257</v>
      </c>
      <c r="E43" t="s">
        <v>1263</v>
      </c>
      <c r="F43" t="s">
        <v>1260</v>
      </c>
      <c r="G43" t="s">
        <v>1258</v>
      </c>
      <c r="H43" t="s">
        <v>365</v>
      </c>
      <c r="I43" t="s">
        <v>358</v>
      </c>
      <c r="J43" s="4">
        <v>9.2200000000000006</v>
      </c>
      <c r="K43">
        <f t="shared" si="5"/>
        <v>26.474622770919076</v>
      </c>
      <c r="L43" s="4">
        <v>9.4</v>
      </c>
      <c r="M43" s="4">
        <v>5.73</v>
      </c>
      <c r="N43" t="s">
        <v>1494</v>
      </c>
      <c r="O43" s="3">
        <v>0.7</v>
      </c>
      <c r="P43" t="s">
        <v>1444</v>
      </c>
      <c r="Q43" t="s">
        <v>1445</v>
      </c>
      <c r="R43" s="3">
        <v>1.7999999999999999E-2</v>
      </c>
      <c r="S43" t="s">
        <v>1495</v>
      </c>
      <c r="T43" t="s">
        <v>1496</v>
      </c>
      <c r="U43" t="s">
        <v>1446</v>
      </c>
      <c r="W43" s="3">
        <v>1E-3</v>
      </c>
      <c r="X43" t="s">
        <v>1447</v>
      </c>
      <c r="Y43" s="3">
        <v>3.7999999999999999E-2</v>
      </c>
      <c r="Z43" s="3">
        <v>0.17599999999999999</v>
      </c>
      <c r="AB43" s="3">
        <v>-2.762</v>
      </c>
    </row>
    <row r="44" spans="1:28" x14ac:dyDescent="0.25">
      <c r="A44" s="2">
        <v>45786</v>
      </c>
      <c r="B44" t="s">
        <v>122</v>
      </c>
      <c r="C44">
        <v>3.22</v>
      </c>
      <c r="D44" t="s">
        <v>1257</v>
      </c>
      <c r="E44" t="s">
        <v>1263</v>
      </c>
      <c r="F44" t="s">
        <v>1260</v>
      </c>
      <c r="G44" t="s">
        <v>1258</v>
      </c>
      <c r="H44" t="s">
        <v>366</v>
      </c>
      <c r="I44" t="s">
        <v>342</v>
      </c>
      <c r="J44" s="4">
        <v>3.56</v>
      </c>
      <c r="K44">
        <f t="shared" si="5"/>
        <v>10.559006211180112</v>
      </c>
      <c r="L44" s="4">
        <v>5.19</v>
      </c>
      <c r="M44" s="4">
        <v>1.895</v>
      </c>
      <c r="N44" t="s">
        <v>1264</v>
      </c>
      <c r="P44" t="s">
        <v>367</v>
      </c>
      <c r="Q44" t="s">
        <v>1508</v>
      </c>
      <c r="R44" s="3">
        <v>0</v>
      </c>
      <c r="S44" t="s">
        <v>1266</v>
      </c>
      <c r="U44" t="s">
        <v>1509</v>
      </c>
      <c r="V44" s="3">
        <v>0.251</v>
      </c>
      <c r="W44" s="3">
        <v>2.5999999999999999E-2</v>
      </c>
      <c r="X44" t="s">
        <v>1510</v>
      </c>
      <c r="Y44" s="3">
        <v>0.315</v>
      </c>
      <c r="Z44" s="3">
        <v>2.7029999999999998</v>
      </c>
      <c r="AB44" s="3">
        <v>0.14799999999999999</v>
      </c>
    </row>
    <row r="45" spans="1:28" x14ac:dyDescent="0.25">
      <c r="A45" s="2">
        <v>45786</v>
      </c>
      <c r="B45" t="s">
        <v>123</v>
      </c>
      <c r="C45">
        <v>0.67500000000000004</v>
      </c>
      <c r="D45" t="s">
        <v>1257</v>
      </c>
      <c r="E45" t="s">
        <v>1263</v>
      </c>
      <c r="F45" t="s">
        <v>1260</v>
      </c>
      <c r="G45" t="s">
        <v>1258</v>
      </c>
      <c r="H45" t="s">
        <v>368</v>
      </c>
      <c r="I45" t="s">
        <v>25</v>
      </c>
      <c r="J45" s="4">
        <v>0.67</v>
      </c>
      <c r="K45">
        <f t="shared" si="5"/>
        <v>-0.74074074074074181</v>
      </c>
      <c r="L45" s="4">
        <v>0.72499999999999998</v>
      </c>
      <c r="M45" s="4">
        <v>0.53500000000000003</v>
      </c>
      <c r="N45" t="s">
        <v>348</v>
      </c>
      <c r="O45" s="3">
        <v>0</v>
      </c>
      <c r="P45" t="s">
        <v>369</v>
      </c>
      <c r="Q45" t="s">
        <v>1448</v>
      </c>
      <c r="R45" s="3">
        <v>7.4999999999999997E-2</v>
      </c>
      <c r="S45" t="s">
        <v>1511</v>
      </c>
      <c r="U45" t="s">
        <v>1449</v>
      </c>
      <c r="V45" s="3">
        <v>0.59699999999999998</v>
      </c>
      <c r="W45" s="3">
        <v>1.4E-2</v>
      </c>
      <c r="X45" t="s">
        <v>1450</v>
      </c>
      <c r="Y45" s="3">
        <v>0.504</v>
      </c>
      <c r="Z45" s="3">
        <v>0.22900000000000001</v>
      </c>
      <c r="AA45" s="3">
        <v>-9.6000000000000002E-2</v>
      </c>
      <c r="AB45" s="3">
        <v>5.3999999999999999E-2</v>
      </c>
    </row>
    <row r="46" spans="1:28" x14ac:dyDescent="0.25">
      <c r="A46" s="2">
        <v>45786</v>
      </c>
      <c r="B46" t="s">
        <v>124</v>
      </c>
      <c r="C46">
        <v>1.7649999999999999</v>
      </c>
      <c r="D46" t="s">
        <v>1257</v>
      </c>
      <c r="E46" t="s">
        <v>1263</v>
      </c>
      <c r="F46" t="s">
        <v>1260</v>
      </c>
      <c r="G46" t="s">
        <v>1258</v>
      </c>
      <c r="H46" t="s">
        <v>370</v>
      </c>
      <c r="I46" t="s">
        <v>358</v>
      </c>
      <c r="J46" s="4">
        <v>1.26</v>
      </c>
      <c r="K46">
        <f t="shared" si="5"/>
        <v>-28.611898016997163</v>
      </c>
      <c r="L46" s="4">
        <v>1.855</v>
      </c>
      <c r="M46" s="4">
        <v>0.46</v>
      </c>
      <c r="N46" t="s">
        <v>348</v>
      </c>
      <c r="P46" t="s">
        <v>371</v>
      </c>
      <c r="R46" s="3">
        <v>0</v>
      </c>
      <c r="S46" t="s">
        <v>1376</v>
      </c>
      <c r="U46" t="s">
        <v>372</v>
      </c>
      <c r="W46" s="3">
        <v>7.8E-2</v>
      </c>
      <c r="X46" t="s">
        <v>373</v>
      </c>
      <c r="Y46" s="3">
        <v>-30.948</v>
      </c>
      <c r="Z46" s="3">
        <v>0.113</v>
      </c>
    </row>
    <row r="47" spans="1:28" x14ac:dyDescent="0.25">
      <c r="A47" s="2">
        <v>45786</v>
      </c>
      <c r="B47" t="s">
        <v>125</v>
      </c>
      <c r="C47">
        <v>1.51</v>
      </c>
      <c r="D47" t="s">
        <v>1257</v>
      </c>
      <c r="E47" t="s">
        <v>1263</v>
      </c>
      <c r="F47" t="s">
        <v>1260</v>
      </c>
      <c r="G47" t="s">
        <v>1258</v>
      </c>
      <c r="H47" t="s">
        <v>374</v>
      </c>
      <c r="I47" t="s">
        <v>25</v>
      </c>
      <c r="J47" s="4">
        <v>1.54</v>
      </c>
      <c r="K47">
        <f t="shared" si="5"/>
        <v>1.9867549668874274</v>
      </c>
      <c r="L47" s="4">
        <v>1.615</v>
      </c>
      <c r="M47" s="4">
        <v>1.07</v>
      </c>
      <c r="N47" t="s">
        <v>1421</v>
      </c>
      <c r="O47" s="3">
        <v>0</v>
      </c>
      <c r="P47" t="s">
        <v>375</v>
      </c>
      <c r="Q47" t="s">
        <v>1400</v>
      </c>
      <c r="R47" s="3">
        <v>0.04</v>
      </c>
      <c r="S47" t="s">
        <v>1381</v>
      </c>
      <c r="T47" t="s">
        <v>1422</v>
      </c>
      <c r="U47" t="s">
        <v>1407</v>
      </c>
      <c r="V47" s="3">
        <v>0.49199999999999999</v>
      </c>
      <c r="W47" s="3">
        <v>1.7999999999999999E-2</v>
      </c>
      <c r="X47" t="s">
        <v>351</v>
      </c>
      <c r="Y47" s="3">
        <v>1.169</v>
      </c>
      <c r="Z47" s="3">
        <v>0.13300000000000001</v>
      </c>
      <c r="AA47" s="3">
        <v>0.64200000000000002</v>
      </c>
      <c r="AB47" s="3">
        <v>0.13</v>
      </c>
    </row>
    <row r="48" spans="1:28" x14ac:dyDescent="0.25">
      <c r="A48" s="2">
        <v>45786</v>
      </c>
      <c r="B48" t="s">
        <v>100</v>
      </c>
      <c r="C48">
        <v>1.78</v>
      </c>
      <c r="D48" t="s">
        <v>1257</v>
      </c>
      <c r="E48" t="s">
        <v>1263</v>
      </c>
      <c r="F48" t="s">
        <v>1260</v>
      </c>
      <c r="G48" t="s">
        <v>1258</v>
      </c>
      <c r="H48" t="s">
        <v>376</v>
      </c>
      <c r="I48" t="s">
        <v>342</v>
      </c>
      <c r="J48" s="4">
        <v>4.6399999999999997</v>
      </c>
      <c r="K48">
        <f t="shared" si="5"/>
        <v>160.67415730337075</v>
      </c>
      <c r="L48" s="4">
        <v>4.8</v>
      </c>
      <c r="M48" s="4">
        <v>1.2150000000000001</v>
      </c>
      <c r="N48" t="s">
        <v>1264</v>
      </c>
      <c r="P48" t="s">
        <v>377</v>
      </c>
      <c r="Q48" t="s">
        <v>1512</v>
      </c>
      <c r="R48" s="3">
        <v>0</v>
      </c>
      <c r="S48" t="s">
        <v>1283</v>
      </c>
      <c r="T48" t="s">
        <v>1557</v>
      </c>
      <c r="U48" t="s">
        <v>1513</v>
      </c>
      <c r="V48" s="3">
        <v>0.36599999999999999</v>
      </c>
      <c r="W48" s="3">
        <v>1.2999999999999999E-2</v>
      </c>
      <c r="X48" t="s">
        <v>1451</v>
      </c>
      <c r="Y48" s="3">
        <v>8.6999999999999994E-2</v>
      </c>
      <c r="AB48" s="3">
        <v>0.104</v>
      </c>
    </row>
    <row r="49" spans="1:28" x14ac:dyDescent="0.25">
      <c r="A49" s="2">
        <v>45786</v>
      </c>
      <c r="B49" t="s">
        <v>126</v>
      </c>
      <c r="C49">
        <v>2.62</v>
      </c>
      <c r="D49" t="s">
        <v>1257</v>
      </c>
      <c r="E49" t="s">
        <v>1263</v>
      </c>
      <c r="F49" t="s">
        <v>1260</v>
      </c>
      <c r="G49" t="s">
        <v>1258</v>
      </c>
      <c r="H49" t="s">
        <v>379</v>
      </c>
      <c r="I49" t="s">
        <v>23</v>
      </c>
      <c r="J49" s="4">
        <v>2.85</v>
      </c>
      <c r="K49">
        <f t="shared" si="5"/>
        <v>8.7786259541984712</v>
      </c>
      <c r="L49" s="4">
        <v>3.13</v>
      </c>
      <c r="M49" s="4">
        <v>1.915</v>
      </c>
      <c r="N49" t="s">
        <v>348</v>
      </c>
      <c r="O49" s="3">
        <v>1</v>
      </c>
      <c r="P49" t="s">
        <v>1514</v>
      </c>
      <c r="Q49" t="s">
        <v>1452</v>
      </c>
      <c r="R49" s="3">
        <v>6.3E-2</v>
      </c>
      <c r="S49" t="s">
        <v>390</v>
      </c>
      <c r="T49" t="s">
        <v>1566</v>
      </c>
      <c r="U49" t="s">
        <v>1453</v>
      </c>
      <c r="V49" s="3">
        <v>1.2809999999999999</v>
      </c>
      <c r="W49" s="3">
        <v>1.4E-2</v>
      </c>
      <c r="X49" t="s">
        <v>1454</v>
      </c>
      <c r="Y49" s="3">
        <v>4.9000000000000002E-2</v>
      </c>
      <c r="Z49" s="3">
        <v>8.1000000000000003E-2</v>
      </c>
      <c r="AA49" s="3">
        <v>0.17199999999999999</v>
      </c>
      <c r="AB49" s="3">
        <v>0.22900000000000001</v>
      </c>
    </row>
    <row r="50" spans="1:28" x14ac:dyDescent="0.25">
      <c r="A50" s="2">
        <v>45786</v>
      </c>
      <c r="B50" t="s">
        <v>127</v>
      </c>
      <c r="C50">
        <v>1.595</v>
      </c>
      <c r="D50" t="s">
        <v>1257</v>
      </c>
      <c r="E50" t="s">
        <v>1263</v>
      </c>
      <c r="F50" t="s">
        <v>1260</v>
      </c>
      <c r="G50" t="s">
        <v>1258</v>
      </c>
      <c r="H50" t="s">
        <v>380</v>
      </c>
      <c r="I50" t="s">
        <v>23</v>
      </c>
      <c r="J50" s="4">
        <v>1.42</v>
      </c>
      <c r="K50">
        <f t="shared" si="5"/>
        <v>-10.971786833855802</v>
      </c>
      <c r="L50" s="4">
        <v>1.8049999999999999</v>
      </c>
      <c r="M50" s="4">
        <v>1.07</v>
      </c>
      <c r="N50" t="s">
        <v>1246</v>
      </c>
      <c r="O50" s="3">
        <v>1</v>
      </c>
      <c r="P50" t="s">
        <v>382</v>
      </c>
      <c r="Q50" t="s">
        <v>1423</v>
      </c>
      <c r="R50" s="3">
        <v>0.04</v>
      </c>
      <c r="S50" t="s">
        <v>1515</v>
      </c>
      <c r="T50" t="s">
        <v>1528</v>
      </c>
      <c r="U50" t="s">
        <v>1424</v>
      </c>
      <c r="V50" s="3">
        <v>1.3260000000000001</v>
      </c>
      <c r="W50" s="3">
        <v>7.0000000000000001E-3</v>
      </c>
      <c r="X50" t="s">
        <v>383</v>
      </c>
      <c r="Y50" s="3">
        <v>2.8000000000000001E-2</v>
      </c>
      <c r="Z50" s="3">
        <v>8.1000000000000003E-2</v>
      </c>
      <c r="AB50" s="3">
        <v>2.7E-2</v>
      </c>
    </row>
    <row r="51" spans="1:28" x14ac:dyDescent="0.25">
      <c r="A51" s="2">
        <v>45786</v>
      </c>
      <c r="B51" t="s">
        <v>96</v>
      </c>
      <c r="C51">
        <v>2.81</v>
      </c>
      <c r="D51" t="s">
        <v>1257</v>
      </c>
      <c r="E51" t="s">
        <v>1263</v>
      </c>
      <c r="F51" t="s">
        <v>1260</v>
      </c>
      <c r="G51" t="s">
        <v>1258</v>
      </c>
      <c r="H51" t="s">
        <v>384</v>
      </c>
      <c r="I51" t="s">
        <v>347</v>
      </c>
      <c r="J51" s="4">
        <v>2.95</v>
      </c>
      <c r="K51">
        <f t="shared" si="5"/>
        <v>4.9822064056939563</v>
      </c>
      <c r="L51" s="4">
        <v>3.26</v>
      </c>
      <c r="M51" s="4">
        <v>1.615</v>
      </c>
      <c r="N51" t="s">
        <v>355</v>
      </c>
      <c r="O51" s="3">
        <v>1</v>
      </c>
      <c r="P51" t="s">
        <v>385</v>
      </c>
      <c r="Q51" t="s">
        <v>1455</v>
      </c>
      <c r="R51" s="3">
        <v>8.5000000000000006E-2</v>
      </c>
      <c r="S51" t="s">
        <v>390</v>
      </c>
      <c r="T51" t="s">
        <v>1546</v>
      </c>
      <c r="U51" t="s">
        <v>1456</v>
      </c>
      <c r="V51" s="3">
        <v>0.104</v>
      </c>
      <c r="W51" s="3">
        <v>0.02</v>
      </c>
      <c r="X51" t="s">
        <v>1457</v>
      </c>
      <c r="Y51" s="3">
        <v>2.9000000000000001E-2</v>
      </c>
      <c r="Z51" s="3">
        <v>4.2000000000000003E-2</v>
      </c>
      <c r="AB51" s="3">
        <v>8.7999999999999995E-2</v>
      </c>
    </row>
    <row r="52" spans="1:28" x14ac:dyDescent="0.25">
      <c r="A52" s="2">
        <v>45786</v>
      </c>
      <c r="B52" t="s">
        <v>128</v>
      </c>
      <c r="C52">
        <v>1.35</v>
      </c>
      <c r="D52" t="s">
        <v>1257</v>
      </c>
      <c r="E52" t="s">
        <v>1263</v>
      </c>
      <c r="F52" t="s">
        <v>1260</v>
      </c>
      <c r="G52" t="s">
        <v>1258</v>
      </c>
      <c r="H52" t="s">
        <v>386</v>
      </c>
      <c r="I52" t="s">
        <v>21</v>
      </c>
      <c r="J52" s="4">
        <v>3.22</v>
      </c>
      <c r="K52">
        <f t="shared" si="5"/>
        <v>138.51851851851853</v>
      </c>
      <c r="L52" s="4">
        <v>4.3899999999999997</v>
      </c>
      <c r="M52" s="4">
        <v>0.58499999999999996</v>
      </c>
      <c r="N52" t="s">
        <v>1473</v>
      </c>
      <c r="P52" t="s">
        <v>387</v>
      </c>
      <c r="Q52" t="s">
        <v>1458</v>
      </c>
      <c r="R52" s="3">
        <v>0</v>
      </c>
      <c r="S52" t="s">
        <v>1474</v>
      </c>
      <c r="U52" t="s">
        <v>1459</v>
      </c>
      <c r="V52" s="3">
        <v>2.9000000000000001E-2</v>
      </c>
      <c r="W52" s="3">
        <v>0.127</v>
      </c>
      <c r="X52" t="s">
        <v>388</v>
      </c>
      <c r="Y52" s="3">
        <v>5.2999999999999999E-2</v>
      </c>
      <c r="Z52" s="3">
        <v>0.75700000000000001</v>
      </c>
      <c r="AB52" s="3">
        <v>2.1999999999999999E-2</v>
      </c>
    </row>
    <row r="53" spans="1:28" x14ac:dyDescent="0.25">
      <c r="A53" s="2">
        <v>45702</v>
      </c>
      <c r="B53" t="s">
        <v>129</v>
      </c>
      <c r="C53">
        <v>1.57</v>
      </c>
      <c r="D53" t="s">
        <v>1257</v>
      </c>
      <c r="E53" t="s">
        <v>1263</v>
      </c>
      <c r="F53" t="s">
        <v>1260</v>
      </c>
      <c r="G53" t="s">
        <v>1258</v>
      </c>
      <c r="H53" t="s">
        <v>389</v>
      </c>
      <c r="I53" t="s">
        <v>22</v>
      </c>
      <c r="J53" s="4">
        <v>2.4500000000000002</v>
      </c>
      <c r="K53">
        <f t="shared" si="5"/>
        <v>56.050955414012748</v>
      </c>
      <c r="L53" s="4">
        <v>2.58</v>
      </c>
      <c r="M53" s="4">
        <v>1.135</v>
      </c>
      <c r="N53" t="s">
        <v>1361</v>
      </c>
      <c r="O53" s="3">
        <v>1</v>
      </c>
      <c r="P53" t="s">
        <v>1547</v>
      </c>
      <c r="Q53" t="s">
        <v>1425</v>
      </c>
      <c r="R53" s="3">
        <v>5.2999999999999999E-2</v>
      </c>
      <c r="S53" t="s">
        <v>1524</v>
      </c>
      <c r="T53" t="s">
        <v>1363</v>
      </c>
      <c r="U53" t="s">
        <v>1426</v>
      </c>
      <c r="V53" s="3">
        <v>20.748999999999999</v>
      </c>
      <c r="X53" t="s">
        <v>392</v>
      </c>
      <c r="Y53" s="3">
        <v>6.6000000000000003E-2</v>
      </c>
      <c r="Z53" s="3">
        <v>0.27</v>
      </c>
      <c r="AA53" s="3">
        <v>-0.10299999999999999</v>
      </c>
      <c r="AB53" s="3">
        <v>0.121</v>
      </c>
    </row>
    <row r="54" spans="1:28" x14ac:dyDescent="0.25">
      <c r="A54" s="2">
        <v>45660</v>
      </c>
      <c r="B54" t="s">
        <v>130</v>
      </c>
      <c r="C54">
        <v>0.53500000000000003</v>
      </c>
      <c r="D54" t="s">
        <v>1257</v>
      </c>
      <c r="E54" t="s">
        <v>1263</v>
      </c>
      <c r="F54" t="s">
        <v>1260</v>
      </c>
      <c r="G54" t="s">
        <v>1258</v>
      </c>
      <c r="H54" t="s">
        <v>393</v>
      </c>
      <c r="I54" t="s">
        <v>21</v>
      </c>
      <c r="J54" s="4">
        <v>0.52</v>
      </c>
      <c r="K54">
        <f t="shared" si="5"/>
        <v>-2.8037383177570097</v>
      </c>
      <c r="L54" s="4">
        <v>0.56999999999999995</v>
      </c>
      <c r="M54" s="4">
        <v>0.48</v>
      </c>
      <c r="N54" t="s">
        <v>1558</v>
      </c>
      <c r="O54" s="3">
        <v>0</v>
      </c>
      <c r="P54" t="s">
        <v>394</v>
      </c>
      <c r="Q54" t="s">
        <v>1460</v>
      </c>
      <c r="R54" s="3">
        <v>3.5999999999999997E-2</v>
      </c>
      <c r="S54" t="s">
        <v>391</v>
      </c>
      <c r="T54" t="s">
        <v>1567</v>
      </c>
      <c r="U54" t="s">
        <v>1461</v>
      </c>
      <c r="V54" s="3">
        <v>1.458</v>
      </c>
      <c r="W54" s="3">
        <v>6.0000000000000001E-3</v>
      </c>
      <c r="X54" t="s">
        <v>1462</v>
      </c>
      <c r="Y54" s="3">
        <v>1.9E-2</v>
      </c>
      <c r="Z54" s="3">
        <v>0.35199999999999998</v>
      </c>
      <c r="AB54" s="3">
        <v>6.4000000000000001E-2</v>
      </c>
    </row>
    <row r="55" spans="1:28" x14ac:dyDescent="0.25">
      <c r="A55" s="2">
        <v>45791</v>
      </c>
      <c r="B55" t="s">
        <v>132</v>
      </c>
      <c r="C55">
        <v>5.88</v>
      </c>
      <c r="D55" t="s">
        <v>1256</v>
      </c>
      <c r="E55" t="s">
        <v>1259</v>
      </c>
      <c r="F55" t="s">
        <v>1377</v>
      </c>
      <c r="G55" t="s">
        <v>1258</v>
      </c>
      <c r="H55" t="s">
        <v>679</v>
      </c>
      <c r="I55" t="s">
        <v>1269</v>
      </c>
      <c r="J55" s="4">
        <v>5.88</v>
      </c>
      <c r="K55">
        <f t="shared" si="5"/>
        <v>0</v>
      </c>
      <c r="L55" s="4">
        <v>5.89</v>
      </c>
      <c r="M55" s="4">
        <v>2.5</v>
      </c>
      <c r="N55" t="s">
        <v>348</v>
      </c>
      <c r="P55" t="s">
        <v>1270</v>
      </c>
      <c r="Q55" t="s">
        <v>1271</v>
      </c>
      <c r="R55" s="3">
        <v>0</v>
      </c>
      <c r="S55" t="s">
        <v>1272</v>
      </c>
      <c r="T55" t="s">
        <v>1273</v>
      </c>
      <c r="U55" t="s">
        <v>1274</v>
      </c>
      <c r="V55" s="3">
        <v>1.7999999999999999E-2</v>
      </c>
      <c r="W55" s="3">
        <v>0.06</v>
      </c>
      <c r="X55" t="s">
        <v>1275</v>
      </c>
      <c r="Y55" s="3">
        <v>0.02</v>
      </c>
      <c r="Z55" s="3">
        <v>0.53200000000000003</v>
      </c>
      <c r="AB55" s="3">
        <v>2.8000000000000001E-2</v>
      </c>
    </row>
    <row r="56" spans="1:28" x14ac:dyDescent="0.25">
      <c r="A56" s="2">
        <v>45764</v>
      </c>
      <c r="B56" t="s">
        <v>133</v>
      </c>
      <c r="C56">
        <v>1.2949999999999999</v>
      </c>
      <c r="D56" t="s">
        <v>1256</v>
      </c>
      <c r="E56" t="s">
        <v>1262</v>
      </c>
      <c r="F56" t="s">
        <v>1377</v>
      </c>
      <c r="G56" t="s">
        <v>1261</v>
      </c>
      <c r="H56" t="s">
        <v>680</v>
      </c>
      <c r="I56" t="s">
        <v>22</v>
      </c>
      <c r="J56" s="4">
        <v>1.38</v>
      </c>
      <c r="K56">
        <f t="shared" si="5"/>
        <v>6.5637065637065506</v>
      </c>
      <c r="L56" s="4">
        <v>1.9450000000000001</v>
      </c>
      <c r="M56" s="4">
        <v>0.81499999999999995</v>
      </c>
      <c r="N56" t="s">
        <v>348</v>
      </c>
      <c r="O56" s="3">
        <v>1</v>
      </c>
      <c r="P56" t="s">
        <v>1276</v>
      </c>
      <c r="R56" s="3">
        <v>0</v>
      </c>
      <c r="S56" t="s">
        <v>1277</v>
      </c>
      <c r="U56" t="s">
        <v>1278</v>
      </c>
      <c r="V56" s="3">
        <v>1.077</v>
      </c>
      <c r="W56" s="3">
        <v>3.9E-2</v>
      </c>
      <c r="X56" t="s">
        <v>1279</v>
      </c>
      <c r="Y56" s="3">
        <v>0.14000000000000001</v>
      </c>
      <c r="Z56" s="3">
        <v>0.73199999999999998</v>
      </c>
      <c r="AB56" s="3">
        <v>-0.26500000000000001</v>
      </c>
    </row>
    <row r="57" spans="1:28" x14ac:dyDescent="0.25">
      <c r="A57" s="2">
        <v>45764</v>
      </c>
      <c r="B57" t="s">
        <v>134</v>
      </c>
      <c r="C57">
        <v>6.04</v>
      </c>
      <c r="D57" t="s">
        <v>1256</v>
      </c>
      <c r="E57" t="s">
        <v>1262</v>
      </c>
      <c r="F57" t="s">
        <v>1377</v>
      </c>
      <c r="G57" t="s">
        <v>1261</v>
      </c>
      <c r="H57" t="s">
        <v>681</v>
      </c>
      <c r="I57" t="s">
        <v>25</v>
      </c>
      <c r="J57" s="4">
        <v>7.2</v>
      </c>
      <c r="K57">
        <f t="shared" si="5"/>
        <v>19.205298013245041</v>
      </c>
      <c r="L57" s="4">
        <v>7.44</v>
      </c>
      <c r="M57" s="4">
        <v>5.46</v>
      </c>
      <c r="N57" t="s">
        <v>1280</v>
      </c>
      <c r="O57" s="3">
        <v>0</v>
      </c>
      <c r="P57" t="s">
        <v>1281</v>
      </c>
      <c r="Q57" t="s">
        <v>1282</v>
      </c>
      <c r="R57" s="3">
        <v>0</v>
      </c>
      <c r="S57" t="s">
        <v>1283</v>
      </c>
      <c r="T57" t="s">
        <v>1284</v>
      </c>
      <c r="U57" t="s">
        <v>1285</v>
      </c>
      <c r="V57" s="3">
        <v>1.546</v>
      </c>
      <c r="W57" s="3">
        <v>1.4E-2</v>
      </c>
      <c r="X57" t="s">
        <v>1286</v>
      </c>
      <c r="Y57" s="3">
        <v>8.5000000000000006E-2</v>
      </c>
      <c r="Z57" s="3">
        <v>8.8999999999999996E-2</v>
      </c>
      <c r="AB57" s="3">
        <v>3.0000000000000001E-3</v>
      </c>
    </row>
    <row r="58" spans="1:28" x14ac:dyDescent="0.25">
      <c r="A58" s="2">
        <v>45758</v>
      </c>
      <c r="B58" t="s">
        <v>135</v>
      </c>
      <c r="C58">
        <v>15.01</v>
      </c>
      <c r="D58" t="s">
        <v>1256</v>
      </c>
      <c r="E58" t="s">
        <v>1262</v>
      </c>
      <c r="F58" t="s">
        <v>1377</v>
      </c>
      <c r="G58" t="s">
        <v>1261</v>
      </c>
      <c r="H58" t="s">
        <v>682</v>
      </c>
      <c r="I58" t="s">
        <v>347</v>
      </c>
      <c r="J58" s="4">
        <v>18.850000000000001</v>
      </c>
      <c r="K58">
        <f t="shared" si="5"/>
        <v>25.582944703530998</v>
      </c>
      <c r="L58" s="4">
        <v>19.62</v>
      </c>
      <c r="M58" s="4">
        <v>13</v>
      </c>
      <c r="N58" t="s">
        <v>1254</v>
      </c>
      <c r="O58" s="3">
        <v>1</v>
      </c>
      <c r="P58" t="s">
        <v>1287</v>
      </c>
      <c r="Q58" t="s">
        <v>1288</v>
      </c>
      <c r="R58" s="3">
        <v>3.3000000000000002E-2</v>
      </c>
      <c r="S58" t="s">
        <v>1289</v>
      </c>
      <c r="T58" t="s">
        <v>1290</v>
      </c>
      <c r="U58" t="s">
        <v>1291</v>
      </c>
      <c r="V58" s="3">
        <v>1.151</v>
      </c>
      <c r="W58" s="3">
        <v>0.01</v>
      </c>
      <c r="X58" t="s">
        <v>1292</v>
      </c>
      <c r="Y58" s="3">
        <v>0.13700000000000001</v>
      </c>
      <c r="Z58" s="3">
        <v>7.9000000000000001E-2</v>
      </c>
      <c r="AA58" s="3">
        <v>-1.7000000000000001E-2</v>
      </c>
      <c r="AB58" s="3">
        <v>0.29499999999999998</v>
      </c>
    </row>
    <row r="59" spans="1:28" x14ac:dyDescent="0.25">
      <c r="A59" s="2">
        <v>45758</v>
      </c>
      <c r="B59" t="s">
        <v>114</v>
      </c>
      <c r="C59">
        <v>2.42</v>
      </c>
      <c r="D59" t="s">
        <v>1256</v>
      </c>
      <c r="E59" t="s">
        <v>1262</v>
      </c>
      <c r="F59" t="s">
        <v>1377</v>
      </c>
      <c r="G59" t="s">
        <v>1261</v>
      </c>
      <c r="H59" t="s">
        <v>341</v>
      </c>
      <c r="I59" t="s">
        <v>342</v>
      </c>
      <c r="J59" s="4">
        <v>3.03</v>
      </c>
      <c r="K59">
        <f t="shared" si="5"/>
        <v>25.206611570247929</v>
      </c>
      <c r="L59" s="4">
        <v>4.05</v>
      </c>
      <c r="M59" s="4">
        <v>1.325</v>
      </c>
      <c r="N59" t="s">
        <v>1264</v>
      </c>
      <c r="P59" t="s">
        <v>343</v>
      </c>
      <c r="R59" s="3">
        <v>0</v>
      </c>
      <c r="S59" t="s">
        <v>1248</v>
      </c>
      <c r="U59" t="s">
        <v>344</v>
      </c>
      <c r="V59" s="3">
        <v>0.151</v>
      </c>
      <c r="W59" s="3">
        <v>1.4999999999999999E-2</v>
      </c>
      <c r="X59" t="s">
        <v>345</v>
      </c>
      <c r="Y59" s="3">
        <v>-9.2999999999999999E-2</v>
      </c>
      <c r="Z59" s="3">
        <v>0.377</v>
      </c>
      <c r="AB59" s="3">
        <v>-6.9000000000000006E-2</v>
      </c>
    </row>
    <row r="60" spans="1:28" x14ac:dyDescent="0.25">
      <c r="A60" s="2">
        <v>45751</v>
      </c>
      <c r="B60" t="s">
        <v>136</v>
      </c>
      <c r="C60">
        <v>1.79</v>
      </c>
      <c r="D60" t="s">
        <v>1256</v>
      </c>
      <c r="E60" t="s">
        <v>1262</v>
      </c>
      <c r="F60" t="s">
        <v>1377</v>
      </c>
      <c r="G60" t="s">
        <v>1261</v>
      </c>
      <c r="H60" t="s">
        <v>683</v>
      </c>
      <c r="I60" t="s">
        <v>358</v>
      </c>
      <c r="J60" s="4">
        <v>1.1499999999999999</v>
      </c>
      <c r="K60">
        <f t="shared" si="5"/>
        <v>-35.754189944134083</v>
      </c>
      <c r="L60" s="4">
        <v>2.08</v>
      </c>
      <c r="M60" s="4">
        <v>0.82</v>
      </c>
      <c r="N60" t="s">
        <v>363</v>
      </c>
      <c r="P60" t="s">
        <v>1293</v>
      </c>
      <c r="R60" s="3">
        <v>0</v>
      </c>
      <c r="U60" t="s">
        <v>1294</v>
      </c>
      <c r="V60" s="3">
        <v>2.7770000000000001</v>
      </c>
      <c r="W60" s="3">
        <v>7.9000000000000001E-2</v>
      </c>
      <c r="X60" t="s">
        <v>1295</v>
      </c>
      <c r="AB60" s="3">
        <v>-1.4730000000000001</v>
      </c>
    </row>
    <row r="61" spans="1:28" x14ac:dyDescent="0.25">
      <c r="A61" s="2">
        <v>45751</v>
      </c>
      <c r="B61" t="s">
        <v>137</v>
      </c>
      <c r="C61">
        <v>5.49</v>
      </c>
      <c r="D61" t="s">
        <v>1256</v>
      </c>
      <c r="E61" t="s">
        <v>1262</v>
      </c>
      <c r="F61" t="s">
        <v>1377</v>
      </c>
      <c r="G61" t="s">
        <v>1261</v>
      </c>
      <c r="H61" t="s">
        <v>684</v>
      </c>
      <c r="I61" t="s">
        <v>23</v>
      </c>
      <c r="J61" s="4">
        <v>5.51</v>
      </c>
      <c r="K61">
        <f t="shared" si="5"/>
        <v>0.36429872495444826</v>
      </c>
      <c r="L61" s="4">
        <v>6.89</v>
      </c>
      <c r="M61" s="4">
        <v>3.98</v>
      </c>
      <c r="N61" t="s">
        <v>1296</v>
      </c>
      <c r="P61" t="s">
        <v>1297</v>
      </c>
      <c r="Q61" t="s">
        <v>1298</v>
      </c>
      <c r="R61" s="3">
        <v>0</v>
      </c>
      <c r="S61" t="s">
        <v>1299</v>
      </c>
      <c r="T61" t="s">
        <v>1300</v>
      </c>
      <c r="U61" t="s">
        <v>1301</v>
      </c>
      <c r="V61" s="3">
        <v>3.0000000000000001E-3</v>
      </c>
      <c r="W61" s="3">
        <v>1.7000000000000001E-2</v>
      </c>
      <c r="X61" t="s">
        <v>1302</v>
      </c>
      <c r="Y61" s="3">
        <v>1.6E-2</v>
      </c>
      <c r="AB61" s="3">
        <v>5.0000000000000001E-3</v>
      </c>
    </row>
    <row r="62" spans="1:28" x14ac:dyDescent="0.25">
      <c r="A62" s="2">
        <v>45737</v>
      </c>
      <c r="B62" t="s">
        <v>138</v>
      </c>
      <c r="C62">
        <v>1.7050000000000001</v>
      </c>
      <c r="D62" t="s">
        <v>1256</v>
      </c>
      <c r="E62" t="s">
        <v>1262</v>
      </c>
      <c r="F62" t="s">
        <v>1377</v>
      </c>
      <c r="G62" t="s">
        <v>1261</v>
      </c>
      <c r="H62" t="s">
        <v>685</v>
      </c>
      <c r="I62" t="s">
        <v>347</v>
      </c>
      <c r="J62" s="4">
        <v>1.85</v>
      </c>
      <c r="K62">
        <f t="shared" si="5"/>
        <v>8.5043988269794646</v>
      </c>
      <c r="L62" s="4">
        <v>2.06</v>
      </c>
      <c r="M62" s="4">
        <v>1.2450000000000001</v>
      </c>
      <c r="N62" t="s">
        <v>1245</v>
      </c>
      <c r="O62" s="3">
        <v>1</v>
      </c>
      <c r="P62" t="s">
        <v>1303</v>
      </c>
      <c r="Q62" t="s">
        <v>1304</v>
      </c>
      <c r="R62" s="3">
        <v>0</v>
      </c>
      <c r="S62" t="s">
        <v>390</v>
      </c>
      <c r="T62" t="s">
        <v>1305</v>
      </c>
      <c r="U62" t="s">
        <v>1306</v>
      </c>
      <c r="V62" s="3">
        <v>1.577</v>
      </c>
      <c r="W62" s="3">
        <v>1.2E-2</v>
      </c>
      <c r="X62" t="s">
        <v>1307</v>
      </c>
      <c r="Y62" s="3">
        <v>6.0000000000000001E-3</v>
      </c>
      <c r="Z62" s="3">
        <v>2.1000000000000001E-2</v>
      </c>
      <c r="AA62" s="3">
        <v>-0.54100000000000004</v>
      </c>
      <c r="AB62" s="3">
        <v>2.8000000000000001E-2</v>
      </c>
    </row>
    <row r="63" spans="1:28" x14ac:dyDescent="0.25">
      <c r="A63" s="2">
        <v>45737</v>
      </c>
      <c r="B63" t="s">
        <v>139</v>
      </c>
      <c r="C63">
        <v>11.72</v>
      </c>
      <c r="D63" t="s">
        <v>1256</v>
      </c>
      <c r="E63" t="s">
        <v>1262</v>
      </c>
      <c r="F63" t="s">
        <v>1377</v>
      </c>
      <c r="G63" t="s">
        <v>1261</v>
      </c>
      <c r="H63" t="s">
        <v>686</v>
      </c>
      <c r="I63" t="s">
        <v>21</v>
      </c>
      <c r="J63" s="4">
        <v>10.96</v>
      </c>
      <c r="K63">
        <f t="shared" si="5"/>
        <v>-6.4846416382252521</v>
      </c>
      <c r="L63" s="4">
        <v>13.6</v>
      </c>
      <c r="M63" s="4">
        <v>7.06</v>
      </c>
      <c r="N63" t="s">
        <v>363</v>
      </c>
      <c r="O63" s="3">
        <v>1</v>
      </c>
      <c r="P63" t="s">
        <v>1308</v>
      </c>
      <c r="Q63" t="s">
        <v>1309</v>
      </c>
      <c r="R63" s="3">
        <v>0</v>
      </c>
      <c r="S63" t="s">
        <v>1310</v>
      </c>
      <c r="T63" t="s">
        <v>1311</v>
      </c>
      <c r="U63" t="s">
        <v>1312</v>
      </c>
      <c r="V63" s="3">
        <v>3.8769999999999998</v>
      </c>
      <c r="W63" s="3">
        <v>8.0000000000000002E-3</v>
      </c>
      <c r="X63" t="s">
        <v>1313</v>
      </c>
      <c r="Y63" s="3">
        <v>0.124</v>
      </c>
      <c r="Z63" s="3">
        <v>0.30299999999999999</v>
      </c>
      <c r="AA63" s="3">
        <v>-0.15</v>
      </c>
      <c r="AB63" s="3">
        <v>0.16500000000000001</v>
      </c>
    </row>
    <row r="64" spans="1:28" x14ac:dyDescent="0.25">
      <c r="A64" s="2">
        <v>45737</v>
      </c>
      <c r="B64" t="s">
        <v>140</v>
      </c>
      <c r="C64">
        <v>7.41</v>
      </c>
      <c r="D64" t="s">
        <v>1256</v>
      </c>
      <c r="E64" t="s">
        <v>1262</v>
      </c>
      <c r="F64" t="s">
        <v>1377</v>
      </c>
      <c r="G64" t="s">
        <v>1261</v>
      </c>
      <c r="H64" t="s">
        <v>687</v>
      </c>
      <c r="I64" t="s">
        <v>22</v>
      </c>
      <c r="J64" s="4">
        <v>7.94</v>
      </c>
      <c r="K64">
        <f t="shared" si="5"/>
        <v>7.1524966261808487</v>
      </c>
      <c r="L64" s="4">
        <v>8.4499999999999993</v>
      </c>
      <c r="M64" s="4">
        <v>3.81</v>
      </c>
      <c r="N64" t="s">
        <v>1314</v>
      </c>
      <c r="O64" s="3">
        <v>1</v>
      </c>
      <c r="P64" t="s">
        <v>1315</v>
      </c>
      <c r="Q64" t="s">
        <v>1316</v>
      </c>
      <c r="R64" s="3">
        <v>2.5000000000000001E-2</v>
      </c>
      <c r="S64" t="s">
        <v>1317</v>
      </c>
      <c r="U64" t="s">
        <v>1318</v>
      </c>
      <c r="V64" s="3">
        <v>10.917999999999999</v>
      </c>
      <c r="W64" s="3">
        <v>3.0000000000000001E-3</v>
      </c>
      <c r="X64" t="s">
        <v>1319</v>
      </c>
      <c r="Y64" s="3">
        <v>3.5000000000000003E-2</v>
      </c>
      <c r="Z64" s="3">
        <v>0.72499999999999998</v>
      </c>
      <c r="AA64" s="3">
        <v>5.7000000000000002E-2</v>
      </c>
      <c r="AB64" s="3">
        <v>0.10299999999999999</v>
      </c>
    </row>
    <row r="65" spans="1:28" x14ac:dyDescent="0.25">
      <c r="A65" s="2">
        <v>45730</v>
      </c>
      <c r="B65" t="s">
        <v>141</v>
      </c>
      <c r="C65">
        <v>1.0249999999999999</v>
      </c>
      <c r="D65" t="s">
        <v>1256</v>
      </c>
      <c r="E65" t="s">
        <v>1262</v>
      </c>
      <c r="F65" t="s">
        <v>1377</v>
      </c>
      <c r="G65" t="s">
        <v>1261</v>
      </c>
      <c r="H65" t="s">
        <v>688</v>
      </c>
      <c r="I65" t="s">
        <v>21</v>
      </c>
      <c r="J65" s="4">
        <v>0.98</v>
      </c>
      <c r="K65">
        <f t="shared" si="5"/>
        <v>-4.3902439024390176</v>
      </c>
      <c r="L65" s="4">
        <v>1.165</v>
      </c>
      <c r="M65" s="4">
        <v>0.86499999999999999</v>
      </c>
      <c r="N65" t="s">
        <v>355</v>
      </c>
      <c r="O65" s="3">
        <v>1</v>
      </c>
      <c r="P65" t="s">
        <v>1320</v>
      </c>
      <c r="Q65" t="s">
        <v>1321</v>
      </c>
      <c r="R65" s="3">
        <v>0.06</v>
      </c>
      <c r="S65" t="s">
        <v>1322</v>
      </c>
      <c r="U65" t="s">
        <v>1323</v>
      </c>
      <c r="V65" s="3">
        <v>0.91100000000000003</v>
      </c>
      <c r="W65" s="3">
        <v>1.2E-2</v>
      </c>
      <c r="X65" t="s">
        <v>1324</v>
      </c>
      <c r="Y65" s="3">
        <v>0.104</v>
      </c>
      <c r="Z65" s="3">
        <v>0.26900000000000002</v>
      </c>
      <c r="AA65" s="3">
        <v>0.69499999999999995</v>
      </c>
      <c r="AB65" s="3">
        <v>0.16800000000000001</v>
      </c>
    </row>
    <row r="66" spans="1:28" x14ac:dyDescent="0.25">
      <c r="A66" s="2">
        <v>45730</v>
      </c>
      <c r="B66" t="s">
        <v>142</v>
      </c>
      <c r="C66">
        <v>16</v>
      </c>
      <c r="D66" t="s">
        <v>1256</v>
      </c>
      <c r="E66" t="s">
        <v>1262</v>
      </c>
      <c r="F66" t="s">
        <v>1377</v>
      </c>
      <c r="G66" t="s">
        <v>1261</v>
      </c>
      <c r="H66" t="s">
        <v>689</v>
      </c>
      <c r="I66" t="s">
        <v>347</v>
      </c>
      <c r="J66" s="4">
        <v>21.8</v>
      </c>
      <c r="K66">
        <f t="shared" si="5"/>
        <v>36.250000000000007</v>
      </c>
      <c r="L66" s="4">
        <v>23.93</v>
      </c>
      <c r="M66" s="4">
        <v>8.7899999999999991</v>
      </c>
      <c r="N66" t="s">
        <v>1325</v>
      </c>
      <c r="P66" t="s">
        <v>1326</v>
      </c>
      <c r="Q66" t="s">
        <v>1327</v>
      </c>
      <c r="R66" s="3">
        <v>0</v>
      </c>
      <c r="S66" t="s">
        <v>1266</v>
      </c>
      <c r="T66" t="s">
        <v>1328</v>
      </c>
      <c r="U66" t="s">
        <v>1329</v>
      </c>
      <c r="V66" s="3">
        <v>0.16600000000000001</v>
      </c>
      <c r="W66" s="3">
        <v>1.7999999999999999E-2</v>
      </c>
      <c r="X66" t="s">
        <v>1330</v>
      </c>
      <c r="Y66" s="3">
        <v>1.2E-2</v>
      </c>
      <c r="Z66" s="3">
        <v>0.151</v>
      </c>
      <c r="AA66" s="3">
        <v>-0.49</v>
      </c>
      <c r="AB66" s="3">
        <v>5.7000000000000002E-2</v>
      </c>
    </row>
    <row r="67" spans="1:28" x14ac:dyDescent="0.25">
      <c r="A67" s="2">
        <v>45723</v>
      </c>
      <c r="B67" t="s">
        <v>143</v>
      </c>
      <c r="C67">
        <v>3.1</v>
      </c>
      <c r="D67" t="s">
        <v>1256</v>
      </c>
      <c r="E67" t="s">
        <v>1262</v>
      </c>
      <c r="F67" t="s">
        <v>1377</v>
      </c>
      <c r="G67" t="s">
        <v>1261</v>
      </c>
      <c r="H67" t="s">
        <v>690</v>
      </c>
      <c r="I67" t="s">
        <v>358</v>
      </c>
      <c r="J67" s="4">
        <v>2.76</v>
      </c>
      <c r="K67">
        <f t="shared" si="5"/>
        <v>-10.967741935483877</v>
      </c>
      <c r="L67" s="4">
        <v>3.81</v>
      </c>
      <c r="M67" s="4">
        <v>2.2400000000000002</v>
      </c>
      <c r="N67" t="s">
        <v>363</v>
      </c>
      <c r="O67" s="3">
        <v>1</v>
      </c>
      <c r="P67" t="s">
        <v>1331</v>
      </c>
      <c r="Q67" t="s">
        <v>1332</v>
      </c>
      <c r="R67" s="3">
        <v>4.4999999999999998E-2</v>
      </c>
      <c r="S67" t="s">
        <v>1333</v>
      </c>
      <c r="T67" t="s">
        <v>1334</v>
      </c>
      <c r="U67" t="s">
        <v>1335</v>
      </c>
      <c r="V67" s="3">
        <v>1.869</v>
      </c>
      <c r="W67" s="3">
        <v>6.0000000000000001E-3</v>
      </c>
      <c r="X67" t="s">
        <v>1336</v>
      </c>
      <c r="Y67" s="3">
        <v>4.2999999999999997E-2</v>
      </c>
      <c r="Z67" s="3">
        <v>2.5000000000000001E-2</v>
      </c>
      <c r="AA67" s="3">
        <v>-0.26200000000000001</v>
      </c>
      <c r="AB67" s="3">
        <v>0.184</v>
      </c>
    </row>
    <row r="68" spans="1:28" x14ac:dyDescent="0.25">
      <c r="A68" s="2">
        <v>45723</v>
      </c>
      <c r="B68" t="s">
        <v>144</v>
      </c>
      <c r="C68">
        <v>2.13</v>
      </c>
      <c r="D68" t="s">
        <v>1256</v>
      </c>
      <c r="E68" t="s">
        <v>1262</v>
      </c>
      <c r="F68" t="s">
        <v>1377</v>
      </c>
      <c r="G68" t="s">
        <v>1261</v>
      </c>
      <c r="H68" t="s">
        <v>691</v>
      </c>
      <c r="I68" t="s">
        <v>358</v>
      </c>
      <c r="J68" s="4">
        <v>2.6</v>
      </c>
      <c r="K68">
        <f t="shared" si="5"/>
        <v>22.065727699530523</v>
      </c>
      <c r="L68" s="4">
        <v>3.16</v>
      </c>
      <c r="M68" s="4">
        <v>1.89</v>
      </c>
      <c r="N68" t="s">
        <v>1267</v>
      </c>
      <c r="O68" s="3">
        <v>1</v>
      </c>
      <c r="P68" t="s">
        <v>1337</v>
      </c>
      <c r="Q68" t="s">
        <v>1338</v>
      </c>
      <c r="R68" s="3">
        <v>2.1999999999999999E-2</v>
      </c>
      <c r="S68" t="s">
        <v>1265</v>
      </c>
      <c r="T68" t="s">
        <v>1339</v>
      </c>
      <c r="U68" t="s">
        <v>1340</v>
      </c>
      <c r="V68" s="3">
        <v>0.76800000000000002</v>
      </c>
      <c r="W68" s="3">
        <v>6.0000000000000001E-3</v>
      </c>
      <c r="X68" t="s">
        <v>1341</v>
      </c>
      <c r="Y68" s="3">
        <v>1.2E-2</v>
      </c>
      <c r="Z68" s="3">
        <v>0.10199999999999999</v>
      </c>
      <c r="AB68" s="3">
        <v>1.0999999999999999E-2</v>
      </c>
    </row>
    <row r="69" spans="1:28" x14ac:dyDescent="0.25">
      <c r="A69" s="2">
        <v>45723</v>
      </c>
      <c r="B69" t="s">
        <v>90</v>
      </c>
      <c r="C69">
        <v>4.5599999999999996</v>
      </c>
      <c r="D69" t="s">
        <v>1256</v>
      </c>
      <c r="E69" t="s">
        <v>1262</v>
      </c>
      <c r="F69" t="s">
        <v>1377</v>
      </c>
      <c r="G69" t="s">
        <v>1261</v>
      </c>
      <c r="H69" t="s">
        <v>692</v>
      </c>
      <c r="I69" t="s">
        <v>1342</v>
      </c>
      <c r="J69" s="4">
        <v>3.91</v>
      </c>
      <c r="K69">
        <f t="shared" si="5"/>
        <v>-14.254385964912275</v>
      </c>
      <c r="L69" s="4">
        <v>5.45</v>
      </c>
      <c r="M69" s="4">
        <v>3.42</v>
      </c>
      <c r="N69" t="s">
        <v>1244</v>
      </c>
      <c r="O69" s="3">
        <v>1</v>
      </c>
      <c r="P69" t="s">
        <v>1343</v>
      </c>
      <c r="Q69" t="s">
        <v>1344</v>
      </c>
      <c r="R69" s="3">
        <v>0</v>
      </c>
      <c r="S69" t="s">
        <v>1345</v>
      </c>
      <c r="U69" t="s">
        <v>1346</v>
      </c>
      <c r="V69" s="3">
        <v>0.77</v>
      </c>
      <c r="W69" s="3">
        <v>2.1000000000000001E-2</v>
      </c>
      <c r="X69" t="s">
        <v>1347</v>
      </c>
      <c r="Y69" s="3">
        <v>8.5999999999999993E-2</v>
      </c>
      <c r="Z69" s="3">
        <v>0.13800000000000001</v>
      </c>
      <c r="AA69" s="3">
        <v>-0.61099999999999999</v>
      </c>
      <c r="AB69" s="3">
        <v>7.0000000000000007E-2</v>
      </c>
    </row>
    <row r="70" spans="1:28" x14ac:dyDescent="0.25">
      <c r="A70" s="2">
        <v>45716</v>
      </c>
      <c r="B70" t="s">
        <v>145</v>
      </c>
      <c r="C70">
        <v>4.76</v>
      </c>
      <c r="D70" t="s">
        <v>1256</v>
      </c>
      <c r="E70" t="s">
        <v>1262</v>
      </c>
      <c r="F70" t="s">
        <v>1377</v>
      </c>
      <c r="G70" t="s">
        <v>1261</v>
      </c>
      <c r="H70" t="s">
        <v>693</v>
      </c>
      <c r="I70" t="s">
        <v>21</v>
      </c>
      <c r="J70" s="4">
        <v>3.97</v>
      </c>
      <c r="K70">
        <f t="shared" si="5"/>
        <v>-16.596638655462183</v>
      </c>
      <c r="L70" s="4">
        <v>6.62</v>
      </c>
      <c r="M70" s="4">
        <v>2.2799999999999998</v>
      </c>
      <c r="N70" t="s">
        <v>381</v>
      </c>
      <c r="P70" t="s">
        <v>1348</v>
      </c>
      <c r="R70" s="3">
        <v>0</v>
      </c>
      <c r="S70" t="s">
        <v>1349</v>
      </c>
      <c r="T70" t="s">
        <v>1350</v>
      </c>
      <c r="U70" t="s">
        <v>1351</v>
      </c>
      <c r="V70" s="3">
        <v>8.9999999999999993E-3</v>
      </c>
      <c r="W70" s="3">
        <v>0.14699999999999999</v>
      </c>
      <c r="X70" t="s">
        <v>1352</v>
      </c>
      <c r="Y70" s="3">
        <v>-2.1850000000000001</v>
      </c>
      <c r="Z70" s="3">
        <v>0.84099999999999997</v>
      </c>
      <c r="AB70" s="3">
        <v>-0.24099999999999999</v>
      </c>
    </row>
    <row r="71" spans="1:28" x14ac:dyDescent="0.25">
      <c r="A71" s="2">
        <v>45716</v>
      </c>
      <c r="B71" t="s">
        <v>146</v>
      </c>
      <c r="C71">
        <v>1.99</v>
      </c>
      <c r="D71" t="s">
        <v>1256</v>
      </c>
      <c r="E71" t="s">
        <v>1262</v>
      </c>
      <c r="F71" t="s">
        <v>1377</v>
      </c>
      <c r="G71" t="s">
        <v>1261</v>
      </c>
      <c r="H71" t="s">
        <v>694</v>
      </c>
      <c r="I71" t="s">
        <v>358</v>
      </c>
      <c r="J71" s="4">
        <v>0.98</v>
      </c>
      <c r="K71">
        <f t="shared" si="5"/>
        <v>-50.753768844221113</v>
      </c>
      <c r="L71" s="4">
        <v>2.5</v>
      </c>
      <c r="M71" s="4">
        <v>0.88</v>
      </c>
      <c r="N71" t="s">
        <v>1353</v>
      </c>
      <c r="O71" s="3">
        <v>0</v>
      </c>
      <c r="P71" t="s">
        <v>1354</v>
      </c>
      <c r="R71" s="3">
        <v>0</v>
      </c>
      <c r="S71" t="s">
        <v>1334</v>
      </c>
      <c r="U71" t="s">
        <v>1355</v>
      </c>
      <c r="V71" s="3">
        <v>0.19400000000000001</v>
      </c>
      <c r="W71" s="3">
        <v>0.04</v>
      </c>
      <c r="X71" t="s">
        <v>1356</v>
      </c>
      <c r="Y71" s="3">
        <v>-0.47899999999999998</v>
      </c>
      <c r="Z71" s="3">
        <v>0.156</v>
      </c>
      <c r="AB71" s="3">
        <v>-0.35199999999999998</v>
      </c>
    </row>
    <row r="72" spans="1:28" x14ac:dyDescent="0.25">
      <c r="A72" s="2">
        <v>45681</v>
      </c>
      <c r="B72" t="s">
        <v>147</v>
      </c>
      <c r="C72">
        <v>2.8</v>
      </c>
      <c r="D72" t="s">
        <v>1256</v>
      </c>
      <c r="E72" t="s">
        <v>1263</v>
      </c>
      <c r="F72" t="s">
        <v>1377</v>
      </c>
      <c r="G72" t="s">
        <v>1258</v>
      </c>
      <c r="H72" t="s">
        <v>695</v>
      </c>
      <c r="I72" t="s">
        <v>358</v>
      </c>
      <c r="J72" s="4">
        <v>1.77</v>
      </c>
      <c r="K72">
        <f t="shared" si="5"/>
        <v>-36.785714285714278</v>
      </c>
      <c r="L72" s="4">
        <v>4.5199999999999996</v>
      </c>
      <c r="M72" s="4">
        <v>1.48</v>
      </c>
      <c r="N72" t="s">
        <v>1245</v>
      </c>
      <c r="P72" t="s">
        <v>1357</v>
      </c>
      <c r="R72" s="3">
        <v>0</v>
      </c>
      <c r="S72" t="s">
        <v>1358</v>
      </c>
      <c r="U72" t="s">
        <v>1359</v>
      </c>
      <c r="W72" s="3">
        <v>2.1000000000000001E-2</v>
      </c>
      <c r="X72" t="s">
        <v>1360</v>
      </c>
      <c r="Y72" s="3">
        <v>-0.79600000000000004</v>
      </c>
      <c r="AB72" s="3">
        <v>-4.0750000000000002</v>
      </c>
    </row>
    <row r="73" spans="1:28" x14ac:dyDescent="0.25">
      <c r="A73" s="2">
        <v>45681</v>
      </c>
      <c r="B73" t="s">
        <v>148</v>
      </c>
      <c r="C73">
        <v>0.875</v>
      </c>
      <c r="D73" t="s">
        <v>1256</v>
      </c>
      <c r="E73" t="s">
        <v>1263</v>
      </c>
      <c r="F73" t="s">
        <v>1377</v>
      </c>
      <c r="G73" t="s">
        <v>1258</v>
      </c>
      <c r="H73" t="s">
        <v>696</v>
      </c>
      <c r="I73" t="s">
        <v>347</v>
      </c>
      <c r="J73" s="4">
        <v>0.63</v>
      </c>
      <c r="K73">
        <f t="shared" si="5"/>
        <v>-28.000000000000004</v>
      </c>
      <c r="L73" s="4">
        <v>1.2350000000000001</v>
      </c>
      <c r="M73" s="4">
        <v>0.56000000000000005</v>
      </c>
      <c r="N73" t="s">
        <v>1361</v>
      </c>
      <c r="O73" s="3">
        <v>1</v>
      </c>
      <c r="P73" t="s">
        <v>1362</v>
      </c>
      <c r="Q73" t="s">
        <v>1255</v>
      </c>
      <c r="R73" s="3">
        <v>8.0000000000000002E-3</v>
      </c>
      <c r="S73" t="s">
        <v>1363</v>
      </c>
      <c r="T73" t="s">
        <v>1364</v>
      </c>
      <c r="U73" t="s">
        <v>1365</v>
      </c>
      <c r="V73" s="3">
        <v>5.8380000000000001</v>
      </c>
      <c r="W73" s="3">
        <v>8.9999999999999993E-3</v>
      </c>
      <c r="X73" t="s">
        <v>1366</v>
      </c>
      <c r="Y73" s="3">
        <v>8.9999999999999993E-3</v>
      </c>
      <c r="Z73" s="3">
        <v>5.6000000000000001E-2</v>
      </c>
      <c r="AA73" s="3">
        <v>-2.9000000000000001E-2</v>
      </c>
      <c r="AB73" s="3">
        <v>8.5000000000000006E-2</v>
      </c>
    </row>
    <row r="74" spans="1:28" x14ac:dyDescent="0.25">
      <c r="A74" s="2">
        <v>45674</v>
      </c>
      <c r="B74" t="s">
        <v>149</v>
      </c>
      <c r="C74">
        <v>5.27</v>
      </c>
      <c r="D74" t="s">
        <v>1256</v>
      </c>
      <c r="E74" t="s">
        <v>1263</v>
      </c>
      <c r="F74" t="s">
        <v>1377</v>
      </c>
      <c r="G74" t="s">
        <v>1258</v>
      </c>
      <c r="H74" t="s">
        <v>697</v>
      </c>
      <c r="I74" t="s">
        <v>25</v>
      </c>
      <c r="J74" s="4">
        <v>7.32</v>
      </c>
      <c r="K74">
        <f t="shared" si="5"/>
        <v>38.899430740037964</v>
      </c>
      <c r="L74" s="4">
        <v>7.38</v>
      </c>
      <c r="M74" s="4">
        <v>4.4400000000000004</v>
      </c>
      <c r="N74" t="s">
        <v>1244</v>
      </c>
      <c r="O74" s="3">
        <v>1</v>
      </c>
      <c r="P74" t="s">
        <v>1367</v>
      </c>
      <c r="Q74" t="s">
        <v>1368</v>
      </c>
      <c r="R74" s="3">
        <v>3.6999999999999998E-2</v>
      </c>
      <c r="S74" t="s">
        <v>378</v>
      </c>
      <c r="T74" t="s">
        <v>1369</v>
      </c>
      <c r="U74" t="s">
        <v>1370</v>
      </c>
      <c r="V74" s="3">
        <v>0.41199999999999998</v>
      </c>
      <c r="W74" s="3">
        <v>4.1000000000000002E-2</v>
      </c>
      <c r="X74" t="s">
        <v>1371</v>
      </c>
      <c r="Y74" s="3">
        <v>0.115</v>
      </c>
      <c r="Z74" s="3">
        <v>8.7999999999999995E-2</v>
      </c>
      <c r="AA74" s="3">
        <v>6.4000000000000001E-2</v>
      </c>
      <c r="AB74" s="3">
        <v>0.11899999999999999</v>
      </c>
    </row>
    <row r="75" spans="1:28" x14ac:dyDescent="0.25">
      <c r="A75" s="2">
        <v>45660</v>
      </c>
      <c r="B75" t="s">
        <v>150</v>
      </c>
      <c r="C75">
        <v>1.36</v>
      </c>
      <c r="D75" t="s">
        <v>1256</v>
      </c>
      <c r="E75" t="s">
        <v>1263</v>
      </c>
      <c r="F75" t="s">
        <v>1377</v>
      </c>
      <c r="G75" t="s">
        <v>1258</v>
      </c>
      <c r="H75" t="s">
        <v>698</v>
      </c>
      <c r="I75" t="s">
        <v>358</v>
      </c>
      <c r="J75" s="4">
        <v>1.44</v>
      </c>
      <c r="K75">
        <f t="shared" si="5"/>
        <v>5.8823529411764497</v>
      </c>
      <c r="L75" s="4">
        <v>2.09</v>
      </c>
      <c r="M75" s="4">
        <v>0.89500000000000002</v>
      </c>
      <c r="N75" t="s">
        <v>1246</v>
      </c>
      <c r="P75" t="s">
        <v>1372</v>
      </c>
      <c r="R75" s="3">
        <v>0</v>
      </c>
      <c r="S75" t="s">
        <v>1373</v>
      </c>
      <c r="U75" t="s">
        <v>1374</v>
      </c>
      <c r="V75" s="3">
        <v>2.1999999999999999E-2</v>
      </c>
      <c r="W75" s="3">
        <v>5.5E-2</v>
      </c>
      <c r="X75" t="s">
        <v>1375</v>
      </c>
      <c r="Y75" s="3">
        <v>-1.8440000000000001</v>
      </c>
      <c r="Z75" s="3">
        <v>0.92900000000000005</v>
      </c>
      <c r="AB75"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G4" sqref="G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17.591142603616138</v>
      </c>
      <c r="B2" s="5">
        <v>6524.6939999999995</v>
      </c>
      <c r="C2">
        <f>COUNTA(Trades!$A$15:A1048576)</f>
        <v>887</v>
      </c>
      <c r="D2">
        <f>COUNTIF(Trades!$J$15:J901,"&gt;0")</f>
        <v>446</v>
      </c>
      <c r="E2">
        <f>AVERAGEIF(Trades!$J$15:J901,"&gt;0")*100</f>
        <v>36.642190626569878</v>
      </c>
      <c r="F2">
        <f>C2-D2</f>
        <v>441</v>
      </c>
      <c r="G2">
        <f>AVERAGEIF(Trades!$J$15:J901,"&lt;0")*100</f>
        <v>-13.578783948682085</v>
      </c>
      <c r="H2">
        <v>-33.47</v>
      </c>
      <c r="I2">
        <v>4.9155213534814335</v>
      </c>
      <c r="J2">
        <v>17.457218020538988</v>
      </c>
      <c r="K2">
        <v>-1.6960332109139054</v>
      </c>
      <c r="L2">
        <v>1.5910385</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74"/>
  <sheetViews>
    <sheetView topLeftCell="A1329" workbookViewId="0">
      <selection activeCell="K1365" sqref="K136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C1374"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O9" sqref="O9"/>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1479</v>
      </c>
      <c r="B2" t="s">
        <v>1481</v>
      </c>
      <c r="C2" s="18" t="s">
        <v>1226</v>
      </c>
      <c r="D2" s="2">
        <v>44826</v>
      </c>
      <c r="E2">
        <v>6.23</v>
      </c>
      <c r="F2" s="12">
        <v>45982</v>
      </c>
      <c r="G2" s="4">
        <v>6.52</v>
      </c>
      <c r="H2" s="3">
        <f t="shared" ref="H2" si="0">G2/E2-1</f>
        <v>4.6548956661315977E-2</v>
      </c>
      <c r="I2">
        <f t="shared" ref="I2" si="1">K2*E2*J2</f>
        <v>15486.454459999919</v>
      </c>
      <c r="J2" s="3">
        <f t="shared" ref="J2" si="2">H2-0.002</f>
        <v>4.4548956661315975E-2</v>
      </c>
      <c r="K2">
        <v>55799</v>
      </c>
      <c r="M2" s="4"/>
      <c r="N2" s="4"/>
      <c r="O2" s="6"/>
      <c r="P2" s="6"/>
      <c r="R2" s="4"/>
    </row>
    <row r="3" spans="1:18" x14ac:dyDescent="0.25">
      <c r="A3" t="s">
        <v>114</v>
      </c>
      <c r="B3" t="s">
        <v>341</v>
      </c>
      <c r="C3" t="s">
        <v>1226</v>
      </c>
      <c r="D3" s="2">
        <v>45793</v>
      </c>
      <c r="E3">
        <v>3.31</v>
      </c>
      <c r="F3" s="12">
        <v>45982</v>
      </c>
      <c r="G3" s="4">
        <v>5.39</v>
      </c>
      <c r="H3" s="3">
        <f t="shared" ref="H3:H6" si="3">G3/E3-1</f>
        <v>0.62839879154078537</v>
      </c>
      <c r="I3" s="20">
        <f t="shared" ref="I3:I6" si="4">K3*E3*J3</f>
        <v>182121.55243999997</v>
      </c>
      <c r="J3" s="21">
        <f t="shared" ref="J3:J6" si="5">H3-0.002</f>
        <v>0.62639879154078537</v>
      </c>
      <c r="K3">
        <v>87838</v>
      </c>
      <c r="M3" s="4"/>
      <c r="N3" s="4"/>
      <c r="P3" s="15"/>
      <c r="R3" s="4"/>
    </row>
    <row r="4" spans="1:18" x14ac:dyDescent="0.25">
      <c r="A4" t="s">
        <v>115</v>
      </c>
      <c r="B4" t="s">
        <v>346</v>
      </c>
      <c r="C4" t="s">
        <v>1226</v>
      </c>
      <c r="D4" s="2">
        <v>45786</v>
      </c>
      <c r="E4">
        <v>2.036613</v>
      </c>
      <c r="F4" s="12">
        <v>45982</v>
      </c>
      <c r="G4" s="4">
        <v>4.45</v>
      </c>
      <c r="H4" s="3">
        <f t="shared" si="3"/>
        <v>1.1850002921517246</v>
      </c>
      <c r="I4" s="20">
        <f t="shared" si="4"/>
        <v>308811.38366867608</v>
      </c>
      <c r="J4" s="21">
        <f t="shared" si="5"/>
        <v>1.1830002921517246</v>
      </c>
      <c r="K4">
        <v>128174</v>
      </c>
      <c r="M4" s="4"/>
      <c r="N4" s="4"/>
      <c r="O4" s="4"/>
      <c r="P4" s="15"/>
      <c r="R4" s="4"/>
    </row>
    <row r="5" spans="1:18" x14ac:dyDescent="0.25">
      <c r="A5" t="s">
        <v>118</v>
      </c>
      <c r="B5" t="s">
        <v>354</v>
      </c>
      <c r="C5" t="s">
        <v>1226</v>
      </c>
      <c r="D5" s="2">
        <v>45786</v>
      </c>
      <c r="E5">
        <v>1.79</v>
      </c>
      <c r="F5" s="12">
        <v>45982</v>
      </c>
      <c r="G5" s="4">
        <v>1.77</v>
      </c>
      <c r="H5" s="3">
        <f t="shared" si="3"/>
        <v>-1.1173184357541888E-2</v>
      </c>
      <c r="I5" s="20">
        <f t="shared" si="4"/>
        <v>-3439.7324999999969</v>
      </c>
      <c r="J5" s="21">
        <f t="shared" si="5"/>
        <v>-1.3173184357541888E-2</v>
      </c>
      <c r="K5">
        <v>145875</v>
      </c>
      <c r="M5" s="4"/>
      <c r="N5" s="4"/>
      <c r="O5" s="4"/>
      <c r="P5" s="15"/>
      <c r="R5" s="4"/>
    </row>
    <row r="6" spans="1:18" x14ac:dyDescent="0.25">
      <c r="A6" t="s">
        <v>126</v>
      </c>
      <c r="B6" t="s">
        <v>379</v>
      </c>
      <c r="C6" t="s">
        <v>1226</v>
      </c>
      <c r="D6" s="2">
        <v>45786</v>
      </c>
      <c r="E6">
        <v>2.66</v>
      </c>
      <c r="F6" s="12">
        <v>45982</v>
      </c>
      <c r="G6" s="4">
        <v>2.85</v>
      </c>
      <c r="H6" s="3">
        <f t="shared" si="3"/>
        <v>7.1428571428571397E-2</v>
      </c>
      <c r="I6" s="20">
        <f t="shared" si="4"/>
        <v>18144.440639999993</v>
      </c>
      <c r="J6" s="21">
        <f t="shared" si="5"/>
        <v>6.9428571428571395E-2</v>
      </c>
      <c r="K6">
        <v>98248</v>
      </c>
      <c r="M6" s="4"/>
      <c r="N6" s="4"/>
      <c r="P6" s="15"/>
      <c r="R6" s="4"/>
    </row>
    <row r="7" spans="1:18" x14ac:dyDescent="0.25">
      <c r="A7" t="s">
        <v>129</v>
      </c>
      <c r="B7" t="s">
        <v>389</v>
      </c>
      <c r="C7" t="s">
        <v>1226</v>
      </c>
      <c r="D7" s="2">
        <v>45702</v>
      </c>
      <c r="E7">
        <v>1.425</v>
      </c>
      <c r="F7" s="12">
        <v>45982</v>
      </c>
      <c r="G7" s="4">
        <v>2.4500000000000002</v>
      </c>
      <c r="H7" s="3">
        <f t="shared" ref="H7:H8" si="6">G7/E7-1</f>
        <v>0.7192982456140351</v>
      </c>
      <c r="I7" s="20">
        <f t="shared" ref="I7" si="7">K7*E7*J7</f>
        <v>215856.61485000001</v>
      </c>
      <c r="J7" s="21">
        <f t="shared" ref="J7:J8" si="8">H7-0.002</f>
        <v>0.7172982456140351</v>
      </c>
      <c r="K7">
        <v>211179</v>
      </c>
      <c r="M7" s="4"/>
      <c r="N7" s="4"/>
      <c r="P7" s="15"/>
      <c r="R7" s="4"/>
    </row>
    <row r="8" spans="1:18" x14ac:dyDescent="0.25">
      <c r="A8" t="s">
        <v>130</v>
      </c>
      <c r="B8" t="s">
        <v>393</v>
      </c>
      <c r="C8" t="s">
        <v>1226</v>
      </c>
      <c r="D8" s="2">
        <v>45660</v>
      </c>
      <c r="E8">
        <v>0.52570839999999996</v>
      </c>
      <c r="F8" s="12">
        <v>45982</v>
      </c>
      <c r="G8" s="4">
        <v>0.52</v>
      </c>
      <c r="H8" s="3">
        <f t="shared" si="6"/>
        <v>-1.0858491133107107E-2</v>
      </c>
      <c r="I8" s="20">
        <f>K8*E8*J8</f>
        <v>-3675.1095996559584</v>
      </c>
      <c r="J8" s="3">
        <f t="shared" si="8"/>
        <v>-1.2858491133107107E-2</v>
      </c>
      <c r="K8">
        <v>543670</v>
      </c>
      <c r="M8" s="4"/>
      <c r="N8" s="4"/>
      <c r="P8" s="15"/>
      <c r="R8" s="4"/>
    </row>
    <row r="9" spans="1:18" x14ac:dyDescent="0.25">
      <c r="A9" t="s">
        <v>131</v>
      </c>
      <c r="B9" t="s">
        <v>395</v>
      </c>
      <c r="C9" t="s">
        <v>1226</v>
      </c>
      <c r="D9" s="2">
        <v>45569</v>
      </c>
      <c r="E9">
        <v>4.8722630000000002</v>
      </c>
      <c r="F9" s="12">
        <v>45982</v>
      </c>
      <c r="G9" s="4">
        <v>7.06</v>
      </c>
      <c r="H9" s="3">
        <f t="shared" ref="H9:H29" si="9">G9/E9-1</f>
        <v>0.44901865929651152</v>
      </c>
      <c r="I9" s="20">
        <f t="shared" ref="I9:I29" si="10">K9*E9*J9</f>
        <v>132827.04901936397</v>
      </c>
      <c r="J9" s="3">
        <f t="shared" ref="J9:J29" si="11">H9-0.002</f>
        <v>0.44701865929651152</v>
      </c>
      <c r="K9">
        <v>60986</v>
      </c>
      <c r="M9" s="4"/>
      <c r="N9" s="4"/>
      <c r="P9" s="15"/>
      <c r="R9" s="4"/>
    </row>
    <row r="10" spans="1:18" x14ac:dyDescent="0.25">
      <c r="A10" s="17" t="s">
        <v>1402</v>
      </c>
      <c r="B10" s="17" t="s">
        <v>1403</v>
      </c>
      <c r="C10" s="18" t="s">
        <v>1227</v>
      </c>
      <c r="D10" s="19">
        <v>45873</v>
      </c>
      <c r="E10" s="20">
        <v>0.625</v>
      </c>
      <c r="F10" s="12">
        <v>45985</v>
      </c>
      <c r="G10" s="4">
        <v>0.67</v>
      </c>
      <c r="H10" s="3">
        <f t="shared" ref="H10:H11" si="12">G10/E10-1</f>
        <v>7.2000000000000064E-2</v>
      </c>
      <c r="I10" s="20">
        <f t="shared" ref="I10:I11" si="13">K10*E10*J10</f>
        <v>21105.56875000002</v>
      </c>
      <c r="J10" s="3">
        <f t="shared" ref="J10:J11" si="14">H10-0.002</f>
        <v>7.0000000000000062E-2</v>
      </c>
      <c r="K10" s="20">
        <v>482413</v>
      </c>
      <c r="L10" s="4"/>
      <c r="M10" s="4"/>
      <c r="N10" s="4"/>
      <c r="P10" s="15"/>
      <c r="R10" s="4"/>
    </row>
    <row r="11" spans="1:18" x14ac:dyDescent="0.25">
      <c r="A11" t="s">
        <v>100</v>
      </c>
      <c r="B11" t="s">
        <v>376</v>
      </c>
      <c r="C11" t="s">
        <v>1227</v>
      </c>
      <c r="D11" s="2">
        <v>45786</v>
      </c>
      <c r="E11">
        <v>1.8</v>
      </c>
      <c r="F11" s="12">
        <v>45985</v>
      </c>
      <c r="G11" s="4">
        <v>3.93</v>
      </c>
      <c r="H11" s="3">
        <f t="shared" si="12"/>
        <v>1.1833333333333336</v>
      </c>
      <c r="I11" s="20">
        <f t="shared" si="13"/>
        <v>308700.12000000005</v>
      </c>
      <c r="J11" s="3">
        <f t="shared" si="14"/>
        <v>1.1813333333333336</v>
      </c>
      <c r="K11">
        <v>145175</v>
      </c>
      <c r="L11" s="4"/>
      <c r="M11" s="4"/>
      <c r="N11" s="4"/>
      <c r="P11" s="15"/>
      <c r="R11" s="4"/>
    </row>
    <row r="12" spans="1:18" x14ac:dyDescent="0.25">
      <c r="A12" s="13" t="s">
        <v>330</v>
      </c>
      <c r="B12" s="6" t="s">
        <v>1122</v>
      </c>
      <c r="C12" s="13" t="s">
        <v>1227</v>
      </c>
      <c r="D12" s="12">
        <v>45950</v>
      </c>
      <c r="E12" s="13">
        <v>1.53</v>
      </c>
      <c r="F12" s="12">
        <v>45961</v>
      </c>
      <c r="G12" s="4">
        <v>0.96</v>
      </c>
      <c r="H12" s="3">
        <f t="shared" ref="H12:H21" si="15">G12/E12-1</f>
        <v>-0.37254901960784315</v>
      </c>
      <c r="I12" s="20">
        <f t="shared" ref="I12:I21" si="16">K12*E12*J12</f>
        <v>-129633.62178000002</v>
      </c>
      <c r="J12" s="3">
        <f t="shared" ref="J12:J21" si="17">H12-0.002</f>
        <v>-0.37454901960784315</v>
      </c>
      <c r="K12" s="13">
        <v>226213</v>
      </c>
      <c r="N12" s="4"/>
      <c r="P12" s="15"/>
      <c r="R12" s="4"/>
    </row>
    <row r="13" spans="1:18" x14ac:dyDescent="0.25">
      <c r="A13" s="13" t="s">
        <v>1516</v>
      </c>
      <c r="B13" s="17" t="s">
        <v>1518</v>
      </c>
      <c r="C13" s="13" t="s">
        <v>1227</v>
      </c>
      <c r="D13" s="12">
        <v>45943</v>
      </c>
      <c r="E13" s="13">
        <v>0.5</v>
      </c>
      <c r="F13" s="12">
        <v>45961</v>
      </c>
      <c r="G13" s="4">
        <v>0.39</v>
      </c>
      <c r="H13" s="3">
        <f t="shared" si="15"/>
        <v>-0.21999999999999997</v>
      </c>
      <c r="I13" s="20">
        <f t="shared" si="16"/>
        <v>-75716.984999999986</v>
      </c>
      <c r="J13" s="3">
        <f t="shared" si="17"/>
        <v>-0.22199999999999998</v>
      </c>
      <c r="K13">
        <v>682135</v>
      </c>
      <c r="P13" s="15"/>
      <c r="R13" s="4"/>
    </row>
    <row r="14" spans="1:18" x14ac:dyDescent="0.25">
      <c r="A14" s="13" t="s">
        <v>1517</v>
      </c>
      <c r="B14" s="17" t="s">
        <v>1519</v>
      </c>
      <c r="C14" s="13" t="s">
        <v>1227</v>
      </c>
      <c r="D14" s="12">
        <v>45943</v>
      </c>
      <c r="E14" s="13">
        <v>4.68</v>
      </c>
      <c r="F14" s="12">
        <v>45961</v>
      </c>
      <c r="G14" s="4">
        <v>3.13</v>
      </c>
      <c r="H14" s="3">
        <f t="shared" si="15"/>
        <v>-0.33119658119658113</v>
      </c>
      <c r="I14" s="20">
        <f t="shared" si="16"/>
        <v>-119947.53055999997</v>
      </c>
      <c r="J14" s="3">
        <f t="shared" si="17"/>
        <v>-0.33319658119658113</v>
      </c>
      <c r="K14">
        <v>76921</v>
      </c>
      <c r="P14" s="15"/>
      <c r="R14" s="4"/>
    </row>
    <row r="15" spans="1:18" x14ac:dyDescent="0.25">
      <c r="A15" s="13" t="s">
        <v>1498</v>
      </c>
      <c r="B15" s="17" t="s">
        <v>1499</v>
      </c>
      <c r="C15" s="13" t="s">
        <v>1227</v>
      </c>
      <c r="D15" s="12">
        <v>45929</v>
      </c>
      <c r="E15" s="13">
        <v>0.53500000000000003</v>
      </c>
      <c r="F15" s="12">
        <v>45961</v>
      </c>
      <c r="G15" s="15">
        <v>0.42499999999999999</v>
      </c>
      <c r="H15" s="3">
        <f t="shared" si="15"/>
        <v>-0.20560747663551404</v>
      </c>
      <c r="I15" s="20">
        <f t="shared" si="16"/>
        <v>-75268.029410000017</v>
      </c>
      <c r="J15" s="3">
        <f t="shared" si="17"/>
        <v>-0.20760747663551404</v>
      </c>
      <c r="K15" s="13">
        <v>677663</v>
      </c>
      <c r="P15" s="15"/>
      <c r="R15" s="4"/>
    </row>
    <row r="16" spans="1:18" x14ac:dyDescent="0.25">
      <c r="A16" t="s">
        <v>1478</v>
      </c>
      <c r="B16" t="s">
        <v>1480</v>
      </c>
      <c r="C16" s="13" t="s">
        <v>1227</v>
      </c>
      <c r="D16" s="2">
        <v>44826</v>
      </c>
      <c r="E16">
        <v>3.48</v>
      </c>
      <c r="F16" s="12">
        <v>45961</v>
      </c>
      <c r="G16" s="4">
        <v>3.37</v>
      </c>
      <c r="H16" s="3">
        <f t="shared" si="15"/>
        <v>-3.1609195402298784E-2</v>
      </c>
      <c r="I16" s="20">
        <f t="shared" si="16"/>
        <v>-11747.228479999978</v>
      </c>
      <c r="J16" s="3">
        <f t="shared" si="17"/>
        <v>-3.3609195402298786E-2</v>
      </c>
      <c r="K16">
        <v>100438</v>
      </c>
      <c r="P16" s="15"/>
      <c r="R16" s="4"/>
    </row>
    <row r="17" spans="1:18" x14ac:dyDescent="0.25">
      <c r="A17" t="s">
        <v>227</v>
      </c>
      <c r="B17" t="s">
        <v>808</v>
      </c>
      <c r="C17" s="13" t="s">
        <v>1227</v>
      </c>
      <c r="D17" s="2">
        <v>44826</v>
      </c>
      <c r="E17">
        <v>3.25</v>
      </c>
      <c r="F17" s="12">
        <v>45961</v>
      </c>
      <c r="G17" s="4">
        <v>3.96</v>
      </c>
      <c r="H17" s="3">
        <f t="shared" si="15"/>
        <v>0.21846153846153848</v>
      </c>
      <c r="I17" s="20">
        <f t="shared" si="16"/>
        <v>76178.497500000012</v>
      </c>
      <c r="J17" s="3">
        <f t="shared" si="17"/>
        <v>0.21646153846153848</v>
      </c>
      <c r="K17">
        <v>108285</v>
      </c>
      <c r="P17" s="15"/>
      <c r="R17" s="4"/>
    </row>
    <row r="18" spans="1:18" x14ac:dyDescent="0.25">
      <c r="A18" t="s">
        <v>1408</v>
      </c>
      <c r="B18" t="s">
        <v>1409</v>
      </c>
      <c r="C18" s="13" t="s">
        <v>1227</v>
      </c>
      <c r="D18" s="2">
        <v>45887</v>
      </c>
      <c r="E18">
        <v>6</v>
      </c>
      <c r="F18" s="12">
        <v>45961</v>
      </c>
      <c r="G18" s="4">
        <v>5.12</v>
      </c>
      <c r="H18" s="3">
        <f t="shared" si="15"/>
        <v>-0.14666666666666661</v>
      </c>
      <c r="I18" s="20">
        <f t="shared" si="16"/>
        <v>-50366.779999999984</v>
      </c>
      <c r="J18" s="3">
        <f t="shared" si="17"/>
        <v>-0.14866666666666661</v>
      </c>
      <c r="K18">
        <v>56465</v>
      </c>
      <c r="P18" s="15"/>
      <c r="R18" s="4"/>
    </row>
    <row r="19" spans="1:18" x14ac:dyDescent="0.25">
      <c r="A19" t="s">
        <v>120</v>
      </c>
      <c r="B19" t="s">
        <v>362</v>
      </c>
      <c r="C19" s="13" t="s">
        <v>1227</v>
      </c>
      <c r="D19" s="2">
        <v>45786</v>
      </c>
      <c r="E19">
        <v>1.885</v>
      </c>
      <c r="F19" s="12">
        <v>45961</v>
      </c>
      <c r="G19" s="4">
        <v>2.2400000000000002</v>
      </c>
      <c r="H19" s="3">
        <f t="shared" si="15"/>
        <v>0.18832891246684369</v>
      </c>
      <c r="I19" s="20">
        <f t="shared" si="16"/>
        <v>48662.91650000005</v>
      </c>
      <c r="J19" s="3">
        <f t="shared" si="17"/>
        <v>0.18632891246684369</v>
      </c>
      <c r="K19">
        <v>138550</v>
      </c>
      <c r="P19" s="15"/>
      <c r="R19" s="4"/>
    </row>
    <row r="20" spans="1:18" x14ac:dyDescent="0.25">
      <c r="A20" t="s">
        <v>122</v>
      </c>
      <c r="B20" t="s">
        <v>366</v>
      </c>
      <c r="C20" s="13" t="s">
        <v>1227</v>
      </c>
      <c r="D20" s="2">
        <v>45786</v>
      </c>
      <c r="E20">
        <v>3.32</v>
      </c>
      <c r="F20" s="12">
        <v>45961</v>
      </c>
      <c r="G20" s="4">
        <v>3.36</v>
      </c>
      <c r="H20" s="3">
        <f t="shared" si="15"/>
        <v>1.2048192771084265E-2</v>
      </c>
      <c r="I20" s="20">
        <f t="shared" si="16"/>
        <v>2624.7314399999809</v>
      </c>
      <c r="J20" s="3">
        <f t="shared" si="17"/>
        <v>1.0048192771084265E-2</v>
      </c>
      <c r="K20">
        <v>78679</v>
      </c>
      <c r="P20" s="15"/>
      <c r="R20" s="4"/>
    </row>
    <row r="21" spans="1:18" x14ac:dyDescent="0.25">
      <c r="A21" t="s">
        <v>96</v>
      </c>
      <c r="B21" t="s">
        <v>384</v>
      </c>
      <c r="C21" s="13" t="s">
        <v>1227</v>
      </c>
      <c r="D21" s="2">
        <v>45786</v>
      </c>
      <c r="E21">
        <v>2.9</v>
      </c>
      <c r="F21" s="12">
        <v>45961</v>
      </c>
      <c r="G21" s="4">
        <v>2.7</v>
      </c>
      <c r="H21" s="3">
        <f t="shared" si="15"/>
        <v>-6.8965517241379226E-2</v>
      </c>
      <c r="I21" s="20">
        <f t="shared" si="16"/>
        <v>-18549.577199999978</v>
      </c>
      <c r="J21" s="3">
        <f t="shared" si="17"/>
        <v>-7.0965517241379228E-2</v>
      </c>
      <c r="K21">
        <v>90134</v>
      </c>
      <c r="P21" s="15"/>
      <c r="R21" s="4"/>
    </row>
    <row r="22" spans="1:18" x14ac:dyDescent="0.25">
      <c r="A22" t="s">
        <v>127</v>
      </c>
      <c r="B22" t="s">
        <v>380</v>
      </c>
      <c r="C22" t="s">
        <v>1227</v>
      </c>
      <c r="D22" s="2">
        <v>45786</v>
      </c>
      <c r="E22">
        <v>1.66</v>
      </c>
      <c r="F22" s="12">
        <v>45950</v>
      </c>
      <c r="G22" s="4">
        <v>1.395</v>
      </c>
      <c r="H22" s="3">
        <f t="shared" si="9"/>
        <v>-0.15963855421686746</v>
      </c>
      <c r="I22" s="20">
        <f t="shared" si="10"/>
        <v>-42246.715679999994</v>
      </c>
      <c r="J22" s="3">
        <f t="shared" si="11"/>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18">G23/E23-1</f>
        <v>-3.6764705882352922E-2</v>
      </c>
      <c r="I23" s="20">
        <f t="shared" ref="I23:I24" si="19">K23*E23*J23</f>
        <v>-10513.475119999996</v>
      </c>
      <c r="J23" s="3">
        <f t="shared" ref="J23:J24" si="20">H23-0.002</f>
        <v>-3.8764705882352923E-2</v>
      </c>
      <c r="K23">
        <v>398842</v>
      </c>
      <c r="L23" s="4"/>
      <c r="P23" s="15"/>
      <c r="R23" s="4"/>
    </row>
    <row r="24" spans="1:18" x14ac:dyDescent="0.25">
      <c r="A24" t="s">
        <v>117</v>
      </c>
      <c r="B24" t="s">
        <v>352</v>
      </c>
      <c r="C24" t="s">
        <v>1227</v>
      </c>
      <c r="D24" s="2">
        <v>45786</v>
      </c>
      <c r="E24">
        <v>1.26</v>
      </c>
      <c r="F24" s="12">
        <v>45943</v>
      </c>
      <c r="G24" s="4">
        <v>1.175</v>
      </c>
      <c r="H24" s="3">
        <f t="shared" si="18"/>
        <v>-6.7460317460317443E-2</v>
      </c>
      <c r="I24" s="20">
        <f t="shared" si="19"/>
        <v>-18540.849439999998</v>
      </c>
      <c r="J24" s="3">
        <f t="shared" si="20"/>
        <v>-6.9460317460317444E-2</v>
      </c>
      <c r="K24">
        <v>211847</v>
      </c>
      <c r="L24" s="4"/>
      <c r="P24" s="15"/>
      <c r="R24" s="4"/>
    </row>
    <row r="25" spans="1:18" x14ac:dyDescent="0.25">
      <c r="A25" t="s">
        <v>121</v>
      </c>
      <c r="B25" t="s">
        <v>365</v>
      </c>
      <c r="C25" t="s">
        <v>1227</v>
      </c>
      <c r="D25" s="2">
        <v>45786</v>
      </c>
      <c r="E25">
        <v>7.29</v>
      </c>
      <c r="F25" s="12">
        <v>45929</v>
      </c>
      <c r="G25" s="4">
        <v>6.26</v>
      </c>
      <c r="H25" s="3">
        <f t="shared" ref="H25" si="21">G25/E25-1</f>
        <v>-0.14128943758573387</v>
      </c>
      <c r="I25" s="20">
        <f t="shared" ref="I25" si="22">K25*E25*J25</f>
        <v>-37425.212239999993</v>
      </c>
      <c r="J25" s="3">
        <f t="shared" ref="J25" si="23">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4">G26/E26-1</f>
        <v>-5.3097345132743445E-2</v>
      </c>
      <c r="I26" s="20">
        <f t="shared" ref="I26:I28" si="25">K26*E26*J26</f>
        <v>-18984.692760000031</v>
      </c>
      <c r="J26" s="3">
        <f t="shared" ref="J26:J28" si="26">H26-0.002</f>
        <v>-5.5097345132743447E-2</v>
      </c>
      <c r="K26" s="13">
        <v>50821</v>
      </c>
      <c r="L26" s="4"/>
      <c r="P26" s="15"/>
      <c r="R26" s="4"/>
    </row>
    <row r="27" spans="1:18" x14ac:dyDescent="0.25">
      <c r="A27" t="s">
        <v>116</v>
      </c>
      <c r="B27" t="s">
        <v>349</v>
      </c>
      <c r="C27" t="s">
        <v>1227</v>
      </c>
      <c r="D27" s="2">
        <v>45786</v>
      </c>
      <c r="E27">
        <v>2.64</v>
      </c>
      <c r="F27" s="2">
        <v>44826</v>
      </c>
      <c r="G27" s="4">
        <v>3.24</v>
      </c>
      <c r="H27" s="3">
        <f t="shared" si="24"/>
        <v>0.22727272727272729</v>
      </c>
      <c r="I27" s="20">
        <f t="shared" si="25"/>
        <v>58811.266080000009</v>
      </c>
      <c r="J27" s="3">
        <f t="shared" si="26"/>
        <v>0.22527272727272729</v>
      </c>
      <c r="K27">
        <v>98889</v>
      </c>
      <c r="L27" s="4"/>
      <c r="P27" s="15"/>
      <c r="R27" s="4"/>
    </row>
    <row r="28" spans="1:18" x14ac:dyDescent="0.25">
      <c r="A28" t="s">
        <v>128</v>
      </c>
      <c r="B28" t="s">
        <v>386</v>
      </c>
      <c r="C28" t="s">
        <v>1227</v>
      </c>
      <c r="D28" s="2">
        <v>45786</v>
      </c>
      <c r="E28">
        <v>1.36</v>
      </c>
      <c r="F28" s="2">
        <v>44826</v>
      </c>
      <c r="G28" s="4">
        <v>3.26</v>
      </c>
      <c r="H28" s="3">
        <f t="shared" si="24"/>
        <v>1.3970588235294112</v>
      </c>
      <c r="I28" s="20">
        <f t="shared" si="25"/>
        <v>364689.46975999989</v>
      </c>
      <c r="J28" s="3">
        <f t="shared" si="26"/>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9"/>
        <v>-8.0906148867313954E-2</v>
      </c>
      <c r="I29" s="20">
        <f t="shared" si="10"/>
        <v>-22104.747480000009</v>
      </c>
      <c r="J29" s="21">
        <f t="shared" si="11"/>
        <v>-8.2906148867313956E-2</v>
      </c>
      <c r="K29">
        <v>172572</v>
      </c>
      <c r="L29" s="4"/>
      <c r="P29" s="15"/>
    </row>
    <row r="30" spans="1:18" x14ac:dyDescent="0.25">
      <c r="A30" t="s">
        <v>84</v>
      </c>
      <c r="B30" t="s">
        <v>733</v>
      </c>
      <c r="C30" t="s">
        <v>1227</v>
      </c>
      <c r="D30" s="2">
        <v>45856</v>
      </c>
      <c r="E30">
        <v>3.23</v>
      </c>
      <c r="F30" s="2">
        <v>45887</v>
      </c>
      <c r="G30">
        <v>2.7</v>
      </c>
      <c r="H30" s="3">
        <f t="shared" ref="H30" si="27">G30/E30-1</f>
        <v>-0.16408668730650144</v>
      </c>
      <c r="I30" s="20">
        <f t="shared" ref="I30" si="28">K30*E30*J30</f>
        <v>-52430.381639999971</v>
      </c>
      <c r="J30" s="3">
        <f t="shared" ref="J30" si="29">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0">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E33" sqref="E33"/>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t="s">
        <v>1242</v>
      </c>
      <c r="N27" s="3">
        <v>8.9465434615591199E-2</v>
      </c>
      <c r="O27" s="3"/>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24"/>
      <c r="P33" s="25"/>
      <c r="Q33" s="25"/>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71"/>
  <sheetViews>
    <sheetView tabSelected="1" topLeftCell="A1339" workbookViewId="0">
      <selection activeCell="K1362" sqref="K1362"/>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71"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2025-11-28T09:36:27Z</dcterms:modified>
</cp:coreProperties>
</file>