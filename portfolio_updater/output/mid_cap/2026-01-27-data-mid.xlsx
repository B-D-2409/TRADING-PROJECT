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67433C30-4096-4F0F-A376-C4DB08A5BCB6}"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0" i="5" l="1"/>
  <c r="E1390" i="5" s="1"/>
  <c r="H1386" i="8"/>
  <c r="D1389" i="5"/>
  <c r="E1389" i="5" s="1"/>
  <c r="H1385" i="8"/>
  <c r="D1388" i="5"/>
  <c r="E1388" i="5" s="1"/>
  <c r="H19" i="6"/>
  <c r="J19" i="6" s="1"/>
  <c r="I19" i="6" s="1"/>
  <c r="H18" i="6"/>
  <c r="J18" i="6" s="1"/>
  <c r="I18" i="6" s="1"/>
  <c r="H17" i="6"/>
  <c r="J17" i="6" s="1"/>
  <c r="I17" i="6" s="1"/>
  <c r="J16" i="6"/>
  <c r="I16" i="6"/>
  <c r="H16" i="6"/>
  <c r="H15" i="6"/>
  <c r="J15" i="6" s="1"/>
  <c r="I15" i="6" s="1"/>
  <c r="H14" i="6"/>
  <c r="J14" i="6" s="1"/>
  <c r="I14" i="6" s="1"/>
  <c r="H13" i="6"/>
  <c r="J13" i="6" s="1"/>
  <c r="I13" i="6" s="1"/>
  <c r="H12" i="6"/>
  <c r="J12" i="6" s="1"/>
  <c r="I12" i="6" s="1"/>
  <c r="H11" i="6"/>
  <c r="J11" i="6" s="1"/>
  <c r="I11" i="6" s="1"/>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H1384" i="8"/>
  <c r="K9" i="3"/>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D1386" i="5"/>
  <c r="E1386" i="5" s="1"/>
  <c r="D1385" i="5"/>
  <c r="E1385" i="5" s="1"/>
  <c r="D1384" i="5"/>
  <c r="E1384" i="5" s="1"/>
  <c r="H22" i="6"/>
  <c r="J22" i="6" s="1"/>
  <c r="I22" i="6" s="1"/>
  <c r="K20" i="3"/>
  <c r="M28" i="7"/>
  <c r="D1383" i="5"/>
  <c r="E1383" i="5" s="1"/>
  <c r="D1382" i="5"/>
  <c r="E1382" i="5" s="1"/>
  <c r="D1381" i="5"/>
  <c r="E1381" i="5" s="1"/>
  <c r="D1380" i="5"/>
  <c r="E1380" i="5" s="1"/>
  <c r="H23" i="6"/>
  <c r="J23" i="6" s="1"/>
  <c r="I23" i="6" s="1"/>
  <c r="K21" i="3"/>
  <c r="D1379" i="5"/>
  <c r="E1379" i="5" s="1"/>
  <c r="D1378" i="5"/>
  <c r="E1378" i="5" s="1"/>
  <c r="H25" i="6"/>
  <c r="J25" i="6" s="1"/>
  <c r="I25" i="6" s="1"/>
  <c r="H24" i="6"/>
  <c r="J24" i="6" s="1"/>
  <c r="I24" i="6" s="1"/>
  <c r="K23" i="3"/>
  <c r="K22" i="3"/>
  <c r="D1377" i="5"/>
  <c r="E1377" i="5" s="1"/>
  <c r="D1376" i="5"/>
  <c r="E1376" i="5" s="1"/>
  <c r="H27" i="6"/>
  <c r="J27" i="6" s="1"/>
  <c r="I27" i="6" s="1"/>
  <c r="H26" i="6"/>
  <c r="J26" i="6" s="1"/>
  <c r="I26" i="6" s="1"/>
  <c r="K25" i="3"/>
  <c r="K24" i="3"/>
  <c r="D1375" i="5"/>
  <c r="E1375" i="5" s="1"/>
  <c r="D1374" i="5"/>
  <c r="E1374" i="5" s="1"/>
  <c r="D1373" i="5"/>
  <c r="E1373" i="5" s="1"/>
  <c r="D1372" i="5"/>
  <c r="E1372" i="5" s="1"/>
  <c r="D1371" i="5"/>
  <c r="E1371" i="5" s="1"/>
  <c r="H29" i="6"/>
  <c r="J29" i="6" s="1"/>
  <c r="I29" i="6" s="1"/>
  <c r="H28" i="6"/>
  <c r="J28" i="6" s="1"/>
  <c r="I28" i="6" s="1"/>
  <c r="K27" i="3"/>
  <c r="K26" i="3"/>
  <c r="F20" i="2"/>
  <c r="F21"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D1365" i="5"/>
  <c r="E1365" i="5" s="1"/>
  <c r="D1364" i="5"/>
  <c r="E1364" i="5" s="1"/>
  <c r="D1363" i="5"/>
  <c r="E1363" i="5" s="1"/>
  <c r="D1362" i="5"/>
  <c r="E1362" i="5" s="1"/>
  <c r="D1361" i="5" l="1"/>
  <c r="E1361" i="5" s="1"/>
  <c r="K39" i="3" l="1"/>
  <c r="K38" i="3"/>
  <c r="D1360" i="5"/>
  <c r="E1360" i="5" s="1"/>
  <c r="D1359" i="5"/>
  <c r="E1359" i="5" s="1"/>
  <c r="K43" i="3"/>
  <c r="K42" i="3"/>
  <c r="K41" i="3"/>
  <c r="K40"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C2" i="4"/>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<sst xmlns="http://schemas.openxmlformats.org/spreadsheetml/2006/main" count="4359" uniqueCount="1697">
  <si>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</si>
  <si>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</si>
  <si>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</si>
  <si>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</si>
  <si>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</si>
  <si>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</si>
  <si>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</si>
  <si>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</si>
  <si>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</si>
  <si>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</si>
  <si>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</si>
  <si>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</si>
  <si>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</si>
  <si>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</si>
  <si>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</si>
  <si>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</si>
  <si>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</si>
  <si>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</si>
  <si>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</si>
  <si>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</si>
  <si>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</si>
  <si>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</si>
  <si>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</si>
  <si>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</si>
  <si>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</si>
  <si>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</si>
  <si>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</si>
  <si>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</si>
  <si>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</si>
  <si>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</si>
  <si>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</si>
  <si>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</si>
  <si>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</si>
  <si>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</si>
  <si>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</si>
  <si>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</si>
  <si>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</si>
  <si>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</si>
  <si>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</si>
  <si>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</si>
  <si>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</si>
  <si>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</si>
  <si>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</si>
  <si>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</si>
  <si>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</si>
  <si>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</si>
  <si>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</si>
  <si>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</si>
  <si>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</si>
  <si>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</si>
  <si>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</si>
  <si>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</si>
  <si>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</si>
  <si>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</si>
  <si>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</si>
  <si>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</si>
  <si>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</si>
  <si>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</si>
  <si>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</si>
  <si>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</si>
  <si>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</si>
  <si>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</si>
  <si>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</si>
  <si>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</si>
  <si>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</si>
  <si>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</si>
  <si>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</si>
  <si>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</si>
  <si>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</si>
  <si>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</si>
  <si>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</si>
  <si>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</si>
  <si>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</si>
  <si>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</si>
  <si>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</si>
  <si>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</si>
  <si>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</si>
  <si>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</si>
  <si>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</si>
  <si>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</si>
  <si>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</si>
  <si>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</si>
  <si>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</si>
  <si>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</si>
  <si>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</si>
  <si>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</si>
  <si>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</si>
  <si>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</si>
  <si>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</si>
  <si>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</si>
  <si>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</si>
  <si>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</si>
  <si>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</si>
  <si>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</si>
  <si>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</si>
  <si>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</si>
  <si>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</si>
  <si>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</si>
  <si>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</si>
  <si>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</si>
  <si>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</si>
  <si>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</si>
  <si>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</si>
  <si>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</si>
  <si>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</si>
  <si>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</si>
  <si>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</si>
  <si>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</si>
  <si>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</si>
  <si>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</si>
  <si>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</si>
  <si>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</si>
  <si>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</si>
  <si>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</si>
  <si>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</si>
  <si>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</si>
  <si>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</si>
  <si>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</si>
  <si>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</si>
  <si>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</si>
  <si>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</si>
  <si>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</si>
  <si>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</si>
  <si>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</si>
  <si>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</si>
  <si>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</si>
  <si>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</si>
  <si>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</si>
  <si>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</si>
  <si>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</si>
  <si>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</si>
  <si>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</si>
  <si>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</si>
  <si>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</si>
  <si>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</si>
  <si>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</si>
  <si>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</si>
  <si>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</si>
  <si>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</si>
  <si>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</si>
  <si>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</si>
  <si>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</si>
  <si>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</si>
  <si>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</si>
  <si>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</si>
  <si>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</si>
  <si>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</si>
  <si>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</si>
  <si>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</si>
  <si>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</si>
  <si>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</si>
  <si>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</si>
  <si>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</si>
  <si>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</si>
  <si>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</si>
  <si>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</si>
  <si>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</si>
  <si>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</si>
  <si>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</si>
  <si>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</si>
  <si>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</si>
  <si>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</si>
  <si>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</si>
  <si>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</si>
  <si>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</si>
  <si>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</si>
  <si>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</si>
  <si>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</si>
  <si>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</si>
  <si>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</si>
  <si>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</si>
  <si>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</si>
  <si>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</si>
  <si>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</si>
  <si>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</si>
  <si>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</si>
  <si>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</si>
  <si>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</si>
  <si>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</si>
  <si>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</si>
  <si>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</si>
  <si>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</si>
  <si>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</si>
  <si>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</si>
  <si>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</si>
  <si>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</si>
  <si>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</si>
  <si>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</si>
  <si>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</si>
  <si>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</si>
  <si>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</si>
  <si>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</si>
  <si>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</si>
  <si>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</si>
  <si>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</si>
  <si>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</si>
  <si>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</si>
  <si>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</si>
  <si>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</si>
  <si>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</si>
  <si>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</si>
  <si>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</si>
  <si>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</si>
  <si>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</si>
  <si>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</si>
  <si>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</si>
  <si>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</si>
  <si>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</si>
  <si>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</si>
  <si>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</si>
  <si>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</si>
  <si>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</si>
  <si>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</si>
  <si>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</si>
  <si>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</si>
  <si>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</si>
  <si>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</si>
  <si>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</si>
  <si>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</si>
  <si>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</si>
  <si>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</si>
  <si>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</si>
  <si>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</si>
  <si>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</si>
  <si>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</si>
  <si>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</si>
  <si>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</si>
  <si>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</si>
  <si>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</si>
  <si>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</si>
  <si>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</si>
  <si>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</si>
  <si>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</si>
  <si>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</si>
  <si>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</si>
  <si>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</si>
  <si>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</si>
  <si>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</si>
  <si>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</si>
  <si>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</si>
  <si>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</si>
  <si>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</si>
  <si>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</si>
  <si>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</si>
  <si>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</si>
  <si>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</si>
  <si>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</si>
  <si>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</si>
  <si>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</si>
  <si>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</si>
  <si>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</si>
  <si>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</si>
  <si>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</si>
  <si>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</si>
  <si>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</si>
  <si>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</si>
  <si>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</si>
  <si>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</si>
  <si>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</si>
  <si>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</si>
  <si>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</si>
  <si>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</si>
  <si>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</si>
  <si>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</si>
  <si>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</si>
  <si>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</si>
  <si>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</si>
  <si>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</si>
  <si>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</si>
  <si>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</si>
  <si>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</si>
  <si>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</si>
  <si>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</si>
  <si>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</si>
  <si>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</si>
  <si>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</si>
  <si>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</si>
  <si>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</si>
  <si>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</si>
  <si>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</si>
  <si>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</si>
  <si>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</si>
  <si>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</si>
  <si>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</si>
  <si>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</si>
  <si>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</si>
  <si>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</si>
  <si>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</si>
  <si>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</si>
  <si>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</si>
  <si>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</si>
  <si>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</si>
  <si>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</si>
  <si>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</si>
  <si>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</si>
  <si>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</si>
  <si>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</si>
  <si>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</si>
  <si>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</si>
  <si>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</si>
  <si>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</si>
  <si>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</si>
  <si>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</si>
  <si>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</si>
  <si>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</si>
  <si>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</si>
  <si>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</si>
  <si>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</si>
  <si>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</si>
  <si>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</si>
  <si>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</si>
  <si>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</si>
  <si>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</si>
  <si>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</si>
  <si>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</si>
  <si>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</si>
  <si>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</si>
  <si>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</si>
  <si>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</si>
  <si>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</si>
  <si>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</si>
  <si>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</si>
  <si>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</si>
  <si>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</si>
  <si>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</si>
  <si>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</si>
  <si>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</si>
  <si>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</si>
  <si>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</si>
  <si>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</si>
  <si>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</si>
  <si>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</si>
  <si>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</si>
  <si>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</si>
  <si>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</si>
  <si>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</si>
  <si>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</si>
  <si>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</si>
  <si>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</si>
  <si>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</si>
  <si>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</si>
  <si>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</si>
  <si>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</si>
  <si>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</si>
  <si>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</si>
  <si>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</si>
  <si>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</si>
  <si>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</si>
  <si>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</si>
  <si>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</si>
  <si>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</si>
  <si>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</si>
  <si>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</si>
  <si>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</si>
  <si>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</si>
  <si>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</si>
  <si>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</si>
  <si>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</si>
  <si>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</si>
  <si>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</si>
  <si>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</si>
  <si>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</si>
  <si>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</si>
  <si>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</si>
  <si>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</si>
  <si>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</si>
  <si>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</si>
  <si>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</si>
  <si>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</si>
  <si>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</si>
  <si>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</si>
  <si>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</si>
  <si>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</si>
  <si>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</si>
  <si>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</si>
  <si>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</si>
  <si>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</si>
  <si>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</si>
  <si>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</si>
  <si>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</si>
  <si>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</si>
  <si>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</si>
  <si>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</si>
  <si>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</si>
  <si>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</si>
  <si>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</si>
  <si>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</si>
  <si>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</si>
  <si>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</si>
  <si>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</si>
  <si>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</si>
  <si>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</si>
  <si>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</si>
  <si>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</si>
  <si>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</si>
  <si>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</si>
  <si>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</si>
  <si>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</si>
  <si>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</si>
  <si>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</si>
  <si>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</si>
  <si>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</si>
  <si>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</si>
  <si>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</si>
  <si>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</si>
  <si>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</si>
  <si>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</si>
  <si>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</si>
  <si>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</si>
  <si>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</si>
  <si>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</si>
  <si>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</si>
  <si>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</si>
  <si>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</si>
  <si>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</si>
  <si>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</si>
  <si>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</si>
  <si>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</si>
  <si>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</si>
  <si>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</si>
  <si>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</si>
  <si>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</si>
  <si>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</si>
  <si>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</si>
  <si>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</si>
  <si>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</si>
  <si>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</si>
  <si>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</si>
  <si>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</si>
  <si>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</si>
  <si>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</si>
  <si>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</si>
  <si>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</si>
  <si>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</si>
  <si>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</si>
  <si>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</si>
  <si>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</si>
  <si>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</si>
  <si>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</si>
  <si>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</si>
  <si>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</si>
  <si>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</si>
  <si>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</si>
  <si>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</si>
  <si>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</si>
  <si>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</si>
  <si>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</si>
  <si>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</si>
  <si>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</si>
  <si>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</si>
  <si>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</si>
  <si>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</si>
  <si>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</si>
  <si>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</si>
  <si>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</si>
  <si>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</si>
  <si>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</si>
  <si>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</si>
  <si>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</si>
  <si>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</si>
  <si>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</si>
  <si>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</si>
  <si>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</si>
  <si>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</si>
  <si>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</si>
  <si>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</si>
  <si>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</si>
  <si>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</si>
  <si>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</si>
  <si>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</si>
  <si>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</si>
  <si>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</si>
  <si>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</si>
  <si>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</si>
  <si>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</si>
  <si>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</si>
  <si>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</si>
  <si>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</si>
  <si>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</si>
  <si>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</si>
  <si>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</si>
  <si>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</si>
  <si>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</si>
  <si>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</si>
  <si>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</si>
  <si>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</si>
  <si>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</si>
  <si>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</si>
  <si>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</si>
  <si>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</si>
  <si>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</si>
  <si>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</si>
  <si>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</si>
  <si>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</si>
  <si>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</si>
  <si>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</si>
  <si>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</si>
  <si>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</si>
  <si>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</si>
  <si>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</si>
  <si>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</si>
  <si>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</si>
  <si>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</si>
  <si>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</si>
  <si>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</si>
  <si>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</si>
  <si>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</si>
  <si>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</si>
  <si>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</si>
  <si>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</si>
  <si>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</si>
  <si>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</si>
  <si>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</si>
  <si>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</si>
  <si>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</si>
  <si>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</si>
  <si>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</si>
  <si>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</si>
  <si>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</si>
  <si>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</si>
  <si>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</si>
  <si>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</si>
  <si>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</si>
  <si>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</si>
  <si>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</si>
  <si>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</si>
  <si>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</si>
  <si>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</si>
  <si>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</si>
  <si>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</si>
  <si>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</si>
  <si>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</si>
  <si>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</si>
  <si>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</si>
  <si>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</si>
  <si>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</si>
  <si>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</si>
  <si>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</si>
  <si>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</si>
  <si>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</si>
  <si>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</si>
  <si>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</si>
  <si>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</si>
  <si>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</si>
  <si>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</si>
  <si>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</si>
  <si>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</si>
  <si>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</si>
  <si>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</si>
  <si>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</si>
  <si>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</si>
  <si>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</si>
  <si>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</si>
  <si>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</si>
  <si>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</si>
  <si>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</si>
  <si>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</si>
  <si>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</si>
  <si>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</si>
  <si>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</si>
  <si>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</si>
  <si>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</si>
  <si>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</si>
  <si>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</si>
  <si>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</si>
  <si>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</si>
  <si>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</si>
  <si>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</si>
  <si>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</si>
  <si>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</si>
  <si>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</si>
  <si>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</si>
  <si>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</si>
  <si>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</si>
  <si>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</si>
  <si>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</si>
  <si>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</si>
  <si>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</si>
  <si>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</si>
  <si>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</si>
  <si>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</si>
  <si>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</si>
  <si>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</si>
  <si>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</si>
  <si>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</si>
  <si>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</si>
  <si>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</si>
  <si>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</si>
  <si>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</si>
  <si>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</si>
  <si>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</si>
  <si>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</si>
  <si>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</si>
  <si>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</si>
  <si>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</si>
  <si>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</si>
  <si>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</si>
  <si>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</si>
  <si>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</si>
  <si>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</si>
  <si>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</si>
  <si>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</si>
  <si>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</si>
  <si>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</si>
  <si>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</si>
  <si>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</si>
  <si>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</si>
  <si>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</si>
  <si>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</si>
  <si>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</si>
  <si>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</si>
  <si>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</si>
  <si>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</si>
  <si>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</si>
  <si>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</si>
  <si>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</si>
  <si>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</si>
  <si>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</si>
  <si>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</si>
  <si>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</si>
  <si>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</si>
  <si>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</si>
  <si>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</si>
  <si>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</si>
  <si>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</si>
  <si>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</si>
  <si>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</si>
  <si>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</si>
  <si>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</si>
  <si>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</si>
  <si>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</si>
  <si>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</si>
  <si>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</si>
  <si>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</si>
  <si>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</si>
  <si>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</si>
  <si>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</si>
  <si>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</si>
  <si>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</si>
  <si>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</si>
  <si>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</si>
  <si>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</si>
  <si>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</si>
  <si>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</si>
  <si>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</si>
  <si>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</si>
  <si>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</si>
  <si>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</si>
  <si>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</si>
  <si>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</si>
  <si>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</si>
  <si>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</si>
  <si>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</si>
  <si>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</si>
  <si>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</si>
  <si>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</si>
  <si>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</si>
  <si>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</si>
  <si>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</si>
  <si>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</si>
  <si>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</si>
  <si>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</si>
  <si>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</si>
  <si>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</si>
  <si>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</si>
  <si>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</si>
  <si>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</si>
  <si>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</si>
  <si>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</si>
  <si>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</si>
  <si>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</si>
  <si>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</si>
  <si>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</si>
  <si>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</si>
  <si>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</si>
  <si>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</si>
  <si>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</si>
  <si>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</si>
  <si>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</si>
  <si>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</si>
  <si>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</si>
  <si>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</si>
  <si>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</si>
  <si>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</si>
  <si>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</si>
  <si>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</si>
  <si>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</si>
  <si>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</si>
  <si>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</si>
  <si>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</si>
  <si>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</si>
  <si>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</si>
  <si>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</si>
  <si>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</si>
  <si>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</si>
  <si>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</si>
  <si>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</si>
  <si>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</si>
  <si>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</si>
  <si>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</si>
  <si>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</si>
  <si>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</si>
  <si>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</si>
  <si>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</si>
  <si>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</si>
  <si>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</si>
  <si>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</si>
  <si>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</si>
  <si>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</si>
  <si>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</si>
  <si>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</si>
  <si>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</si>
  <si>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</si>
  <si>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</si>
  <si>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</si>
  <si>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</si>
  <si>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</si>
  <si>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</si>
  <si>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</si>
  <si>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</si>
  <si>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</si>
  <si>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</si>
  <si>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</si>
  <si>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</si>
  <si>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</si>
  <si>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</si>
  <si>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</si>
  <si>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</si>
  <si>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</si>
  <si>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</si>
  <si>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</si>
  <si>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</si>
  <si>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</si>
  <si>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</si>
  <si>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</si>
  <si>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</si>
  <si>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</si>
  <si>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</si>
  <si>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</si>
  <si>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</si>
  <si>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</si>
  <si>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</si>
  <si>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</si>
  <si>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</si>
  <si>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</si>
  <si>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</si>
  <si>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</si>
  <si>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</si>
  <si>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</si>
  <si>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</si>
  <si>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</si>
  <si>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</si>
  <si>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</si>
  <si>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</si>
  <si>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</si>
  <si>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</si>
  <si>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</si>
  <si>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</si>
  <si>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</si>
  <si>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</si>
  <si>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</si>
  <si>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</si>
  <si>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</si>
  <si>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</si>
  <si>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</si>
  <si>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</si>
  <si>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</si>
  <si>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</si>
  <si>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</si>
  <si>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</si>
  <si>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</si>
  <si>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</si>
  <si>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</si>
  <si>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</si>
  <si>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</si>
  <si>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</si>
  <si>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</si>
  <si>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</si>
  <si>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</si>
  <si>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</si>
  <si>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</si>
  <si>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</si>
  <si>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</si>
  <si>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</si>
  <si>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</si>
  <si>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</si>
  <si>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</si>
  <si>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</si>
  <si>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</si>
  <si>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</si>
  <si>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</si>
  <si>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</si>
  <si>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</si>
  <si>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</si>
  <si>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</si>
  <si>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</si>
  <si>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</si>
  <si>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</si>
  <si>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</si>
  <si>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</si>
  <si>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</si>
  <si>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</si>
  <si>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</si>
  <si>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</si>
  <si>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</si>
  <si>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</si>
  <si>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</si>
  <si>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</si>
  <si>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</si>
  <si>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</si>
  <si>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</si>
  <si>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</si>
  <si>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</si>
  <si>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</si>
  <si>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</si>
  <si>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</si>
  <si>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</si>
  <si>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</si>
  <si>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</si>
  <si>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</si>
  <si>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</si>
  <si>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</si>
  <si>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</si>
  <si>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</si>
  <si>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</si>
  <si>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</si>
  <si>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</si>
  <si>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</si>
  <si>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</si>
  <si>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</si>
  <si>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</si>
  <si>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</si>
  <si>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</si>
  <si>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</si>
  <si>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</si>
  <si>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</si>
  <si>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</si>
  <si>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</si>
  <si>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</si>
  <si>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</si>
  <si>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</si>
  <si>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</si>
  <si>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</si>
  <si>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</si>
  <si>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</si>
  <si>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</si>
  <si>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</si>
  <si>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</si>
  <si>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</si>
  <si>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</si>
  <si>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</si>
  <si>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</si>
  <si>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</si>
  <si>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</si>
  <si>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</si>
  <si>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</si>
  <si>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</si>
  <si>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</si>
  <si>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</si>
  <si>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</si>
  <si>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</si>
  <si>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</si>
  <si>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</si>
  <si>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</si>
  <si>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</si>
  <si>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</si>
  <si>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</si>
  <si>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</si>
  <si>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</si>
  <si>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</si>
  <si>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</si>
  <si>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</si>
  <si>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</si>
  <si>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</si>
  <si>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</si>
  <si>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</si>
  <si>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</si>
  <si>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</si>
  <si>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</si>
  <si>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</si>
  <si>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</si>
  <si>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</si>
  <si>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</si>
  <si>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</si>
  <si>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</si>
  <si>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</si>
  <si>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</si>
  <si>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</si>
  <si>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</si>
  <si>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</si>
  <si>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</si>
  <si>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</si>
  <si>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</si>
  <si>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</si>
  <si>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</si>
  <si>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</si>
  <si>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</si>
  <si>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</si>
  <si>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</si>
  <si>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</si>
  <si>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</si>
  <si>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</si>
  <si>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</si>
  <si>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</si>
  <si>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</si>
  <si>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</si>
  <si>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</si>
  <si>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</si>
  <si>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</si>
  <si>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</si>
  <si>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</si>
  <si>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</si>
  <si>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</si>
  <si>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</si>
  <si>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</si>
  <si>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</si>
  <si>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</si>
  <si>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</si>
  <si>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</si>
  <si>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</si>
  <si>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</si>
  <si>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</si>
  <si>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</si>
  <si>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</si>
  <si>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</si>
  <si>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</si>
  <si>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</si>
  <si>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</si>
  <si>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</si>
  <si>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</si>
  <si>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</si>
  <si>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</si>
  <si>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</si>
  <si>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</si>
  <si>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</si>
  <si>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</si>
  <si>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</si>
  <si>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</si>
  <si>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</si>
  <si>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</si>
  <si>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</si>
  <si>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</si>
  <si>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</si>
  <si>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</si>
  <si>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</si>
  <si>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</si>
  <si>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</si>
  <si>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</si>
  <si>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</si>
  <si>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</si>
  <si>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</si>
  <si>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</si>
  <si>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</si>
  <si>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</si>
  <si>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</si>
  <si>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</si>
  <si>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</si>
  <si>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</si>
  <si>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</si>
  <si>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</si>
  <si>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</si>
  <si>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</si>
  <si>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</si>
  <si>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</si>
  <si>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</si>
  <si>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</si>
  <si>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</si>
  <si>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</si>
  <si>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</si>
  <si>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</si>
  <si>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</si>
  <si>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</si>
  <si>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</si>
  <si>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</si>
  <si>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</si>
  <si>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</si>
  <si>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</si>
  <si>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</si>
  <si>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</si>
  <si>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</si>
  <si>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</si>
  <si>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</si>
  <si>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</si>
  <si>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</si>
  <si>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</si>
  <si>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</si>
  <si>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</si>
  <si>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</si>
  <si>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</si>
  <si>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</si>
  <si>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</si>
  <si>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</si>
  <si>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</si>
  <si>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</si>
  <si>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</si>
  <si>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</si>
  <si>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</si>
  <si>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</si>
  <si>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</si>
  <si>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</si>
  <si>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</si>
  <si>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</si>
  <si>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</si>
  <si>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</si>
  <si>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</si>
  <si>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</si>
  <si>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</si>
  <si>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</si>
  <si>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</si>
  <si>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</si>
  <si>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</si>
  <si>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</si>
  <si>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</si>
  <si>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</si>
  <si>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</si>
  <si>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</si>
  <si>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</si>
  <si>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</si>
  <si>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</si>
  <si>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</si>
  <si>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</si>
  <si>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</si>
  <si>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</si>
  <si>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</si>
  <si>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</si>
  <si>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</si>
  <si>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</si>
  <si>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</si>
  <si>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</si>
  <si>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</si>
  <si>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</si>
  <si>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</si>
  <si>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</si>
  <si>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</si>
  <si>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</si>
  <si>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</si>
  <si>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</si>
  <si>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</si>
  <si>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</si>
  <si>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</si>
  <si>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</si>
  <si>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</si>
  <si>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</si>
  <si>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</si>
  <si>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</si>
  <si>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</si>
  <si>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</si>
  <si>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</si>
  <si>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</si>
  <si>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</si>
  <si>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</si>
  <si>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</si>
  <si>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</si>
  <si>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</si>
  <si>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</si>
  <si>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</si>
  <si>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</si>
  <si>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</si>
  <si>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</si>
  <si>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</si>
  <si>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</si>
  <si>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</si>
  <si>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</si>
  <si>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</si>
  <si>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</si>
  <si>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</si>
  <si>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</si>
  <si>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</si>
  <si>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</si>
  <si>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</si>
  <si>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</si>
  <si>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</si>
  <si>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</si>
  <si>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</si>
  <si>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</si>
  <si>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</si>
  <si>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</si>
  <si>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</si>
  <si>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</si>
  <si>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</si>
  <si>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</si>
  <si>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</si>
  <si>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</si>
  <si>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</si>
  <si>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</si>
  <si>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</si>
  <si>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</si>
  <si>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</si>
  <si>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</si>
  <si>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</si>
  <si>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</si>
  <si>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</si>
  <si>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</si>
  <si>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</si>
  <si>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</si>
  <si>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</si>
  <si>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</si>
  <si>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</si>
  <si>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</si>
  <si>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</si>
  <si>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</si>
  <si>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</si>
  <si>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</si>
  <si>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</si>
  <si>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</si>
  <si>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</si>
  <si>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</si>
  <si>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</si>
  <si>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</si>
  <si>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</si>
  <si>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</si>
  <si>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</si>
  <si>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</si>
  <si>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</si>
  <si>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</si>
  <si>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</si>
  <si>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</si>
  <si>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</si>
  <si>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</si>
  <si>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</si>
  <si>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</si>
  <si>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</si>
  <si>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</si>
  <si>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</si>
  <si>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</si>
  <si>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</si>
  <si>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</si>
  <si>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</si>
  <si>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</si>
  <si>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</si>
  <si>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</si>
  <si>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</si>
  <si>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</si>
  <si>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</si>
  <si>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</si>
  <si>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</si>
  <si>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</si>
  <si>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</si>
  <si>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</si>
  <si>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</si>
  <si>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</si>
  <si>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</si>
  <si>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</si>
  <si>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</si>
  <si>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</si>
  <si>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</si>
  <si>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</si>
  <si>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</si>
  <si>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</si>
  <si>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</si>
  <si>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</si>
  <si>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</si>
  <si>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</si>
  <si>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</si>
  <si>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</si>
  <si>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</si>
  <si>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</si>
  <si>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</si>
  <si>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</si>
  <si>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</si>
  <si>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</si>
  <si>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</si>
  <si>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</si>
  <si>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</si>
  <si>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</si>
  <si>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</si>
  <si>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</si>
  <si>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</si>
  <si>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</si>
  <si>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</si>
  <si>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</si>
  <si>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</si>
  <si>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</si>
  <si>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</si>
  <si>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</si>
  <si>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</si>
  <si>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</si>
  <si>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</si>
  <si>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</si>
  <si>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</si>
  <si>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</si>
  <si>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</si>
  <si>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</si>
  <si>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</si>
  <si>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</si>
  <si>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</si>
  <si>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</si>
  <si>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</si>
  <si>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</si>
  <si>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</si>
  <si>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</si>
  <si>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</si>
  <si>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</si>
  <si>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</si>
  <si>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</si>
  <si>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</si>
  <si>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</si>
  <si>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</si>
  <si>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</si>
  <si>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</si>
  <si>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</si>
  <si>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</si>
  <si>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</si>
  <si>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</si>
  <si>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</si>
  <si>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</si>
  <si>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</si>
  <si>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</si>
  <si>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</si>
  <si>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</si>
  <si>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</si>
  <si>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</si>
  <si>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</si>
  <si>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</si>
  <si>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</si>
  <si>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</si>
  <si>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</si>
  <si>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</si>
  <si>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</si>
  <si>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</si>
  <si>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</si>
  <si>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</si>
  <si>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</si>
  <si>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</si>
  <si>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</si>
  <si>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</si>
  <si>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</si>
  <si>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</si>
  <si>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</si>
  <si>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</si>
  <si>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</si>
  <si>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</si>
  <si>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</si>
  <si>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</si>
  <si>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</si>
  <si>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</si>
  <si>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</si>
  <si>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</si>
  <si>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</si>
  <si>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</si>
  <si>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</si>
  <si>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</si>
  <si>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</si>
  <si>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</si>
  <si>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</si>
  <si>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</si>
  <si>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</si>
  <si>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</si>
  <si>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</si>
  <si>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</si>
  <si>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</si>
  <si>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</si>
  <si>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</si>
  <si>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</si>
  <si>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</si>
  <si>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</si>
  <si>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</si>
  <si>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</si>
  <si>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</si>
  <si>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</si>
  <si>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</si>
  <si>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</si>
  <si>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</si>
  <si>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</si>
  <si>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</si>
  <si>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</si>
  <si>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</si>
  <si>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</si>
  <si>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</si>
  <si>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</si>
  <si>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</si>
  <si>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</si>
  <si>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</si>
  <si>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</si>
  <si>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</si>
  <si>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</si>
  <si>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</si>
  <si>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</si>
  <si>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</si>
  <si>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</si>
  <si>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</si>
  <si>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</si>
  <si>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</si>
  <si>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</si>
  <si>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</si>
  <si>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</si>
  <si>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</si>
  <si>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</si>
  <si>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</si>
  <si>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</si>
  <si>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</si>
  <si>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</si>
  <si>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</si>
  <si>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</si>
  <si>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</si>
  <si>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</si>
  <si>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</si>
  <si>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</si>
  <si>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</si>
  <si>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</si>
  <si>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</si>
  <si>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</si>
  <si>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</si>
  <si>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</si>
  <si>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</si>
  <si>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</si>
  <si>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</si>
  <si>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</si>
  <si>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</si>
  <si>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</si>
  <si>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</si>
  <si>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</si>
  <si>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</si>
  <si>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</si>
  <si>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</si>
  <si>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</si>
  <si>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</si>
  <si>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</si>
  <si>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</si>
  <si>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</si>
  <si>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</si>
  <si>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</si>
  <si>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</si>
  <si>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</si>
  <si>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</si>
  <si>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</si>
  <si>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</si>
  <si>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</si>
  <si>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</si>
  <si>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</si>
  <si>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</si>
  <si>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</si>
  <si>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</si>
  <si>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</si>
  <si>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</si>
  <si>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</si>
  <si>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</si>
  <si>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</si>
  <si>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</si>
  <si>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</si>
  <si>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</si>
  <si>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</si>
  <si>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</si>
  <si>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</si>
  <si>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</si>
  <si>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</si>
  <si>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</si>
  <si>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</si>
  <si>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</si>
  <si>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</si>
  <si>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</si>
  <si>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</si>
  <si>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</si>
  <si>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</si>
  <si>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</si>
  <si>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</si>
  <si>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</si>
  <si>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</si>
  <si>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</si>
  <si>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</si>
  <si>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</si>
  <si>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</si>
  <si>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</si>
  <si>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</si>
  <si>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</si>
  <si>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</si>
  <si>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</si>
  <si>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</si>
  <si>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</si>
  <si>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</si>
  <si>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</si>
  <si>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</si>
  <si>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</si>
  <si>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</si>
  <si>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</si>
  <si>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</si>
  <si>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</si>
  <si>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</si>
  <si>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</si>
  <si>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</si>
  <si>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</si>
  <si>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</si>
  <si>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</si>
  <si>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</si>
  <si>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</si>
  <si>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</si>
  <si>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</si>
  <si>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</si>
  <si>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</si>
  <si>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</si>
  <si>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</si>
  <si>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</si>
  <si>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</si>
  <si>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</si>
  <si>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</si>
  <si>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</si>
  <si>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</si>
  <si>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</si>
  <si>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</si>
  <si>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</si>
  <si>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</si>
  <si>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</si>
  <si>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</si>
  <si>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</si>
  <si>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</si>
  <si>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</si>
  <si>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</si>
  <si>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</si>
  <si>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</si>
  <si>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</si>
  <si>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</si>
  <si>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</si>
  <si>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</si>
  <si>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</si>
  <si>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</si>
  <si>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</si>
  <si>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</si>
  <si>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</si>
  <si>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</si>
  <si>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</si>
  <si>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</si>
  <si>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</si>
  <si>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</si>
  <si>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</si>
  <si>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</si>
  <si>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</si>
  <si>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</si>
  <si>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</si>
  <si>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</si>
  <si>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</si>
  <si>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</si>
  <si>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</si>
  <si>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</si>
  <si>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</si>
  <si>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</si>
  <si>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</si>
  <si>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</si>
  <si>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</si>
  <si>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</si>
  <si>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</si>
  <si>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</si>
  <si>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</si>
  <si>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</si>
  <si>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</si>
  <si>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</si>
  <si>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</si>
  <si>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</si>
  <si>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</si>
  <si>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</si>
  <si>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</si>
  <si>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</si>
  <si>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</si>
  <si>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</si>
  <si>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</si>
  <si>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</si>
  <si>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</si>
  <si>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</si>
  <si>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</si>
  <si>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</si>
  <si>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</si>
  <si>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</si>
  <si>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</si>
  <si>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</si>
  <si>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</si>
  <si>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</si>
  <si>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</si>
  <si>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</si>
  <si>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</si>
  <si>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</si>
  <si>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</si>
  <si>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</si>
  <si>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</si>
  <si>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</si>
  <si>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</si>
  <si>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</si>
  <si>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</si>
  <si>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</si>
  <si>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</si>
  <si>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</si>
  <si>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</si>
  <si>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</si>
  <si>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</si>
  <si>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</si>
  <si>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</si>
  <si>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</si>
  <si>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</si>
  <si>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</si>
  <si>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</si>
  <si>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</si>
  <si>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</si>
  <si>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</si>
  <si>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</si>
  <si>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</si>
  <si>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</si>
  <si>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</si>
  <si>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</si>
  <si>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</si>
  <si>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</si>
  <si>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</si>
  <si>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</si>
  <si>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</si>
  <si>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</si>
  <si>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</si>
  <si>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</si>
  <si>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</si>
  <si>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</si>
  <si>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</si>
  <si>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</si>
  <si>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</si>
  <si>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</si>
  <si>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</si>
  <si>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</si>
  <si>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</si>
  <si>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</si>
  <si>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</si>
  <si>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</si>
  <si>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</si>
  <si>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</si>
  <si>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</si>
  <si>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</si>
  <si>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</si>
  <si>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</si>
  <si>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</si>
  <si>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</si>
  <si>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</si>
  <si>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</si>
  <si>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</si>
  <si>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</si>
  <si>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</si>
  <si>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</si>
  <si>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</si>
  <si>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</si>
  <si>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</si>
  <si>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</si>
  <si>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</si>
  <si>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</si>
  <si>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</si>
  <si>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</si>
  <si>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</si>
  <si>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</si>
  <si>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</si>
  <si>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</si>
  <si>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</si>
  <si>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</si>
  <si>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</si>
  <si>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</si>
  <si>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</si>
  <si>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</si>
  <si>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</si>
  <si>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</si>
  <si>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</si>
  <si>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</si>
  <si>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</si>
  <si>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</si>
  <si>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</si>
  <si>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</si>
  <si>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</si>
  <si>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</si>
  <si>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</si>
  <si>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</si>
  <si>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</si>
  <si>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</si>
  <si>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</si>
  <si>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</si>
  <si>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</si>
  <si>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</si>
  <si>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</si>
  <si>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</si>
  <si>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</si>
  <si>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</si>
  <si>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</si>
  <si>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</si>
  <si>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</si>
  <si>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</si>
  <si>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</si>
  <si>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</si>
  <si>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</si>
  <si>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</si>
  <si>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</si>
  <si>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</si>
  <si>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</si>
  <si>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</si>
  <si>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</si>
  <si>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</si>
  <si>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</si>
  <si>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</si>
  <si>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</si>
  <si>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</si>
  <si>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</si>
  <si>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</si>
  <si>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</si>
  <si>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</si>
  <si>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</si>
  <si>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</si>
  <si>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</si>
  <si>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</si>
  <si>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</si>
  <si>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</si>
  <si>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</si>
  <si>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</si>
  <si>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</si>
  <si>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</si>
  <si>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</si>
  <si>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</si>
  <si>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</si>
  <si>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</si>
  <si>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</si>
  <si>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</si>
  <si>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</si>
  <si>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</si>
  <si>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</si>
  <si>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</si>
  <si>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</si>
  <si>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</si>
  <si>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</si>
  <si>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</si>
  <si>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</si>
  <si>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</si>
  <si>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</si>
  <si>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</si>
  <si>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</si>
  <si>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</si>
  <si>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</si>
  <si>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</si>
  <si>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</si>
  <si>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</si>
  <si>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</si>
  <si>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</si>
  <si>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</si>
  <si>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</si>
  <si>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</si>
  <si>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</si>
  <si>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</si>
  <si>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</si>
  <si>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</si>
  <si>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</si>
  <si>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</si>
  <si>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</si>
  <si>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</si>
  <si>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</si>
  <si>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</si>
  <si>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</si>
  <si>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</si>
  <si>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</si>
  <si>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</si>
  <si>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</si>
  <si>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</si>
  <si>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</si>
  <si>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</si>
  <si>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</si>
  <si>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</si>
  <si>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</si>
  <si>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</si>
  <si>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</si>
  <si>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</si>
  <si>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</si>
  <si>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</si>
  <si>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</si>
  <si>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</si>
  <si>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</si>
  <si>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</si>
  <si>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</si>
  <si>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</si>
  <si>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</si>
  <si>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</si>
  <si>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</si>
  <si>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</si>
  <si>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</si>
  <si>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</si>
  <si>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</si>
  <si>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</si>
  <si>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</si>
  <si>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</si>
  <si>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</si>
  <si>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</si>
  <si>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</si>
  <si>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</si>
  <si>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</si>
  <si>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</si>
  <si>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3.7899999618530273</t>
  </si>
  <si>
    <t>0.1899999976158142</t>
  </si>
  <si>
    <t>1.399999976158142</t>
  </si>
  <si>
    <t>3.8499999046325684</t>
  </si>
  <si>
    <t>0.7699999809265137</t>
  </si>
  <si>
    <t>2.5299999713897705</t>
  </si>
  <si>
    <t>2.5199999809265137</t>
  </si>
  <si>
    <t>0.4300000071525574</t>
  </si>
  <si>
    <t>0.6200000047683716</t>
  </si>
  <si>
    <t>2.049999952316284</t>
  </si>
  <si>
    <t>0.7799999713897705</t>
  </si>
  <si>
    <t>0.7200000286102295</t>
  </si>
  <si>
    <t>0.8799999952316284</t>
  </si>
  <si>
    <t>1.3326233625411987</t>
  </si>
  <si>
    <t>2.8499999046325684</t>
  </si>
  <si>
    <t>4.869999885559082</t>
  </si>
  <si>
    <t>1.518491506576538</t>
  </si>
  <si>
    <t>2.759999990463257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</si>
</sst>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E2" activeCellId="1" sqref="B2:B21 E2:E2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9.59</v>
      </c>
      <c r="F2">
        <f t="shared" ref="F2:F19" si="0">(E2/D2-1)*100</f>
        <v>4.1259500542887961</v>
      </c>
      <c r="G2" s="29" t="s">
        <v>1679</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0.46</v>
      </c>
      <c r="F3">
        <f t="shared" si="0"/>
        <v>4.5454545454545414</v>
      </c>
      <c r="G3" s="29" t="s">
        <v>1680</v>
      </c>
      <c r="H3" s="4">
        <v>0.48</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4.05</v>
      </c>
      <c r="F4">
        <f t="shared" si="0"/>
        <v>-20.275590551181111</v>
      </c>
      <c r="G4" s="29" t="s">
        <v>1681</v>
      </c>
      <c r="H4" s="4">
        <v>5.42</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6.83</v>
      </c>
      <c r="F5">
        <f t="shared" si="0"/>
        <v>4.7546012269938709</v>
      </c>
      <c r="G5" s="29" t="s">
        <v>1682</v>
      </c>
      <c r="H5" s="4">
        <v>7.29</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1.25</v>
      </c>
      <c r="F6">
        <f t="shared" si="0"/>
        <v>0</v>
      </c>
      <c r="G6" s="29" t="s">
        <v>1683</v>
      </c>
      <c r="H6" s="4">
        <v>1.34</v>
      </c>
      <c r="I6" s="4">
        <v>0.44</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v>
      </c>
      <c r="F7">
        <f t="shared" si="0"/>
        <v>-4.1533546325878579</v>
      </c>
      <c r="G7" s="29" t="s">
        <v>1684</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3.23</v>
      </c>
      <c r="F8">
        <f t="shared" si="0"/>
        <v>3.5256410256410131</v>
      </c>
      <c r="G8" s="29" t="s">
        <v>1685</v>
      </c>
      <c r="H8" s="4">
        <v>3.34</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1.01</v>
      </c>
      <c r="F9">
        <f t="shared" si="0"/>
        <v>16.09195402298851</v>
      </c>
      <c r="G9" s="29" t="s">
        <v>1686</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0.81</v>
      </c>
      <c r="F10">
        <f t="shared" si="0"/>
        <v>-1.2195121951219412</v>
      </c>
      <c r="G10" s="29" t="s">
        <v>1687</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3.06</v>
      </c>
      <c r="F11">
        <f t="shared" si="0"/>
        <v>2.0000000000000018</v>
      </c>
      <c r="G11" s="29" t="s">
        <v>1688</v>
      </c>
      <c r="H11" s="4">
        <v>3.12</v>
      </c>
      <c r="I11" s="4">
        <v>1.58</v>
      </c>
      <c r="J11" t="s">
        <v>1645</v>
      </c>
      <c r="K11" s="3">
        <v>1</v>
      </c>
      <c r="L11" t="s">
        <v>1646</v>
      </c>
      <c r="M11" t="s">
        <v>1647</v>
      </c>
      <c r="N11" s="3">
        <v>3.5000000000000003E-2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1.01</v>
      </c>
      <c r="F12">
        <f t="shared" si="0"/>
        <v>3.0612244897959107</v>
      </c>
      <c r="G12" s="29" t="s">
        <v>1689</v>
      </c>
      <c r="H12" s="4">
        <v>1.07</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1.17</v>
      </c>
      <c r="F13">
        <f t="shared" si="0"/>
        <v>8.333333333333325</v>
      </c>
      <c r="G13" s="29" t="s">
        <v>1690</v>
      </c>
      <c r="H13" s="4">
        <v>1.2</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5.2999999999999999E-2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1.61</v>
      </c>
      <c r="F15">
        <f t="shared" si="0"/>
        <v>4.5454545454545414</v>
      </c>
      <c r="G15" s="29" t="s">
        <v>1691</v>
      </c>
      <c r="H15" s="4">
        <v>1.64</v>
      </c>
      <c r="I15" s="4">
        <v>0.53</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3.14</v>
      </c>
      <c r="F16">
        <f t="shared" si="0"/>
        <v>-3.9755351681957207</v>
      </c>
      <c r="G16">
        <v>2.5</v>
      </c>
      <c r="H16" s="4">
        <v>4.34</v>
      </c>
      <c r="I16" s="4">
        <v>1.9650000000000001</v>
      </c>
      <c r="J16" t="s">
        <v>1252</v>
      </c>
      <c r="K16" s="3">
        <v>1</v>
      </c>
      <c r="L16" t="s">
        <v>1663</v>
      </c>
      <c r="M16" t="s">
        <v>1664</v>
      </c>
      <c r="N16" s="3">
        <v>0.04</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1.52</v>
      </c>
      <c r="F17">
        <f t="shared" si="0"/>
        <v>-3.1847133757961776</v>
      </c>
      <c r="G17" s="29" t="s">
        <v>1692</v>
      </c>
      <c r="H17" s="4">
        <v>1.61</v>
      </c>
      <c r="I17" s="4">
        <v>1.08</v>
      </c>
      <c r="J17" t="s">
        <v>1419</v>
      </c>
      <c r="K17" s="3">
        <v>0.25</v>
      </c>
      <c r="L17" t="s">
        <v>375</v>
      </c>
      <c r="M17" t="s">
        <v>1398</v>
      </c>
      <c r="N17" s="3">
        <v>4.1000000000000002E-2</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4.32</v>
      </c>
      <c r="F18">
        <f t="shared" si="0"/>
        <v>-3.1390134529147962</v>
      </c>
      <c r="G18" s="29" t="s">
        <v>1693</v>
      </c>
      <c r="H18" s="4">
        <v>11.17</v>
      </c>
      <c r="I18" s="4">
        <v>2.85</v>
      </c>
      <c r="J18" t="s">
        <v>1252</v>
      </c>
      <c r="K18" s="3">
        <v>0</v>
      </c>
      <c r="L18" t="s">
        <v>1669</v>
      </c>
      <c r="M18" t="s">
        <v>1670</v>
      </c>
      <c r="N18" s="3">
        <v>2.8000000000000001E-2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s="29" t="s">
        <v>1694</v>
      </c>
      <c r="H19" s="4">
        <v>4.99</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1.94</v>
      </c>
      <c r="F20">
        <f t="shared" ref="F20:F21" si="1">(E20/D20-1)*100</f>
        <v>8.3798882681564102</v>
      </c>
      <c r="G20" s="29" t="s">
        <v>1695</v>
      </c>
      <c r="H20" s="4">
        <v>1.95</v>
      </c>
      <c r="I20" s="4">
        <v>1.1299999999999999</v>
      </c>
      <c r="J20" t="s">
        <v>355</v>
      </c>
      <c r="K20" s="3">
        <v>1</v>
      </c>
      <c r="L20" t="s">
        <v>356</v>
      </c>
      <c r="M20" t="s">
        <v>1556</v>
      </c>
      <c r="N20" s="3">
        <v>7.0999999999999994E-2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3.03</v>
      </c>
      <c r="F21">
        <f t="shared" si="1"/>
        <v>13.909774436090206</v>
      </c>
      <c r="G21" s="29" t="s">
        <v>1696</v>
      </c>
      <c r="H21" s="4">
        <v>3.13</v>
      </c>
      <c r="I21" s="4">
        <v>1.98</v>
      </c>
      <c r="J21" t="s">
        <v>363</v>
      </c>
      <c r="K21" s="3">
        <v>1</v>
      </c>
      <c r="L21" t="s">
        <v>1503</v>
      </c>
      <c r="M21" t="s">
        <v>1449</v>
      </c>
      <c r="N21" s="3">
        <v>5.8999999999999997E-2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zoomScale="80" zoomScaleNormal="80" workbookViewId="0">
      <selection activeCell="C7" sqref="C7"/>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46041</v>
      </c>
      <c r="B2" t="s">
        <v>1580</v>
      </c>
      <c r="C2" s="4">
        <v>9.2100000000000009</v>
      </c>
      <c r="D2" s="13" t="s">
        <v>1255</v>
      </c>
      <c r="E2" s="13" t="s">
        <v>1559</v>
      </c>
      <c r="F2" t="s">
        <v>1258</v>
      </c>
      <c r="G2" t="s">
        <v>1256</v>
      </c>
      <c r="H2" t="s">
        <v>1592</v>
      </c>
      <c r="I2" t="s">
        <v>342</v>
      </c>
      <c r="J2" s="4">
        <v>9.59</v>
      </c>
      <c r="K2" s="13">
        <f t="shared" ref="K2:K19" si="0">(J2/C2-1)*100</f>
        <v>4.1259500542887961</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46041</v>
      </c>
      <c r="B3" t="s">
        <v>1581</v>
      </c>
      <c r="C3" s="4">
        <v>0.44</v>
      </c>
      <c r="D3" s="13" t="s">
        <v>1255</v>
      </c>
      <c r="E3" s="13" t="s">
        <v>1559</v>
      </c>
      <c r="F3" t="s">
        <v>1258</v>
      </c>
      <c r="G3" t="s">
        <v>1256</v>
      </c>
      <c r="H3" t="s">
        <v>1593</v>
      </c>
      <c r="I3" t="s">
        <v>342</v>
      </c>
      <c r="J3" s="4">
        <v>0.46</v>
      </c>
      <c r="K3" s="13">
        <f t="shared" si="0"/>
        <v>4.5454545454545414</v>
      </c>
      <c r="L3" s="4">
        <v>0.48</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46041</v>
      </c>
      <c r="B4" t="s">
        <v>1582</v>
      </c>
      <c r="C4" s="4">
        <v>5.08</v>
      </c>
      <c r="D4" s="13" t="s">
        <v>1255</v>
      </c>
      <c r="E4" s="13" t="s">
        <v>1559</v>
      </c>
      <c r="F4" t="s">
        <v>1258</v>
      </c>
      <c r="G4" t="s">
        <v>1256</v>
      </c>
      <c r="H4" t="s">
        <v>1594</v>
      </c>
      <c r="I4" t="s">
        <v>358</v>
      </c>
      <c r="J4" s="4">
        <v>4.05</v>
      </c>
      <c r="K4" s="13">
        <f t="shared" si="0"/>
        <v>-20.275590551181111</v>
      </c>
      <c r="L4" s="4">
        <v>5.42</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46041</v>
      </c>
      <c r="B5" t="s">
        <v>100</v>
      </c>
      <c r="C5" s="4">
        <v>6.52</v>
      </c>
      <c r="D5" s="13" t="s">
        <v>1255</v>
      </c>
      <c r="E5" s="13" t="s">
        <v>1559</v>
      </c>
      <c r="F5" t="s">
        <v>1258</v>
      </c>
      <c r="G5" t="s">
        <v>1256</v>
      </c>
      <c r="H5" t="s">
        <v>376</v>
      </c>
      <c r="I5" t="s">
        <v>342</v>
      </c>
      <c r="J5" s="4">
        <v>6.83</v>
      </c>
      <c r="K5" s="13">
        <f t="shared" si="0"/>
        <v>4.7546012269938709</v>
      </c>
      <c r="L5" s="4">
        <v>7.29</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46041</v>
      </c>
      <c r="B6" t="s">
        <v>214</v>
      </c>
      <c r="C6" s="4">
        <v>1.25</v>
      </c>
      <c r="D6" s="13" t="s">
        <v>1255</v>
      </c>
      <c r="E6" s="13" t="s">
        <v>1559</v>
      </c>
      <c r="F6" t="s">
        <v>1258</v>
      </c>
      <c r="G6" t="s">
        <v>1256</v>
      </c>
      <c r="H6" t="s">
        <v>786</v>
      </c>
      <c r="I6" t="s">
        <v>342</v>
      </c>
      <c r="J6" s="4">
        <v>1.25</v>
      </c>
      <c r="K6" s="13">
        <f t="shared" si="0"/>
        <v>0</v>
      </c>
      <c r="L6" s="4">
        <v>1.34</v>
      </c>
      <c r="M6" s="4">
        <v>0.44</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46041</v>
      </c>
      <c r="B7" t="s">
        <v>1583</v>
      </c>
      <c r="C7" s="4">
        <v>3.13</v>
      </c>
      <c r="D7" s="13" t="s">
        <v>1255</v>
      </c>
      <c r="E7" s="13" t="s">
        <v>1559</v>
      </c>
      <c r="F7" t="s">
        <v>1258</v>
      </c>
      <c r="G7" t="s">
        <v>1256</v>
      </c>
      <c r="H7" t="s">
        <v>1595</v>
      </c>
      <c r="I7" t="s">
        <v>21</v>
      </c>
      <c r="J7" s="4">
        <v>3</v>
      </c>
      <c r="K7" s="13">
        <f t="shared" si="0"/>
        <v>-4.1533546325878579</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46041</v>
      </c>
      <c r="B8" t="s">
        <v>1584</v>
      </c>
      <c r="C8" s="4">
        <v>3.12</v>
      </c>
      <c r="D8" s="13" t="s">
        <v>1255</v>
      </c>
      <c r="E8" s="13" t="s">
        <v>1559</v>
      </c>
      <c r="F8" t="s">
        <v>1258</v>
      </c>
      <c r="G8" t="s">
        <v>1256</v>
      </c>
      <c r="H8" t="s">
        <v>1596</v>
      </c>
      <c r="I8" t="s">
        <v>22</v>
      </c>
      <c r="J8" s="4">
        <v>3.23</v>
      </c>
      <c r="K8" s="13">
        <f t="shared" si="0"/>
        <v>3.5256410256410131</v>
      </c>
      <c r="L8" s="4">
        <v>3.34</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46041</v>
      </c>
      <c r="B9" t="s">
        <v>1585</v>
      </c>
      <c r="C9" s="4">
        <v>0.87</v>
      </c>
      <c r="D9" s="13" t="s">
        <v>1255</v>
      </c>
      <c r="E9" s="13" t="s">
        <v>1559</v>
      </c>
      <c r="F9" t="s">
        <v>1258</v>
      </c>
      <c r="G9" t="s">
        <v>1256</v>
      </c>
      <c r="H9" t="s">
        <v>1597</v>
      </c>
      <c r="I9" t="s">
        <v>1606</v>
      </c>
      <c r="J9" s="4">
        <v>1.01</v>
      </c>
      <c r="K9" s="13">
        <f>(J9/C9-1)*100</f>
        <v>16.09195402298851</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46041</v>
      </c>
      <c r="B10" t="s">
        <v>1586</v>
      </c>
      <c r="C10" s="4">
        <v>0.82</v>
      </c>
      <c r="D10" s="13" t="s">
        <v>1255</v>
      </c>
      <c r="E10" s="13" t="s">
        <v>1559</v>
      </c>
      <c r="F10" t="s">
        <v>1258</v>
      </c>
      <c r="G10" t="s">
        <v>1256</v>
      </c>
      <c r="H10" t="s">
        <v>1598</v>
      </c>
      <c r="I10" t="s">
        <v>347</v>
      </c>
      <c r="J10" s="4">
        <v>0.81</v>
      </c>
      <c r="K10" s="13">
        <f t="shared" si="0"/>
        <v>-1.2195121951219412</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46041</v>
      </c>
      <c r="B11" t="s">
        <v>176</v>
      </c>
      <c r="C11" s="4">
        <v>3</v>
      </c>
      <c r="D11" s="13" t="s">
        <v>1255</v>
      </c>
      <c r="E11" s="13" t="s">
        <v>1559</v>
      </c>
      <c r="F11" t="s">
        <v>1258</v>
      </c>
      <c r="G11" t="s">
        <v>1256</v>
      </c>
      <c r="H11" t="s">
        <v>726</v>
      </c>
      <c r="I11" t="s">
        <v>342</v>
      </c>
      <c r="J11" s="4">
        <v>3.06</v>
      </c>
      <c r="K11" s="13">
        <f t="shared" si="0"/>
        <v>2.0000000000000018</v>
      </c>
      <c r="L11" s="4">
        <v>3.12</v>
      </c>
      <c r="M11" s="4">
        <v>1.58</v>
      </c>
      <c r="N11" t="s">
        <v>1645</v>
      </c>
      <c r="O11" s="3">
        <v>1</v>
      </c>
      <c r="P11" t="s">
        <v>1646</v>
      </c>
      <c r="Q11" t="s">
        <v>1647</v>
      </c>
      <c r="R11" s="3">
        <v>3.5000000000000003E-2</v>
      </c>
      <c r="S11" t="s">
        <v>1266</v>
      </c>
      <c r="T11" t="s">
        <v>1526</v>
      </c>
      <c r="U11" t="s">
        <v>1648</v>
      </c>
      <c r="V11" s="3">
        <v>0.34599999999999997</v>
      </c>
      <c r="W11" s="3">
        <v>0.01</v>
      </c>
      <c r="X11" t="s">
        <v>1649</v>
      </c>
      <c r="Y11" s="3">
        <v>2E-3</v>
      </c>
      <c r="Z11" s="3">
        <v>1.028</v>
      </c>
      <c r="AA11" s="3">
        <v>1.002</v>
      </c>
      <c r="AB11" s="3">
        <v>3.0000000000000001E-3</v>
      </c>
    </row>
    <row r="12" spans="1:28" x14ac:dyDescent="0.25">
      <c r="A12" s="2">
        <v>46041</v>
      </c>
      <c r="B12" t="s">
        <v>1587</v>
      </c>
      <c r="C12" s="4">
        <v>0.98</v>
      </c>
      <c r="D12" s="13" t="s">
        <v>1255</v>
      </c>
      <c r="E12" s="13" t="s">
        <v>1559</v>
      </c>
      <c r="F12" t="s">
        <v>1258</v>
      </c>
      <c r="G12" t="s">
        <v>1256</v>
      </c>
      <c r="H12" t="s">
        <v>1599</v>
      </c>
      <c r="I12" t="s">
        <v>342</v>
      </c>
      <c r="J12" s="4">
        <v>1.01</v>
      </c>
      <c r="K12" s="13">
        <f t="shared" si="0"/>
        <v>3.0612244897959107</v>
      </c>
      <c r="L12" s="4">
        <v>1.07</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46041</v>
      </c>
      <c r="B13" t="s">
        <v>1588</v>
      </c>
      <c r="C13" s="4">
        <v>1.08</v>
      </c>
      <c r="D13" s="13" t="s">
        <v>1255</v>
      </c>
      <c r="E13" s="13" t="s">
        <v>1559</v>
      </c>
      <c r="F13" t="s">
        <v>1258</v>
      </c>
      <c r="G13" t="s">
        <v>1256</v>
      </c>
      <c r="H13" t="s">
        <v>1600</v>
      </c>
      <c r="I13" t="s">
        <v>342</v>
      </c>
      <c r="J13" s="4">
        <v>1.17</v>
      </c>
      <c r="K13" s="13">
        <f t="shared" si="0"/>
        <v>8.333333333333325</v>
      </c>
      <c r="L13" s="4">
        <v>1.2</v>
      </c>
      <c r="M13" s="4">
        <v>0.4</v>
      </c>
      <c r="N13" t="s">
        <v>1244</v>
      </c>
      <c r="P13" t="s">
        <v>1654</v>
      </c>
      <c r="R13" s="3">
        <v>0</v>
      </c>
      <c r="U13" t="s">
        <v>1655</v>
      </c>
      <c r="V13" s="3">
        <v>2E-3</v>
      </c>
      <c r="W13" s="3">
        <v>0.13600000000000001</v>
      </c>
      <c r="X13" t="s">
        <v>1414</v>
      </c>
      <c r="AB13" s="3">
        <v>-0.02</v>
      </c>
    </row>
    <row r="14" spans="1:28" x14ac:dyDescent="0.25">
      <c r="A14" s="2">
        <v>46041</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5.2999999999999999E-2</v>
      </c>
      <c r="S14" t="s">
        <v>1657</v>
      </c>
      <c r="U14" t="s">
        <v>1658</v>
      </c>
      <c r="V14" s="3">
        <v>1E-3</v>
      </c>
      <c r="W14" s="3">
        <v>1.7000000000000001E-2</v>
      </c>
      <c r="X14" t="s">
        <v>1659</v>
      </c>
      <c r="Y14" s="3">
        <v>4.2359999999999998</v>
      </c>
      <c r="AB14" s="3">
        <v>7.1999999999999995E-2</v>
      </c>
    </row>
    <row r="15" spans="1:28" x14ac:dyDescent="0.25">
      <c r="A15" s="2">
        <v>46041</v>
      </c>
      <c r="B15" t="s">
        <v>194</v>
      </c>
      <c r="C15" s="4">
        <v>1.54</v>
      </c>
      <c r="D15" s="13" t="s">
        <v>1255</v>
      </c>
      <c r="E15" s="13" t="s">
        <v>1559</v>
      </c>
      <c r="F15" t="s">
        <v>1258</v>
      </c>
      <c r="G15" t="s">
        <v>1256</v>
      </c>
      <c r="H15" t="s">
        <v>752</v>
      </c>
      <c r="I15" t="s">
        <v>342</v>
      </c>
      <c r="J15" s="4">
        <v>1.61</v>
      </c>
      <c r="K15" s="13">
        <f t="shared" si="0"/>
        <v>4.5454545454545414</v>
      </c>
      <c r="L15" s="4">
        <v>1.64</v>
      </c>
      <c r="M15" s="4">
        <v>0.53</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46041</v>
      </c>
      <c r="B16" t="s">
        <v>1590</v>
      </c>
      <c r="C16" s="4">
        <v>3.27</v>
      </c>
      <c r="D16" s="13" t="s">
        <v>1255</v>
      </c>
      <c r="E16" s="13" t="s">
        <v>1559</v>
      </c>
      <c r="F16" t="s">
        <v>1258</v>
      </c>
      <c r="G16" t="s">
        <v>1256</v>
      </c>
      <c r="H16" t="s">
        <v>1602</v>
      </c>
      <c r="I16" t="s">
        <v>21</v>
      </c>
      <c r="J16" s="4">
        <v>3.14</v>
      </c>
      <c r="K16" s="13">
        <f t="shared" si="0"/>
        <v>-3.9755351681957207</v>
      </c>
      <c r="L16" s="4">
        <v>4.34</v>
      </c>
      <c r="M16" s="4">
        <v>1.9650000000000001</v>
      </c>
      <c r="N16" t="s">
        <v>1252</v>
      </c>
      <c r="O16" s="3">
        <v>1</v>
      </c>
      <c r="P16" t="s">
        <v>1663</v>
      </c>
      <c r="Q16" t="s">
        <v>1664</v>
      </c>
      <c r="R16" s="3">
        <v>0.04</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46041</v>
      </c>
      <c r="B17" t="s">
        <v>125</v>
      </c>
      <c r="C17" s="4">
        <v>1.57</v>
      </c>
      <c r="D17" s="13" t="s">
        <v>1255</v>
      </c>
      <c r="E17" s="13" t="s">
        <v>1559</v>
      </c>
      <c r="F17" t="s">
        <v>1258</v>
      </c>
      <c r="G17" t="s">
        <v>1256</v>
      </c>
      <c r="H17" t="s">
        <v>374</v>
      </c>
      <c r="I17" t="s">
        <v>25</v>
      </c>
      <c r="J17" s="4">
        <v>1.52</v>
      </c>
      <c r="K17" s="13">
        <f t="shared" si="0"/>
        <v>-3.1847133757961776</v>
      </c>
      <c r="L17" s="4">
        <v>1.61</v>
      </c>
      <c r="M17" s="4">
        <v>1.08</v>
      </c>
      <c r="N17" t="s">
        <v>1419</v>
      </c>
      <c r="O17" s="3">
        <v>0.25</v>
      </c>
      <c r="P17" t="s">
        <v>375</v>
      </c>
      <c r="Q17" t="s">
        <v>1398</v>
      </c>
      <c r="R17" s="3">
        <v>4.1000000000000002E-2</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46041</v>
      </c>
      <c r="B18" t="s">
        <v>239</v>
      </c>
      <c r="C18" s="4">
        <v>4.46</v>
      </c>
      <c r="D18" s="13" t="s">
        <v>1255</v>
      </c>
      <c r="E18" s="13" t="s">
        <v>1559</v>
      </c>
      <c r="F18" t="s">
        <v>1258</v>
      </c>
      <c r="G18" t="s">
        <v>1256</v>
      </c>
      <c r="H18" t="s">
        <v>822</v>
      </c>
      <c r="I18" t="s">
        <v>22</v>
      </c>
      <c r="J18" s="4">
        <v>4.32</v>
      </c>
      <c r="K18" s="13">
        <f t="shared" si="0"/>
        <v>-3.1390134529147962</v>
      </c>
      <c r="L18" s="4">
        <v>11.17</v>
      </c>
      <c r="M18" s="4">
        <v>2.85</v>
      </c>
      <c r="N18" t="s">
        <v>1252</v>
      </c>
      <c r="O18" s="3">
        <v>0</v>
      </c>
      <c r="P18" t="s">
        <v>1669</v>
      </c>
      <c r="Q18" t="s">
        <v>1670</v>
      </c>
      <c r="R18" s="3">
        <v>2.8000000000000001E-2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46041</v>
      </c>
      <c r="B19" t="s">
        <v>1591</v>
      </c>
      <c r="C19" s="4">
        <v>4.9800000000000004</v>
      </c>
      <c r="D19" s="13" t="s">
        <v>1255</v>
      </c>
      <c r="E19" s="13" t="s">
        <v>1559</v>
      </c>
      <c r="F19" t="s">
        <v>1258</v>
      </c>
      <c r="G19" t="s">
        <v>1256</v>
      </c>
      <c r="H19" t="s">
        <v>1603</v>
      </c>
      <c r="I19" t="s">
        <v>1267</v>
      </c>
      <c r="J19" s="4">
        <v>4.9800000000000004</v>
      </c>
      <c r="K19" s="13">
        <f t="shared" si="0"/>
        <v>0</v>
      </c>
      <c r="L19" s="4">
        <v>4.99</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1.94</v>
      </c>
      <c r="K64">
        <f t="shared" si="6"/>
        <v>11.815561959654165</v>
      </c>
      <c r="L64" s="4">
        <v>1.95</v>
      </c>
      <c r="M64" s="4">
        <v>1.1299999999999999</v>
      </c>
      <c r="N64" t="s">
        <v>355</v>
      </c>
      <c r="O64" s="3">
        <v>1</v>
      </c>
      <c r="P64" t="s">
        <v>356</v>
      </c>
      <c r="Q64" t="s">
        <v>1556</v>
      </c>
      <c r="R64" s="3">
        <v>7.0999999999999994E-2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3.03</v>
      </c>
      <c r="K73">
        <f t="shared" si="6"/>
        <v>15.648854961832059</v>
      </c>
      <c r="L73" s="4">
        <v>3.13</v>
      </c>
      <c r="M73" s="4">
        <v>1.98</v>
      </c>
      <c r="N73" t="s">
        <v>363</v>
      </c>
      <c r="O73" s="3">
        <v>1</v>
      </c>
      <c r="P73" t="s">
        <v>1503</v>
      </c>
      <c r="Q73" t="s">
        <v>1449</v>
      </c>
      <c r="R73" s="3">
        <v>5.8999999999999997E-2</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COUNTA(Trades!$A$33:A1048576)</f>
        <v>887</v>
      </c>
      <c r="D2">
        <f>COUNTIF(Trades!$J$33:J919,"&gt;0")</f>
        <v>446</v>
      </c>
      <c r="E2">
        <f>AVERAGEIF(Trades!$J$33:J919,"&gt;0")*100</f>
        <v>36.642190626569878</v>
      </c>
      <c r="F2">
        <f>C2-D2</f>
        <v>441</v>
      </c>
      <c r="G2">
        <f>AVERAGEIF(Trades!$J$33:J919,"&lt;0")*100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0"/>
  <sheetViews>
    <sheetView topLeftCell="A1358" workbookViewId="0">
      <selection activeCell="A1391" sqref="A139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I12" sqref="I1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7"/>
      <c r="O1" s="11"/>
    </row>
    <row r="2" spans="1:15" x14ac:dyDescent="0.25">
      <c r="A2" t="s">
        <v>1580</v>
      </c>
      <c r="B2" t="s">
        <v>1592</v>
      </c>
      <c r="C2" t="s">
        <v>1225</v>
      </c>
      <c r="D2" s="12">
        <v>46041</v>
      </c>
      <c r="E2" s="13">
        <v>9.15</v>
      </c>
      <c r="F2" s="12">
        <v>46047</v>
      </c>
      <c r="G2" s="4">
        <v>9.59</v>
      </c>
      <c r="H2" s="3">
        <f t="shared" ref="H2:H19" si="0">G2/E2-1</f>
        <v>4.8087431693988991E-2</v>
      </c>
      <c r="I2" s="20">
        <f t="shared" ref="I2:I19" si="1">K2*E2*J2</f>
        <v>14652.388199999976</v>
      </c>
      <c r="J2" s="21">
        <f t="shared" ref="J2:J19" si="2">H2-0.002</f>
        <v>4.6087431693988989E-2</v>
      </c>
      <c r="K2" s="13">
        <v>34746</v>
      </c>
      <c r="M2" s="4"/>
      <c r="N2" s="27"/>
      <c r="O2" s="11"/>
    </row>
    <row r="3" spans="1:15" x14ac:dyDescent="0.25">
      <c r="A3" t="s">
        <v>1581</v>
      </c>
      <c r="B3" t="s">
        <v>1593</v>
      </c>
      <c r="C3" t="s">
        <v>1225</v>
      </c>
      <c r="D3" s="12">
        <v>46041</v>
      </c>
      <c r="E3" s="13">
        <v>0.44</v>
      </c>
      <c r="F3" s="12">
        <v>46047</v>
      </c>
      <c r="G3" s="4">
        <v>0.46</v>
      </c>
      <c r="H3" s="3">
        <f t="shared" si="0"/>
        <v>4.5454545454545414E-2</v>
      </c>
      <c r="I3" s="20">
        <f t="shared" si="1"/>
        <v>13906.128959999987</v>
      </c>
      <c r="J3" s="21">
        <f t="shared" si="2"/>
        <v>4.3454545454545412E-2</v>
      </c>
      <c r="K3" s="13">
        <v>727308</v>
      </c>
      <c r="M3" s="4"/>
      <c r="N3" s="27"/>
      <c r="O3" s="11"/>
    </row>
    <row r="4" spans="1:15" x14ac:dyDescent="0.25">
      <c r="A4" t="s">
        <v>1582</v>
      </c>
      <c r="B4" t="s">
        <v>1594</v>
      </c>
      <c r="C4" t="s">
        <v>1225</v>
      </c>
      <c r="D4" s="12">
        <v>46041</v>
      </c>
      <c r="E4" s="13">
        <v>5.04</v>
      </c>
      <c r="F4" s="12">
        <v>46047</v>
      </c>
      <c r="G4" s="4">
        <v>4.05</v>
      </c>
      <c r="H4" s="3">
        <f t="shared" si="0"/>
        <v>-0.19642857142857151</v>
      </c>
      <c r="I4" s="20">
        <f t="shared" si="1"/>
        <v>-63000.039600000026</v>
      </c>
      <c r="J4" s="21">
        <f t="shared" si="2"/>
        <v>-0.19842857142857151</v>
      </c>
      <c r="K4" s="13">
        <v>62995</v>
      </c>
      <c r="M4" s="4"/>
      <c r="N4" s="27"/>
      <c r="O4" s="11"/>
    </row>
    <row r="5" spans="1:15" x14ac:dyDescent="0.25">
      <c r="A5" t="s">
        <v>100</v>
      </c>
      <c r="B5" t="s">
        <v>376</v>
      </c>
      <c r="C5" t="s">
        <v>1225</v>
      </c>
      <c r="D5" s="12">
        <v>46041</v>
      </c>
      <c r="E5" s="13">
        <v>6.54</v>
      </c>
      <c r="F5" s="12">
        <v>46047</v>
      </c>
      <c r="G5" s="4">
        <v>6.83</v>
      </c>
      <c r="H5" s="3">
        <f t="shared" si="0"/>
        <v>4.4342507645259932E-2</v>
      </c>
      <c r="I5" s="20">
        <f t="shared" si="1"/>
        <v>13591.787439999998</v>
      </c>
      <c r="J5" s="21">
        <f t="shared" si="2"/>
        <v>4.234250764525993E-2</v>
      </c>
      <c r="K5" s="13">
        <v>49082</v>
      </c>
      <c r="M5" s="4"/>
      <c r="N5" s="27"/>
      <c r="O5" s="11"/>
    </row>
    <row r="6" spans="1:15" x14ac:dyDescent="0.25">
      <c r="A6" t="s">
        <v>214</v>
      </c>
      <c r="B6" t="s">
        <v>786</v>
      </c>
      <c r="C6" t="s">
        <v>1225</v>
      </c>
      <c r="D6" s="12">
        <v>46041</v>
      </c>
      <c r="E6" s="13">
        <v>1.2</v>
      </c>
      <c r="F6" s="12">
        <v>46047</v>
      </c>
      <c r="G6" s="4">
        <v>1.25</v>
      </c>
      <c r="H6" s="3">
        <f t="shared" si="0"/>
        <v>4.1666666666666741E-2</v>
      </c>
      <c r="I6" s="20">
        <f t="shared" si="1"/>
        <v>12186.171200000021</v>
      </c>
      <c r="J6" s="21">
        <f t="shared" si="2"/>
        <v>3.9666666666666739E-2</v>
      </c>
      <c r="K6" s="13">
        <v>256012</v>
      </c>
      <c r="M6" s="4"/>
      <c r="N6" s="27"/>
      <c r="O6" s="11"/>
    </row>
    <row r="7" spans="1:15" x14ac:dyDescent="0.25">
      <c r="A7" t="s">
        <v>1583</v>
      </c>
      <c r="B7" t="s">
        <v>1595</v>
      </c>
      <c r="C7" t="s">
        <v>1225</v>
      </c>
      <c r="D7" s="12">
        <v>46041</v>
      </c>
      <c r="E7" s="13">
        <v>3.13</v>
      </c>
      <c r="F7" s="12">
        <v>46047</v>
      </c>
      <c r="G7" s="4">
        <v>3</v>
      </c>
      <c r="H7" s="3">
        <f t="shared" si="0"/>
        <v>-4.1533546325878579E-2</v>
      </c>
      <c r="I7" s="20">
        <f t="shared" si="1"/>
        <v>-13931.358659999996</v>
      </c>
      <c r="J7" s="21">
        <f t="shared" si="2"/>
        <v>-4.353354632587858E-2</v>
      </c>
      <c r="K7" s="13">
        <v>102241</v>
      </c>
      <c r="M7" s="4"/>
      <c r="N7" s="27"/>
      <c r="O7" s="11"/>
    </row>
    <row r="8" spans="1:15" x14ac:dyDescent="0.25">
      <c r="A8" t="s">
        <v>1584</v>
      </c>
      <c r="B8" t="s">
        <v>1596</v>
      </c>
      <c r="C8" t="s">
        <v>1225</v>
      </c>
      <c r="D8" s="12">
        <v>46041</v>
      </c>
      <c r="E8" s="13">
        <v>3.14</v>
      </c>
      <c r="F8" s="12">
        <v>46047</v>
      </c>
      <c r="G8" s="4">
        <v>3.23</v>
      </c>
      <c r="H8" s="3">
        <f t="shared" si="0"/>
        <v>2.8662420382165488E-2</v>
      </c>
      <c r="I8" s="20">
        <f t="shared" si="1"/>
        <v>8587.0766799999619</v>
      </c>
      <c r="J8" s="21">
        <f t="shared" si="2"/>
        <v>2.6662420382165486E-2</v>
      </c>
      <c r="K8" s="13">
        <v>102569</v>
      </c>
      <c r="M8" s="4"/>
      <c r="N8" s="27"/>
      <c r="O8" s="11"/>
    </row>
    <row r="9" spans="1:15" x14ac:dyDescent="0.25">
      <c r="A9" t="s">
        <v>1585</v>
      </c>
      <c r="B9" t="s">
        <v>1597</v>
      </c>
      <c r="C9" t="s">
        <v>1225</v>
      </c>
      <c r="D9" s="12">
        <v>46041</v>
      </c>
      <c r="E9" s="13">
        <v>0.86499999999999999</v>
      </c>
      <c r="F9" s="12">
        <v>46047</v>
      </c>
      <c r="G9" s="4">
        <v>1.01</v>
      </c>
      <c r="H9" s="3">
        <f t="shared" si="0"/>
        <v>0.16763005780346818</v>
      </c>
      <c r="I9" s="20">
        <f t="shared" si="1"/>
        <v>52699.577179999986</v>
      </c>
      <c r="J9" s="21">
        <f t="shared" si="2"/>
        <v>0.16563005780346818</v>
      </c>
      <c r="K9" s="13">
        <v>367834</v>
      </c>
      <c r="M9" s="4"/>
      <c r="N9" s="27"/>
      <c r="O9" s="11"/>
    </row>
    <row r="10" spans="1:15" x14ac:dyDescent="0.25">
      <c r="A10" t="s">
        <v>1586</v>
      </c>
      <c r="B10" t="s">
        <v>1598</v>
      </c>
      <c r="C10" t="s">
        <v>1225</v>
      </c>
      <c r="D10" s="12">
        <v>46041</v>
      </c>
      <c r="E10" s="13">
        <v>0.83</v>
      </c>
      <c r="F10" s="12">
        <v>46047</v>
      </c>
      <c r="G10" s="4">
        <v>0.81</v>
      </c>
      <c r="H10" s="3">
        <f t="shared" si="0"/>
        <v>-2.409638554216853E-2</v>
      </c>
      <c r="I10" s="20">
        <f t="shared" si="1"/>
        <v>-8453.096579999954</v>
      </c>
      <c r="J10" s="21">
        <f t="shared" si="2"/>
        <v>-2.6096385542168532E-2</v>
      </c>
      <c r="K10" s="13">
        <v>390263</v>
      </c>
      <c r="M10" s="4"/>
      <c r="N10" s="27"/>
      <c r="O10" s="11"/>
    </row>
    <row r="11" spans="1:15" x14ac:dyDescent="0.25">
      <c r="A11" t="s">
        <v>176</v>
      </c>
      <c r="B11" t="s">
        <v>726</v>
      </c>
      <c r="C11" t="s">
        <v>1225</v>
      </c>
      <c r="D11" s="12">
        <v>46041</v>
      </c>
      <c r="E11" s="13">
        <v>2.99</v>
      </c>
      <c r="F11" s="12">
        <v>46047</v>
      </c>
      <c r="G11" s="4">
        <v>3.06</v>
      </c>
      <c r="H11" s="3">
        <f t="shared" si="0"/>
        <v>2.3411371237458178E-2</v>
      </c>
      <c r="I11" s="20">
        <f t="shared" si="1"/>
        <v>6829.0774199999951</v>
      </c>
      <c r="J11" s="21">
        <f t="shared" si="2"/>
        <v>2.1411371237458177E-2</v>
      </c>
      <c r="K11" s="13">
        <v>106671</v>
      </c>
      <c r="M11" s="4"/>
      <c r="N11" s="27"/>
      <c r="O11" s="11"/>
    </row>
    <row r="12" spans="1:15" x14ac:dyDescent="0.25">
      <c r="A12" t="s">
        <v>1587</v>
      </c>
      <c r="B12" t="s">
        <v>1599</v>
      </c>
      <c r="C12" t="s">
        <v>1225</v>
      </c>
      <c r="D12" s="12">
        <v>46041</v>
      </c>
      <c r="E12" s="13">
        <v>0.99</v>
      </c>
      <c r="F12" s="12">
        <v>46047</v>
      </c>
      <c r="G12" s="4">
        <v>1.01</v>
      </c>
      <c r="H12" s="3">
        <f t="shared" si="0"/>
        <v>2.020202020202011E-2</v>
      </c>
      <c r="I12" s="20">
        <f t="shared" si="1"/>
        <v>5884.3589199999697</v>
      </c>
      <c r="J12" s="21">
        <f t="shared" si="2"/>
        <v>1.8202020202020108E-2</v>
      </c>
      <c r="K12" s="13">
        <v>326546</v>
      </c>
      <c r="M12" s="4"/>
      <c r="N12" s="27"/>
      <c r="O12" s="11"/>
    </row>
    <row r="13" spans="1:15" x14ac:dyDescent="0.25">
      <c r="A13" t="s">
        <v>1588</v>
      </c>
      <c r="B13" t="s">
        <v>1600</v>
      </c>
      <c r="C13" t="s">
        <v>1225</v>
      </c>
      <c r="D13" s="12">
        <v>46041</v>
      </c>
      <c r="E13" s="13">
        <v>1.0900000000000001</v>
      </c>
      <c r="F13" s="12">
        <v>46047</v>
      </c>
      <c r="G13" s="4">
        <v>1.17</v>
      </c>
      <c r="H13" s="3">
        <f t="shared" si="0"/>
        <v>7.3394495412843819E-2</v>
      </c>
      <c r="I13" s="20">
        <f t="shared" si="1"/>
        <v>23058.84419999993</v>
      </c>
      <c r="J13" s="21">
        <f t="shared" si="2"/>
        <v>7.1394495412843817E-2</v>
      </c>
      <c r="K13" s="13">
        <v>296310</v>
      </c>
      <c r="M13" s="4"/>
      <c r="N13" s="27"/>
      <c r="O13" s="11"/>
    </row>
    <row r="14" spans="1:15" x14ac:dyDescent="0.25">
      <c r="A14" t="s">
        <v>1589</v>
      </c>
      <c r="B14" t="s">
        <v>1601</v>
      </c>
      <c r="C14" t="s">
        <v>1225</v>
      </c>
      <c r="D14" s="12">
        <v>46041</v>
      </c>
      <c r="E14" s="13">
        <v>0.28499999999999998</v>
      </c>
      <c r="F14" s="12">
        <v>46047</v>
      </c>
      <c r="G14" s="4">
        <v>0.28000000000000003</v>
      </c>
      <c r="H14" s="3">
        <f t="shared" si="0"/>
        <v>-1.754385964912264E-2</v>
      </c>
      <c r="I14" s="20">
        <f t="shared" si="1"/>
        <v>-6366.0254099999456</v>
      </c>
      <c r="J14" s="21">
        <f t="shared" si="2"/>
        <v>-1.9543859649122641E-2</v>
      </c>
      <c r="K14" s="13">
        <v>1142913</v>
      </c>
      <c r="M14" s="4"/>
      <c r="N14" s="27"/>
      <c r="O14" s="11"/>
    </row>
    <row r="15" spans="1:15" x14ac:dyDescent="0.25">
      <c r="A15" t="s">
        <v>194</v>
      </c>
      <c r="B15" t="s">
        <v>752</v>
      </c>
      <c r="C15" t="s">
        <v>1225</v>
      </c>
      <c r="D15" s="12">
        <v>46041</v>
      </c>
      <c r="E15" s="13">
        <v>1.52</v>
      </c>
      <c r="F15" s="12">
        <v>46047</v>
      </c>
      <c r="G15" s="4">
        <v>1.61</v>
      </c>
      <c r="H15" s="3">
        <f t="shared" si="0"/>
        <v>5.9210526315789602E-2</v>
      </c>
      <c r="I15" s="20">
        <f t="shared" si="1"/>
        <v>18070.461920000038</v>
      </c>
      <c r="J15" s="21">
        <f t="shared" si="2"/>
        <v>5.72105263157896E-2</v>
      </c>
      <c r="K15" s="13">
        <v>207802</v>
      </c>
      <c r="M15" s="4"/>
      <c r="N15" s="27"/>
      <c r="O15" s="11"/>
    </row>
    <row r="16" spans="1:15" x14ac:dyDescent="0.25">
      <c r="A16" t="s">
        <v>1590</v>
      </c>
      <c r="B16" t="s">
        <v>1602</v>
      </c>
      <c r="C16" t="s">
        <v>1225</v>
      </c>
      <c r="D16" s="12">
        <v>46041</v>
      </c>
      <c r="E16" s="13">
        <v>3.27</v>
      </c>
      <c r="F16" s="12">
        <v>46047</v>
      </c>
      <c r="G16" s="4">
        <v>3.14</v>
      </c>
      <c r="H16" s="3">
        <f t="shared" si="0"/>
        <v>-3.9755351681957207E-2</v>
      </c>
      <c r="I16" s="20">
        <f t="shared" si="1"/>
        <v>-13362.350560000008</v>
      </c>
      <c r="J16" s="21">
        <f t="shared" si="2"/>
        <v>-4.1755351681957209E-2</v>
      </c>
      <c r="K16" s="13">
        <v>97864</v>
      </c>
      <c r="M16" s="4"/>
      <c r="N16" s="27"/>
      <c r="O16" s="11"/>
    </row>
    <row r="17" spans="1:15" x14ac:dyDescent="0.25">
      <c r="A17" t="s">
        <v>125</v>
      </c>
      <c r="B17" t="s">
        <v>374</v>
      </c>
      <c r="C17" t="s">
        <v>1225</v>
      </c>
      <c r="D17" s="12">
        <v>46041</v>
      </c>
      <c r="E17" s="13">
        <v>1.55</v>
      </c>
      <c r="F17" s="12">
        <v>46047</v>
      </c>
      <c r="G17" s="4">
        <v>1.52</v>
      </c>
      <c r="H17" s="3">
        <f t="shared" si="0"/>
        <v>-1.9354838709677469E-2</v>
      </c>
      <c r="I17" s="20">
        <f t="shared" si="1"/>
        <v>-6746.8061000000162</v>
      </c>
      <c r="J17" s="21">
        <f t="shared" si="2"/>
        <v>-2.1354838709677471E-2</v>
      </c>
      <c r="K17" s="13">
        <v>203831</v>
      </c>
      <c r="M17" s="4"/>
      <c r="N17" s="27"/>
      <c r="O17" s="11"/>
    </row>
    <row r="18" spans="1:15" x14ac:dyDescent="0.25">
      <c r="A18" t="s">
        <v>239</v>
      </c>
      <c r="B18" t="s">
        <v>822</v>
      </c>
      <c r="C18" t="s">
        <v>1225</v>
      </c>
      <c r="D18" s="12">
        <v>46041</v>
      </c>
      <c r="E18" s="13">
        <v>4.45</v>
      </c>
      <c r="F18" s="12">
        <v>46047</v>
      </c>
      <c r="G18" s="4">
        <v>4.32</v>
      </c>
      <c r="H18" s="3">
        <f t="shared" si="0"/>
        <v>-2.921348314606742E-2</v>
      </c>
      <c r="I18" s="20">
        <f t="shared" si="1"/>
        <v>-9966.3528000000024</v>
      </c>
      <c r="J18" s="21">
        <f t="shared" si="2"/>
        <v>-3.1213483146067422E-2</v>
      </c>
      <c r="K18" s="13">
        <v>71752</v>
      </c>
      <c r="M18" s="4"/>
      <c r="N18" s="27"/>
      <c r="O18" s="11"/>
    </row>
    <row r="19" spans="1:15" x14ac:dyDescent="0.25">
      <c r="A19" t="s">
        <v>1591</v>
      </c>
      <c r="B19" t="s">
        <v>1603</v>
      </c>
      <c r="C19" t="s">
        <v>1225</v>
      </c>
      <c r="D19" s="12">
        <v>46041</v>
      </c>
      <c r="E19" s="13">
        <v>4.96</v>
      </c>
      <c r="F19" s="12">
        <v>46047</v>
      </c>
      <c r="G19" s="4">
        <v>4.9800000000000004</v>
      </c>
      <c r="H19" s="3">
        <f t="shared" si="0"/>
        <v>4.0322580645162365E-3</v>
      </c>
      <c r="I19" s="20">
        <f t="shared" si="1"/>
        <v>647.74080000003414</v>
      </c>
      <c r="J19" s="21">
        <f t="shared" si="2"/>
        <v>2.0322580645162364E-3</v>
      </c>
      <c r="K19" s="13">
        <v>64260</v>
      </c>
      <c r="M19" s="4"/>
      <c r="N19" s="27"/>
      <c r="O19" s="11"/>
    </row>
    <row r="20" spans="1:15" x14ac:dyDescent="0.25">
      <c r="A20" t="s">
        <v>118</v>
      </c>
      <c r="B20" t="s">
        <v>354</v>
      </c>
      <c r="C20" t="s">
        <v>1225</v>
      </c>
      <c r="D20" s="2">
        <v>45786</v>
      </c>
      <c r="E20">
        <v>1.79</v>
      </c>
      <c r="F20" s="12">
        <v>46047</v>
      </c>
      <c r="G20" s="4">
        <v>1.94</v>
      </c>
      <c r="H20" s="3">
        <f t="shared" ref="H20:H21" si="3">G20/E20-1</f>
        <v>8.3798882681564102E-2</v>
      </c>
      <c r="I20" s="20">
        <f t="shared" ref="I20:I21" si="4">K20*E20*J20</f>
        <v>21359.017499999962</v>
      </c>
      <c r="J20" s="21">
        <f t="shared" ref="J20:J21" si="5">H20-0.002</f>
        <v>8.17988826815641E-2</v>
      </c>
      <c r="K20">
        <v>145875</v>
      </c>
      <c r="M20" s="4"/>
    </row>
    <row r="21" spans="1:15" x14ac:dyDescent="0.25">
      <c r="A21" t="s">
        <v>126</v>
      </c>
      <c r="B21" t="s">
        <v>379</v>
      </c>
      <c r="C21" t="s">
        <v>1225</v>
      </c>
      <c r="D21" s="2">
        <v>45786</v>
      </c>
      <c r="E21">
        <v>2.66</v>
      </c>
      <c r="F21" s="12">
        <v>46047</v>
      </c>
      <c r="G21" s="4">
        <v>3.03</v>
      </c>
      <c r="H21" s="3">
        <f t="shared" si="3"/>
        <v>0.13909774436090205</v>
      </c>
      <c r="I21" s="20">
        <f t="shared" si="4"/>
        <v>35829.080639999949</v>
      </c>
      <c r="J21" s="21">
        <f t="shared" si="5"/>
        <v>0.13709774436090205</v>
      </c>
      <c r="K21">
        <v>98248</v>
      </c>
      <c r="M21" s="4"/>
      <c r="N21" s="4"/>
    </row>
    <row r="22" spans="1:15"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c r="L22" s="4"/>
    </row>
    <row r="23" spans="1:15"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c r="L23" s="4"/>
    </row>
    <row r="24" spans="1:15"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c r="L24" s="4"/>
    </row>
    <row r="25" spans="1:15"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c r="L25" s="4"/>
    </row>
    <row r="26" spans="1:15" x14ac:dyDescent="0.25">
      <c r="A26" t="s">
        <v>114</v>
      </c>
      <c r="B26" t="s">
        <v>341</v>
      </c>
      <c r="C26" t="s">
        <v>1226</v>
      </c>
      <c r="D26" s="2">
        <v>45793</v>
      </c>
      <c r="E26">
        <v>3.31</v>
      </c>
      <c r="F26" s="12">
        <v>45999</v>
      </c>
      <c r="G26" s="25">
        <v>4.75</v>
      </c>
      <c r="H26" s="3">
        <f t="shared" ref="H26:H27" si="15">G26/E26-1</f>
        <v>0.43504531722054374</v>
      </c>
      <c r="I26" s="20">
        <f t="shared" ref="I26:I27" si="16">K26*E26*J26</f>
        <v>125905.23243999999</v>
      </c>
      <c r="J26" s="3">
        <f t="shared" ref="J26:J27" si="17">H26-0.002</f>
        <v>0.43304531722054374</v>
      </c>
      <c r="K26">
        <v>87838</v>
      </c>
      <c r="L26" s="4"/>
    </row>
    <row r="27" spans="1:15" x14ac:dyDescent="0.25">
      <c r="A27" t="s">
        <v>130</v>
      </c>
      <c r="B27" t="s">
        <v>393</v>
      </c>
      <c r="C27" t="s">
        <v>1226</v>
      </c>
      <c r="D27" s="2">
        <v>45660</v>
      </c>
      <c r="E27">
        <v>0.52570839999999996</v>
      </c>
      <c r="F27" s="12">
        <v>45999</v>
      </c>
      <c r="G27" s="25">
        <v>0.51500000000000001</v>
      </c>
      <c r="H27" s="3">
        <f t="shared" si="15"/>
        <v>-2.0369467179904177E-2</v>
      </c>
      <c r="I27" s="20">
        <f t="shared" si="16"/>
        <v>-6393.4595996559656</v>
      </c>
      <c r="J27" s="3">
        <f t="shared" si="17"/>
        <v>-2.2369467179904179E-2</v>
      </c>
      <c r="K27">
        <v>543670</v>
      </c>
      <c r="L27" s="4"/>
    </row>
    <row r="28" spans="1:15"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c r="L28" s="4"/>
    </row>
    <row r="29" spans="1:15"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c r="L29" s="4"/>
    </row>
    <row r="30" spans="1:15"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row>
    <row r="31" spans="1:15"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row>
    <row r="32" spans="1:15"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c r="L40" s="4"/>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c r="L41" s="4"/>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c r="L42" s="4"/>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c r="L44" s="4"/>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c r="L45" s="4"/>
      <c r="P45" s="15"/>
      <c r="R45" s="4"/>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c r="L47" s="4"/>
      <c r="P47" s="15"/>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6"/>
  <sheetViews>
    <sheetView tabSelected="1" topLeftCell="A1358" workbookViewId="0">
      <selection activeCell="K1385" sqref="K138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6"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8">
        <v>8874.5</v>
      </c>
      <c r="F1384" s="28">
        <v>451116400</v>
      </c>
      <c r="G1384" s="28">
        <v>4476190000</v>
      </c>
      <c r="H1384">
        <f t="shared" si="28"/>
        <v>293527.15485876863</v>
      </c>
    </row>
    <row r="1385" spans="1:8" x14ac:dyDescent="0.25">
      <c r="A1385" s="2">
        <v>46045</v>
      </c>
      <c r="B1385">
        <v>8903.9</v>
      </c>
      <c r="C1385">
        <v>8903.9</v>
      </c>
      <c r="D1385">
        <v>8765.9</v>
      </c>
      <c r="E1385">
        <v>8860.1</v>
      </c>
      <c r="F1385" s="28">
        <v>3007342000</v>
      </c>
      <c r="G1385" s="28">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2026-01-31T03:02:12Z</dcterms:modified>
</cp:coreProperties>
</file>