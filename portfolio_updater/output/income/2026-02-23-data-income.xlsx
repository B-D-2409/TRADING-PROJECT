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8C5600C5-F975-438B-A7AE-95D394E8A2FD}"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8" i="5" l="1"/>
  <c r="E1398" i="5" s="1"/>
  <c r="H1395" i="8"/>
  <c r="J5" i="6"/>
  <c r="I5" i="6" s="1"/>
  <c r="H5" i="6"/>
  <c r="H4" i="6"/>
  <c r="J4" i="6" s="1"/>
  <c r="I4" i="6" s="1"/>
  <c r="J3" i="6"/>
  <c r="I3" i="6"/>
  <c r="H3" i="6"/>
  <c r="H2" i="6"/>
  <c r="J2" i="6" s="1"/>
  <c r="I2" i="6" s="1"/>
  <c r="D1397" i="5"/>
  <c r="E1397" i="5" s="1"/>
  <c r="H1394" i="8"/>
  <c r="D1396" i="5"/>
  <c r="E1396" i="5" s="1"/>
  <c r="H1393" i="8"/>
  <c r="K5" i="3"/>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C2" i="4"/>
  <c r="D1391" i="5"/>
  <c r="E1391" i="5" s="1"/>
  <c r="D1390" i="5"/>
  <c r="E1390" i="5" s="1"/>
  <c r="H1388" i="8"/>
  <c r="D1389" i="5"/>
  <c r="E1389" i="5" s="1"/>
  <c r="H6" i="6"/>
  <c r="J6" i="6" s="1"/>
  <c r="I6" i="6" s="1"/>
  <c r="H1387" i="8"/>
  <c r="K10" i="3"/>
  <c r="D1388" i="5" l="1"/>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8" i="6"/>
</calcChain>
</file>

<file path=xl/sharedStrings.xml><?xml version="1.0" encoding="utf-8"?>
<sst xmlns="http://schemas.openxmlformats.org/spreadsheetml/2006/main" count="1240" uniqueCount="559">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</sst>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selection activeCell="B29" sqref="B29"/>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5.09</v>
      </c>
      <c r="F2">
        <f t="shared" ref="F2:F5" si="0">(E2/D2-1)*100</f>
        <v>0.19685039370078705</v>
      </c>
      <c r="G2" s="25">
        <v>3.9948751926422101</v>
      </c>
      <c r="H2" s="4">
        <v>5.17</v>
      </c>
      <c r="I2" s="4">
        <v>3.38</v>
      </c>
      <c r="J2" t="s">
        <v>533</v>
      </c>
      <c r="K2" s="3">
        <v>0</v>
      </c>
      <c r="L2" t="s">
        <v>534</v>
      </c>
      <c r="M2" t="s">
        <v>535</v>
      </c>
      <c r="N2" s="3">
        <v>4.5999999999999999E-2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40.700000000000003</v>
      </c>
      <c r="F3">
        <f t="shared" si="0"/>
        <v>-0.46466128637808746</v>
      </c>
      <c r="G3" s="25">
        <v>29.2122783660888</v>
      </c>
      <c r="H3" s="4">
        <v>41</v>
      </c>
      <c r="I3" s="4">
        <v>24.93</v>
      </c>
      <c r="J3" t="s">
        <v>539</v>
      </c>
      <c r="K3" s="3">
        <v>0.7</v>
      </c>
      <c r="L3" t="s">
        <v>540</v>
      </c>
      <c r="M3" t="s">
        <v>513</v>
      </c>
      <c r="N3" s="3">
        <v>4.1000000000000002E-2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70.8</v>
      </c>
      <c r="F4">
        <f t="shared" si="0"/>
        <v>1.0562375107050936</v>
      </c>
      <c r="G4" s="25">
        <v>58.947002410888601</v>
      </c>
      <c r="H4" s="4">
        <v>78.3</v>
      </c>
      <c r="I4" s="4">
        <v>58.95</v>
      </c>
      <c r="J4" t="s">
        <v>545</v>
      </c>
      <c r="K4" s="3">
        <v>0</v>
      </c>
      <c r="L4" t="s">
        <v>546</v>
      </c>
      <c r="M4" t="s">
        <v>535</v>
      </c>
      <c r="N4" s="3">
        <v>5.6000000000000001E-2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10.6</v>
      </c>
      <c r="F5">
        <f t="shared" si="0"/>
        <v>1.7274472168905985</v>
      </c>
      <c r="G5" s="25">
        <v>8.0299997329711896</v>
      </c>
      <c r="H5" s="4">
        <v>10.9</v>
      </c>
      <c r="I5" s="4">
        <v>8.0299999999999994</v>
      </c>
      <c r="J5" t="s">
        <v>550</v>
      </c>
      <c r="K5" s="3">
        <v>1</v>
      </c>
      <c r="L5" t="s">
        <v>551</v>
      </c>
      <c r="N5" s="3">
        <v>4.4999999999999998E-2</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4.76</v>
      </c>
      <c r="F6">
        <f>(E6/D6-1)*100</f>
        <v>4.3859649122807154</v>
      </c>
      <c r="G6" s="25">
        <v>3.7699999809265101</v>
      </c>
      <c r="H6" s="4">
        <v>4.88</v>
      </c>
      <c r="I6" s="4">
        <v>3.21</v>
      </c>
      <c r="J6" t="s">
        <v>526</v>
      </c>
      <c r="K6" s="3">
        <v>1</v>
      </c>
      <c r="L6" t="s">
        <v>527</v>
      </c>
      <c r="M6" t="s">
        <v>528</v>
      </c>
      <c r="N6" s="3">
        <v>7.0999999999999994E-2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3.87</v>
      </c>
      <c r="F7">
        <f t="shared" ref="F7" si="1">(E7/D7-1)*100</f>
        <v>-1.7766497461928932</v>
      </c>
      <c r="G7" s="25">
        <v>3.45000004768371</v>
      </c>
      <c r="H7" s="4">
        <v>4.3600000000000003</v>
      </c>
      <c r="I7" s="4">
        <v>3.45</v>
      </c>
      <c r="J7" t="s">
        <v>511</v>
      </c>
      <c r="K7" s="3">
        <v>1</v>
      </c>
      <c r="L7" t="s">
        <v>512</v>
      </c>
      <c r="M7" t="s">
        <v>513</v>
      </c>
      <c r="N7" s="3">
        <v>4.9000000000000002E-2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9.14</v>
      </c>
      <c r="F8">
        <f t="shared" ref="F8:F13" si="2">(E8/D8-1)*100</f>
        <v>6.0324825986079134</v>
      </c>
      <c r="G8" s="25">
        <v>7.9787516593933097</v>
      </c>
      <c r="H8" s="4">
        <v>9.2799999999999994</v>
      </c>
      <c r="I8" s="4">
        <v>6.16</v>
      </c>
      <c r="J8" t="s">
        <v>490</v>
      </c>
      <c r="K8" s="3">
        <v>0.22900000000000001</v>
      </c>
      <c r="L8" t="s">
        <v>469</v>
      </c>
      <c r="M8" t="s">
        <v>444</v>
      </c>
      <c r="N8" s="3">
        <v>6.3E-2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3.19</v>
      </c>
      <c r="F9">
        <f t="shared" si="2"/>
        <v>3.9087947882736174</v>
      </c>
      <c r="G9" s="25">
        <v>2.9956314563751198</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3.86</v>
      </c>
      <c r="F10">
        <f t="shared" si="2"/>
        <v>6.0439560439560447</v>
      </c>
      <c r="G10" s="25">
        <v>3.37895655632019</v>
      </c>
      <c r="H10" s="4">
        <v>4.03</v>
      </c>
      <c r="I10" s="4">
        <v>3.17</v>
      </c>
      <c r="J10" t="s">
        <v>492</v>
      </c>
      <c r="K10" s="3">
        <v>0</v>
      </c>
      <c r="L10" t="s">
        <v>133</v>
      </c>
      <c r="M10" t="s">
        <v>436</v>
      </c>
      <c r="N10" s="3">
        <v>4.9000000000000002E-2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5.1100000000000003</v>
      </c>
      <c r="F11">
        <f t="shared" si="2"/>
        <v>31.70103092783507</v>
      </c>
      <c r="G11" s="25">
        <v>4.7049999237060502</v>
      </c>
      <c r="H11" s="4">
        <v>5.26</v>
      </c>
      <c r="I11" s="4">
        <v>3.93</v>
      </c>
      <c r="J11" t="s">
        <v>502</v>
      </c>
      <c r="K11" s="3">
        <v>0.90500000000000003</v>
      </c>
      <c r="L11" t="s">
        <v>162</v>
      </c>
      <c r="M11" t="s">
        <v>457</v>
      </c>
      <c r="N11" s="3">
        <v>3.6999999999999998E-2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7.06</v>
      </c>
      <c r="F12">
        <f t="shared" si="2"/>
        <v>16.5016501650165</v>
      </c>
      <c r="G12" s="25">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2.76</v>
      </c>
      <c r="F13">
        <f t="shared" si="2"/>
        <v>16.949152542372879</v>
      </c>
      <c r="G13" s="25">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C34" sqref="C3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46069</v>
      </c>
      <c r="B2" s="15" t="s">
        <v>532</v>
      </c>
      <c r="C2" s="4">
        <v>5.08</v>
      </c>
      <c r="D2" s="15" t="s">
        <v>372</v>
      </c>
      <c r="E2" t="s">
        <v>412</v>
      </c>
      <c r="F2" t="s">
        <v>373</v>
      </c>
      <c r="G2" t="s">
        <v>374</v>
      </c>
      <c r="H2" t="s">
        <v>554</v>
      </c>
      <c r="I2" t="s">
        <v>22</v>
      </c>
      <c r="J2" s="4">
        <v>5.09</v>
      </c>
      <c r="K2" s="5">
        <f t="shared" ref="K2:K5" si="0">(J2/C2-1)*100</f>
        <v>0.19685039370078705</v>
      </c>
      <c r="L2" s="4">
        <v>5.17</v>
      </c>
      <c r="M2" s="4">
        <v>3.38</v>
      </c>
      <c r="N2" t="s">
        <v>533</v>
      </c>
      <c r="O2" s="3">
        <v>0</v>
      </c>
      <c r="P2" t="s">
        <v>534</v>
      </c>
      <c r="Q2" t="s">
        <v>535</v>
      </c>
      <c r="R2" s="3">
        <v>4.5999999999999999E-2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14">
        <v>46069</v>
      </c>
      <c r="B3" s="15" t="s">
        <v>154</v>
      </c>
      <c r="C3" s="4">
        <v>40.89</v>
      </c>
      <c r="D3" s="15" t="s">
        <v>372</v>
      </c>
      <c r="E3" t="s">
        <v>412</v>
      </c>
      <c r="F3" t="s">
        <v>373</v>
      </c>
      <c r="G3" t="s">
        <v>374</v>
      </c>
      <c r="H3" t="s">
        <v>243</v>
      </c>
      <c r="I3" t="s">
        <v>26</v>
      </c>
      <c r="J3" s="4">
        <v>40.700000000000003</v>
      </c>
      <c r="K3" s="5">
        <f t="shared" si="0"/>
        <v>-0.46466128637808746</v>
      </c>
      <c r="L3" s="4">
        <v>41</v>
      </c>
      <c r="M3" s="4">
        <v>24.93</v>
      </c>
      <c r="N3" t="s">
        <v>539</v>
      </c>
      <c r="O3" s="3">
        <v>0.7</v>
      </c>
      <c r="P3" t="s">
        <v>540</v>
      </c>
      <c r="Q3" t="s">
        <v>513</v>
      </c>
      <c r="R3" s="3">
        <v>4.1000000000000002E-2</v>
      </c>
      <c r="S3" t="s">
        <v>541</v>
      </c>
      <c r="T3" t="s">
        <v>542</v>
      </c>
      <c r="U3" t="s">
        <v>543</v>
      </c>
      <c r="V3" s="3">
        <v>3.1789999999999998</v>
      </c>
      <c r="X3" t="s">
        <v>544</v>
      </c>
      <c r="Y3" s="3">
        <v>0.251</v>
      </c>
      <c r="Z3" s="3">
        <v>0.39400000000000002</v>
      </c>
      <c r="AA3" s="3">
        <v>-5.6000000000000001E-2</v>
      </c>
      <c r="AB3" s="3">
        <v>8.4000000000000005E-2</v>
      </c>
    </row>
    <row r="4" spans="1:28" x14ac:dyDescent="0.25">
      <c r="A4" s="14">
        <v>46069</v>
      </c>
      <c r="B4" s="15" t="s">
        <v>104</v>
      </c>
      <c r="C4" s="4">
        <v>70.06</v>
      </c>
      <c r="D4" s="15" t="s">
        <v>372</v>
      </c>
      <c r="E4" t="s">
        <v>412</v>
      </c>
      <c r="F4" t="s">
        <v>373</v>
      </c>
      <c r="G4" t="s">
        <v>374</v>
      </c>
      <c r="H4" t="s">
        <v>190</v>
      </c>
      <c r="I4" t="s">
        <v>510</v>
      </c>
      <c r="J4" s="4">
        <v>70.8</v>
      </c>
      <c r="K4" s="5">
        <f t="shared" si="0"/>
        <v>1.0562375107050936</v>
      </c>
      <c r="L4" s="4">
        <v>78.3</v>
      </c>
      <c r="M4" s="4">
        <v>58.95</v>
      </c>
      <c r="N4" t="s">
        <v>545</v>
      </c>
      <c r="O4" s="3">
        <v>0</v>
      </c>
      <c r="P4" t="s">
        <v>546</v>
      </c>
      <c r="Q4" t="s">
        <v>535</v>
      </c>
      <c r="R4" s="3">
        <v>5.6000000000000001E-2</v>
      </c>
      <c r="S4" t="s">
        <v>547</v>
      </c>
      <c r="U4" t="s">
        <v>548</v>
      </c>
      <c r="V4" s="3">
        <v>1.2649999999999999</v>
      </c>
      <c r="W4" s="3">
        <v>0.01</v>
      </c>
      <c r="X4" t="s">
        <v>549</v>
      </c>
      <c r="Y4" s="3">
        <v>3.3000000000000002E-2</v>
      </c>
      <c r="Z4" s="3">
        <v>1.0999999999999999E-2</v>
      </c>
      <c r="AA4" s="3">
        <v>-0.154</v>
      </c>
      <c r="AB4" s="3">
        <v>7.3999999999999996E-2</v>
      </c>
    </row>
    <row r="5" spans="1:28" x14ac:dyDescent="0.25">
      <c r="A5" s="14">
        <v>46069</v>
      </c>
      <c r="B5" s="15" t="s">
        <v>73</v>
      </c>
      <c r="C5" s="4">
        <v>10.42</v>
      </c>
      <c r="D5" s="15" t="s">
        <v>372</v>
      </c>
      <c r="E5" t="s">
        <v>412</v>
      </c>
      <c r="F5" t="s">
        <v>373</v>
      </c>
      <c r="G5" t="s">
        <v>374</v>
      </c>
      <c r="H5" t="s">
        <v>206</v>
      </c>
      <c r="I5" t="s">
        <v>159</v>
      </c>
      <c r="J5" s="4">
        <v>10.6</v>
      </c>
      <c r="K5" s="5">
        <f t="shared" si="0"/>
        <v>1.7274472168905985</v>
      </c>
      <c r="L5" s="4">
        <v>10.9</v>
      </c>
      <c r="M5" s="4">
        <v>8.0299999999999994</v>
      </c>
      <c r="N5" t="s">
        <v>550</v>
      </c>
      <c r="O5" s="3">
        <v>1</v>
      </c>
      <c r="P5" t="s">
        <v>551</v>
      </c>
      <c r="R5" s="3">
        <v>4.4999999999999998E-2</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4.76</v>
      </c>
      <c r="K10" s="5">
        <f t="shared" ref="K10:K15" si="2">(J10/C10-1)*100</f>
        <v>4.3859649122807154</v>
      </c>
      <c r="L10" s="4">
        <v>4.88</v>
      </c>
      <c r="M10" s="4">
        <v>3.21</v>
      </c>
      <c r="N10" t="s">
        <v>526</v>
      </c>
      <c r="O10" s="3">
        <v>1</v>
      </c>
      <c r="P10" t="s">
        <v>527</v>
      </c>
      <c r="Q10" t="s">
        <v>528</v>
      </c>
      <c r="R10" s="3">
        <v>7.0999999999999994E-2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3.87</v>
      </c>
      <c r="K11" s="5">
        <f t="shared" si="2"/>
        <v>-1.7766497461928932</v>
      </c>
      <c r="L11" s="4">
        <v>4.3600000000000003</v>
      </c>
      <c r="M11" s="4">
        <v>3.45</v>
      </c>
      <c r="N11" t="s">
        <v>511</v>
      </c>
      <c r="O11" s="3">
        <v>1</v>
      </c>
      <c r="P11" t="s">
        <v>512</v>
      </c>
      <c r="Q11" t="s">
        <v>513</v>
      </c>
      <c r="R11" s="3">
        <v>4.9000000000000002E-2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9.14</v>
      </c>
      <c r="K18" s="5">
        <f t="shared" si="3"/>
        <v>6.0324825986079134</v>
      </c>
      <c r="L18" s="4">
        <v>9.2799999999999994</v>
      </c>
      <c r="M18" s="4">
        <v>6.16</v>
      </c>
      <c r="N18" t="s">
        <v>490</v>
      </c>
      <c r="O18" s="3">
        <v>0.22900000000000001</v>
      </c>
      <c r="P18" t="s">
        <v>469</v>
      </c>
      <c r="Q18" t="s">
        <v>444</v>
      </c>
      <c r="R18" s="3">
        <v>6.3E-2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3.19</v>
      </c>
      <c r="K19" s="5">
        <f t="shared" si="3"/>
        <v>3.9087947882736174</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3.86</v>
      </c>
      <c r="K20" s="5">
        <f t="shared" si="3"/>
        <v>6.0439560439560447</v>
      </c>
      <c r="L20" s="4">
        <v>4.03</v>
      </c>
      <c r="M20" s="4">
        <v>3.17</v>
      </c>
      <c r="N20" t="s">
        <v>492</v>
      </c>
      <c r="O20" s="3">
        <v>0</v>
      </c>
      <c r="P20" t="s">
        <v>133</v>
      </c>
      <c r="Q20" t="s">
        <v>436</v>
      </c>
      <c r="R20" s="3">
        <v>4.9000000000000002E-2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COUNTA(Trades!$A$6:A1048576)</f>
        <v>197</v>
      </c>
      <c r="D2">
        <f>COUNTIF(Trades!$J$6:J901,"&gt;0")</f>
        <v>119</v>
      </c>
      <c r="E2">
        <f>AVERAGEIF(Trades!$J$6:J901,"&gt;0")*100</f>
        <v>49.104074085948362</v>
      </c>
      <c r="F2">
        <f>C2-D2</f>
        <v>78</v>
      </c>
      <c r="G2">
        <f>AVERAGEIF(Trades!$J$6:J901,"&lt;0")*100</f>
        <v>-14.016336052477646</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9"/>
  <sheetViews>
    <sheetView topLeftCell="A1367" workbookViewId="0">
      <selection activeCell="A1399" sqref="A139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C1399" s="2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tabSelected="1" zoomScaleNormal="100" workbookViewId="0">
      <selection activeCell="G19" sqref="G19"/>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532</v>
      </c>
      <c r="B2" t="s">
        <v>554</v>
      </c>
      <c r="C2" t="s">
        <v>335</v>
      </c>
      <c r="D2" s="14">
        <v>46069</v>
      </c>
      <c r="E2" s="15">
        <v>5.1100000000000003</v>
      </c>
      <c r="F2" s="14">
        <v>46075</v>
      </c>
      <c r="G2" s="4">
        <v>5.09</v>
      </c>
      <c r="H2" s="3">
        <f t="shared" ref="H2:H5" si="0">G2/E2-1</f>
        <v>-3.9138943248533398E-3</v>
      </c>
      <c r="I2">
        <f t="shared" ref="I2:I5" si="1">K2*E2*J2</f>
        <v>-802.55254000001514</v>
      </c>
      <c r="J2" s="3">
        <f t="shared" ref="J2:J5" si="2">H2-0.002</f>
        <v>-5.9138943248533398E-3</v>
      </c>
      <c r="K2" s="15">
        <v>26557</v>
      </c>
      <c r="M2" s="4"/>
      <c r="N2" s="24"/>
      <c r="O2" s="15"/>
    </row>
    <row r="3" spans="1:30" x14ac:dyDescent="0.25">
      <c r="A3" s="15" t="s">
        <v>154</v>
      </c>
      <c r="B3" t="s">
        <v>243</v>
      </c>
      <c r="C3" t="s">
        <v>335</v>
      </c>
      <c r="D3" s="14">
        <v>46069</v>
      </c>
      <c r="E3" s="15">
        <v>40.21</v>
      </c>
      <c r="F3" s="14">
        <v>46075</v>
      </c>
      <c r="G3" s="4">
        <v>40.700000000000003</v>
      </c>
      <c r="H3" s="3">
        <f t="shared" si="0"/>
        <v>1.2186023377269484E-2</v>
      </c>
      <c r="I3">
        <f t="shared" si="1"/>
        <v>1351.2044200000196</v>
      </c>
      <c r="J3" s="3">
        <f t="shared" si="2"/>
        <v>1.0186023377269484E-2</v>
      </c>
      <c r="K3" s="15">
        <v>3299</v>
      </c>
      <c r="M3" s="4"/>
      <c r="N3" s="24"/>
      <c r="O3" s="15"/>
    </row>
    <row r="4" spans="1:30" x14ac:dyDescent="0.25">
      <c r="A4" s="15" t="s">
        <v>104</v>
      </c>
      <c r="B4" t="s">
        <v>190</v>
      </c>
      <c r="C4" t="s">
        <v>335</v>
      </c>
      <c r="D4" s="14">
        <v>46069</v>
      </c>
      <c r="E4" s="15">
        <v>70.599999999999994</v>
      </c>
      <c r="F4" s="14">
        <v>46075</v>
      </c>
      <c r="G4" s="4">
        <v>70.8</v>
      </c>
      <c r="H4" s="3">
        <f t="shared" si="0"/>
        <v>2.8328611898016387E-3</v>
      </c>
      <c r="I4">
        <f t="shared" si="1"/>
        <v>113.1899999999917</v>
      </c>
      <c r="J4" s="3">
        <f t="shared" si="2"/>
        <v>8.3286118980163866E-4</v>
      </c>
      <c r="K4" s="15">
        <v>1925</v>
      </c>
      <c r="M4" s="4"/>
      <c r="N4" s="24"/>
      <c r="O4" s="15"/>
    </row>
    <row r="5" spans="1:30" x14ac:dyDescent="0.25">
      <c r="A5" s="15" t="s">
        <v>73</v>
      </c>
      <c r="B5" t="s">
        <v>206</v>
      </c>
      <c r="C5" t="s">
        <v>335</v>
      </c>
      <c r="D5" s="14">
        <v>46069</v>
      </c>
      <c r="E5" s="15">
        <v>10.41</v>
      </c>
      <c r="F5" s="14">
        <v>46075</v>
      </c>
      <c r="G5" s="4">
        <v>10.6</v>
      </c>
      <c r="H5" s="3">
        <f t="shared" si="0"/>
        <v>1.8251681075888593E-2</v>
      </c>
      <c r="I5">
        <f t="shared" si="1"/>
        <v>2190.373460000003</v>
      </c>
      <c r="J5" s="3">
        <f t="shared" si="2"/>
        <v>1.6251681075888591E-2</v>
      </c>
      <c r="K5" s="15">
        <v>12947</v>
      </c>
      <c r="M5" s="4"/>
      <c r="N5" s="24"/>
      <c r="O5" s="15"/>
    </row>
    <row r="6" spans="1:30" x14ac:dyDescent="0.25">
      <c r="A6" s="15" t="s">
        <v>86</v>
      </c>
      <c r="B6" t="s">
        <v>188</v>
      </c>
      <c r="C6" t="s">
        <v>335</v>
      </c>
      <c r="D6" s="14">
        <v>46049</v>
      </c>
      <c r="E6" s="15">
        <v>4.5599999999999996</v>
      </c>
      <c r="F6" s="14">
        <v>46075</v>
      </c>
      <c r="G6" s="4">
        <v>4.76</v>
      </c>
      <c r="H6" s="3">
        <f t="shared" ref="H6" si="3">G6/E6-1</f>
        <v>4.3859649122807154E-2</v>
      </c>
      <c r="I6">
        <f t="shared" ref="I6" si="4">K6*E6*J6</f>
        <v>5733.6534400000182</v>
      </c>
      <c r="J6" s="3">
        <f t="shared" ref="J6" si="5">H6-0.002</f>
        <v>4.1859649122807152E-2</v>
      </c>
      <c r="K6" s="15">
        <v>30038</v>
      </c>
      <c r="M6" s="4"/>
      <c r="N6" s="23"/>
      <c r="O6" s="17"/>
    </row>
    <row r="7" spans="1:30" x14ac:dyDescent="0.25">
      <c r="A7" s="15" t="s">
        <v>507</v>
      </c>
      <c r="B7" t="s">
        <v>508</v>
      </c>
      <c r="C7" t="s">
        <v>335</v>
      </c>
      <c r="D7" s="14">
        <v>46041</v>
      </c>
      <c r="E7" s="15">
        <v>3.93</v>
      </c>
      <c r="F7" s="14">
        <v>46075</v>
      </c>
      <c r="G7" s="4">
        <v>3.87</v>
      </c>
      <c r="H7" s="3">
        <f t="shared" ref="H7" si="6">G7/E7-1</f>
        <v>-1.5267175572519109E-2</v>
      </c>
      <c r="I7">
        <f t="shared" ref="I7" si="7">K7*E7*J7</f>
        <v>-2542.3070400000042</v>
      </c>
      <c r="J7" s="3">
        <f t="shared" ref="J7" si="8">H7-0.002</f>
        <v>-1.7267175572519111E-2</v>
      </c>
      <c r="K7" s="15">
        <v>37464</v>
      </c>
      <c r="M7" s="4"/>
      <c r="N7" s="23"/>
      <c r="O7" s="17"/>
    </row>
    <row r="8" spans="1:30" x14ac:dyDescent="0.25">
      <c r="A8" s="3" t="s">
        <v>135</v>
      </c>
      <c r="B8" t="s">
        <v>158</v>
      </c>
      <c r="C8" t="s">
        <v>335</v>
      </c>
      <c r="D8" s="2">
        <v>45793</v>
      </c>
      <c r="E8">
        <v>8.6199999999999992</v>
      </c>
      <c r="F8" s="14">
        <v>46075</v>
      </c>
      <c r="G8" s="4">
        <v>9.14</v>
      </c>
      <c r="H8" s="3">
        <f t="shared" ref="H8" si="9">G8/E8-1</f>
        <v>6.0324825986079134E-2</v>
      </c>
      <c r="I8">
        <f t="shared" ref="I8" si="10">K8*E8*J8</f>
        <v>7240.24676000003</v>
      </c>
      <c r="J8" s="3">
        <f t="shared" ref="J8" si="11">H8-0.002</f>
        <v>5.8324825986079132E-2</v>
      </c>
      <c r="K8">
        <v>14401</v>
      </c>
      <c r="M8" s="4"/>
      <c r="N8" s="23"/>
      <c r="O8" s="17"/>
    </row>
    <row r="9" spans="1:30" x14ac:dyDescent="0.25">
      <c r="A9" s="3" t="s">
        <v>80</v>
      </c>
      <c r="B9" t="s">
        <v>131</v>
      </c>
      <c r="C9" t="s">
        <v>335</v>
      </c>
      <c r="D9" s="2">
        <v>45786</v>
      </c>
      <c r="E9">
        <v>3.07</v>
      </c>
      <c r="F9" s="14">
        <v>46075</v>
      </c>
      <c r="G9" s="4">
        <v>3.19</v>
      </c>
      <c r="H9" s="3">
        <f t="shared" ref="H9:H13" si="12">G9/E9-1</f>
        <v>3.9087947882736174E-2</v>
      </c>
      <c r="I9">
        <f t="shared" ref="I9:I13" si="13">K9*E9*J9</f>
        <v>4386.7980800000014</v>
      </c>
      <c r="J9" s="3">
        <f t="shared" ref="J9:J13" si="14">H9-0.002</f>
        <v>3.7087947882736172E-2</v>
      </c>
      <c r="K9">
        <v>38528</v>
      </c>
      <c r="M9" s="4"/>
      <c r="N9" s="4"/>
      <c r="P9" s="11"/>
      <c r="Q9" s="13"/>
      <c r="R9" s="2"/>
      <c r="T9" s="3"/>
      <c r="V9" s="3"/>
      <c r="AA9" s="3"/>
      <c r="AB9" s="3"/>
      <c r="AC9" s="3"/>
      <c r="AD9" s="3"/>
    </row>
    <row r="10" spans="1:30" x14ac:dyDescent="0.25">
      <c r="A10" s="3" t="s">
        <v>81</v>
      </c>
      <c r="B10" t="s">
        <v>132</v>
      </c>
      <c r="C10" t="s">
        <v>335</v>
      </c>
      <c r="D10" s="2">
        <v>45786</v>
      </c>
      <c r="E10">
        <v>3.64</v>
      </c>
      <c r="F10" s="14">
        <v>46075</v>
      </c>
      <c r="G10" s="4">
        <v>3.86</v>
      </c>
      <c r="H10" s="3">
        <f t="shared" si="12"/>
        <v>6.0439560439560447E-2</v>
      </c>
      <c r="I10">
        <f t="shared" si="13"/>
        <v>7009.1240000000007</v>
      </c>
      <c r="J10" s="3">
        <f t="shared" si="14"/>
        <v>5.8439560439560445E-2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46075</v>
      </c>
      <c r="G11" s="4">
        <v>5.1100000000000003</v>
      </c>
      <c r="H11" s="3">
        <f t="shared" si="12"/>
        <v>0.38237528323814529</v>
      </c>
      <c r="I11">
        <f t="shared" si="13"/>
        <v>42335.389571152024</v>
      </c>
      <c r="J11" s="3">
        <f t="shared" si="14"/>
        <v>0.38037528323814529</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46075</v>
      </c>
      <c r="G12" s="4">
        <v>7.06</v>
      </c>
      <c r="H12" s="3">
        <f t="shared" si="12"/>
        <v>0.26321635639734975</v>
      </c>
      <c r="I12">
        <f t="shared" si="13"/>
        <v>28611.398178031985</v>
      </c>
      <c r="J12" s="3">
        <f t="shared" si="14"/>
        <v>0.26121635639734975</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46075</v>
      </c>
      <c r="G13" s="4">
        <v>2.76</v>
      </c>
      <c r="H13" s="3">
        <f t="shared" si="12"/>
        <v>0.24944827352052412</v>
      </c>
      <c r="I13">
        <f t="shared" si="13"/>
        <v>27032.451657749989</v>
      </c>
      <c r="J13" s="3">
        <f t="shared" si="14"/>
        <v>0.24744827352052412</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5">G14/E14-1</f>
        <v>-6.1135371179039333E-2</v>
      </c>
      <c r="I14">
        <f t="shared" ref="I14:I17" si="16">K14*E14*J14</f>
        <v>-9570.0393600000043</v>
      </c>
      <c r="J14" s="3">
        <f t="shared" ref="J14:J17" si="17">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5"/>
        <v>-0.108108108108108</v>
      </c>
      <c r="I15">
        <f t="shared" si="16"/>
        <v>-12860.477279999988</v>
      </c>
      <c r="J15" s="3">
        <f t="shared" si="17"/>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5"/>
        <v>0.19540229885057481</v>
      </c>
      <c r="I16">
        <f t="shared" si="16"/>
        <v>22599.00060000001</v>
      </c>
      <c r="J16" s="3">
        <f t="shared" si="17"/>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5"/>
        <v>1.1615221936362374</v>
      </c>
      <c r="I17">
        <f t="shared" si="16"/>
        <v>134405.02530719998</v>
      </c>
      <c r="J17" s="3">
        <f t="shared" si="17"/>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8">G18/E18-1</f>
        <v>-0.1452830188679245</v>
      </c>
      <c r="I18">
        <f t="shared" ref="I18" si="19">K18*E18*J18</f>
        <v>-19564.958399999992</v>
      </c>
      <c r="J18" s="3">
        <f t="shared" ref="J18" si="20">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21">G19/E19-1</f>
        <v>-0.11739130434782608</v>
      </c>
      <c r="I19">
        <f t="shared" ref="I19:I20" si="22">K19*E19*J19</f>
        <v>-14236.362399999998</v>
      </c>
      <c r="J19" s="3">
        <f t="shared" ref="J19:J20" si="23">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21"/>
        <v>0.16887177320451263</v>
      </c>
      <c r="I20">
        <f t="shared" si="22"/>
        <v>19930.170304775987</v>
      </c>
      <c r="J20" s="3">
        <f t="shared" si="23"/>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4">G21/E21-1</f>
        <v>-0.18285714285714294</v>
      </c>
      <c r="I21">
        <f>K21*E21*J21</f>
        <v>-21594.272000000008</v>
      </c>
      <c r="J21" s="3">
        <f t="shared" ref="J21" si="25">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5"/>
  <sheetViews>
    <sheetView topLeftCell="A1361" workbookViewId="0">
      <selection activeCell="H1395" sqref="H139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5"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2026-02-28T00:15:13Z</dcterms:modified>
</cp:coreProperties>
</file>