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A69FE21B-B48F-4FB4-9C03-3A3B47495822}"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2" i="5" l="1"/>
  <c r="E1352" i="5" s="1"/>
  <c r="H1351" i="8"/>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C2" i="4"/>
  <c r="K4" i="3"/>
  <c r="K5" i="3"/>
  <c r="K6" i="3"/>
  <c r="K7" i="3"/>
  <c r="K2" i="3"/>
  <c r="D1344" i="5"/>
  <c r="E1344" i="5" s="1"/>
  <c r="A1344" i="5"/>
  <c r="D1343" i="5"/>
  <c r="E1343" i="5" s="1"/>
  <c r="H14" i="6"/>
  <c r="J14" i="6"/>
  <c r="I14" i="6" s="1"/>
  <c r="H2" i="6"/>
  <c r="J2" i="6" s="1"/>
  <c r="I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3" i="6" l="1"/>
  <c r="E2" i="4"/>
  <c r="G2" i="4"/>
  <c r="D2" i="4"/>
  <c r="F2" i="4" s="1"/>
</calcChain>
</file>

<file path=xl/sharedStrings.xml><?xml version="1.0" encoding="utf-8"?>
<sst xmlns="http://schemas.openxmlformats.org/spreadsheetml/2006/main" count="1033" uniqueCount="509">
  <si>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</si>
  <si>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</si>
  <si>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</si>
  <si>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</si>
  <si>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</si>
  <si>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</si>
  <si>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</si>
  <si>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</si>
  <si>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</si>
  <si>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</si>
  <si>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</si>
  <si>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</si>
  <si>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</si>
  <si>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</si>
  <si>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</si>
  <si>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</si>
  <si>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</si>
  <si>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</si>
  <si>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</si>
  <si>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</si>
  <si>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</si>
  <si>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</si>
  <si>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</si>
  <si>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</si>
  <si>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</si>
  <si>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</si>
  <si>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</si>
  <si>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</si>
  <si>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</si>
  <si>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</si>
  <si>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</si>
  <si>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</si>
  <si>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</si>
  <si>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</si>
  <si>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</si>
  <si>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</si>
  <si>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</si>
  <si>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</si>
  <si>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</si>
  <si>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</si>
  <si>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</si>
  <si>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</si>
  <si>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</si>
  <si>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</si>
  <si>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</si>
  <si>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</si>
  <si>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</si>
  <si>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</si>
  <si>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</si>
  <si>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</si>
  <si>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</si>
  <si>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</si>
  <si>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</si>
  <si>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</si>
  <si>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</si>
  <si>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</si>
  <si>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</si>
  <si>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</si>
  <si>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</si>
  <si>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</si>
  <si>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</si>
  <si>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</si>
  <si>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</si>
  <si>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</si>
  <si>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</si>
  <si>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</si>
  <si>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</si>
  <si>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</si>
  <si>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</si>
  <si>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</si>
  <si>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</si>
  <si>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</si>
  <si>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</si>
  <si>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</si>
  <si>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</si>
  <si>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</si>
  <si>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</si>
  <si>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</si>
  <si>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</si>
  <si>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</si>
  <si>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</si>
  <si>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</si>
  <si>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</si>
  <si>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</si>
  <si>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</si>
  <si>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</si>
  <si>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</si>
  <si>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</si>
  <si>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</si>
  <si>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</si>
  <si>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</si>
  <si>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</si>
  <si>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</si>
  <si>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</si>
  <si>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</si>
  <si>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</si>
  <si>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</si>
  <si>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</si>
  <si>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</si>
  <si>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</si>
  <si>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</si>
  <si>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</si>
  <si>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</si>
  <si>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</si>
  <si>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</si>
  <si>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</si>
  <si>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</si>
  <si>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</si>
  <si>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</si>
  <si>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</si>
  <si>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</si>
  <si>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</si>
  <si>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</si>
  <si>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</si>
  <si>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</si>
  <si>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</si>
  <si>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</si>
  <si>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</si>
  <si>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</si>
  <si>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</si>
  <si>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</si>
  <si>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</si>
  <si>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</si>
  <si>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</si>
  <si>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</si>
  <si>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</si>
  <si>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</si>
  <si>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</si>
  <si>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</si>
  <si>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</si>
  <si>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</si>
  <si>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</si>
  <si>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</si>
  <si>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</si>
  <si>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</si>
  <si>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</si>
  <si>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</si>
  <si>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</si>
  <si>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</si>
  <si>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</si>
  <si>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</si>
  <si>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</si>
  <si>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</si>
  <si>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</si>
  <si>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</si>
  <si>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</si>
  <si>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</si>
  <si>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</si>
  <si>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</si>
  <si>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</si>
  <si>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</si>
  <si>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</si>
  <si>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</si>
  <si>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</si>
  <si>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</si>
  <si>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</si>
  <si>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</si>
  <si>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</si>
  <si>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</si>
  <si>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</si>
  <si>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</si>
  <si>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</si>
  <si>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</si>
  <si>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</si>
  <si>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</si>
  <si>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</si>
  <si>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</si>
  <si>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</si>
  <si>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</si>
  <si>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</si>
  <si>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</si>
  <si>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</si>
  <si>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</si>
  <si>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</si>
  <si>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</si>
  <si>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</si>
  <si>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</si>
  <si>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</si>
  <si>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</si>
  <si>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</si>
  <si>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</si>
  <si>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</si>
  <si>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</si>
  <si>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</si>
  <si>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</si>
  <si>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</si>
  <si>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</si>
  <si>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</si>
  <si>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</si>
  <si>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</si>
  <si>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</si>
  <si>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</si>
  <si>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</si>
  <si>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</si>
  <si>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</si>
  <si>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</si>
  <si>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</si>
  <si>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</si>
  <si>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</si>
  <si>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</si>
  <si>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</si>
  <si>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</si>
  <si>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</si>
  <si>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</si>
  <si>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</si>
  <si>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</si>
  <si>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</si>
  <si>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</si>
  <si>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</si>
  <si>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</si>
  <si>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</si>
  <si>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</si>
  <si>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</si>
  <si>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</si>
  <si>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</si>
  <si>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</si>
  <si>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</si>
  <si>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</si>
  <si>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</si>
  <si>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</si>
  <si>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</si>
  <si>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</si>
  <si>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</si>
  <si>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</si>
  <si>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</si>
  <si>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</si>
  <si>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</si>
  <si>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</si>
  <si>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</si>
  <si>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</si>
  <si>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</si>
  <si>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</si>
  <si>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</si>
  <si>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</si>
  <si>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</si>
  <si>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</si>
  <si>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</si>
  <si>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</si>
  <si>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</si>
  <si>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</si>
  <si>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</si>
  <si>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</si>
  <si>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</si>
  <si>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</si>
  <si>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</si>
  <si>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</si>
  <si>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</si>
  <si>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</si>
  <si>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</si>
  <si>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</si>
  <si>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</si>
  <si>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</si>
  <si>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</si>
  <si>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</si>
  <si>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</si>
  <si>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</si>
  <si>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</si>
  <si>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</si>
  <si>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</si>
  <si>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</si>
  <si>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</si>
  <si>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</si>
  <si>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</si>
  <si>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</si>
  <si>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</si>
  <si>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</si>
  <si>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</si>
  <si>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</si>
  <si>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</si>
  <si>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</si>
  <si>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</si>
  <si>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</si>
  <si>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</si>
  <si>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</si>
  <si>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</si>
  <si>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</si>
  <si>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</si>
  <si>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</si>
  <si>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</si>
  <si>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</si>
  <si>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</si>
  <si>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</si>
  <si>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</si>
  <si>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</si>
  <si>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</si>
  <si>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</si>
  <si>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</si>
  <si>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</si>
  <si>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</si>
  <si>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</si>
  <si>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</si>
  <si>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</si>
  <si>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</si>
  <si>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</si>
  <si>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</si>
  <si>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</si>
  <si>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</si>
  <si>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</si>
  <si>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</si>
  <si>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</si>
  <si>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</si>
  <si>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</si>
  <si>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</si>
  <si>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</si>
  <si>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</si>
  <si>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</si>
  <si>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</si>
  <si>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</si>
  <si>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</si>
  <si>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</si>
  <si>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</si>
  <si>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</si>
  <si>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</si>
  <si>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</si>
  <si>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</si>
  <si>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</si>
  <si>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</si>
  <si>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</si>
  <si>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</si>
  <si>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</si>
  <si>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</si>
  <si>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</si>
  <si>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</si>
  <si>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</si>
  <si>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</si>
  <si>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</si>
  <si>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</si>
  <si>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</si>
  <si>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</si>
  <si>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</si>
  <si>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</si>
  <si>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</si>
  <si>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</si>
  <si>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</si>
  <si>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</si>
  <si>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</si>
  <si>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</si>
  <si>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</si>
  <si>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</si>
  <si>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</si>
  <si>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</si>
  <si>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</si>
  <si>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</si>
  <si>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</si>
  <si>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</si>
  <si>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</si>
  <si>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</si>
  <si>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</si>
  <si>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</si>
  <si>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</si>
  <si>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</si>
  <si>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</si>
  <si>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</si>
  <si>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</si>
  <si>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</si>
  <si>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</si>
  <si>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</si>
  <si>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</si>
  <si>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</si>
  <si>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</si>
  <si>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</si>
  <si>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</si>
  <si>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</si>
  <si>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</si>
  <si>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</si>
  <si>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</si>
  <si>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</si>
  <si>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</si>
  <si>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</si>
  <si>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</si>
  <si>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</si>
  <si>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</si>
  <si>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</si>
  <si>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</si>
  <si>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</si>
  <si>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</si>
  <si>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</si>
  <si>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</si>
  <si>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</si>
  <si>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</si>
  <si>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</si>
  <si>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</si>
  <si>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</si>
  <si>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</si>
  <si>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</si>
  <si>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</si>
  <si>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</si>
  <si>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</si>
  <si>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</si>
  <si>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</si>
  <si>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</si>
  <si>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</si>
  <si>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</si>
  <si>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</si>
  <si>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</si>
  <si>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</si>
  <si>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</si>
  <si>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</si>
  <si>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</si>
  <si>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</si>
  <si>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</si>
  <si>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</si>
  <si>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</si>
  <si>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</si>
  <si>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</si>
  <si>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</si>
  <si>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</si>
  <si>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</si>
  <si>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</si>
  <si>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</si>
  <si>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</si>
  <si>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</si>
  <si>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</si>
  <si>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</si>
  <si>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</si>
  <si>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</si>
  <si>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</si>
  <si>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</si>
  <si>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</si>
  <si>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</si>
  <si>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</si>
  <si>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</si>
  <si>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</si>
  <si>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</si>
  <si>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</si>
  <si>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</si>
  <si>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</si>
  <si>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</si>
  <si>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</si>
  <si>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</si>
  <si>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</si>
  <si>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</si>
  <si>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</si>
  <si>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</si>
  <si>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</si>
  <si>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</si>
  <si>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</si>
  <si>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</si>
  <si>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</si>
  <si>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</si>
  <si>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</si>
  <si>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</si>
  <si>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</si>
  <si>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</si>
  <si>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</si>
  <si>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</si>
  <si>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$2.1B</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</si>
  <si>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</si>
  <si>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</si>
  <si>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</si>
  <si>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</si>
  <si>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</si>
  <si>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</si>
  <si>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</si>
  <si>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</si>
  <si>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</si>
  <si>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</si>
  <si>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</si>
  <si>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</si>
  <si>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</si>
  <si>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</si>
  <si>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</si>
  <si>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</si>
  <si>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</si>
  <si>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</si>
  <si>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</si>
  <si>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</si>
  <si>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</si>
  <si>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</si>
  <si>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</si>
  <si>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</si>
  <si>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</si>
  <si>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</si>
  <si>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</si>
  <si>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</si>
  <si>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</si>
  <si>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</si>
  <si>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</si>
  <si>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</si>
  <si>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</si>
  <si>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</si>
  <si>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</si>
  <si>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0.7x</t>
  </si>
  <si>
    <t>27.7x</t>
  </si>
  <si>
    <t>$-439.6M</t>
  </si>
  <si>
    <t>$-162.6M</t>
  </si>
  <si>
    <t>$11.7B</t>
  </si>
  <si>
    <t>$2.2B</t>
  </si>
  <si>
    <t>$9.2B</t>
  </si>
  <si>
    <t>69.1x</t>
  </si>
  <si>
    <t>$4.2B</t>
  </si>
  <si>
    <t>1.6x</t>
  </si>
  <si>
    <t>$2.7B</t>
  </si>
  <si>
    <t>13.1x</t>
  </si>
  <si>
    <t>$7.7B</t>
  </si>
  <si>
    <t>52.5x</t>
  </si>
  <si>
    <t>$1.7B</t>
  </si>
  <si>
    <t>5.4x</t>
  </si>
  <si>
    <t>41.5x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</si>
  <si>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</si>
  <si>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32.8x</t>
  </si>
  <si>
    <t>$13.2B</t>
  </si>
  <si>
    <t>354.0x</t>
  </si>
  <si>
    <t>$55.6B</t>
  </si>
  <si>
    <t>42.3x</t>
  </si>
  <si>
    <t>$4.7B</t>
  </si>
  <si>
    <t>2.9x</t>
  </si>
  <si>
    <t>8.5x</t>
  </si>
  <si>
    <t>30.5x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</si>
</sst>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0.000%"/>
    <numFmt numFmtId="165"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B19" sqref="B19"/>
    </sheetView>
  </sheetViews>
  <sheetFormatPr defaultRowHeight="15" x14ac:dyDescent="0.25"/>
  <cols>
    <col min="1" max="1" width="35.42578125" customWidth="1"/>
    <col min="2" max="2" width="12.7109375" bestFit="1" customWidth="1"/>
  </cols>
  <sheetData>
    <row r="1" spans="1:2" x14ac:dyDescent="0.25">
      <c r="B1" s="9" t="s">
        <v>431</v>
      </c>
    </row>
    <row r="2" spans="1:2" x14ac:dyDescent="0.25">
      <c r="A2" t="s">
        <v>432</v>
      </c>
      <c r="B2" s="9" t="s">
        <v>440</v>
      </c>
    </row>
    <row r="3" spans="1:2" x14ac:dyDescent="0.25">
      <c r="A3" t="s">
        <v>433</v>
      </c>
      <c r="B3" s="9">
        <v>12</v>
      </c>
    </row>
    <row r="4" spans="1:2" x14ac:dyDescent="0.25">
      <c r="A4" t="s">
        <v>434</v>
      </c>
      <c r="B4" s="9" t="s">
        <v>441</v>
      </c>
    </row>
    <row r="5" spans="1:2" x14ac:dyDescent="0.25">
      <c r="A5" t="s">
        <v>435</v>
      </c>
      <c r="B5" s="9" t="s">
        <v>442</v>
      </c>
    </row>
    <row r="6" spans="1:2" x14ac:dyDescent="0.25">
      <c r="A6" t="s">
        <v>436</v>
      </c>
      <c r="B6" s="9" t="s">
        <v>443</v>
      </c>
    </row>
    <row r="7" spans="1:2" x14ac:dyDescent="0.25">
      <c r="A7" t="s">
        <v>437</v>
      </c>
      <c r="B7" s="9">
        <v>1.26</v>
      </c>
    </row>
    <row r="8" spans="1:2" x14ac:dyDescent="0.25">
      <c r="A8" t="s">
        <v>438</v>
      </c>
      <c r="B8" s="9" t="s">
        <v>444</v>
      </c>
    </row>
    <row r="9" spans="1:2" x14ac:dyDescent="0.25">
      <c r="A9" t="s">
        <v>439</v>
      </c>
      <c r="B9" s="9" t="s">
        <v>445</v>
      </c>
    </row>
    <row r="10" spans="1:2" x14ac:dyDescent="0.25">
      <c r="A10" t="s">
        <v>453</v>
      </c>
      <c r="B10" s="9" t="s">
        <v>454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D21" sqref="D21"/>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479</v>
      </c>
      <c r="E1" s="1" t="s">
        <v>3</v>
      </c>
      <c r="F1" s="1" t="s">
        <v>480</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159</v>
      </c>
      <c r="B2" t="s">
        <v>344</v>
      </c>
      <c r="C2" t="s">
        <v>160</v>
      </c>
      <c r="D2">
        <v>8.6199999999999992</v>
      </c>
      <c r="E2" s="4">
        <v>8.84</v>
      </c>
      <c r="F2">
        <f t="shared" ref="F2:F13" si="0">(E2/D2-1)*100</f>
        <v>2.5522041763341052</v>
      </c>
      <c r="G2">
        <v>6.3472166061401296</v>
      </c>
      <c r="H2" s="4">
        <v>9.02</v>
      </c>
      <c r="I2" s="4">
        <v>6.15</v>
      </c>
      <c r="J2" t="s">
        <v>486</v>
      </c>
      <c r="K2" s="3">
        <v>0.216</v>
      </c>
      <c r="L2" t="s">
        <v>161</v>
      </c>
      <c r="M2" t="s">
        <v>458</v>
      </c>
      <c r="N2" s="3">
        <v>6.5000000000000002E-2</v>
      </c>
      <c r="O2" t="s">
        <v>481</v>
      </c>
      <c r="Q2" t="s">
        <v>459</v>
      </c>
      <c r="R2" s="3">
        <v>5.2539999999999996</v>
      </c>
      <c r="S2" s="3">
        <v>1.6E-2</v>
      </c>
      <c r="T2" t="s">
        <v>460</v>
      </c>
      <c r="U2" s="3">
        <v>4.1000000000000002E-2</v>
      </c>
      <c r="V2" s="3">
        <v>5.5E-2</v>
      </c>
      <c r="W2" s="3">
        <v>-0.26900000000000002</v>
      </c>
      <c r="X2" s="3">
        <v>3.3000000000000002E-2</v>
      </c>
    </row>
    <row r="3" spans="1:24" x14ac:dyDescent="0.25">
      <c r="A3" t="s">
        <v>131</v>
      </c>
      <c r="B3" t="s">
        <v>345</v>
      </c>
      <c r="C3" t="s">
        <v>34</v>
      </c>
      <c r="D3">
        <v>3.07</v>
      </c>
      <c r="E3" s="4">
        <v>3.53</v>
      </c>
      <c r="F3">
        <f t="shared" si="0"/>
        <v>14.983713355048867</v>
      </c>
      <c r="G3">
        <v>2.7442634105682302</v>
      </c>
      <c r="H3" s="4">
        <v>3.55</v>
      </c>
      <c r="I3" s="4">
        <v>2.71</v>
      </c>
      <c r="J3" t="s">
        <v>487</v>
      </c>
      <c r="K3" s="3">
        <v>0</v>
      </c>
      <c r="L3" t="s">
        <v>132</v>
      </c>
      <c r="M3" t="s">
        <v>447</v>
      </c>
      <c r="N3" s="3">
        <v>4.5999999999999999E-2</v>
      </c>
      <c r="O3" t="s">
        <v>450</v>
      </c>
      <c r="Q3" t="s">
        <v>448</v>
      </c>
      <c r="R3" s="3">
        <v>0.54600000000000004</v>
      </c>
      <c r="S3" s="3">
        <v>2E-3</v>
      </c>
      <c r="T3" t="s">
        <v>449</v>
      </c>
      <c r="U3" s="3">
        <v>0.56999999999999995</v>
      </c>
      <c r="V3" s="3">
        <v>4.7E-2</v>
      </c>
      <c r="W3" s="3">
        <v>-0.29499999999999998</v>
      </c>
      <c r="X3" s="3">
        <v>5.3999999999999999E-2</v>
      </c>
    </row>
    <row r="4" spans="1:24" x14ac:dyDescent="0.25">
      <c r="A4" t="s">
        <v>428</v>
      </c>
      <c r="B4" t="s">
        <v>346</v>
      </c>
      <c r="C4" t="s">
        <v>34</v>
      </c>
      <c r="D4">
        <v>3.64</v>
      </c>
      <c r="E4" s="4">
        <v>3.72</v>
      </c>
      <c r="F4">
        <f t="shared" si="0"/>
        <v>2.19780219780219</v>
      </c>
      <c r="G4">
        <v>3.2423439025878902</v>
      </c>
      <c r="H4" s="4">
        <v>3.76</v>
      </c>
      <c r="I4" s="4">
        <v>3.1</v>
      </c>
      <c r="J4" t="s">
        <v>492</v>
      </c>
      <c r="K4" s="3">
        <v>0</v>
      </c>
      <c r="L4" t="s">
        <v>134</v>
      </c>
      <c r="M4" t="s">
        <v>450</v>
      </c>
      <c r="N4" s="3">
        <v>0.05</v>
      </c>
      <c r="O4" t="s">
        <v>493</v>
      </c>
      <c r="Q4" t="s">
        <v>451</v>
      </c>
      <c r="R4" s="3">
        <v>0.28499999999999998</v>
      </c>
      <c r="S4" s="3">
        <v>3.0000000000000001E-3</v>
      </c>
      <c r="T4" t="s">
        <v>452</v>
      </c>
      <c r="U4" s="3">
        <v>1.306</v>
      </c>
      <c r="V4" s="3">
        <v>9.8000000000000004E-2</v>
      </c>
      <c r="W4" s="3">
        <v>-0.21099999999999999</v>
      </c>
      <c r="X4" s="3">
        <v>9.6000000000000002E-2</v>
      </c>
    </row>
    <row r="5" spans="1:24" x14ac:dyDescent="0.25">
      <c r="A5" t="s">
        <v>135</v>
      </c>
      <c r="B5" t="s">
        <v>347</v>
      </c>
      <c r="C5" t="s">
        <v>22</v>
      </c>
      <c r="D5">
        <v>5.18</v>
      </c>
      <c r="E5" s="4">
        <v>5.24</v>
      </c>
      <c r="F5">
        <f t="shared" si="0"/>
        <v>1.1583011583011782</v>
      </c>
      <c r="G5">
        <v>4.6287302970886204</v>
      </c>
      <c r="H5" s="4">
        <v>5.54</v>
      </c>
      <c r="I5" s="4">
        <v>4.33</v>
      </c>
      <c r="J5" t="s">
        <v>494</v>
      </c>
      <c r="K5" s="3">
        <v>0</v>
      </c>
      <c r="L5" t="s">
        <v>46</v>
      </c>
      <c r="M5" t="s">
        <v>476</v>
      </c>
      <c r="N5" s="3">
        <v>7.5999999999999998E-2</v>
      </c>
      <c r="O5" t="s">
        <v>495</v>
      </c>
      <c r="Q5" t="s">
        <v>477</v>
      </c>
      <c r="R5" s="3">
        <v>0.27800000000000002</v>
      </c>
      <c r="S5" s="3">
        <v>2.4E-2</v>
      </c>
      <c r="T5" t="s">
        <v>47</v>
      </c>
      <c r="U5" s="3">
        <v>1.524</v>
      </c>
      <c r="V5" s="3">
        <v>0.13200000000000001</v>
      </c>
      <c r="W5" s="3">
        <v>0.06</v>
      </c>
      <c r="X5" s="3">
        <v>3.7999999999999999E-2</v>
      </c>
    </row>
    <row r="6" spans="1:24" x14ac:dyDescent="0.25">
      <c r="A6" t="s">
        <v>174</v>
      </c>
      <c r="B6" t="s">
        <v>461</v>
      </c>
      <c r="C6" t="s">
        <v>26</v>
      </c>
      <c r="D6" s="15">
        <v>11.05</v>
      </c>
      <c r="E6" s="4">
        <v>9.8800000000000008</v>
      </c>
      <c r="F6">
        <f t="shared" si="0"/>
        <v>-10.588235294117643</v>
      </c>
      <c r="G6">
        <v>6.0230307579040501</v>
      </c>
      <c r="H6" s="4">
        <v>11.74</v>
      </c>
      <c r="I6" s="4">
        <v>6.02</v>
      </c>
      <c r="J6" t="s">
        <v>496</v>
      </c>
      <c r="K6" s="3">
        <v>1</v>
      </c>
      <c r="L6" t="s">
        <v>404</v>
      </c>
      <c r="M6" t="s">
        <v>427</v>
      </c>
      <c r="N6" s="3">
        <v>5.1999999999999998E-2</v>
      </c>
      <c r="O6" t="s">
        <v>497</v>
      </c>
      <c r="P6" t="s">
        <v>498</v>
      </c>
      <c r="Q6" t="s">
        <v>462</v>
      </c>
      <c r="R6" s="3">
        <v>5.0000000000000001E-3</v>
      </c>
      <c r="S6" s="3">
        <v>0.03</v>
      </c>
      <c r="T6" t="s">
        <v>463</v>
      </c>
      <c r="U6" s="3">
        <v>0.51700000000000002</v>
      </c>
      <c r="V6" s="3">
        <v>-0.16800000000000001</v>
      </c>
      <c r="W6" s="3">
        <v>-0.23499999999999999</v>
      </c>
      <c r="X6" s="3">
        <v>0.16300000000000001</v>
      </c>
    </row>
    <row r="7" spans="1:24" x14ac:dyDescent="0.25">
      <c r="A7" t="s">
        <v>35</v>
      </c>
      <c r="B7" t="s">
        <v>348</v>
      </c>
      <c r="C7" t="s">
        <v>34</v>
      </c>
      <c r="D7">
        <v>2.2999999999999998</v>
      </c>
      <c r="E7" s="4">
        <v>2.33</v>
      </c>
      <c r="F7">
        <f t="shared" si="0"/>
        <v>1.3043478260869712</v>
      </c>
      <c r="G7">
        <v>1.97433865070343</v>
      </c>
      <c r="H7" s="4">
        <v>2.42</v>
      </c>
      <c r="I7" s="4">
        <v>1.7749999999999999</v>
      </c>
      <c r="J7" t="s">
        <v>488</v>
      </c>
      <c r="K7" s="3">
        <v>0</v>
      </c>
      <c r="L7" t="s">
        <v>37</v>
      </c>
      <c r="M7" t="s">
        <v>464</v>
      </c>
      <c r="N7" s="3">
        <v>3.9E-2</v>
      </c>
      <c r="O7" t="s">
        <v>481</v>
      </c>
      <c r="P7" t="s">
        <v>489</v>
      </c>
      <c r="Q7" t="s">
        <v>465</v>
      </c>
      <c r="R7" s="3">
        <v>0.502</v>
      </c>
      <c r="S7" s="3">
        <v>0.01</v>
      </c>
      <c r="T7" t="s">
        <v>466</v>
      </c>
      <c r="U7" s="3">
        <v>2.8000000000000001E-2</v>
      </c>
      <c r="V7" s="3">
        <v>2.3E-2</v>
      </c>
      <c r="W7" s="3">
        <v>-0.57799999999999996</v>
      </c>
      <c r="X7" s="3">
        <v>7.0000000000000001E-3</v>
      </c>
    </row>
    <row r="8" spans="1:24" x14ac:dyDescent="0.25">
      <c r="A8" t="s">
        <v>30</v>
      </c>
      <c r="B8" t="s">
        <v>349</v>
      </c>
      <c r="C8" t="s">
        <v>22</v>
      </c>
      <c r="D8">
        <v>4.3499999999999996</v>
      </c>
      <c r="E8" s="4">
        <v>5.07</v>
      </c>
      <c r="F8">
        <f t="shared" si="0"/>
        <v>16.551724137931046</v>
      </c>
      <c r="G8">
        <v>3.7949135303497301</v>
      </c>
      <c r="H8" s="4">
        <v>5.51</v>
      </c>
      <c r="I8" s="4">
        <v>2.94</v>
      </c>
      <c r="J8" t="s">
        <v>490</v>
      </c>
      <c r="K8" s="3">
        <v>0.9</v>
      </c>
      <c r="L8" t="s">
        <v>499</v>
      </c>
      <c r="M8" t="s">
        <v>467</v>
      </c>
      <c r="N8" s="3">
        <v>4.2000000000000003E-2</v>
      </c>
      <c r="O8" t="s">
        <v>482</v>
      </c>
      <c r="P8" t="s">
        <v>500</v>
      </c>
      <c r="Q8" t="s">
        <v>468</v>
      </c>
      <c r="R8" s="3">
        <v>1.5249999999999999</v>
      </c>
      <c r="S8" s="3">
        <v>0.01</v>
      </c>
      <c r="T8" t="s">
        <v>32</v>
      </c>
      <c r="U8" s="3">
        <v>4.2000000000000003E-2</v>
      </c>
      <c r="V8" s="3">
        <v>0.10299999999999999</v>
      </c>
      <c r="X8" s="3">
        <v>0.42899999999999999</v>
      </c>
    </row>
    <row r="9" spans="1:24" x14ac:dyDescent="0.25">
      <c r="A9" t="s">
        <v>24</v>
      </c>
      <c r="B9" t="s">
        <v>350</v>
      </c>
      <c r="C9" t="s">
        <v>26</v>
      </c>
      <c r="D9" s="5">
        <v>3.91</v>
      </c>
      <c r="E9" s="4">
        <v>4.8899999999999997</v>
      </c>
      <c r="F9">
        <f t="shared" si="0"/>
        <v>25.063938618925818</v>
      </c>
      <c r="G9">
        <v>3.8008053302764799</v>
      </c>
      <c r="H9" s="4">
        <v>5.2</v>
      </c>
      <c r="I9" s="4">
        <v>3.4</v>
      </c>
      <c r="J9" t="s">
        <v>501</v>
      </c>
      <c r="K9" s="3">
        <v>1</v>
      </c>
      <c r="L9" t="s">
        <v>27</v>
      </c>
      <c r="M9" t="s">
        <v>483</v>
      </c>
      <c r="N9" s="3">
        <v>3.6999999999999998E-2</v>
      </c>
      <c r="O9" t="s">
        <v>491</v>
      </c>
      <c r="Q9" t="s">
        <v>484</v>
      </c>
      <c r="R9" s="3">
        <v>8.8999999999999996E-2</v>
      </c>
      <c r="T9" t="s">
        <v>485</v>
      </c>
      <c r="U9" s="3">
        <v>6.2E-2</v>
      </c>
      <c r="V9" s="3">
        <v>4.7E-2</v>
      </c>
      <c r="W9" s="3">
        <v>8.3000000000000004E-2</v>
      </c>
      <c r="X9" s="3">
        <v>0.216</v>
      </c>
    </row>
    <row r="10" spans="1:24" x14ac:dyDescent="0.25">
      <c r="A10" t="s">
        <v>162</v>
      </c>
      <c r="B10" t="s">
        <v>351</v>
      </c>
      <c r="C10" t="s">
        <v>22</v>
      </c>
      <c r="D10" s="5">
        <v>13.56</v>
      </c>
      <c r="E10" s="4">
        <v>21.86</v>
      </c>
      <c r="F10">
        <f t="shared" si="0"/>
        <v>61.20943952802358</v>
      </c>
      <c r="G10">
        <v>13.1129446029663</v>
      </c>
      <c r="H10" s="4">
        <v>22.01</v>
      </c>
      <c r="I10" s="4">
        <v>11.77</v>
      </c>
      <c r="J10" t="s">
        <v>446</v>
      </c>
      <c r="K10" s="3">
        <v>1</v>
      </c>
      <c r="L10" t="s">
        <v>380</v>
      </c>
      <c r="M10" t="s">
        <v>469</v>
      </c>
      <c r="N10" s="3">
        <v>3.3000000000000002E-2</v>
      </c>
      <c r="O10" t="s">
        <v>429</v>
      </c>
      <c r="P10" t="s">
        <v>502</v>
      </c>
      <c r="Q10" t="s">
        <v>470</v>
      </c>
      <c r="R10" s="3">
        <v>0.161</v>
      </c>
      <c r="S10" s="3">
        <v>1.6E-2</v>
      </c>
      <c r="T10" t="s">
        <v>471</v>
      </c>
      <c r="U10" s="3">
        <v>3.9E-2</v>
      </c>
      <c r="V10" s="3">
        <v>6.0999999999999999E-2</v>
      </c>
      <c r="W10" s="3">
        <v>0.155</v>
      </c>
      <c r="X10" s="3">
        <v>0.17399999999999999</v>
      </c>
    </row>
    <row r="11" spans="1:24" x14ac:dyDescent="0.25">
      <c r="A11" t="s">
        <v>163</v>
      </c>
      <c r="B11" t="s">
        <v>352</v>
      </c>
      <c r="C11" t="s">
        <v>29</v>
      </c>
      <c r="D11">
        <v>3.88</v>
      </c>
      <c r="E11" s="4">
        <v>4.83</v>
      </c>
      <c r="F11">
        <f t="shared" si="0"/>
        <v>24.484536082474229</v>
      </c>
      <c r="G11">
        <v>3.9335043430328298</v>
      </c>
      <c r="H11" s="4">
        <v>4.99</v>
      </c>
      <c r="I11" s="4">
        <v>3.62</v>
      </c>
      <c r="J11" t="s">
        <v>503</v>
      </c>
      <c r="K11" s="3">
        <v>1</v>
      </c>
      <c r="L11" t="s">
        <v>164</v>
      </c>
      <c r="M11" t="s">
        <v>472</v>
      </c>
      <c r="N11" s="3">
        <v>3.9E-2</v>
      </c>
      <c r="O11" t="s">
        <v>478</v>
      </c>
      <c r="P11" t="s">
        <v>504</v>
      </c>
      <c r="Q11" t="s">
        <v>456</v>
      </c>
      <c r="R11" s="3">
        <v>1.2949999999999999</v>
      </c>
      <c r="S11" s="3">
        <v>6.0000000000000001E-3</v>
      </c>
      <c r="T11" t="s">
        <v>457</v>
      </c>
      <c r="U11" s="3">
        <v>0.10100000000000001</v>
      </c>
      <c r="V11" s="3">
        <v>2.8000000000000001E-2</v>
      </c>
      <c r="W11" s="3">
        <v>9.5000000000000001E-2</v>
      </c>
      <c r="X11" s="3">
        <v>0.151</v>
      </c>
    </row>
    <row r="12" spans="1:24" x14ac:dyDescent="0.25">
      <c r="A12" t="s">
        <v>165</v>
      </c>
      <c r="B12" t="s">
        <v>353</v>
      </c>
      <c r="C12" t="s">
        <v>26</v>
      </c>
      <c r="D12">
        <v>6.06</v>
      </c>
      <c r="E12" s="4">
        <v>7.09</v>
      </c>
      <c r="F12">
        <f t="shared" si="0"/>
        <v>16.996699669966997</v>
      </c>
      <c r="G12">
        <v>6.0461215972900302</v>
      </c>
      <c r="H12" s="4">
        <v>8.16</v>
      </c>
      <c r="I12" s="4">
        <v>5.76</v>
      </c>
      <c r="J12" t="s">
        <v>505</v>
      </c>
      <c r="K12" s="3">
        <v>1</v>
      </c>
      <c r="L12" t="s">
        <v>381</v>
      </c>
      <c r="M12" t="s">
        <v>166</v>
      </c>
      <c r="N12" s="3">
        <v>4.9000000000000002E-2</v>
      </c>
      <c r="O12" t="s">
        <v>506</v>
      </c>
      <c r="Q12" t="s">
        <v>167</v>
      </c>
      <c r="R12" s="3">
        <v>2.81</v>
      </c>
      <c r="T12" t="s">
        <v>168</v>
      </c>
      <c r="U12" s="3">
        <v>0.188</v>
      </c>
      <c r="V12" s="3">
        <v>0.432</v>
      </c>
      <c r="W12" s="3">
        <v>-0.17100000000000001</v>
      </c>
      <c r="X12" s="3">
        <v>0.05</v>
      </c>
    </row>
    <row r="13" spans="1:24" x14ac:dyDescent="0.25">
      <c r="A13" t="s">
        <v>169</v>
      </c>
      <c r="B13" t="s">
        <v>354</v>
      </c>
      <c r="C13" t="s">
        <v>34</v>
      </c>
      <c r="D13">
        <v>2.36</v>
      </c>
      <c r="E13" s="4">
        <v>2.36</v>
      </c>
      <c r="F13">
        <f t="shared" si="0"/>
        <v>0</v>
      </c>
      <c r="G13">
        <v>2.0015611648559499</v>
      </c>
      <c r="H13" s="4">
        <v>2.5299999999999998</v>
      </c>
      <c r="I13" s="4">
        <v>2</v>
      </c>
      <c r="J13" t="s">
        <v>382</v>
      </c>
      <c r="K13" s="3">
        <v>0</v>
      </c>
      <c r="L13" t="s">
        <v>170</v>
      </c>
      <c r="M13" t="s">
        <v>473</v>
      </c>
      <c r="N13" s="3">
        <v>4.7E-2</v>
      </c>
      <c r="O13" t="s">
        <v>507</v>
      </c>
      <c r="P13" t="s">
        <v>508</v>
      </c>
      <c r="Q13" t="s">
        <v>474</v>
      </c>
      <c r="R13" s="3">
        <v>5.8579999999999997</v>
      </c>
      <c r="S13" s="3">
        <v>5.0000000000000001E-3</v>
      </c>
      <c r="T13" t="s">
        <v>475</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workbookViewId="0">
      <selection activeCell="H27" sqref="H27"/>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423</v>
      </c>
      <c r="D1" s="1" t="s">
        <v>48</v>
      </c>
      <c r="E1" s="1" t="s">
        <v>49</v>
      </c>
      <c r="F1" s="1" t="s">
        <v>51</v>
      </c>
      <c r="G1" s="1" t="s">
        <v>52</v>
      </c>
      <c r="H1" s="1" t="s">
        <v>0</v>
      </c>
      <c r="I1" s="1" t="s">
        <v>2</v>
      </c>
      <c r="J1" s="1" t="s">
        <v>3</v>
      </c>
      <c r="K1" s="1" t="s">
        <v>426</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384</v>
      </c>
      <c r="E2" t="s">
        <v>424</v>
      </c>
      <c r="F2" t="s">
        <v>385</v>
      </c>
      <c r="G2" t="s">
        <v>386</v>
      </c>
      <c r="H2" t="s">
        <v>174</v>
      </c>
      <c r="I2" t="s">
        <v>26</v>
      </c>
      <c r="J2" s="4">
        <v>9.8800000000000008</v>
      </c>
      <c r="K2" s="5">
        <f>(J2/C2-1)*100</f>
        <v>-10.588235294117643</v>
      </c>
      <c r="L2" s="4">
        <v>11.74</v>
      </c>
      <c r="M2" s="4">
        <v>6.02</v>
      </c>
      <c r="N2" t="s">
        <v>496</v>
      </c>
      <c r="O2" s="3">
        <v>1</v>
      </c>
      <c r="P2" t="s">
        <v>404</v>
      </c>
      <c r="Q2" t="s">
        <v>427</v>
      </c>
      <c r="R2" s="3">
        <v>5.1999999999999998E-2</v>
      </c>
      <c r="S2" t="s">
        <v>497</v>
      </c>
      <c r="T2" t="s">
        <v>498</v>
      </c>
      <c r="U2" t="s">
        <v>462</v>
      </c>
      <c r="V2" s="3">
        <v>5.0000000000000001E-3</v>
      </c>
      <c r="W2" s="3">
        <v>0.03</v>
      </c>
      <c r="X2" t="s">
        <v>463</v>
      </c>
      <c r="Y2" s="3">
        <v>0.51700000000000002</v>
      </c>
      <c r="Z2" s="3">
        <v>-0.16800000000000001</v>
      </c>
      <c r="AA2" s="3">
        <v>-0.23499999999999999</v>
      </c>
      <c r="AB2" s="3">
        <v>0.16300000000000001</v>
      </c>
    </row>
    <row r="3" spans="1:28" x14ac:dyDescent="0.25">
      <c r="A3" s="14">
        <v>45894</v>
      </c>
      <c r="B3" s="15" t="s">
        <v>40</v>
      </c>
      <c r="C3" s="15">
        <v>2.83</v>
      </c>
      <c r="D3" s="15" t="s">
        <v>383</v>
      </c>
      <c r="E3" t="s">
        <v>424</v>
      </c>
      <c r="F3" s="15" t="s">
        <v>425</v>
      </c>
      <c r="G3" t="s">
        <v>386</v>
      </c>
      <c r="H3" t="s">
        <v>39</v>
      </c>
      <c r="I3" t="s">
        <v>38</v>
      </c>
      <c r="J3" s="15">
        <v>2.83</v>
      </c>
      <c r="K3" s="16">
        <f t="shared" ref="K3:K17" si="0">(J3/C3-1)*100</f>
        <v>0</v>
      </c>
      <c r="L3" s="4">
        <v>3.9</v>
      </c>
      <c r="M3" s="4">
        <v>2.72</v>
      </c>
      <c r="N3" t="s">
        <v>372</v>
      </c>
      <c r="O3" s="3">
        <v>1</v>
      </c>
      <c r="P3" t="s">
        <v>41</v>
      </c>
      <c r="Q3" t="s">
        <v>42</v>
      </c>
      <c r="R3" s="3">
        <v>5.3999999999999999E-2</v>
      </c>
      <c r="S3" t="s">
        <v>23</v>
      </c>
      <c r="T3" t="s">
        <v>455</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136</v>
      </c>
      <c r="C4">
        <v>8.6199999999999992</v>
      </c>
      <c r="D4" t="s">
        <v>384</v>
      </c>
      <c r="E4" t="s">
        <v>424</v>
      </c>
      <c r="F4" t="s">
        <v>385</v>
      </c>
      <c r="G4" t="s">
        <v>386</v>
      </c>
      <c r="H4" t="s">
        <v>159</v>
      </c>
      <c r="I4" t="s">
        <v>160</v>
      </c>
      <c r="J4" s="4">
        <v>8.84</v>
      </c>
      <c r="K4" s="5">
        <f t="shared" si="0"/>
        <v>2.5522041763341052</v>
      </c>
      <c r="L4" s="4">
        <v>9.02</v>
      </c>
      <c r="M4" s="4">
        <v>6.15</v>
      </c>
      <c r="N4" t="s">
        <v>486</v>
      </c>
      <c r="O4" s="3">
        <v>0.216</v>
      </c>
      <c r="P4" t="s">
        <v>161</v>
      </c>
      <c r="Q4" t="s">
        <v>458</v>
      </c>
      <c r="R4" s="3">
        <v>6.5000000000000002E-2</v>
      </c>
      <c r="S4" t="s">
        <v>481</v>
      </c>
      <c r="U4" t="s">
        <v>459</v>
      </c>
      <c r="V4" s="3">
        <v>5.2539999999999996</v>
      </c>
      <c r="W4" s="3">
        <v>1.6E-2</v>
      </c>
      <c r="X4" t="s">
        <v>460</v>
      </c>
      <c r="Y4" s="3">
        <v>4.1000000000000002E-2</v>
      </c>
      <c r="Z4" s="3">
        <v>5.5E-2</v>
      </c>
      <c r="AA4" s="3">
        <v>-0.26900000000000002</v>
      </c>
      <c r="AB4" s="3">
        <v>3.3000000000000002E-2</v>
      </c>
    </row>
    <row r="5" spans="1:28" x14ac:dyDescent="0.25">
      <c r="A5" s="2">
        <v>45786</v>
      </c>
      <c r="B5" s="3" t="s">
        <v>80</v>
      </c>
      <c r="C5">
        <v>3.07</v>
      </c>
      <c r="D5" t="s">
        <v>384</v>
      </c>
      <c r="E5" t="s">
        <v>424</v>
      </c>
      <c r="F5" t="s">
        <v>385</v>
      </c>
      <c r="G5" t="s">
        <v>386</v>
      </c>
      <c r="H5" t="s">
        <v>131</v>
      </c>
      <c r="I5" t="s">
        <v>34</v>
      </c>
      <c r="J5" s="4">
        <v>3.53</v>
      </c>
      <c r="K5" s="5">
        <f t="shared" si="0"/>
        <v>14.983713355048867</v>
      </c>
      <c r="L5" s="4">
        <v>3.55</v>
      </c>
      <c r="M5" s="4">
        <v>2.71</v>
      </c>
      <c r="N5" t="s">
        <v>487</v>
      </c>
      <c r="O5" s="3">
        <v>0</v>
      </c>
      <c r="P5" t="s">
        <v>132</v>
      </c>
      <c r="Q5" t="s">
        <v>447</v>
      </c>
      <c r="R5" s="3">
        <v>4.5999999999999999E-2</v>
      </c>
      <c r="S5" t="s">
        <v>450</v>
      </c>
      <c r="U5" t="s">
        <v>448</v>
      </c>
      <c r="V5" s="3">
        <v>0.54600000000000004</v>
      </c>
      <c r="W5" s="3">
        <v>2E-3</v>
      </c>
      <c r="X5" t="s">
        <v>449</v>
      </c>
      <c r="Y5" s="3">
        <v>0.56999999999999995</v>
      </c>
      <c r="Z5" s="3">
        <v>4.7E-2</v>
      </c>
      <c r="AA5" s="3">
        <v>-0.29499999999999998</v>
      </c>
      <c r="AB5" s="3">
        <v>5.3999999999999999E-2</v>
      </c>
    </row>
    <row r="6" spans="1:28" x14ac:dyDescent="0.25">
      <c r="A6" s="2">
        <v>45786</v>
      </c>
      <c r="B6" s="3" t="s">
        <v>81</v>
      </c>
      <c r="C6">
        <v>3.64</v>
      </c>
      <c r="D6" t="s">
        <v>384</v>
      </c>
      <c r="E6" t="s">
        <v>424</v>
      </c>
      <c r="F6" t="s">
        <v>385</v>
      </c>
      <c r="G6" t="s">
        <v>386</v>
      </c>
      <c r="H6" t="s">
        <v>133</v>
      </c>
      <c r="I6" t="s">
        <v>34</v>
      </c>
      <c r="J6" s="4">
        <v>3.72</v>
      </c>
      <c r="K6" s="5">
        <f t="shared" si="0"/>
        <v>2.19780219780219</v>
      </c>
      <c r="L6" s="4">
        <v>3.76</v>
      </c>
      <c r="M6" s="4">
        <v>3.1</v>
      </c>
      <c r="N6" t="s">
        <v>492</v>
      </c>
      <c r="O6" s="3">
        <v>0</v>
      </c>
      <c r="P6" t="s">
        <v>134</v>
      </c>
      <c r="Q6" t="s">
        <v>450</v>
      </c>
      <c r="R6" s="3">
        <v>0.05</v>
      </c>
      <c r="S6" t="s">
        <v>493</v>
      </c>
      <c r="U6" t="s">
        <v>451</v>
      </c>
      <c r="V6" s="3">
        <v>0.28499999999999998</v>
      </c>
      <c r="W6" s="3">
        <v>3.0000000000000001E-3</v>
      </c>
      <c r="X6" t="s">
        <v>452</v>
      </c>
      <c r="Y6" s="3">
        <v>1.306</v>
      </c>
      <c r="Z6" s="3">
        <v>9.8000000000000004E-2</v>
      </c>
      <c r="AA6" s="3">
        <v>-0.21099999999999999</v>
      </c>
      <c r="AB6" s="3">
        <v>9.6000000000000002E-2</v>
      </c>
    </row>
    <row r="7" spans="1:28" x14ac:dyDescent="0.25">
      <c r="A7" s="2">
        <v>45786</v>
      </c>
      <c r="B7" s="3" t="s">
        <v>45</v>
      </c>
      <c r="C7">
        <v>5.18</v>
      </c>
      <c r="D7" t="s">
        <v>384</v>
      </c>
      <c r="E7" t="s">
        <v>424</v>
      </c>
      <c r="F7" t="s">
        <v>385</v>
      </c>
      <c r="G7" t="s">
        <v>386</v>
      </c>
      <c r="H7" t="s">
        <v>135</v>
      </c>
      <c r="I7" t="s">
        <v>22</v>
      </c>
      <c r="J7" s="4">
        <v>5.24</v>
      </c>
      <c r="K7" s="5">
        <f t="shared" si="0"/>
        <v>1.1583011583011782</v>
      </c>
      <c r="L7" s="4">
        <v>5.54</v>
      </c>
      <c r="M7" s="4">
        <v>4.33</v>
      </c>
      <c r="N7" t="s">
        <v>494</v>
      </c>
      <c r="O7" s="3">
        <v>0</v>
      </c>
      <c r="P7" t="s">
        <v>46</v>
      </c>
      <c r="Q7" t="s">
        <v>476</v>
      </c>
      <c r="R7" s="3">
        <v>7.5999999999999998E-2</v>
      </c>
      <c r="S7" t="s">
        <v>495</v>
      </c>
      <c r="U7" t="s">
        <v>477</v>
      </c>
      <c r="V7" s="3">
        <v>0.27800000000000002</v>
      </c>
      <c r="W7" s="3">
        <v>2.4E-2</v>
      </c>
      <c r="X7" t="s">
        <v>47</v>
      </c>
      <c r="Y7" s="3">
        <v>1.524</v>
      </c>
      <c r="Z7" s="3">
        <v>0.13200000000000001</v>
      </c>
      <c r="AA7" s="3">
        <v>0.06</v>
      </c>
      <c r="AB7" s="3">
        <v>3.7999999999999999E-2</v>
      </c>
    </row>
    <row r="8" spans="1:28" x14ac:dyDescent="0.25">
      <c r="A8" s="2">
        <v>45786</v>
      </c>
      <c r="B8" s="3" t="s">
        <v>40</v>
      </c>
      <c r="C8">
        <v>3.5</v>
      </c>
      <c r="D8" t="s">
        <v>384</v>
      </c>
      <c r="E8" t="s">
        <v>424</v>
      </c>
      <c r="F8" t="s">
        <v>385</v>
      </c>
      <c r="G8" t="s">
        <v>386</v>
      </c>
      <c r="H8" t="s">
        <v>39</v>
      </c>
      <c r="I8" t="s">
        <v>38</v>
      </c>
      <c r="J8" s="4">
        <v>3.53</v>
      </c>
      <c r="K8" s="5">
        <f t="shared" si="0"/>
        <v>0.85714285714284522</v>
      </c>
      <c r="L8" s="4">
        <v>3.9</v>
      </c>
      <c r="M8" s="4">
        <v>2.72</v>
      </c>
      <c r="N8" t="s">
        <v>372</v>
      </c>
      <c r="O8" s="3">
        <v>1</v>
      </c>
      <c r="P8" t="s">
        <v>41</v>
      </c>
      <c r="Q8" t="s">
        <v>42</v>
      </c>
      <c r="R8" s="3">
        <v>5.3999999999999999E-2</v>
      </c>
      <c r="S8" t="s">
        <v>23</v>
      </c>
      <c r="T8" t="s">
        <v>455</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384</v>
      </c>
      <c r="E9" t="s">
        <v>424</v>
      </c>
      <c r="F9" t="s">
        <v>385</v>
      </c>
      <c r="G9" t="s">
        <v>386</v>
      </c>
      <c r="H9" t="s">
        <v>35</v>
      </c>
      <c r="I9" t="s">
        <v>34</v>
      </c>
      <c r="J9" s="4">
        <v>2.33</v>
      </c>
      <c r="K9" s="5">
        <f t="shared" si="0"/>
        <v>1.3043478260869712</v>
      </c>
      <c r="L9" s="4">
        <v>2.42</v>
      </c>
      <c r="M9" s="4">
        <v>1.7749999999999999</v>
      </c>
      <c r="N9" t="s">
        <v>488</v>
      </c>
      <c r="O9" s="3">
        <v>0</v>
      </c>
      <c r="P9" t="s">
        <v>37</v>
      </c>
      <c r="Q9" t="s">
        <v>464</v>
      </c>
      <c r="R9" s="3">
        <v>3.9E-2</v>
      </c>
      <c r="S9" t="s">
        <v>481</v>
      </c>
      <c r="T9" t="s">
        <v>489</v>
      </c>
      <c r="U9" t="s">
        <v>465</v>
      </c>
      <c r="V9" s="3">
        <v>0.502</v>
      </c>
      <c r="W9" s="3">
        <v>0.01</v>
      </c>
      <c r="X9" t="s">
        <v>466</v>
      </c>
      <c r="Y9" s="3">
        <v>2.8000000000000001E-2</v>
      </c>
      <c r="Z9" s="3">
        <v>2.3E-2</v>
      </c>
      <c r="AA9" s="3">
        <v>-0.57799999999999996</v>
      </c>
      <c r="AB9" s="3">
        <v>7.0000000000000001E-3</v>
      </c>
    </row>
    <row r="10" spans="1:28" x14ac:dyDescent="0.25">
      <c r="A10" s="2">
        <v>45786</v>
      </c>
      <c r="B10" s="3" t="s">
        <v>31</v>
      </c>
      <c r="C10">
        <v>4.3499999999999996</v>
      </c>
      <c r="D10" t="s">
        <v>384</v>
      </c>
      <c r="E10" t="s">
        <v>424</v>
      </c>
      <c r="F10" t="s">
        <v>385</v>
      </c>
      <c r="G10" t="s">
        <v>386</v>
      </c>
      <c r="H10" t="s">
        <v>30</v>
      </c>
      <c r="I10" t="s">
        <v>22</v>
      </c>
      <c r="J10" s="4">
        <v>5.07</v>
      </c>
      <c r="K10" s="5">
        <f t="shared" si="0"/>
        <v>16.551724137931046</v>
      </c>
      <c r="L10" s="4">
        <v>5.51</v>
      </c>
      <c r="M10" s="4">
        <v>2.94</v>
      </c>
      <c r="N10" t="s">
        <v>490</v>
      </c>
      <c r="O10" s="3">
        <v>0.9</v>
      </c>
      <c r="P10" t="s">
        <v>499</v>
      </c>
      <c r="Q10" t="s">
        <v>467</v>
      </c>
      <c r="R10" s="3">
        <v>4.2000000000000003E-2</v>
      </c>
      <c r="S10" t="s">
        <v>482</v>
      </c>
      <c r="T10" t="s">
        <v>500</v>
      </c>
      <c r="U10" t="s">
        <v>468</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384</v>
      </c>
      <c r="E11" t="s">
        <v>424</v>
      </c>
      <c r="F11" t="s">
        <v>385</v>
      </c>
      <c r="G11" t="s">
        <v>386</v>
      </c>
      <c r="H11" t="s">
        <v>24</v>
      </c>
      <c r="I11" t="s">
        <v>26</v>
      </c>
      <c r="J11" s="4">
        <v>4.8899999999999997</v>
      </c>
      <c r="K11" s="5">
        <f t="shared" si="0"/>
        <v>25.063938618925818</v>
      </c>
      <c r="L11" s="4">
        <v>5.2</v>
      </c>
      <c r="M11" s="4">
        <v>3.4</v>
      </c>
      <c r="N11" t="s">
        <v>501</v>
      </c>
      <c r="O11" s="3">
        <v>1</v>
      </c>
      <c r="P11" t="s">
        <v>27</v>
      </c>
      <c r="Q11" t="s">
        <v>483</v>
      </c>
      <c r="R11" s="3">
        <v>3.6999999999999998E-2</v>
      </c>
      <c r="S11" t="s">
        <v>491</v>
      </c>
      <c r="U11" t="s">
        <v>484</v>
      </c>
      <c r="V11" s="3">
        <v>8.8999999999999996E-2</v>
      </c>
      <c r="X11" t="s">
        <v>485</v>
      </c>
      <c r="Y11" s="3">
        <v>6.2E-2</v>
      </c>
      <c r="Z11" s="3">
        <v>4.7E-2</v>
      </c>
      <c r="AA11" s="3">
        <v>8.3000000000000004E-2</v>
      </c>
      <c r="AB11" s="3">
        <v>0.216</v>
      </c>
    </row>
    <row r="12" spans="1:28" x14ac:dyDescent="0.25">
      <c r="A12" s="2">
        <v>45758</v>
      </c>
      <c r="B12" s="3" t="s">
        <v>72</v>
      </c>
      <c r="C12">
        <v>3.93</v>
      </c>
      <c r="D12" t="s">
        <v>383</v>
      </c>
      <c r="E12" t="s">
        <v>421</v>
      </c>
      <c r="F12" t="s">
        <v>425</v>
      </c>
      <c r="G12" t="s">
        <v>422</v>
      </c>
      <c r="H12" t="s">
        <v>171</v>
      </c>
      <c r="I12" t="s">
        <v>26</v>
      </c>
      <c r="J12" s="4">
        <v>3.94</v>
      </c>
      <c r="K12" s="5">
        <f t="shared" si="0"/>
        <v>0.25445292620864812</v>
      </c>
      <c r="L12" s="4">
        <v>4.84</v>
      </c>
      <c r="M12" s="4">
        <v>2.2200000000000002</v>
      </c>
      <c r="N12" t="s">
        <v>379</v>
      </c>
      <c r="O12" s="3">
        <v>0</v>
      </c>
      <c r="P12" t="s">
        <v>387</v>
      </c>
      <c r="R12" s="3">
        <v>0</v>
      </c>
      <c r="S12" t="s">
        <v>388</v>
      </c>
      <c r="U12" t="s">
        <v>389</v>
      </c>
      <c r="V12" s="3">
        <v>0.57899999999999996</v>
      </c>
      <c r="X12" t="s">
        <v>390</v>
      </c>
      <c r="Y12" s="3">
        <v>-8.6999999999999994E-2</v>
      </c>
      <c r="Z12" s="3">
        <v>0.14199999999999999</v>
      </c>
      <c r="AB12" s="3">
        <v>-7.0999999999999994E-2</v>
      </c>
    </row>
    <row r="13" spans="1:28" x14ac:dyDescent="0.25">
      <c r="A13" s="2">
        <v>45737</v>
      </c>
      <c r="B13" s="3" t="s">
        <v>79</v>
      </c>
      <c r="C13">
        <v>142.36000000000001</v>
      </c>
      <c r="D13" t="s">
        <v>383</v>
      </c>
      <c r="E13" t="s">
        <v>421</v>
      </c>
      <c r="F13" t="s">
        <v>425</v>
      </c>
      <c r="G13" t="s">
        <v>422</v>
      </c>
      <c r="H13" t="s">
        <v>172</v>
      </c>
      <c r="I13" t="s">
        <v>26</v>
      </c>
      <c r="J13" s="4">
        <v>180.89</v>
      </c>
      <c r="K13" s="5">
        <f t="shared" si="0"/>
        <v>27.06518685023882</v>
      </c>
      <c r="L13" s="4">
        <v>192</v>
      </c>
      <c r="M13" s="4">
        <v>120.96</v>
      </c>
      <c r="N13" t="s">
        <v>391</v>
      </c>
      <c r="O13" s="3">
        <v>1</v>
      </c>
      <c r="P13" t="s">
        <v>392</v>
      </c>
      <c r="Q13" t="s">
        <v>393</v>
      </c>
      <c r="R13" s="3">
        <v>2.7E-2</v>
      </c>
      <c r="S13" t="s">
        <v>394</v>
      </c>
      <c r="U13" t="s">
        <v>395</v>
      </c>
      <c r="V13" s="3">
        <v>2.782</v>
      </c>
      <c r="X13" t="s">
        <v>396</v>
      </c>
      <c r="Y13" s="3">
        <v>0.35199999999999998</v>
      </c>
      <c r="Z13" s="3">
        <v>0.35299999999999998</v>
      </c>
      <c r="AA13" s="3">
        <v>4.1000000000000002E-2</v>
      </c>
      <c r="AB13" s="3">
        <v>0.13200000000000001</v>
      </c>
    </row>
    <row r="14" spans="1:28" x14ac:dyDescent="0.25">
      <c r="A14" s="2">
        <v>45730</v>
      </c>
      <c r="B14" s="3" t="s">
        <v>117</v>
      </c>
      <c r="C14">
        <v>2.81</v>
      </c>
      <c r="D14" t="s">
        <v>383</v>
      </c>
      <c r="E14" t="s">
        <v>421</v>
      </c>
      <c r="F14" t="s">
        <v>425</v>
      </c>
      <c r="G14" t="s">
        <v>422</v>
      </c>
      <c r="H14" t="s">
        <v>173</v>
      </c>
      <c r="I14" t="s">
        <v>22</v>
      </c>
      <c r="J14" s="4">
        <v>3.04</v>
      </c>
      <c r="K14" s="5">
        <f t="shared" si="0"/>
        <v>8.1850533807829251</v>
      </c>
      <c r="L14" s="4">
        <v>3.93</v>
      </c>
      <c r="M14" s="4">
        <v>2.21</v>
      </c>
      <c r="N14" t="s">
        <v>397</v>
      </c>
      <c r="O14" s="3">
        <v>1</v>
      </c>
      <c r="P14" t="s">
        <v>398</v>
      </c>
      <c r="Q14" t="s">
        <v>399</v>
      </c>
      <c r="R14" s="3">
        <v>5.2999999999999999E-2</v>
      </c>
      <c r="S14" t="s">
        <v>400</v>
      </c>
      <c r="U14" t="s">
        <v>401</v>
      </c>
      <c r="V14" s="3">
        <v>0.66600000000000004</v>
      </c>
      <c r="W14" s="3">
        <v>1.0999999999999999E-2</v>
      </c>
      <c r="X14" t="s">
        <v>402</v>
      </c>
      <c r="Y14" s="3">
        <v>3.6999999999999998E-2</v>
      </c>
      <c r="Z14" s="3">
        <v>9.5000000000000001E-2</v>
      </c>
      <c r="AA14" s="3">
        <v>0.222</v>
      </c>
      <c r="AB14" s="3">
        <v>0.17899999999999999</v>
      </c>
    </row>
    <row r="15" spans="1:28" x14ac:dyDescent="0.25">
      <c r="A15" s="2">
        <v>45716</v>
      </c>
      <c r="B15" t="s">
        <v>105</v>
      </c>
      <c r="C15">
        <v>8.9600000000000009</v>
      </c>
      <c r="D15" t="s">
        <v>383</v>
      </c>
      <c r="E15" t="s">
        <v>421</v>
      </c>
      <c r="F15" t="s">
        <v>425</v>
      </c>
      <c r="G15" t="s">
        <v>422</v>
      </c>
      <c r="H15" t="s">
        <v>174</v>
      </c>
      <c r="I15" t="s">
        <v>26</v>
      </c>
      <c r="J15" s="4">
        <v>9.67</v>
      </c>
      <c r="K15" s="5">
        <f t="shared" si="0"/>
        <v>7.9241071428571397</v>
      </c>
      <c r="L15" s="4">
        <v>12.26</v>
      </c>
      <c r="M15" s="4">
        <v>6.29</v>
      </c>
      <c r="N15" t="s">
        <v>403</v>
      </c>
      <c r="O15" s="3">
        <v>0.85</v>
      </c>
      <c r="P15" t="s">
        <v>404</v>
      </c>
      <c r="Q15" t="s">
        <v>405</v>
      </c>
      <c r="R15" s="3">
        <v>6.5000000000000002E-2</v>
      </c>
      <c r="S15" t="s">
        <v>406</v>
      </c>
      <c r="U15" t="s">
        <v>407</v>
      </c>
      <c r="V15" s="3">
        <v>6.0000000000000001E-3</v>
      </c>
      <c r="W15" s="3">
        <v>4.9000000000000002E-2</v>
      </c>
      <c r="X15" t="s">
        <v>408</v>
      </c>
      <c r="Y15" s="3">
        <v>0.59</v>
      </c>
      <c r="Z15" s="3">
        <v>-0.191</v>
      </c>
      <c r="AA15" s="3">
        <v>-0.03</v>
      </c>
      <c r="AB15" s="3">
        <v>0.23200000000000001</v>
      </c>
    </row>
    <row r="16" spans="1:28" x14ac:dyDescent="0.25">
      <c r="A16" s="2">
        <v>45716</v>
      </c>
      <c r="B16" t="s">
        <v>75</v>
      </c>
      <c r="C16">
        <v>14</v>
      </c>
      <c r="D16" t="s">
        <v>383</v>
      </c>
      <c r="E16" t="s">
        <v>421</v>
      </c>
      <c r="F16" t="s">
        <v>425</v>
      </c>
      <c r="G16" t="s">
        <v>422</v>
      </c>
      <c r="H16" t="s">
        <v>175</v>
      </c>
      <c r="I16" t="s">
        <v>409</v>
      </c>
      <c r="J16" s="4">
        <v>15.23</v>
      </c>
      <c r="K16" s="5">
        <f t="shared" si="0"/>
        <v>8.7857142857142847</v>
      </c>
      <c r="L16" s="4">
        <v>17.97</v>
      </c>
      <c r="M16" s="4">
        <v>12.06</v>
      </c>
      <c r="N16" t="s">
        <v>382</v>
      </c>
      <c r="O16" s="3">
        <v>1</v>
      </c>
      <c r="P16" t="s">
        <v>410</v>
      </c>
      <c r="Q16" t="s">
        <v>411</v>
      </c>
      <c r="R16" s="3">
        <v>4.4999999999999998E-2</v>
      </c>
      <c r="S16" t="s">
        <v>371</v>
      </c>
      <c r="T16" t="s">
        <v>412</v>
      </c>
      <c r="U16" t="s">
        <v>413</v>
      </c>
      <c r="V16" s="3">
        <v>0.85599999999999998</v>
      </c>
      <c r="W16" s="3">
        <v>1.0999999999999999E-2</v>
      </c>
      <c r="X16" t="s">
        <v>414</v>
      </c>
      <c r="Y16" s="3">
        <v>5.7000000000000002E-2</v>
      </c>
      <c r="Z16" s="3">
        <v>0.04</v>
      </c>
      <c r="AA16" s="3">
        <v>-7.1999999999999995E-2</v>
      </c>
      <c r="AB16" s="3">
        <v>0.17100000000000001</v>
      </c>
    </row>
    <row r="17" spans="1:28" x14ac:dyDescent="0.25">
      <c r="A17" s="2">
        <v>45716</v>
      </c>
      <c r="B17" t="s">
        <v>101</v>
      </c>
      <c r="C17">
        <v>35.08</v>
      </c>
      <c r="D17" t="s">
        <v>383</v>
      </c>
      <c r="E17" t="s">
        <v>421</v>
      </c>
      <c r="F17" t="s">
        <v>425</v>
      </c>
      <c r="G17" t="s">
        <v>422</v>
      </c>
      <c r="H17" t="s">
        <v>176</v>
      </c>
      <c r="I17" t="s">
        <v>26</v>
      </c>
      <c r="J17" s="4">
        <v>39.79</v>
      </c>
      <c r="K17" s="5">
        <f t="shared" si="0"/>
        <v>13.426453819840379</v>
      </c>
      <c r="L17" s="4">
        <v>40.71</v>
      </c>
      <c r="M17" s="4">
        <v>30.41</v>
      </c>
      <c r="N17" t="s">
        <v>415</v>
      </c>
      <c r="O17" s="3">
        <v>1</v>
      </c>
      <c r="P17" t="s">
        <v>416</v>
      </c>
      <c r="Q17" t="s">
        <v>417</v>
      </c>
      <c r="R17" s="3">
        <v>4.2999999999999997E-2</v>
      </c>
      <c r="S17" t="s">
        <v>418</v>
      </c>
      <c r="U17" t="s">
        <v>419</v>
      </c>
      <c r="V17" s="3">
        <v>2.9950000000000001</v>
      </c>
      <c r="X17" t="s">
        <v>420</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G48" sqref="G48"/>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11.46927936415274</v>
      </c>
      <c r="B2">
        <v>1521.8668</v>
      </c>
      <c r="C2">
        <f>COUNTA(Trades!A2:A1048576)</f>
        <v>194</v>
      </c>
      <c r="D2">
        <f>COUNTIF(Trades!J2:J894,"&gt;0")</f>
        <v>120</v>
      </c>
      <c r="E2">
        <f>AVERAGEIF(Trades!J2:J894,"&gt;0")*100</f>
        <v>48.131447842639879</v>
      </c>
      <c r="F2">
        <f>C2-D2</f>
        <v>74</v>
      </c>
      <c r="G2">
        <f>AVERAGEIF(Trades!J2:J894,"&lt;0")*100</f>
        <v>-14.250650906971671</v>
      </c>
      <c r="H2">
        <v>-21.65</v>
      </c>
      <c r="I2">
        <v>10.154040815553245</v>
      </c>
      <c r="J2">
        <v>4.9313040333775149</v>
      </c>
      <c r="K2">
        <v>2.7465871175365697</v>
      </c>
      <c r="L2" s="5">
        <v>4.6597100945651029</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52"/>
  <sheetViews>
    <sheetView tabSelected="1" topLeftCell="A1335" workbookViewId="0">
      <selection activeCell="B1355" sqref="B1355"/>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3" sqref="M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343</v>
      </c>
      <c r="C1" s="1" t="s">
        <v>64</v>
      </c>
      <c r="D1" s="1" t="s">
        <v>60</v>
      </c>
      <c r="E1" s="1" t="s">
        <v>65</v>
      </c>
      <c r="F1" s="1" t="s">
        <v>66</v>
      </c>
      <c r="G1" s="1" t="s">
        <v>67</v>
      </c>
      <c r="H1" s="1" t="s">
        <v>68</v>
      </c>
      <c r="I1" s="1" t="s">
        <v>69</v>
      </c>
      <c r="J1" s="1" t="s">
        <v>70</v>
      </c>
      <c r="K1" s="1" t="s">
        <v>71</v>
      </c>
      <c r="N1" s="19"/>
      <c r="O1" s="19"/>
    </row>
    <row r="2" spans="1:30" x14ac:dyDescent="0.25">
      <c r="A2" s="15" t="s">
        <v>105</v>
      </c>
      <c r="B2" t="s">
        <v>174</v>
      </c>
      <c r="C2" s="15" t="s">
        <v>341</v>
      </c>
      <c r="D2" s="14">
        <v>45894</v>
      </c>
      <c r="E2" s="15">
        <v>10.6</v>
      </c>
      <c r="F2" s="14">
        <v>45919</v>
      </c>
      <c r="G2" s="4">
        <v>9.8800000000000008</v>
      </c>
      <c r="H2" s="3">
        <f>G2/E2-1</f>
        <v>-6.7924528301886666E-2</v>
      </c>
      <c r="I2" s="15">
        <f t="shared" ref="I2:I3" si="0">K2*E2*J2</f>
        <v>-9288.7183999999816</v>
      </c>
      <c r="J2" s="17">
        <f t="shared" ref="J2:J3" si="1">H2-0.002</f>
        <v>-6.9924528301886668E-2</v>
      </c>
      <c r="K2" s="15">
        <v>12532</v>
      </c>
      <c r="N2" s="4"/>
    </row>
    <row r="3" spans="1:30" x14ac:dyDescent="0.25">
      <c r="A3" s="3" t="s">
        <v>136</v>
      </c>
      <c r="B3" t="s">
        <v>159</v>
      </c>
      <c r="C3" t="s">
        <v>341</v>
      </c>
      <c r="D3" s="2">
        <v>45793</v>
      </c>
      <c r="E3">
        <v>8.6199999999999992</v>
      </c>
      <c r="F3" s="14">
        <v>45919</v>
      </c>
      <c r="G3" s="4">
        <v>8.84</v>
      </c>
      <c r="H3" s="3">
        <f t="shared" ref="H3" si="2">G3/E3-1</f>
        <v>2.5522041763341052E-2</v>
      </c>
      <c r="I3">
        <f t="shared" si="0"/>
        <v>2919.946759999998</v>
      </c>
      <c r="J3" s="3">
        <f t="shared" si="1"/>
        <v>2.3522041763341051E-2</v>
      </c>
      <c r="K3">
        <v>14401</v>
      </c>
      <c r="N3" s="4"/>
      <c r="P3" s="11"/>
      <c r="Q3" s="13"/>
      <c r="R3" s="2"/>
      <c r="T3" s="3"/>
      <c r="V3" s="3"/>
      <c r="AA3" s="3"/>
      <c r="AB3" s="3"/>
      <c r="AC3" s="3"/>
      <c r="AD3" s="3"/>
    </row>
    <row r="4" spans="1:30" x14ac:dyDescent="0.25">
      <c r="A4" s="3" t="s">
        <v>80</v>
      </c>
      <c r="B4" t="s">
        <v>131</v>
      </c>
      <c r="C4" t="s">
        <v>341</v>
      </c>
      <c r="D4" s="2">
        <v>45786</v>
      </c>
      <c r="E4">
        <v>3.07</v>
      </c>
      <c r="F4" s="14">
        <v>45919</v>
      </c>
      <c r="G4" s="4">
        <v>3.53</v>
      </c>
      <c r="H4" s="3">
        <f t="shared" ref="H4:H13" si="3">G4/E4-1</f>
        <v>0.14983713355048867</v>
      </c>
      <c r="I4">
        <f t="shared" ref="I4:I13" si="4">K4*E4*J4</f>
        <v>17486.318080000008</v>
      </c>
      <c r="J4" s="3">
        <f t="shared" ref="J4:J13" si="5">H4-0.002</f>
        <v>0.14783713355048866</v>
      </c>
      <c r="K4">
        <v>38528</v>
      </c>
      <c r="N4" s="4"/>
      <c r="P4" s="11"/>
      <c r="Q4" s="12"/>
      <c r="R4" s="2"/>
      <c r="T4" s="3"/>
      <c r="V4" s="3"/>
      <c r="AA4" s="3"/>
      <c r="AB4" s="3"/>
      <c r="AC4" s="3"/>
      <c r="AD4" s="3"/>
    </row>
    <row r="5" spans="1:30" x14ac:dyDescent="0.25">
      <c r="A5" s="3" t="s">
        <v>81</v>
      </c>
      <c r="B5" t="s">
        <v>133</v>
      </c>
      <c r="C5" t="s">
        <v>341</v>
      </c>
      <c r="D5" s="2">
        <v>45786</v>
      </c>
      <c r="E5">
        <v>3.64</v>
      </c>
      <c r="F5" s="14">
        <v>45919</v>
      </c>
      <c r="G5" s="4">
        <v>3.72</v>
      </c>
      <c r="H5" s="3">
        <f t="shared" si="3"/>
        <v>2.19780219780219E-2</v>
      </c>
      <c r="I5">
        <f t="shared" si="4"/>
        <v>2396.1239999999902</v>
      </c>
      <c r="J5" s="3">
        <f t="shared" si="5"/>
        <v>1.9978021978021898E-2</v>
      </c>
      <c r="K5">
        <v>32950</v>
      </c>
      <c r="N5" s="4"/>
      <c r="P5" s="11"/>
      <c r="Q5" s="12"/>
      <c r="R5" s="2"/>
      <c r="T5" s="3"/>
      <c r="V5" s="3"/>
      <c r="AA5" s="3"/>
      <c r="AB5" s="3"/>
      <c r="AC5" s="3"/>
      <c r="AD5" s="3"/>
    </row>
    <row r="6" spans="1:30" x14ac:dyDescent="0.25">
      <c r="A6" s="3" t="s">
        <v>45</v>
      </c>
      <c r="B6" t="s">
        <v>135</v>
      </c>
      <c r="C6" t="s">
        <v>341</v>
      </c>
      <c r="D6" s="2">
        <v>45786</v>
      </c>
      <c r="E6">
        <v>5.18</v>
      </c>
      <c r="F6" s="14">
        <v>45919</v>
      </c>
      <c r="G6" s="4">
        <v>5.24</v>
      </c>
      <c r="H6" s="3">
        <f t="shared" si="3"/>
        <v>1.1583011583011782E-2</v>
      </c>
      <c r="I6">
        <f t="shared" si="4"/>
        <v>1119.2827200000231</v>
      </c>
      <c r="J6" s="3">
        <f t="shared" si="5"/>
        <v>9.5830115830117819E-3</v>
      </c>
      <c r="K6">
        <v>22548</v>
      </c>
      <c r="N6" s="4"/>
      <c r="P6" s="11"/>
      <c r="Q6" s="12"/>
      <c r="R6" s="2"/>
      <c r="T6" s="3"/>
      <c r="V6" s="3"/>
      <c r="AA6" s="3"/>
      <c r="AB6" s="3"/>
      <c r="AC6" s="3"/>
      <c r="AD6" s="3"/>
    </row>
    <row r="7" spans="1:30" x14ac:dyDescent="0.25">
      <c r="A7" s="3" t="s">
        <v>36</v>
      </c>
      <c r="B7" t="s">
        <v>35</v>
      </c>
      <c r="C7" t="s">
        <v>341</v>
      </c>
      <c r="D7" s="2">
        <v>45786</v>
      </c>
      <c r="E7">
        <v>2.2999999999999998</v>
      </c>
      <c r="F7" s="14">
        <v>45919</v>
      </c>
      <c r="G7" s="4">
        <v>2.33</v>
      </c>
      <c r="H7" s="3">
        <f t="shared" si="3"/>
        <v>1.3043478260869712E-2</v>
      </c>
      <c r="I7">
        <f t="shared" si="4"/>
        <v>1316.8376000000176</v>
      </c>
      <c r="J7" s="3">
        <f t="shared" si="5"/>
        <v>1.1043478260869712E-2</v>
      </c>
      <c r="K7">
        <v>51844</v>
      </c>
      <c r="N7" s="4"/>
      <c r="P7" s="18"/>
      <c r="Q7" s="12"/>
      <c r="R7" s="2"/>
      <c r="T7" s="3"/>
      <c r="V7" s="3"/>
      <c r="AA7" s="3"/>
      <c r="AB7" s="3"/>
      <c r="AC7" s="3"/>
      <c r="AD7" s="3"/>
    </row>
    <row r="8" spans="1:30" x14ac:dyDescent="0.25">
      <c r="A8" s="3" t="s">
        <v>31</v>
      </c>
      <c r="B8" t="s">
        <v>30</v>
      </c>
      <c r="C8" t="s">
        <v>341</v>
      </c>
      <c r="D8" s="2">
        <v>45786</v>
      </c>
      <c r="E8">
        <v>4.3499999999999996</v>
      </c>
      <c r="F8" s="14">
        <v>45919</v>
      </c>
      <c r="G8" s="4">
        <v>5.07</v>
      </c>
      <c r="H8" s="3">
        <f t="shared" si="3"/>
        <v>0.16551724137931045</v>
      </c>
      <c r="I8">
        <f t="shared" si="4"/>
        <v>19106.940600000013</v>
      </c>
      <c r="J8" s="3">
        <f t="shared" si="5"/>
        <v>0.16351724137931045</v>
      </c>
      <c r="K8">
        <v>26862</v>
      </c>
      <c r="N8" s="4"/>
      <c r="P8" s="11"/>
      <c r="Q8" s="12"/>
      <c r="R8" s="2"/>
      <c r="T8" s="3"/>
      <c r="V8" s="3"/>
      <c r="AA8" s="3"/>
      <c r="AB8" s="3"/>
      <c r="AC8" s="3"/>
      <c r="AD8" s="3"/>
    </row>
    <row r="9" spans="1:30" x14ac:dyDescent="0.25">
      <c r="A9" s="3" t="s">
        <v>25</v>
      </c>
      <c r="B9" t="s">
        <v>24</v>
      </c>
      <c r="C9" t="s">
        <v>341</v>
      </c>
      <c r="D9" s="2">
        <v>45695</v>
      </c>
      <c r="E9">
        <v>3.8413110000000001</v>
      </c>
      <c r="F9" s="14">
        <v>45919</v>
      </c>
      <c r="G9" s="4">
        <v>4.8899999999999997</v>
      </c>
      <c r="H9" s="3">
        <f t="shared" si="3"/>
        <v>0.27300288885747581</v>
      </c>
      <c r="I9">
        <f t="shared" si="4"/>
        <v>32366.970304775976</v>
      </c>
      <c r="J9" s="3">
        <f t="shared" si="5"/>
        <v>0.27100288885747581</v>
      </c>
      <c r="K9">
        <v>31092</v>
      </c>
      <c r="N9" s="4"/>
      <c r="P9" s="11"/>
      <c r="Q9" s="12"/>
      <c r="R9" s="2"/>
      <c r="T9" s="3"/>
      <c r="V9" s="3"/>
      <c r="AA9" s="3"/>
      <c r="AB9" s="3"/>
      <c r="AC9" s="3"/>
      <c r="AD9" s="3"/>
    </row>
    <row r="10" spans="1:30" x14ac:dyDescent="0.25">
      <c r="A10" s="3" t="s">
        <v>118</v>
      </c>
      <c r="B10" t="s">
        <v>162</v>
      </c>
      <c r="C10" t="s">
        <v>341</v>
      </c>
      <c r="D10" s="2">
        <v>45639</v>
      </c>
      <c r="E10">
        <v>13.27768</v>
      </c>
      <c r="F10" s="14">
        <v>45919</v>
      </c>
      <c r="G10" s="4">
        <v>21.86</v>
      </c>
      <c r="H10" s="3">
        <f t="shared" si="3"/>
        <v>0.64637195654662549</v>
      </c>
      <c r="I10">
        <f t="shared" si="4"/>
        <v>74691.825307199979</v>
      </c>
      <c r="J10" s="3">
        <f t="shared" si="5"/>
        <v>0.64437195654662549</v>
      </c>
      <c r="K10">
        <v>8730</v>
      </c>
      <c r="N10" s="4"/>
      <c r="P10" s="11"/>
      <c r="Q10" s="12"/>
      <c r="R10" s="2"/>
      <c r="T10" s="3"/>
      <c r="V10" s="3"/>
      <c r="AA10" s="3"/>
      <c r="AB10" s="3"/>
      <c r="AC10" s="3"/>
      <c r="AD10" s="3"/>
    </row>
    <row r="11" spans="1:30" x14ac:dyDescent="0.25">
      <c r="A11" s="3" t="s">
        <v>137</v>
      </c>
      <c r="B11" t="s">
        <v>163</v>
      </c>
      <c r="C11" t="s">
        <v>341</v>
      </c>
      <c r="D11" s="2">
        <v>45499</v>
      </c>
      <c r="E11">
        <v>3.696536</v>
      </c>
      <c r="F11" s="14">
        <v>45919</v>
      </c>
      <c r="G11" s="4">
        <v>4.83</v>
      </c>
      <c r="H11" s="3">
        <f t="shared" si="3"/>
        <v>0.30662869237578105</v>
      </c>
      <c r="I11">
        <f t="shared" si="4"/>
        <v>33904.869571152005</v>
      </c>
      <c r="J11" s="3">
        <f t="shared" si="5"/>
        <v>0.30462869237578105</v>
      </c>
      <c r="K11">
        <v>30109</v>
      </c>
      <c r="N11" s="4"/>
      <c r="P11" s="11"/>
      <c r="Q11" s="12"/>
      <c r="R11" s="2"/>
      <c r="T11" s="3"/>
      <c r="V11" s="3"/>
      <c r="AA11" s="3"/>
      <c r="AB11" s="3"/>
      <c r="AC11" s="3"/>
      <c r="AD11" s="3"/>
    </row>
    <row r="12" spans="1:30" x14ac:dyDescent="0.25">
      <c r="A12" s="3" t="s">
        <v>115</v>
      </c>
      <c r="B12" t="s">
        <v>165</v>
      </c>
      <c r="C12" t="s">
        <v>341</v>
      </c>
      <c r="D12" s="2">
        <v>45282</v>
      </c>
      <c r="E12">
        <v>5.588908</v>
      </c>
      <c r="F12" s="14">
        <v>45919</v>
      </c>
      <c r="G12" s="4">
        <v>7.09</v>
      </c>
      <c r="H12" s="3">
        <f t="shared" si="3"/>
        <v>0.26858413128289094</v>
      </c>
      <c r="I12">
        <f t="shared" si="4"/>
        <v>29199.338178031991</v>
      </c>
      <c r="J12" s="3">
        <f t="shared" si="5"/>
        <v>0.26658413128289093</v>
      </c>
      <c r="K12">
        <v>19598</v>
      </c>
      <c r="N12" s="4"/>
      <c r="P12" s="11"/>
      <c r="Q12" s="12"/>
      <c r="R12" s="2"/>
      <c r="T12" s="3"/>
      <c r="V12" s="3"/>
      <c r="AA12" s="3"/>
      <c r="AB12" s="3"/>
      <c r="AC12" s="3"/>
      <c r="AD12" s="3"/>
    </row>
    <row r="13" spans="1:30" x14ac:dyDescent="0.25">
      <c r="A13" s="3" t="s">
        <v>138</v>
      </c>
      <c r="B13" t="s">
        <v>169</v>
      </c>
      <c r="C13" t="s">
        <v>341</v>
      </c>
      <c r="D13" s="2">
        <v>45275</v>
      </c>
      <c r="E13">
        <v>2.2089750000000001</v>
      </c>
      <c r="F13" s="14">
        <v>45919</v>
      </c>
      <c r="G13">
        <v>2.36</v>
      </c>
      <c r="H13" s="3">
        <f t="shared" si="3"/>
        <v>6.8368813590013344E-2</v>
      </c>
      <c r="I13">
        <f t="shared" si="4"/>
        <v>7250.4516577499871</v>
      </c>
      <c r="J13" s="3">
        <f t="shared" si="5"/>
        <v>6.6368813590013342E-2</v>
      </c>
      <c r="K13">
        <v>49455</v>
      </c>
      <c r="P13" s="11"/>
      <c r="Q13" s="12"/>
      <c r="R13" s="2"/>
      <c r="T13" s="3"/>
      <c r="V13" s="3"/>
      <c r="AA13" s="3"/>
      <c r="AB13" s="3"/>
      <c r="AC13" s="3"/>
      <c r="AD13" s="3"/>
    </row>
    <row r="14" spans="1:30" x14ac:dyDescent="0.25">
      <c r="A14" s="3" t="s">
        <v>40</v>
      </c>
      <c r="B14" t="s">
        <v>39</v>
      </c>
      <c r="C14" t="s">
        <v>342</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171</v>
      </c>
      <c r="C15" t="s">
        <v>342</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172</v>
      </c>
      <c r="C16" t="s">
        <v>342</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173</v>
      </c>
      <c r="C17" t="s">
        <v>342</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174</v>
      </c>
      <c r="C18" t="s">
        <v>342</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175</v>
      </c>
      <c r="C19" t="s">
        <v>342</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176</v>
      </c>
      <c r="C20" t="s">
        <v>342</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133</v>
      </c>
      <c r="C21" t="s">
        <v>342</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177</v>
      </c>
      <c r="C22" t="s">
        <v>342</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178</v>
      </c>
      <c r="C23" t="s">
        <v>342</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139</v>
      </c>
      <c r="B24" t="s">
        <v>179</v>
      </c>
      <c r="C24" t="s">
        <v>342</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180</v>
      </c>
      <c r="C25" t="s">
        <v>342</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140</v>
      </c>
      <c r="B26" t="s">
        <v>181</v>
      </c>
      <c r="C26" t="s">
        <v>342</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182</v>
      </c>
      <c r="C27" t="s">
        <v>342</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183</v>
      </c>
      <c r="C28" t="s">
        <v>342</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184</v>
      </c>
      <c r="C29" t="s">
        <v>342</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292</v>
      </c>
      <c r="B30" t="s">
        <v>185</v>
      </c>
      <c r="C30" t="s">
        <v>342</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186</v>
      </c>
      <c r="C31" t="s">
        <v>342</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173</v>
      </c>
      <c r="C32" t="s">
        <v>342</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141</v>
      </c>
      <c r="B33" t="s">
        <v>187</v>
      </c>
      <c r="C33" t="s">
        <v>342</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142</v>
      </c>
      <c r="B34" t="s">
        <v>188</v>
      </c>
      <c r="C34" t="s">
        <v>342</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136</v>
      </c>
      <c r="B35" t="s">
        <v>159</v>
      </c>
      <c r="C35" t="s">
        <v>342</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189</v>
      </c>
      <c r="C36" t="s">
        <v>342</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190</v>
      </c>
      <c r="C37" t="s">
        <v>342</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191</v>
      </c>
      <c r="C38" t="s">
        <v>342</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184</v>
      </c>
      <c r="C39" t="s">
        <v>342</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143</v>
      </c>
      <c r="B40" t="s">
        <v>192</v>
      </c>
      <c r="C40" t="s">
        <v>342</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193</v>
      </c>
      <c r="C41" t="s">
        <v>342</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178</v>
      </c>
      <c r="C42" t="s">
        <v>342</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194</v>
      </c>
      <c r="C43" t="s">
        <v>342</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133</v>
      </c>
      <c r="C44" t="s">
        <v>342</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144</v>
      </c>
      <c r="B45" t="s">
        <v>195</v>
      </c>
      <c r="C45" t="s">
        <v>342</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196</v>
      </c>
      <c r="C46" t="s">
        <v>342</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145</v>
      </c>
      <c r="B47" t="s">
        <v>197</v>
      </c>
      <c r="C47" t="s">
        <v>342</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198</v>
      </c>
      <c r="C48" t="s">
        <v>342</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199</v>
      </c>
      <c r="C49" t="s">
        <v>342</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176</v>
      </c>
      <c r="C50" t="s">
        <v>342</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146</v>
      </c>
      <c r="B51" t="s">
        <v>200</v>
      </c>
      <c r="C51" t="s">
        <v>342</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201</v>
      </c>
      <c r="C52" t="s">
        <v>342</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202</v>
      </c>
      <c r="C53" t="s">
        <v>342</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198</v>
      </c>
      <c r="C54" t="s">
        <v>342</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203</v>
      </c>
      <c r="C55" t="s">
        <v>342</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293</v>
      </c>
      <c r="B56" t="s">
        <v>204</v>
      </c>
      <c r="C56" t="s">
        <v>342</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294</v>
      </c>
      <c r="B57" t="s">
        <v>205</v>
      </c>
      <c r="C57" t="s">
        <v>342</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342</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180</v>
      </c>
      <c r="C59" t="s">
        <v>342</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139</v>
      </c>
      <c r="B60" t="s">
        <v>179</v>
      </c>
      <c r="C60" t="s">
        <v>342</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206</v>
      </c>
      <c r="C61" t="s">
        <v>342</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147</v>
      </c>
      <c r="B62" t="s">
        <v>207</v>
      </c>
      <c r="C62" t="s">
        <v>342</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295</v>
      </c>
      <c r="B63" t="s">
        <v>208</v>
      </c>
      <c r="C63" t="s">
        <v>342</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209</v>
      </c>
      <c r="C64" t="s">
        <v>342</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182</v>
      </c>
      <c r="C65" t="s">
        <v>342</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210</v>
      </c>
      <c r="C66" t="s">
        <v>342</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211</v>
      </c>
      <c r="C67" t="s">
        <v>342</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212</v>
      </c>
      <c r="C68" t="s">
        <v>342</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145</v>
      </c>
      <c r="B69" t="s">
        <v>197</v>
      </c>
      <c r="C69" t="s">
        <v>342</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133</v>
      </c>
      <c r="C70" t="s">
        <v>342</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203</v>
      </c>
      <c r="C71" t="s">
        <v>342</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136</v>
      </c>
      <c r="B72" t="s">
        <v>159</v>
      </c>
      <c r="C72" t="s">
        <v>342</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213</v>
      </c>
      <c r="C73" t="s">
        <v>342</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296</v>
      </c>
      <c r="B74" t="s">
        <v>214</v>
      </c>
      <c r="C74" t="s">
        <v>342</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215</v>
      </c>
      <c r="C75" t="s">
        <v>342</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182</v>
      </c>
      <c r="C76" t="s">
        <v>342</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216</v>
      </c>
      <c r="C77" t="s">
        <v>342</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293</v>
      </c>
      <c r="B78" t="s">
        <v>204</v>
      </c>
      <c r="C78" t="s">
        <v>342</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217</v>
      </c>
      <c r="C79" t="s">
        <v>342</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218</v>
      </c>
      <c r="C80" t="s">
        <v>342</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176</v>
      </c>
      <c r="C81" t="s">
        <v>342</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143</v>
      </c>
      <c r="B82" t="s">
        <v>192</v>
      </c>
      <c r="C82" t="s">
        <v>342</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219</v>
      </c>
      <c r="C83" t="s">
        <v>342</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220</v>
      </c>
      <c r="C84" t="s">
        <v>342</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221</v>
      </c>
      <c r="C85" t="s">
        <v>342</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210</v>
      </c>
      <c r="C86" t="s">
        <v>342</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222</v>
      </c>
      <c r="C87" t="s">
        <v>342</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223</v>
      </c>
      <c r="C88" t="s">
        <v>342</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297</v>
      </c>
      <c r="B89" t="s">
        <v>224</v>
      </c>
      <c r="C89" t="s">
        <v>342</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133</v>
      </c>
      <c r="C90" t="s">
        <v>342</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196</v>
      </c>
      <c r="C91" t="s">
        <v>342</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148</v>
      </c>
      <c r="B92" t="s">
        <v>225</v>
      </c>
      <c r="C92" t="s">
        <v>342</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226</v>
      </c>
      <c r="C93" t="s">
        <v>342</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298</v>
      </c>
      <c r="B94" t="s">
        <v>227</v>
      </c>
      <c r="C94" t="s">
        <v>342</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149</v>
      </c>
      <c r="B95" t="s">
        <v>228</v>
      </c>
      <c r="C95" t="s">
        <v>342</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150</v>
      </c>
      <c r="B96" t="s">
        <v>229</v>
      </c>
      <c r="C96" t="s">
        <v>342</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230</v>
      </c>
      <c r="C97" t="s">
        <v>342</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209</v>
      </c>
      <c r="C98" t="s">
        <v>342</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201</v>
      </c>
      <c r="C99" t="s">
        <v>342</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231</v>
      </c>
      <c r="C100" t="s">
        <v>342</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232</v>
      </c>
      <c r="C101" t="s">
        <v>342</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297</v>
      </c>
      <c r="B102" t="s">
        <v>224</v>
      </c>
      <c r="C102" t="s">
        <v>342</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151</v>
      </c>
      <c r="B103" t="s">
        <v>233</v>
      </c>
      <c r="C103" t="s">
        <v>342</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152</v>
      </c>
      <c r="B104" t="s">
        <v>234</v>
      </c>
      <c r="C104" t="s">
        <v>342</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299</v>
      </c>
      <c r="B105" t="s">
        <v>235</v>
      </c>
      <c r="C105" t="s">
        <v>342</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236</v>
      </c>
      <c r="C106" t="s">
        <v>342</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153</v>
      </c>
      <c r="B107" t="s">
        <v>237</v>
      </c>
      <c r="C107" t="s">
        <v>342</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238</v>
      </c>
      <c r="C108" t="s">
        <v>342</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152</v>
      </c>
      <c r="B109" t="s">
        <v>234</v>
      </c>
      <c r="C109" t="s">
        <v>342</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300</v>
      </c>
      <c r="B110" t="s">
        <v>239</v>
      </c>
      <c r="C110" t="s">
        <v>342</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301</v>
      </c>
      <c r="B111" t="s">
        <v>240</v>
      </c>
      <c r="C111" t="s">
        <v>342</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154</v>
      </c>
      <c r="B112" t="s">
        <v>241</v>
      </c>
      <c r="C112" t="s">
        <v>342</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199</v>
      </c>
      <c r="C113" t="s">
        <v>342</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176</v>
      </c>
      <c r="C114" t="s">
        <v>342</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302</v>
      </c>
      <c r="B115" t="s">
        <v>242</v>
      </c>
      <c r="C115" t="s">
        <v>342</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243</v>
      </c>
      <c r="C116" t="s">
        <v>342</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141</v>
      </c>
      <c r="B117" t="s">
        <v>187</v>
      </c>
      <c r="C117" t="s">
        <v>342</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230</v>
      </c>
      <c r="C118" t="s">
        <v>342</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303</v>
      </c>
      <c r="B119" t="s">
        <v>244</v>
      </c>
      <c r="C119" t="s">
        <v>342</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147</v>
      </c>
      <c r="B120" t="s">
        <v>207</v>
      </c>
      <c r="C120" t="s">
        <v>342</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297</v>
      </c>
      <c r="B121" t="s">
        <v>224</v>
      </c>
      <c r="C121" t="s">
        <v>342</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304</v>
      </c>
      <c r="B122" t="s">
        <v>245</v>
      </c>
      <c r="C122" t="s">
        <v>342</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246</v>
      </c>
      <c r="C123" t="s">
        <v>342</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295</v>
      </c>
      <c r="B124" t="s">
        <v>208</v>
      </c>
      <c r="C124" t="s">
        <v>342</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296</v>
      </c>
      <c r="B125" t="s">
        <v>214</v>
      </c>
      <c r="C125" t="s">
        <v>342</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230</v>
      </c>
      <c r="C126" t="s">
        <v>342</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305</v>
      </c>
      <c r="B127" t="s">
        <v>247</v>
      </c>
      <c r="C127" t="s">
        <v>342</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306</v>
      </c>
      <c r="B128" t="s">
        <v>248</v>
      </c>
      <c r="C128" t="s">
        <v>342</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221</v>
      </c>
      <c r="C129" t="s">
        <v>342</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155</v>
      </c>
      <c r="B130" t="s">
        <v>249</v>
      </c>
      <c r="C130" t="s">
        <v>342</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176</v>
      </c>
      <c r="C131" t="s">
        <v>342</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231</v>
      </c>
      <c r="C132" t="s">
        <v>342</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250</v>
      </c>
      <c r="C133" t="s">
        <v>342</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307</v>
      </c>
      <c r="B134" t="s">
        <v>251</v>
      </c>
      <c r="C134" t="s">
        <v>342</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226</v>
      </c>
      <c r="C135" t="s">
        <v>342</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308</v>
      </c>
      <c r="B136" t="s">
        <v>252</v>
      </c>
      <c r="C136" t="s">
        <v>342</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309</v>
      </c>
      <c r="B137" t="s">
        <v>253</v>
      </c>
      <c r="C137" t="s">
        <v>342</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310</v>
      </c>
      <c r="B138" t="s">
        <v>254</v>
      </c>
      <c r="C138" t="s">
        <v>342</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173</v>
      </c>
      <c r="C139" t="s">
        <v>342</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162</v>
      </c>
      <c r="C140" t="s">
        <v>342</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311</v>
      </c>
      <c r="B141" t="s">
        <v>255</v>
      </c>
      <c r="C141" t="s">
        <v>342</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137</v>
      </c>
      <c r="B142" t="s">
        <v>163</v>
      </c>
      <c r="C142" t="s">
        <v>342</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223</v>
      </c>
      <c r="C143" t="s">
        <v>342</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256</v>
      </c>
      <c r="C144" t="s">
        <v>342</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257</v>
      </c>
      <c r="C145" t="s">
        <v>342</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312</v>
      </c>
      <c r="B146" t="s">
        <v>258</v>
      </c>
      <c r="C146" t="s">
        <v>342</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310</v>
      </c>
      <c r="B147" t="s">
        <v>254</v>
      </c>
      <c r="C147" t="s">
        <v>342</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294</v>
      </c>
      <c r="B148" t="s">
        <v>205</v>
      </c>
      <c r="C148" t="s">
        <v>342</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313</v>
      </c>
      <c r="B149" t="s">
        <v>259</v>
      </c>
      <c r="C149" t="s">
        <v>342</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156</v>
      </c>
      <c r="B150" t="s">
        <v>260</v>
      </c>
      <c r="C150" t="s">
        <v>342</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223</v>
      </c>
      <c r="C151" t="s">
        <v>342</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213</v>
      </c>
      <c r="C152" t="s">
        <v>342</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223</v>
      </c>
      <c r="C153" t="s">
        <v>342</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246</v>
      </c>
      <c r="C154" t="s">
        <v>342</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157</v>
      </c>
      <c r="B155" t="s">
        <v>261</v>
      </c>
      <c r="C155" t="s">
        <v>342</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314</v>
      </c>
      <c r="B156" t="s">
        <v>262</v>
      </c>
      <c r="C156" t="s">
        <v>342</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315</v>
      </c>
      <c r="B157" t="s">
        <v>263</v>
      </c>
      <c r="C157" t="s">
        <v>342</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316</v>
      </c>
      <c r="B158" t="s">
        <v>264</v>
      </c>
      <c r="C158" t="s">
        <v>342</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317</v>
      </c>
      <c r="B159" t="s">
        <v>265</v>
      </c>
      <c r="C159" t="s">
        <v>342</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158</v>
      </c>
      <c r="B160" t="s">
        <v>266</v>
      </c>
      <c r="C160" t="s">
        <v>342</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318</v>
      </c>
      <c r="B161" t="s">
        <v>267</v>
      </c>
      <c r="C161" t="s">
        <v>342</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319</v>
      </c>
      <c r="B162" t="s">
        <v>268</v>
      </c>
      <c r="C162" t="s">
        <v>342</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320</v>
      </c>
      <c r="B163" t="s">
        <v>269</v>
      </c>
      <c r="C163" t="s">
        <v>342</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270</v>
      </c>
      <c r="C164" t="s">
        <v>342</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321</v>
      </c>
      <c r="B165" t="s">
        <v>271</v>
      </c>
      <c r="C165" t="s">
        <v>342</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154</v>
      </c>
      <c r="B166" t="s">
        <v>241</v>
      </c>
      <c r="C166" t="s">
        <v>342</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322</v>
      </c>
      <c r="B167" t="s">
        <v>272</v>
      </c>
      <c r="C167" t="s">
        <v>342</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323</v>
      </c>
      <c r="B168" t="s">
        <v>273</v>
      </c>
      <c r="C168" t="s">
        <v>342</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342</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324</v>
      </c>
      <c r="B170" t="s">
        <v>274</v>
      </c>
      <c r="C170" t="s">
        <v>342</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325</v>
      </c>
      <c r="B171" t="s">
        <v>275</v>
      </c>
      <c r="C171" t="s">
        <v>342</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326</v>
      </c>
      <c r="B172" t="s">
        <v>276</v>
      </c>
      <c r="C172" t="s">
        <v>342</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327</v>
      </c>
      <c r="B173" t="s">
        <v>277</v>
      </c>
      <c r="C173" t="s">
        <v>342</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328</v>
      </c>
      <c r="B174" t="s">
        <v>278</v>
      </c>
      <c r="C174" t="s">
        <v>342</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321</v>
      </c>
      <c r="B175" t="s">
        <v>271</v>
      </c>
      <c r="C175" t="s">
        <v>342</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329</v>
      </c>
      <c r="B176" t="s">
        <v>279</v>
      </c>
      <c r="C176" t="s">
        <v>342</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318</v>
      </c>
      <c r="B177" t="s">
        <v>267</v>
      </c>
      <c r="C177" t="s">
        <v>342</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330</v>
      </c>
      <c r="B178" t="s">
        <v>280</v>
      </c>
      <c r="C178" t="s">
        <v>342</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327</v>
      </c>
      <c r="B179" t="s">
        <v>277</v>
      </c>
      <c r="C179" t="s">
        <v>342</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281</v>
      </c>
      <c r="C180" t="s">
        <v>342</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331</v>
      </c>
      <c r="B181" t="s">
        <v>282</v>
      </c>
      <c r="C181" t="s">
        <v>342</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332</v>
      </c>
      <c r="B182" t="s">
        <v>283</v>
      </c>
      <c r="C182" t="s">
        <v>342</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333</v>
      </c>
      <c r="B183" t="s">
        <v>284</v>
      </c>
      <c r="C183" t="s">
        <v>342</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334</v>
      </c>
      <c r="B184" t="s">
        <v>285</v>
      </c>
      <c r="C184" t="s">
        <v>342</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335</v>
      </c>
      <c r="B185" t="s">
        <v>286</v>
      </c>
      <c r="C185" t="s">
        <v>342</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323</v>
      </c>
      <c r="B186" t="s">
        <v>273</v>
      </c>
      <c r="C186" t="s">
        <v>342</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336</v>
      </c>
      <c r="B187" t="s">
        <v>287</v>
      </c>
      <c r="C187" t="s">
        <v>342</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337</v>
      </c>
      <c r="B188" t="s">
        <v>288</v>
      </c>
      <c r="C188" t="s">
        <v>342</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334</v>
      </c>
      <c r="B189" t="s">
        <v>285</v>
      </c>
      <c r="C189" t="s">
        <v>342</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176</v>
      </c>
      <c r="C190" t="s">
        <v>342</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338</v>
      </c>
      <c r="B191" t="s">
        <v>289</v>
      </c>
      <c r="C191" t="s">
        <v>342</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156</v>
      </c>
      <c r="B192" t="s">
        <v>260</v>
      </c>
      <c r="C192" t="s">
        <v>342</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339</v>
      </c>
      <c r="B193" t="s">
        <v>290</v>
      </c>
      <c r="C193" t="s">
        <v>342</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340</v>
      </c>
      <c r="B194" t="s">
        <v>291</v>
      </c>
      <c r="C194" t="s">
        <v>342</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223</v>
      </c>
      <c r="C195" t="s">
        <v>342</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L36" sqref="L36"/>
    </sheetView>
  </sheetViews>
  <sheetFormatPr defaultRowHeight="15" x14ac:dyDescent="0.25"/>
  <cols>
    <col min="9" max="9" width="9.28515625" customWidth="1"/>
    <col min="14" max="14" width="9.28515625" customWidth="1"/>
    <col min="28" max="28" width="10.5703125" customWidth="1"/>
  </cols>
  <sheetData>
    <row r="1" spans="1:29" x14ac:dyDescent="0.25">
      <c r="A1" t="s">
        <v>355</v>
      </c>
      <c r="B1" t="s">
        <v>356</v>
      </c>
      <c r="C1" t="s">
        <v>357</v>
      </c>
      <c r="D1" t="s">
        <v>358</v>
      </c>
      <c r="E1" t="s">
        <v>359</v>
      </c>
      <c r="F1" t="s">
        <v>360</v>
      </c>
      <c r="G1" t="s">
        <v>361</v>
      </c>
      <c r="H1" t="s">
        <v>362</v>
      </c>
      <c r="I1" t="s">
        <v>363</v>
      </c>
      <c r="J1" t="s">
        <v>364</v>
      </c>
      <c r="K1" t="s">
        <v>365</v>
      </c>
      <c r="L1" t="s">
        <v>366</v>
      </c>
      <c r="M1" t="s">
        <v>367</v>
      </c>
      <c r="N1" t="s">
        <v>368</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t="s">
        <v>369</v>
      </c>
      <c r="K27" t="s">
        <v>369</v>
      </c>
      <c r="L27" t="s">
        <v>369</v>
      </c>
      <c r="M27" t="s">
        <v>369</v>
      </c>
      <c r="N27" s="3">
        <v>4.005285275282966E-2</v>
      </c>
      <c r="O27" s="3"/>
      <c r="AB27" s="3"/>
      <c r="AC27" s="11"/>
    </row>
    <row r="28" spans="1:29" x14ac:dyDescent="0.25">
      <c r="A28" t="s">
        <v>370</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2.7999999999999991E-3</v>
      </c>
      <c r="K28" s="3">
        <v>8.8400000000000006E-3</v>
      </c>
      <c r="L28" s="3">
        <v>5.7600000000000004E-3</v>
      </c>
      <c r="M28" s="3">
        <v>2.4800000000000003E-2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51"/>
  <sheetViews>
    <sheetView topLeftCell="A1308" workbookViewId="0">
      <selection activeCell="K1339" sqref="K1339"/>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373</v>
      </c>
      <c r="B1" s="7" t="s">
        <v>341</v>
      </c>
      <c r="C1" s="7" t="s">
        <v>374</v>
      </c>
      <c r="D1" s="7" t="s">
        <v>375</v>
      </c>
      <c r="E1" s="7" t="s">
        <v>376</v>
      </c>
      <c r="F1" s="7" t="s">
        <v>377</v>
      </c>
      <c r="G1" s="7" t="s">
        <v>378</v>
      </c>
      <c r="H1" s="7" t="s">
        <v>430</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H1350*(E1351/E1350)</f>
        <v>291423.56287623238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2025-09-26T01:17:25Z</dcterms:modified>
</cp:coreProperties>
</file>