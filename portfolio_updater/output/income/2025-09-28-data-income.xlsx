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C026764C-6AB0-4BB5-846F-762037345186}"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3" i="5" l="1"/>
  <c r="E1353" i="5" s="1"/>
  <c r="H1351" i="8"/>
  <c r="H1352" i="8" s="1"/>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C2" i="4"/>
  <c r="K4" i="3"/>
  <c r="K5" i="3"/>
  <c r="K6" i="3"/>
  <c r="K7" i="3"/>
  <c r="K2" i="3"/>
  <c r="D1344" i="5"/>
  <c r="E1344" i="5" s="1"/>
  <c r="A1344" i="5"/>
  <c r="D1343" i="5"/>
  <c r="E1343" i="5" s="1"/>
  <c r="H14" i="6"/>
  <c r="J14" i="6"/>
  <c r="I14" i="6" s="1"/>
  <c r="H2" i="6"/>
  <c r="J2" i="6" s="1"/>
  <c r="I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<sst xmlns="http://schemas.openxmlformats.org/spreadsheetml/2006/main" count="1033" uniqueCount="508">
  <si>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</si>
  <si>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</si>
  <si>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</si>
  <si>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</si>
  <si>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</si>
  <si>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</si>
  <si>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</si>
  <si>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</si>
  <si>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</si>
  <si>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</si>
  <si>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</si>
  <si>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</si>
  <si>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</si>
  <si>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</si>
  <si>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</si>
  <si>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</si>
  <si>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</si>
  <si>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</si>
  <si>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</si>
  <si>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</si>
  <si>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</si>
  <si>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</si>
  <si>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</si>
  <si>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</si>
  <si>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</si>
  <si>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</si>
  <si>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</si>
  <si>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</si>
  <si>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</si>
  <si>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</si>
  <si>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</si>
  <si>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</si>
  <si>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</si>
  <si>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</si>
  <si>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</si>
  <si>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</si>
  <si>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</si>
  <si>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</si>
  <si>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</si>
  <si>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</si>
  <si>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</si>
  <si>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</si>
  <si>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</si>
  <si>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</si>
  <si>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</si>
  <si>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</si>
  <si>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</si>
  <si>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</si>
  <si>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</si>
  <si>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</si>
  <si>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</si>
  <si>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</si>
  <si>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</si>
  <si>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</si>
  <si>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</si>
  <si>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</si>
  <si>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</si>
  <si>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</si>
  <si>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</si>
  <si>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</si>
  <si>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</si>
  <si>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</si>
  <si>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</si>
  <si>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</si>
  <si>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</si>
  <si>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</si>
  <si>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</si>
  <si>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</si>
  <si>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</si>
  <si>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</si>
  <si>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</si>
  <si>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</si>
  <si>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</si>
  <si>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</si>
  <si>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</si>
  <si>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</si>
  <si>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</si>
  <si>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</si>
  <si>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</si>
  <si>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</si>
  <si>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</si>
  <si>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</si>
  <si>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</si>
  <si>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</si>
  <si>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</si>
  <si>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</si>
  <si>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</si>
  <si>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</si>
  <si>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</si>
  <si>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</si>
  <si>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</si>
  <si>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</si>
  <si>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</si>
  <si>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</si>
  <si>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</si>
  <si>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</si>
  <si>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</si>
  <si>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</si>
  <si>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</si>
  <si>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</si>
  <si>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</si>
  <si>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</si>
  <si>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</si>
  <si>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</si>
  <si>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</si>
  <si>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</si>
  <si>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</si>
  <si>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</si>
  <si>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</si>
  <si>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</si>
  <si>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</si>
  <si>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</si>
  <si>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</si>
  <si>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</si>
  <si>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</si>
  <si>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</si>
  <si>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</si>
  <si>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</si>
  <si>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</si>
  <si>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</si>
  <si>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</si>
  <si>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</si>
  <si>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</si>
  <si>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</si>
  <si>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</si>
  <si>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</si>
  <si>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</si>
  <si>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</si>
  <si>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</si>
  <si>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</si>
  <si>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</si>
  <si>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</si>
  <si>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</si>
  <si>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</si>
  <si>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</si>
  <si>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</si>
  <si>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</si>
  <si>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</si>
  <si>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</si>
  <si>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</si>
  <si>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</si>
  <si>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</si>
  <si>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</si>
  <si>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</si>
  <si>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</si>
  <si>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</si>
  <si>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</si>
  <si>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</si>
  <si>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</si>
  <si>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</si>
  <si>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</si>
  <si>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</si>
  <si>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</si>
  <si>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</si>
  <si>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</si>
  <si>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</si>
  <si>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</si>
  <si>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</si>
  <si>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</si>
  <si>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</si>
  <si>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</si>
  <si>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</si>
  <si>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</si>
  <si>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</si>
  <si>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</si>
  <si>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</si>
  <si>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</si>
  <si>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</si>
  <si>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</si>
  <si>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</si>
  <si>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</si>
  <si>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</si>
  <si>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</si>
  <si>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</si>
  <si>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</si>
  <si>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</si>
  <si>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</si>
  <si>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</si>
  <si>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</si>
  <si>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</si>
  <si>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</si>
  <si>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</si>
  <si>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</si>
  <si>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</si>
  <si>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</si>
  <si>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</si>
  <si>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</si>
  <si>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</si>
  <si>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</si>
  <si>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</si>
  <si>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</si>
  <si>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</si>
  <si>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</si>
  <si>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</si>
  <si>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</si>
  <si>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</si>
  <si>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</si>
  <si>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</si>
  <si>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</si>
  <si>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</si>
  <si>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</si>
  <si>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</si>
  <si>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</si>
  <si>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</si>
  <si>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</si>
  <si>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</si>
  <si>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</si>
  <si>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</si>
  <si>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</si>
  <si>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</si>
  <si>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</si>
  <si>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</si>
  <si>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</si>
  <si>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</si>
  <si>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</si>
  <si>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</si>
  <si>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</si>
  <si>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</si>
  <si>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</si>
  <si>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</si>
  <si>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</si>
  <si>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</si>
  <si>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</si>
  <si>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</si>
  <si>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</si>
  <si>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</si>
  <si>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</si>
  <si>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</si>
  <si>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</si>
  <si>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</si>
  <si>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</si>
  <si>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</si>
  <si>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</si>
  <si>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</si>
  <si>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</si>
  <si>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</si>
  <si>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</si>
  <si>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</si>
  <si>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</si>
  <si>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</si>
  <si>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</si>
  <si>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</si>
  <si>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</si>
  <si>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</si>
  <si>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</si>
  <si>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</si>
  <si>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</si>
  <si>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</si>
  <si>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</si>
  <si>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</si>
  <si>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</si>
  <si>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</si>
  <si>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</si>
  <si>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</si>
  <si>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</si>
  <si>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</si>
  <si>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</si>
  <si>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</si>
  <si>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</si>
  <si>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</si>
  <si>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</si>
  <si>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</si>
  <si>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</si>
  <si>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</si>
  <si>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</si>
  <si>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</si>
  <si>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</si>
  <si>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</si>
  <si>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</si>
  <si>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</si>
  <si>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</si>
  <si>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</si>
  <si>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</si>
  <si>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</si>
  <si>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</si>
  <si>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</si>
  <si>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</si>
  <si>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</si>
  <si>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</si>
  <si>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</si>
  <si>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</si>
  <si>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</si>
  <si>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</si>
  <si>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</si>
  <si>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</si>
  <si>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</si>
  <si>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</si>
  <si>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</si>
  <si>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</si>
  <si>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</si>
  <si>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</si>
  <si>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</si>
  <si>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</si>
  <si>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</si>
  <si>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</si>
  <si>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</si>
  <si>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</si>
  <si>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</si>
  <si>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</si>
  <si>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</si>
  <si>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</si>
  <si>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</si>
  <si>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</si>
  <si>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</si>
  <si>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</si>
  <si>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</si>
  <si>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</si>
  <si>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</si>
  <si>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</si>
  <si>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</si>
  <si>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</si>
  <si>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</si>
  <si>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</si>
  <si>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</si>
  <si>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</si>
  <si>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</si>
  <si>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</si>
  <si>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</si>
  <si>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</si>
  <si>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</si>
  <si>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</si>
  <si>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</si>
  <si>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</si>
  <si>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</si>
  <si>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</si>
  <si>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</si>
  <si>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</si>
  <si>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</si>
  <si>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</si>
  <si>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</si>
  <si>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</si>
  <si>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</si>
  <si>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</si>
  <si>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</si>
  <si>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</si>
  <si>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</si>
  <si>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</si>
  <si>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</si>
  <si>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</si>
  <si>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</si>
  <si>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</si>
  <si>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</si>
  <si>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</si>
  <si>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</si>
  <si>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</si>
  <si>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</si>
  <si>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</si>
  <si>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</si>
  <si>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</si>
  <si>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</si>
  <si>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</si>
  <si>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</si>
  <si>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</si>
  <si>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</si>
  <si>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</si>
  <si>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</si>
  <si>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</si>
  <si>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</si>
  <si>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</si>
  <si>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</si>
  <si>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</si>
  <si>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</si>
  <si>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</si>
  <si>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</si>
  <si>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</si>
  <si>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</si>
  <si>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</si>
  <si>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</si>
  <si>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</si>
  <si>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</si>
  <si>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</si>
  <si>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</si>
  <si>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</si>
  <si>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</si>
  <si>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</si>
  <si>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</si>
  <si>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</si>
  <si>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</si>
  <si>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</si>
  <si>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</si>
  <si>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</si>
  <si>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</si>
  <si>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</si>
  <si>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</si>
  <si>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</si>
  <si>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</si>
  <si>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</si>
  <si>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</si>
  <si>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</si>
  <si>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</si>
  <si>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</si>
  <si>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</si>
  <si>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</si>
  <si>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</si>
  <si>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</si>
  <si>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</si>
  <si>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</si>
  <si>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</si>
  <si>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</si>
  <si>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</si>
  <si>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</si>
  <si>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</si>
  <si>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</si>
  <si>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</si>
  <si>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</si>
  <si>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</si>
  <si>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</si>
  <si>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</si>
  <si>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</si>
  <si>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</si>
  <si>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</si>
  <si>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</si>
  <si>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</si>
  <si>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</si>
  <si>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</si>
  <si>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</si>
  <si>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</si>
  <si>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</si>
  <si>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</si>
  <si>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</si>
  <si>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</si>
  <si>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</si>
  <si>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</si>
  <si>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</si>
  <si>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</si>
  <si>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</si>
  <si>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</si>
  <si>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</si>
  <si>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</si>
  <si>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</si>
  <si>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</si>
  <si>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</si>
  <si>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</si>
  <si>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</si>
  <si>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</si>
  <si>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</si>
  <si>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</si>
  <si>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</si>
  <si>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</si>
  <si>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</si>
  <si>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</si>
  <si>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</si>
  <si>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</si>
  <si>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</si>
  <si>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</si>
  <si>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</si>
  <si>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</si>
  <si>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</si>
  <si>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</si>
  <si>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</si>
  <si>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</si>
  <si>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</si>
  <si>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</si>
  <si>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</si>
  <si>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</si>
  <si>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</si>
  <si>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</si>
  <si>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</si>
  <si>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</si>
  <si>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</si>
  <si>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</si>
  <si>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</si>
  <si>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</si>
  <si>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</si>
  <si>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</si>
  <si>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</si>
  <si>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</si>
  <si>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</si>
  <si>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</si>
  <si>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</si>
  <si>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</si>
  <si>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</si>
  <si>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</si>
  <si>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</si>
  <si>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</si>
  <si>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</si>
  <si>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</si>
  <si>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</si>
  <si>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</si>
  <si>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</si>
  <si>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</si>
  <si>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</si>
  <si>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</si>
  <si>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</si>
  <si>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</si>
  <si>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$4.2B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</si>
  <si>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</si>
  <si>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</si>
  <si>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</si>
  <si>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$4.7B</t>
  </si>
  <si>
    <t>2.9x</t>
  </si>
  <si>
    <t>$11.6B</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</si>
  <si>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</si>
  <si>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9.6x</t>
  </si>
  <si>
    <t>13.2x</t>
  </si>
  <si>
    <t>$7.2B</t>
  </si>
  <si>
    <t>49.2x</t>
  </si>
  <si>
    <t>5.2x</t>
  </si>
  <si>
    <t>39.3x</t>
  </si>
  <si>
    <t>$9.0B</t>
  </si>
  <si>
    <t>67.9x</t>
  </si>
  <si>
    <t>32.6x</t>
  </si>
  <si>
    <t>$13.1B</t>
  </si>
  <si>
    <t>364.5x</t>
  </si>
  <si>
    <t>$55.4B</t>
  </si>
  <si>
    <t>42.2x</t>
  </si>
  <si>
    <t>8.4x</t>
  </si>
  <si>
    <t>30.1x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</si>
</sst>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430</v>
      </c>
    </row>
    <row r="2" spans="1:2" x14ac:dyDescent="0.25">
      <c r="A2" t="s">
        <v>431</v>
      </c>
      <c r="B2" s="9" t="s">
        <v>439</v>
      </c>
    </row>
    <row r="3" spans="1:2" x14ac:dyDescent="0.25">
      <c r="A3" t="s">
        <v>432</v>
      </c>
      <c r="B3" s="9">
        <v>12</v>
      </c>
    </row>
    <row r="4" spans="1:2" x14ac:dyDescent="0.25">
      <c r="A4" t="s">
        <v>433</v>
      </c>
      <c r="B4" s="9" t="s">
        <v>440</v>
      </c>
    </row>
    <row r="5" spans="1:2" x14ac:dyDescent="0.25">
      <c r="A5" t="s">
        <v>434</v>
      </c>
      <c r="B5" s="9" t="s">
        <v>441</v>
      </c>
    </row>
    <row r="6" spans="1:2" x14ac:dyDescent="0.25">
      <c r="A6" t="s">
        <v>435</v>
      </c>
      <c r="B6" s="9" t="s">
        <v>442</v>
      </c>
    </row>
    <row r="7" spans="1:2" x14ac:dyDescent="0.25">
      <c r="A7" t="s">
        <v>436</v>
      </c>
      <c r="B7" s="9">
        <v>1.26</v>
      </c>
    </row>
    <row r="8" spans="1:2" x14ac:dyDescent="0.25">
      <c r="A8" t="s">
        <v>437</v>
      </c>
      <c r="B8" s="9" t="s">
        <v>443</v>
      </c>
    </row>
    <row r="9" spans="1:2" x14ac:dyDescent="0.25">
      <c r="A9" t="s">
        <v>438</v>
      </c>
      <c r="B9" s="9" t="s">
        <v>444</v>
      </c>
    </row>
    <row r="10" spans="1:2" x14ac:dyDescent="0.25">
      <c r="A10" t="s">
        <v>451</v>
      </c>
      <c r="B10" s="9"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D28" sqref="D28"/>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477</v>
      </c>
      <c r="E1" s="1" t="s">
        <v>3</v>
      </c>
      <c r="F1" s="1" t="s">
        <v>478</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8.83</v>
      </c>
      <c r="F2">
        <f t="shared" ref="F2:F13" si="0">(E2/D2-1)*100</f>
        <v>2.436194895591659</v>
      </c>
      <c r="G2">
        <v>7.0417451858520499</v>
      </c>
      <c r="H2" s="4">
        <v>9.02</v>
      </c>
      <c r="I2" s="4">
        <v>6.15</v>
      </c>
      <c r="J2" t="s">
        <v>491</v>
      </c>
      <c r="K2" s="3">
        <v>0.216</v>
      </c>
      <c r="L2" t="s">
        <v>492</v>
      </c>
      <c r="M2" t="s">
        <v>456</v>
      </c>
      <c r="N2" s="3">
        <v>6.5000000000000002E-2</v>
      </c>
      <c r="O2" t="s">
        <v>479</v>
      </c>
      <c r="Q2" t="s">
        <v>457</v>
      </c>
      <c r="R2" s="3">
        <v>5.2539999999999996</v>
      </c>
      <c r="S2" s="3">
        <v>1.6E-2</v>
      </c>
      <c r="T2" t="s">
        <v>458</v>
      </c>
      <c r="U2" s="3">
        <v>4.1000000000000002E-2</v>
      </c>
      <c r="V2" s="3">
        <v>5.5E-2</v>
      </c>
      <c r="W2" s="3">
        <v>-0.26900000000000002</v>
      </c>
      <c r="X2" s="3">
        <v>3.3000000000000002E-2</v>
      </c>
    </row>
    <row r="3" spans="1:24" x14ac:dyDescent="0.25">
      <c r="A3" t="s">
        <v>131</v>
      </c>
      <c r="B3" t="s">
        <v>344</v>
      </c>
      <c r="C3" t="s">
        <v>34</v>
      </c>
      <c r="D3">
        <v>3.07</v>
      </c>
      <c r="E3" s="4">
        <v>3.52</v>
      </c>
      <c r="F3">
        <f t="shared" si="0"/>
        <v>14.657980456026065</v>
      </c>
      <c r="G3">
        <v>2.7118873596191402</v>
      </c>
      <c r="H3" s="4">
        <v>3.55</v>
      </c>
      <c r="I3" s="4">
        <v>2.67</v>
      </c>
      <c r="J3" t="s">
        <v>484</v>
      </c>
      <c r="K3" s="3">
        <v>0</v>
      </c>
      <c r="L3" t="s">
        <v>132</v>
      </c>
      <c r="M3" t="s">
        <v>445</v>
      </c>
      <c r="N3" s="3">
        <v>4.5999999999999999E-2</v>
      </c>
      <c r="O3" t="s">
        <v>493</v>
      </c>
      <c r="Q3" t="s">
        <v>446</v>
      </c>
      <c r="R3" s="3">
        <v>0.54600000000000004</v>
      </c>
      <c r="S3" s="3">
        <v>2E-3</v>
      </c>
      <c r="T3" t="s">
        <v>447</v>
      </c>
      <c r="U3" s="3">
        <v>0.56999999999999995</v>
      </c>
      <c r="V3" s="3">
        <v>4.7E-2</v>
      </c>
      <c r="W3" s="3">
        <v>-0.29499999999999998</v>
      </c>
      <c r="X3" s="3">
        <v>5.3999999999999999E-2</v>
      </c>
    </row>
    <row r="4" spans="1:24" x14ac:dyDescent="0.25">
      <c r="A4" t="s">
        <v>427</v>
      </c>
      <c r="B4" t="s">
        <v>345</v>
      </c>
      <c r="C4" t="s">
        <v>34</v>
      </c>
      <c r="D4">
        <v>3.64</v>
      </c>
      <c r="E4" s="4">
        <v>3.71</v>
      </c>
      <c r="F4">
        <f t="shared" si="0"/>
        <v>1.9230769230769162</v>
      </c>
      <c r="G4">
        <v>3.2423439025878902</v>
      </c>
      <c r="H4" s="4">
        <v>3.76</v>
      </c>
      <c r="I4" s="4">
        <v>3.1</v>
      </c>
      <c r="J4" t="s">
        <v>487</v>
      </c>
      <c r="K4" s="3">
        <v>0</v>
      </c>
      <c r="L4" t="s">
        <v>134</v>
      </c>
      <c r="M4" t="s">
        <v>448</v>
      </c>
      <c r="N4" s="3">
        <v>0.05</v>
      </c>
      <c r="O4" t="s">
        <v>494</v>
      </c>
      <c r="Q4" t="s">
        <v>449</v>
      </c>
      <c r="R4" s="3">
        <v>0.28499999999999998</v>
      </c>
      <c r="S4" s="3">
        <v>3.0000000000000001E-3</v>
      </c>
      <c r="T4" t="s">
        <v>450</v>
      </c>
      <c r="U4" s="3">
        <v>1.306</v>
      </c>
      <c r="V4" s="3">
        <v>9.8000000000000004E-2</v>
      </c>
      <c r="W4" s="3">
        <v>-0.21099999999999999</v>
      </c>
      <c r="X4" s="3">
        <v>9.6000000000000002E-2</v>
      </c>
    </row>
    <row r="5" spans="1:24" x14ac:dyDescent="0.25">
      <c r="A5" t="s">
        <v>135</v>
      </c>
      <c r="B5" t="s">
        <v>346</v>
      </c>
      <c r="C5" t="s">
        <v>22</v>
      </c>
      <c r="D5">
        <v>5.18</v>
      </c>
      <c r="E5" s="4">
        <v>4.92</v>
      </c>
      <c r="F5">
        <f t="shared" si="0"/>
        <v>-5.0193050193050208</v>
      </c>
      <c r="G5">
        <v>4.4533996582031197</v>
      </c>
      <c r="H5" s="4">
        <v>5.33</v>
      </c>
      <c r="I5" s="4">
        <v>4.17</v>
      </c>
      <c r="J5" t="s">
        <v>495</v>
      </c>
      <c r="K5" s="3">
        <v>0</v>
      </c>
      <c r="L5" t="s">
        <v>46</v>
      </c>
      <c r="M5" t="s">
        <v>474</v>
      </c>
      <c r="N5" s="3">
        <v>8.1000000000000003E-2</v>
      </c>
      <c r="O5" t="s">
        <v>496</v>
      </c>
      <c r="Q5" t="s">
        <v>475</v>
      </c>
      <c r="R5" s="3">
        <v>0.27800000000000002</v>
      </c>
      <c r="S5" s="3">
        <v>2.4E-2</v>
      </c>
      <c r="T5" t="s">
        <v>47</v>
      </c>
      <c r="U5" s="3">
        <v>1.524</v>
      </c>
      <c r="V5" s="3">
        <v>0.13200000000000001</v>
      </c>
      <c r="W5" s="3">
        <v>0.06</v>
      </c>
      <c r="X5" s="3">
        <v>3.7999999999999999E-2</v>
      </c>
    </row>
    <row r="6" spans="1:24" x14ac:dyDescent="0.25">
      <c r="A6" t="s">
        <v>173</v>
      </c>
      <c r="B6" t="s">
        <v>459</v>
      </c>
      <c r="C6" t="s">
        <v>26</v>
      </c>
      <c r="D6" s="15">
        <v>11.05</v>
      </c>
      <c r="E6" s="4">
        <v>9.5</v>
      </c>
      <c r="F6">
        <f t="shared" si="0"/>
        <v>-14.027149321266974</v>
      </c>
      <c r="G6">
        <v>6.0230307579040501</v>
      </c>
      <c r="H6" s="4">
        <v>11.74</v>
      </c>
      <c r="I6" s="4">
        <v>6.02</v>
      </c>
      <c r="J6" t="s">
        <v>402</v>
      </c>
      <c r="K6" s="3">
        <v>1</v>
      </c>
      <c r="L6" t="s">
        <v>403</v>
      </c>
      <c r="M6" t="s">
        <v>426</v>
      </c>
      <c r="N6" s="3">
        <v>5.3999999999999999E-2</v>
      </c>
      <c r="O6" t="s">
        <v>497</v>
      </c>
      <c r="P6" t="s">
        <v>498</v>
      </c>
      <c r="Q6" t="s">
        <v>460</v>
      </c>
      <c r="R6" s="3">
        <v>5.0000000000000001E-3</v>
      </c>
      <c r="S6" s="3">
        <v>0.03</v>
      </c>
      <c r="T6" t="s">
        <v>461</v>
      </c>
      <c r="U6" s="3">
        <v>0.51700000000000002</v>
      </c>
      <c r="V6" s="3">
        <v>-0.16800000000000001</v>
      </c>
      <c r="W6" s="3">
        <v>-0.23499999999999999</v>
      </c>
      <c r="X6" s="3">
        <v>0.16300000000000001</v>
      </c>
    </row>
    <row r="7" spans="1:24" x14ac:dyDescent="0.25">
      <c r="A7" t="s">
        <v>35</v>
      </c>
      <c r="B7" t="s">
        <v>347</v>
      </c>
      <c r="C7" t="s">
        <v>34</v>
      </c>
      <c r="D7">
        <v>2.2999999999999998</v>
      </c>
      <c r="E7" s="4">
        <v>2.27</v>
      </c>
      <c r="F7">
        <f t="shared" si="0"/>
        <v>-1.304347826086949</v>
      </c>
      <c r="G7">
        <v>1.97433865070343</v>
      </c>
      <c r="H7" s="4">
        <v>2.42</v>
      </c>
      <c r="I7" s="4">
        <v>1.7749999999999999</v>
      </c>
      <c r="J7" t="s">
        <v>499</v>
      </c>
      <c r="K7" s="3">
        <v>0</v>
      </c>
      <c r="L7" t="s">
        <v>37</v>
      </c>
      <c r="M7" t="s">
        <v>462</v>
      </c>
      <c r="N7" s="3">
        <v>0.04</v>
      </c>
      <c r="O7" t="s">
        <v>479</v>
      </c>
      <c r="P7" t="s">
        <v>500</v>
      </c>
      <c r="Q7" t="s">
        <v>463</v>
      </c>
      <c r="R7" s="3">
        <v>0.502</v>
      </c>
      <c r="S7" s="3">
        <v>0.01</v>
      </c>
      <c r="T7" t="s">
        <v>464</v>
      </c>
      <c r="U7" s="3">
        <v>2.8000000000000001E-2</v>
      </c>
      <c r="V7" s="3">
        <v>2.3E-2</v>
      </c>
      <c r="W7" s="3">
        <v>-0.57799999999999996</v>
      </c>
      <c r="X7" s="3">
        <v>7.0000000000000001E-3</v>
      </c>
    </row>
    <row r="8" spans="1:24" x14ac:dyDescent="0.25">
      <c r="A8" t="s">
        <v>30</v>
      </c>
      <c r="B8" t="s">
        <v>348</v>
      </c>
      <c r="C8" t="s">
        <v>22</v>
      </c>
      <c r="D8">
        <v>4.3499999999999996</v>
      </c>
      <c r="E8" s="4">
        <v>5.0999999999999996</v>
      </c>
      <c r="F8">
        <f t="shared" si="0"/>
        <v>17.24137931034484</v>
      </c>
      <c r="G8">
        <v>3.7949135303497301</v>
      </c>
      <c r="H8" s="4">
        <v>5.51</v>
      </c>
      <c r="I8" s="4">
        <v>2.94</v>
      </c>
      <c r="J8" t="s">
        <v>485</v>
      </c>
      <c r="K8" s="3">
        <v>0.9</v>
      </c>
      <c r="L8" t="s">
        <v>488</v>
      </c>
      <c r="M8" t="s">
        <v>465</v>
      </c>
      <c r="N8" s="3">
        <v>4.2000000000000003E-2</v>
      </c>
      <c r="O8" t="s">
        <v>480</v>
      </c>
      <c r="P8" t="s">
        <v>501</v>
      </c>
      <c r="Q8" t="s">
        <v>466</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v>
      </c>
      <c r="F9">
        <f t="shared" si="0"/>
        <v>22.762148337595889</v>
      </c>
      <c r="G9">
        <v>4.1038346290588299</v>
      </c>
      <c r="H9" s="4">
        <v>5.2</v>
      </c>
      <c r="I9" s="4">
        <v>3.4</v>
      </c>
      <c r="J9" t="s">
        <v>502</v>
      </c>
      <c r="K9" s="3">
        <v>1</v>
      </c>
      <c r="L9" t="s">
        <v>27</v>
      </c>
      <c r="M9" t="s">
        <v>481</v>
      </c>
      <c r="N9" s="3">
        <v>3.7999999999999999E-2</v>
      </c>
      <c r="O9" t="s">
        <v>486</v>
      </c>
      <c r="Q9" t="s">
        <v>482</v>
      </c>
      <c r="R9" s="3">
        <v>8.8999999999999996E-2</v>
      </c>
      <c r="T9" t="s">
        <v>483</v>
      </c>
      <c r="U9" s="3">
        <v>6.2E-2</v>
      </c>
      <c r="V9" s="3">
        <v>4.7E-2</v>
      </c>
      <c r="W9" s="3">
        <v>8.3000000000000004E-2</v>
      </c>
      <c r="X9" s="3">
        <v>0.216</v>
      </c>
    </row>
    <row r="10" spans="1:24" x14ac:dyDescent="0.25">
      <c r="A10" t="s">
        <v>161</v>
      </c>
      <c r="B10" t="s">
        <v>350</v>
      </c>
      <c r="C10" t="s">
        <v>22</v>
      </c>
      <c r="D10" s="5">
        <v>13.56</v>
      </c>
      <c r="E10" s="4">
        <v>22.45</v>
      </c>
      <c r="F10">
        <f t="shared" si="0"/>
        <v>65.560471976401161</v>
      </c>
      <c r="G10">
        <v>13.1129446029663</v>
      </c>
      <c r="H10" s="4">
        <v>22.49</v>
      </c>
      <c r="I10" s="4">
        <v>11.78</v>
      </c>
      <c r="J10" t="s">
        <v>484</v>
      </c>
      <c r="K10" s="3">
        <v>1</v>
      </c>
      <c r="L10" t="s">
        <v>379</v>
      </c>
      <c r="M10" t="s">
        <v>467</v>
      </c>
      <c r="N10" s="3">
        <v>3.2000000000000001E-2</v>
      </c>
      <c r="O10" t="s">
        <v>428</v>
      </c>
      <c r="P10" t="s">
        <v>503</v>
      </c>
      <c r="Q10" t="s">
        <v>468</v>
      </c>
      <c r="R10" s="3">
        <v>0.161</v>
      </c>
      <c r="S10" s="3">
        <v>1.6E-2</v>
      </c>
      <c r="T10" t="s">
        <v>469</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v>3.97764539718627</v>
      </c>
      <c r="H11" s="4">
        <v>4.99</v>
      </c>
      <c r="I11" s="4">
        <v>3.62</v>
      </c>
      <c r="J11" t="s">
        <v>504</v>
      </c>
      <c r="K11" s="3">
        <v>1</v>
      </c>
      <c r="L11" t="s">
        <v>163</v>
      </c>
      <c r="M11" t="s">
        <v>470</v>
      </c>
      <c r="N11" s="3">
        <v>3.9E-2</v>
      </c>
      <c r="O11" t="s">
        <v>476</v>
      </c>
      <c r="P11" t="s">
        <v>505</v>
      </c>
      <c r="Q11" t="s">
        <v>454</v>
      </c>
      <c r="R11" s="3">
        <v>1.2949999999999999</v>
      </c>
      <c r="S11" s="3">
        <v>6.0000000000000001E-3</v>
      </c>
      <c r="T11" t="s">
        <v>455</v>
      </c>
      <c r="U11" s="3">
        <v>0.10100000000000001</v>
      </c>
      <c r="V11" s="3">
        <v>2.8000000000000001E-2</v>
      </c>
      <c r="W11" s="3">
        <v>9.5000000000000001E-2</v>
      </c>
      <c r="X11" s="3">
        <v>0.151</v>
      </c>
    </row>
    <row r="12" spans="1:24" x14ac:dyDescent="0.25">
      <c r="A12" t="s">
        <v>164</v>
      </c>
      <c r="B12" t="s">
        <v>352</v>
      </c>
      <c r="C12" t="s">
        <v>26</v>
      </c>
      <c r="D12">
        <v>6.06</v>
      </c>
      <c r="E12" s="4">
        <v>7.18</v>
      </c>
      <c r="F12">
        <f t="shared" si="0"/>
        <v>18.481848184818482</v>
      </c>
      <c r="G12">
        <v>6.0461215972900302</v>
      </c>
      <c r="H12" s="4">
        <v>8.16</v>
      </c>
      <c r="I12" s="4">
        <v>5.76</v>
      </c>
      <c r="J12" t="s">
        <v>489</v>
      </c>
      <c r="K12" s="3">
        <v>1</v>
      </c>
      <c r="L12" t="s">
        <v>380</v>
      </c>
      <c r="M12" t="s">
        <v>165</v>
      </c>
      <c r="N12" s="3">
        <v>4.9000000000000002E-2</v>
      </c>
      <c r="O12" t="s">
        <v>490</v>
      </c>
      <c r="Q12" t="s">
        <v>166</v>
      </c>
      <c r="R12" s="3">
        <v>2.81</v>
      </c>
      <c r="T12" t="s">
        <v>167</v>
      </c>
      <c r="U12" s="3">
        <v>0.188</v>
      </c>
      <c r="V12" s="3">
        <v>0.432</v>
      </c>
      <c r="W12" s="3">
        <v>-0.17100000000000001</v>
      </c>
      <c r="X12" s="3">
        <v>0.05</v>
      </c>
    </row>
    <row r="13" spans="1:24" x14ac:dyDescent="0.25">
      <c r="A13" t="s">
        <v>168</v>
      </c>
      <c r="B13" t="s">
        <v>353</v>
      </c>
      <c r="C13" t="s">
        <v>34</v>
      </c>
      <c r="D13">
        <v>2.36</v>
      </c>
      <c r="E13" s="4">
        <v>2.33</v>
      </c>
      <c r="F13">
        <f t="shared" si="0"/>
        <v>-1.2711864406779627</v>
      </c>
      <c r="G13">
        <v>2.0015611648559499</v>
      </c>
      <c r="H13" s="4">
        <v>2.5299999999999998</v>
      </c>
      <c r="I13" s="4">
        <v>2</v>
      </c>
      <c r="J13" t="s">
        <v>381</v>
      </c>
      <c r="K13" s="3">
        <v>0</v>
      </c>
      <c r="L13" t="s">
        <v>169</v>
      </c>
      <c r="M13" t="s">
        <v>471</v>
      </c>
      <c r="N13" s="3">
        <v>4.8000000000000001E-2</v>
      </c>
      <c r="O13" t="s">
        <v>506</v>
      </c>
      <c r="P13" t="s">
        <v>507</v>
      </c>
      <c r="Q13" t="s">
        <v>472</v>
      </c>
      <c r="R13" s="3">
        <v>5.8579999999999997</v>
      </c>
      <c r="S13" s="3">
        <v>5.0000000000000001E-3</v>
      </c>
      <c r="T13" t="s">
        <v>473</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G29" sqref="G29"/>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9.5</v>
      </c>
      <c r="K2" s="5">
        <f>(J2/C2-1)*100</f>
        <v>-14.027149321266974</v>
      </c>
      <c r="L2" s="4">
        <v>11.74</v>
      </c>
      <c r="M2" s="4">
        <v>6.02</v>
      </c>
      <c r="N2" t="s">
        <v>402</v>
      </c>
      <c r="O2" s="3">
        <v>1</v>
      </c>
      <c r="P2" t="s">
        <v>403</v>
      </c>
      <c r="Q2" t="s">
        <v>426</v>
      </c>
      <c r="R2" s="3">
        <v>5.3999999999999999E-2</v>
      </c>
      <c r="S2" t="s">
        <v>497</v>
      </c>
      <c r="T2" t="s">
        <v>498</v>
      </c>
      <c r="U2" t="s">
        <v>460</v>
      </c>
      <c r="V2" s="3">
        <v>5.0000000000000001E-3</v>
      </c>
      <c r="W2" s="3">
        <v>0.03</v>
      </c>
      <c r="X2" t="s">
        <v>461</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453</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8.83</v>
      </c>
      <c r="K4" s="5">
        <f t="shared" si="0"/>
        <v>2.436194895591659</v>
      </c>
      <c r="L4" s="4">
        <v>9.02</v>
      </c>
      <c r="M4" s="4">
        <v>6.15</v>
      </c>
      <c r="N4" t="s">
        <v>491</v>
      </c>
      <c r="O4" s="3">
        <v>0.216</v>
      </c>
      <c r="P4" t="s">
        <v>492</v>
      </c>
      <c r="Q4" t="s">
        <v>456</v>
      </c>
      <c r="R4" s="3">
        <v>6.5000000000000002E-2</v>
      </c>
      <c r="S4" t="s">
        <v>479</v>
      </c>
      <c r="U4" t="s">
        <v>457</v>
      </c>
      <c r="V4" s="3">
        <v>5.2539999999999996</v>
      </c>
      <c r="W4" s="3">
        <v>1.6E-2</v>
      </c>
      <c r="X4" t="s">
        <v>458</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3.52</v>
      </c>
      <c r="K5" s="5">
        <f t="shared" si="0"/>
        <v>14.657980456026065</v>
      </c>
      <c r="L5" s="4">
        <v>3.55</v>
      </c>
      <c r="M5" s="4">
        <v>2.67</v>
      </c>
      <c r="N5" t="s">
        <v>484</v>
      </c>
      <c r="O5" s="3">
        <v>0</v>
      </c>
      <c r="P5" t="s">
        <v>132</v>
      </c>
      <c r="Q5" t="s">
        <v>445</v>
      </c>
      <c r="R5" s="3">
        <v>4.5999999999999999E-2</v>
      </c>
      <c r="S5" t="s">
        <v>493</v>
      </c>
      <c r="U5" t="s">
        <v>446</v>
      </c>
      <c r="V5" s="3">
        <v>0.54600000000000004</v>
      </c>
      <c r="W5" s="3">
        <v>2E-3</v>
      </c>
      <c r="X5" t="s">
        <v>447</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3.71</v>
      </c>
      <c r="K6" s="5">
        <f t="shared" si="0"/>
        <v>1.9230769230769162</v>
      </c>
      <c r="L6" s="4">
        <v>3.76</v>
      </c>
      <c r="M6" s="4">
        <v>3.1</v>
      </c>
      <c r="N6" t="s">
        <v>487</v>
      </c>
      <c r="O6" s="3">
        <v>0</v>
      </c>
      <c r="P6" t="s">
        <v>134</v>
      </c>
      <c r="Q6" t="s">
        <v>448</v>
      </c>
      <c r="R6" s="3">
        <v>0.05</v>
      </c>
      <c r="S6" t="s">
        <v>494</v>
      </c>
      <c r="U6" t="s">
        <v>449</v>
      </c>
      <c r="V6" s="3">
        <v>0.28499999999999998</v>
      </c>
      <c r="W6" s="3">
        <v>3.0000000000000001E-3</v>
      </c>
      <c r="X6" t="s">
        <v>450</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4.92</v>
      </c>
      <c r="K7" s="5">
        <f t="shared" si="0"/>
        <v>-5.0193050193050208</v>
      </c>
      <c r="L7" s="4">
        <v>5.33</v>
      </c>
      <c r="M7" s="4">
        <v>4.17</v>
      </c>
      <c r="N7" t="s">
        <v>495</v>
      </c>
      <c r="O7" s="3">
        <v>0</v>
      </c>
      <c r="P7" t="s">
        <v>46</v>
      </c>
      <c r="Q7" t="s">
        <v>474</v>
      </c>
      <c r="R7" s="3">
        <v>8.1000000000000003E-2</v>
      </c>
      <c r="S7" t="s">
        <v>496</v>
      </c>
      <c r="U7" t="s">
        <v>475</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453</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2.27</v>
      </c>
      <c r="K9" s="5">
        <f t="shared" si="0"/>
        <v>-1.304347826086949</v>
      </c>
      <c r="L9" s="4">
        <v>2.42</v>
      </c>
      <c r="M9" s="4">
        <v>1.7749999999999999</v>
      </c>
      <c r="N9" t="s">
        <v>499</v>
      </c>
      <c r="O9" s="3">
        <v>0</v>
      </c>
      <c r="P9" t="s">
        <v>37</v>
      </c>
      <c r="Q9" t="s">
        <v>462</v>
      </c>
      <c r="R9" s="3">
        <v>0.04</v>
      </c>
      <c r="S9" t="s">
        <v>479</v>
      </c>
      <c r="T9" t="s">
        <v>500</v>
      </c>
      <c r="U9" t="s">
        <v>463</v>
      </c>
      <c r="V9" s="3">
        <v>0.502</v>
      </c>
      <c r="W9" s="3">
        <v>0.01</v>
      </c>
      <c r="X9" t="s">
        <v>464</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5.0999999999999996</v>
      </c>
      <c r="K10" s="5">
        <f t="shared" si="0"/>
        <v>17.24137931034484</v>
      </c>
      <c r="L10" s="4">
        <v>5.51</v>
      </c>
      <c r="M10" s="4">
        <v>2.94</v>
      </c>
      <c r="N10" t="s">
        <v>485</v>
      </c>
      <c r="O10" s="3">
        <v>0.9</v>
      </c>
      <c r="P10" t="s">
        <v>488</v>
      </c>
      <c r="Q10" t="s">
        <v>465</v>
      </c>
      <c r="R10" s="3">
        <v>4.2000000000000003E-2</v>
      </c>
      <c r="S10" t="s">
        <v>480</v>
      </c>
      <c r="T10" t="s">
        <v>501</v>
      </c>
      <c r="U10" t="s">
        <v>466</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v>
      </c>
      <c r="K11" s="5">
        <f t="shared" si="0"/>
        <v>22.762148337595889</v>
      </c>
      <c r="L11" s="4">
        <v>5.2</v>
      </c>
      <c r="M11" s="4">
        <v>3.4</v>
      </c>
      <c r="N11" t="s">
        <v>502</v>
      </c>
      <c r="O11" s="3">
        <v>1</v>
      </c>
      <c r="P11" t="s">
        <v>27</v>
      </c>
      <c r="Q11" t="s">
        <v>481</v>
      </c>
      <c r="R11" s="3">
        <v>3.7999999999999999E-2</v>
      </c>
      <c r="S11" t="s">
        <v>486</v>
      </c>
      <c r="U11" t="s">
        <v>482</v>
      </c>
      <c r="V11" s="3">
        <v>8.8999999999999996E-2</v>
      </c>
      <c r="X11" t="s">
        <v>483</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48" sqref="G4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11.46927936415274</v>
      </c>
      <c r="B2">
        <v>1521.8668</v>
      </c>
      <c r="C2">
        <f>COUNTA(Trades!A2:A1048576)</f>
        <v>194</v>
      </c>
      <c r="D2">
        <f>COUNTIF(Trades!J2:J894,"&gt;0")</f>
        <v>118</v>
      </c>
      <c r="E2">
        <f>AVERAGEIF(Trades!J2:J894,"&gt;0")*100</f>
        <v>48.954052209395002</v>
      </c>
      <c r="F2">
        <f>C2-D2</f>
        <v>76</v>
      </c>
      <c r="G2">
        <f>AVERAGEIF(Trades!J2:J894,"&lt;0")*100</f>
        <v>-14.011272705548325</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3"/>
  <sheetViews>
    <sheetView tabSelected="1" topLeftCell="A1335" workbookViewId="0">
      <selection activeCell="F1362" sqref="F136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45926</v>
      </c>
      <c r="G2" s="4">
        <v>9.5</v>
      </c>
      <c r="H2" s="3">
        <f>G2/E2-1</f>
        <v>-0.10377358490566035</v>
      </c>
      <c r="I2" s="15">
        <f t="shared" ref="I2:I3" si="0">K2*E2*J2</f>
        <v>-14050.878399999996</v>
      </c>
      <c r="J2" s="17">
        <f t="shared" ref="J2:J3" si="1">H2-0.002</f>
        <v>-0.10577358490566036</v>
      </c>
      <c r="K2" s="15">
        <v>12532</v>
      </c>
      <c r="N2" s="4"/>
    </row>
    <row r="3" spans="1:30" x14ac:dyDescent="0.25">
      <c r="A3" s="3" t="s">
        <v>136</v>
      </c>
      <c r="B3" t="s">
        <v>159</v>
      </c>
      <c r="C3" t="s">
        <v>340</v>
      </c>
      <c r="D3" s="2">
        <v>45793</v>
      </c>
      <c r="E3">
        <v>8.6199999999999992</v>
      </c>
      <c r="F3" s="14">
        <v>45926</v>
      </c>
      <c r="G3" s="4">
        <v>8.83</v>
      </c>
      <c r="H3" s="3">
        <f t="shared" ref="H3" si="2">G3/E3-1</f>
        <v>2.436194895591659E-2</v>
      </c>
      <c r="I3">
        <f t="shared" si="0"/>
        <v>2775.9367600000141</v>
      </c>
      <c r="J3" s="3">
        <f t="shared" si="1"/>
        <v>2.2361948955916588E-2</v>
      </c>
      <c r="K3">
        <v>14401</v>
      </c>
      <c r="N3" s="4"/>
      <c r="P3" s="11"/>
      <c r="Q3" s="13"/>
      <c r="R3" s="2"/>
      <c r="T3" s="3"/>
      <c r="V3" s="3"/>
      <c r="AA3" s="3"/>
      <c r="AB3" s="3"/>
      <c r="AC3" s="3"/>
      <c r="AD3" s="3"/>
    </row>
    <row r="4" spans="1:30" x14ac:dyDescent="0.25">
      <c r="A4" s="3" t="s">
        <v>80</v>
      </c>
      <c r="B4" t="s">
        <v>131</v>
      </c>
      <c r="C4" t="s">
        <v>340</v>
      </c>
      <c r="D4" s="2">
        <v>45786</v>
      </c>
      <c r="E4">
        <v>3.07</v>
      </c>
      <c r="F4" s="14">
        <v>45926</v>
      </c>
      <c r="G4" s="4">
        <v>3.52</v>
      </c>
      <c r="H4" s="3">
        <f t="shared" ref="H4:H13" si="3">G4/E4-1</f>
        <v>0.14657980456026065</v>
      </c>
      <c r="I4">
        <f t="shared" ref="I4:I13" si="4">K4*E4*J4</f>
        <v>17101.038080000006</v>
      </c>
      <c r="J4" s="3">
        <f t="shared" ref="J4:J13" si="5">H4-0.002</f>
        <v>0.14457980456026065</v>
      </c>
      <c r="K4">
        <v>38528</v>
      </c>
      <c r="N4" s="4"/>
      <c r="P4" s="11"/>
      <c r="Q4" s="12"/>
      <c r="R4" s="2"/>
      <c r="T4" s="3"/>
      <c r="V4" s="3"/>
      <c r="AA4" s="3"/>
      <c r="AB4" s="3"/>
      <c r="AC4" s="3"/>
      <c r="AD4" s="3"/>
    </row>
    <row r="5" spans="1:30" x14ac:dyDescent="0.25">
      <c r="A5" s="3" t="s">
        <v>81</v>
      </c>
      <c r="B5" t="s">
        <v>133</v>
      </c>
      <c r="C5" t="s">
        <v>340</v>
      </c>
      <c r="D5" s="2">
        <v>45786</v>
      </c>
      <c r="E5">
        <v>3.64</v>
      </c>
      <c r="F5" s="14">
        <v>45926</v>
      </c>
      <c r="G5" s="4">
        <v>3.71</v>
      </c>
      <c r="H5" s="3">
        <f t="shared" si="3"/>
        <v>1.9230769230769162E-2</v>
      </c>
      <c r="I5">
        <f t="shared" si="4"/>
        <v>2066.6239999999916</v>
      </c>
      <c r="J5" s="3">
        <f t="shared" si="5"/>
        <v>1.7230769230769161E-2</v>
      </c>
      <c r="K5">
        <v>32950</v>
      </c>
      <c r="N5" s="4"/>
      <c r="P5" s="11"/>
      <c r="Q5" s="12"/>
      <c r="R5" s="2"/>
      <c r="T5" s="3"/>
      <c r="V5" s="3"/>
      <c r="AA5" s="3"/>
      <c r="AB5" s="3"/>
      <c r="AC5" s="3"/>
      <c r="AD5" s="3"/>
    </row>
    <row r="6" spans="1:30" x14ac:dyDescent="0.25">
      <c r="A6" s="3" t="s">
        <v>45</v>
      </c>
      <c r="B6" t="s">
        <v>135</v>
      </c>
      <c r="C6" t="s">
        <v>340</v>
      </c>
      <c r="D6" s="2">
        <v>45786</v>
      </c>
      <c r="E6">
        <v>5.18</v>
      </c>
      <c r="F6" s="14">
        <v>45926</v>
      </c>
      <c r="G6" s="4">
        <v>4.92</v>
      </c>
      <c r="H6" s="3">
        <f t="shared" si="3"/>
        <v>-5.0193050193050204E-2</v>
      </c>
      <c r="I6">
        <f t="shared" si="4"/>
        <v>-6096.0772800000013</v>
      </c>
      <c r="J6" s="3">
        <f t="shared" si="5"/>
        <v>-5.2193050193050206E-2</v>
      </c>
      <c r="K6">
        <v>22548</v>
      </c>
      <c r="N6" s="4"/>
      <c r="P6" s="11"/>
      <c r="Q6" s="12"/>
      <c r="R6" s="2"/>
      <c r="T6" s="3"/>
      <c r="V6" s="3"/>
      <c r="AA6" s="3"/>
      <c r="AB6" s="3"/>
      <c r="AC6" s="3"/>
      <c r="AD6" s="3"/>
    </row>
    <row r="7" spans="1:30" x14ac:dyDescent="0.25">
      <c r="A7" s="3" t="s">
        <v>36</v>
      </c>
      <c r="B7" t="s">
        <v>35</v>
      </c>
      <c r="C7" t="s">
        <v>340</v>
      </c>
      <c r="D7" s="2">
        <v>45786</v>
      </c>
      <c r="E7">
        <v>2.2999999999999998</v>
      </c>
      <c r="F7" s="14">
        <v>45926</v>
      </c>
      <c r="G7" s="4">
        <v>2.27</v>
      </c>
      <c r="H7" s="3">
        <f t="shared" si="3"/>
        <v>-1.304347826086949E-2</v>
      </c>
      <c r="I7">
        <f t="shared" si="4"/>
        <v>-1793.8023999999909</v>
      </c>
      <c r="J7" s="3">
        <f t="shared" si="5"/>
        <v>-1.504347826086949E-2</v>
      </c>
      <c r="K7">
        <v>51844</v>
      </c>
      <c r="N7" s="4"/>
      <c r="P7" s="18"/>
      <c r="Q7" s="12"/>
      <c r="R7" s="2"/>
      <c r="T7" s="3"/>
      <c r="V7" s="3"/>
      <c r="AA7" s="3"/>
      <c r="AB7" s="3"/>
      <c r="AC7" s="3"/>
      <c r="AD7" s="3"/>
    </row>
    <row r="8" spans="1:30" x14ac:dyDescent="0.25">
      <c r="A8" s="3" t="s">
        <v>31</v>
      </c>
      <c r="B8" t="s">
        <v>30</v>
      </c>
      <c r="C8" t="s">
        <v>340</v>
      </c>
      <c r="D8" s="2">
        <v>45786</v>
      </c>
      <c r="E8">
        <v>4.3499999999999996</v>
      </c>
      <c r="F8" s="14">
        <v>45926</v>
      </c>
      <c r="G8" s="4">
        <v>5.0999999999999996</v>
      </c>
      <c r="H8" s="3">
        <f t="shared" si="3"/>
        <v>0.1724137931034484</v>
      </c>
      <c r="I8">
        <f t="shared" si="4"/>
        <v>19912.800600000013</v>
      </c>
      <c r="J8" s="3">
        <f t="shared" si="5"/>
        <v>0.1704137931034484</v>
      </c>
      <c r="K8">
        <v>26862</v>
      </c>
      <c r="N8" s="4"/>
      <c r="P8" s="11"/>
      <c r="Q8" s="12"/>
      <c r="R8" s="2"/>
      <c r="T8" s="3"/>
      <c r="V8" s="3"/>
      <c r="AA8" s="3"/>
      <c r="AB8" s="3"/>
      <c r="AC8" s="3"/>
      <c r="AD8" s="3"/>
    </row>
    <row r="9" spans="1:30" x14ac:dyDescent="0.25">
      <c r="A9" s="3" t="s">
        <v>25</v>
      </c>
      <c r="B9" t="s">
        <v>24</v>
      </c>
      <c r="C9" t="s">
        <v>340</v>
      </c>
      <c r="D9" s="2">
        <v>45695</v>
      </c>
      <c r="E9">
        <v>3.8413110000000001</v>
      </c>
      <c r="F9" s="14">
        <v>45926</v>
      </c>
      <c r="G9" s="4">
        <v>4.8</v>
      </c>
      <c r="H9" s="3">
        <f t="shared" si="3"/>
        <v>0.24957338783555927</v>
      </c>
      <c r="I9">
        <f t="shared" si="4"/>
        <v>29568.690304775999</v>
      </c>
      <c r="J9" s="3">
        <f t="shared" si="5"/>
        <v>0.24757338783555927</v>
      </c>
      <c r="K9">
        <v>31092</v>
      </c>
      <c r="N9" s="4"/>
      <c r="P9" s="11"/>
      <c r="Q9" s="12"/>
      <c r="R9" s="2"/>
      <c r="T9" s="3"/>
      <c r="V9" s="3"/>
      <c r="AA9" s="3"/>
      <c r="AB9" s="3"/>
      <c r="AC9" s="3"/>
      <c r="AD9" s="3"/>
    </row>
    <row r="10" spans="1:30" x14ac:dyDescent="0.25">
      <c r="A10" s="3" t="s">
        <v>118</v>
      </c>
      <c r="B10" t="s">
        <v>161</v>
      </c>
      <c r="C10" t="s">
        <v>340</v>
      </c>
      <c r="D10" s="2">
        <v>45639</v>
      </c>
      <c r="E10">
        <v>13.27768</v>
      </c>
      <c r="F10" s="14">
        <v>45926</v>
      </c>
      <c r="G10" s="4">
        <v>22.45</v>
      </c>
      <c r="H10" s="3">
        <f t="shared" si="3"/>
        <v>0.69080743021371194</v>
      </c>
      <c r="I10">
        <f t="shared" si="4"/>
        <v>79842.52530719999</v>
      </c>
      <c r="J10" s="3">
        <f t="shared" si="5"/>
        <v>0.68880743021371194</v>
      </c>
      <c r="K10">
        <v>8730</v>
      </c>
      <c r="N10" s="4"/>
      <c r="P10" s="11"/>
      <c r="Q10" s="12"/>
      <c r="R10" s="2"/>
      <c r="T10" s="3"/>
      <c r="V10" s="3"/>
      <c r="AA10" s="3"/>
      <c r="AB10" s="3"/>
      <c r="AC10" s="3"/>
      <c r="AD10" s="3"/>
    </row>
    <row r="11" spans="1:30" x14ac:dyDescent="0.25">
      <c r="A11" s="3" t="s">
        <v>137</v>
      </c>
      <c r="B11" t="s">
        <v>162</v>
      </c>
      <c r="C11" t="s">
        <v>340</v>
      </c>
      <c r="D11" s="2">
        <v>45499</v>
      </c>
      <c r="E11">
        <v>3.696536</v>
      </c>
      <c r="F11" s="14">
        <v>45926</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45926</v>
      </c>
      <c r="G12" s="4">
        <v>7.18</v>
      </c>
      <c r="H12" s="3">
        <f t="shared" si="3"/>
        <v>0.2846874559395145</v>
      </c>
      <c r="I12">
        <f t="shared" si="4"/>
        <v>30963.158178032001</v>
      </c>
      <c r="J12" s="3">
        <f t="shared" si="5"/>
        <v>0.2826874559395145</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45926</v>
      </c>
      <c r="G13" s="4">
        <v>2.33</v>
      </c>
      <c r="H13" s="3">
        <f t="shared" si="3"/>
        <v>5.478785409522513E-2</v>
      </c>
      <c r="I13">
        <f t="shared" si="4"/>
        <v>5766.8016577499966</v>
      </c>
      <c r="J13" s="3">
        <f t="shared" si="5"/>
        <v>5.2787854095225129E-2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368</v>
      </c>
      <c r="K27" t="s">
        <v>368</v>
      </c>
      <c r="L27" t="s">
        <v>368</v>
      </c>
      <c r="M27" t="s">
        <v>368</v>
      </c>
      <c r="N27" s="3">
        <v>4.005285275282966E-2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2"/>
  <sheetViews>
    <sheetView topLeftCell="A1308" workbookViewId="0">
      <selection activeCell="P1343" sqref="P134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429</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H1352"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si="28"/>
        <v>290656.21485744562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2025-09-27T01:07:03Z</dcterms:modified>
</cp:coreProperties>
</file>