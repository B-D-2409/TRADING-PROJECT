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438E8756-9041-4CC5-8B4C-3C3271F4F3F4}"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3" l="1"/>
  <c r="D1384" i="5"/>
  <c r="E1384" i="5" s="1"/>
  <c r="H1382" i="8"/>
  <c r="D1383" i="5"/>
  <c r="E1383" i="5" s="1"/>
  <c r="H1381" i="8"/>
  <c r="H1380" i="8"/>
  <c r="M28"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13" i="6"/>
  <c r="J13" i="6" s="1"/>
  <c r="I13" i="6" s="1"/>
  <c r="H12" i="6"/>
  <c r="J12" i="6" s="1"/>
  <c r="I12" i="6" s="1"/>
  <c r="K4" i="3"/>
  <c r="K3"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D1345" i="5"/>
  <c r="E1345" i="5" s="1"/>
  <c r="K7" i="3"/>
  <c r="K8" i="3"/>
  <c r="K9" i="3"/>
  <c r="K10" i="3"/>
  <c r="K5" i="3"/>
  <c r="D1344" i="5"/>
  <c r="E1344" i="5" s="1"/>
  <c r="A1344" i="5"/>
  <c r="D1343" i="5"/>
  <c r="E1343" i="5" s="1"/>
  <c r="H14" i="6"/>
  <c r="J14" i="6" s="1"/>
  <c r="I14" i="6" s="1"/>
  <c r="H2" i="6"/>
  <c r="J2" i="6" s="1"/>
  <c r="K6" i="3"/>
  <c r="E1341" i="5"/>
  <c r="E1342" i="5"/>
  <c r="D1341" i="5"/>
  <c r="D1342" i="5"/>
  <c r="E1340" i="5"/>
  <c r="D1340" i="5"/>
  <c r="E1339" i="5"/>
  <c r="D1339" i="5"/>
  <c r="K11" i="3"/>
  <c r="K12" i="3"/>
  <c r="K13" i="3"/>
  <c r="K14" i="3"/>
  <c r="E1338" i="5"/>
  <c r="D1338" i="5"/>
  <c r="H3" i="6"/>
  <c r="J3" i="6" s="1"/>
  <c r="I3" i="6" s="1"/>
  <c r="H4" i="6"/>
  <c r="J4" i="6" s="1"/>
  <c r="I4" i="6" s="1"/>
  <c r="H5" i="6"/>
  <c r="J5" i="6" s="1"/>
  <c r="I5" i="6" s="1"/>
  <c r="H6" i="6"/>
  <c r="J6" i="6" s="1"/>
  <c r="I6" i="6" s="1"/>
  <c r="H7" i="6"/>
  <c r="J7" i="6" s="1"/>
  <c r="I7" i="6" s="1"/>
  <c r="H8" i="6"/>
  <c r="J8" i="6" s="1"/>
  <c r="I8" i="6" s="1"/>
  <c r="H9" i="6"/>
  <c r="J9" i="6" s="1"/>
  <c r="I9" i="6" s="1"/>
  <c r="H10" i="6"/>
  <c r="J10" i="6" s="1"/>
  <c r="I10"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5" i="3"/>
  <c r="K16" i="3"/>
  <c r="K17" i="3"/>
  <c r="K18" i="3"/>
  <c r="K19" i="3"/>
  <c r="K20"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D2" i="4"/>
  <c r="F2" i="4" s="1"/>
  <c r="E2" i="4"/>
  <c r="I2" i="6"/>
</calcChain>
</file>

<file path=xl/sharedStrings.xml><?xml version="1.0" encoding="utf-8"?>
<sst xmlns="http://schemas.openxmlformats.org/spreadsheetml/2006/main" count="1047" uniqueCount="510">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</sst>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14" fontId="19" fillId="0" borderId="0" xfId="0" applyNumberFormat="1" applyFont="1" applyBorder="1" applyAlignment="1">
      <alignment horizontal="center" vertical="top"/>
    </xf>
    <xf numFmtId="0" fontId="19" fillId="0" borderId="0" xfId="0" applyFont="1" applyBorder="1" applyAlignment="1">
      <alignment horizontal="center" vertical="top"/>
    </xf>
    <xf numFmtId="0" fontId="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421</v>
      </c>
    </row>
    <row r="2" spans="1:2" x14ac:dyDescent="0.25">
      <c r="A2" t="s">
        <v>422</v>
      </c>
      <c r="B2" s="9" t="s">
        <v>430</v>
      </c>
    </row>
    <row r="3" spans="1:2" x14ac:dyDescent="0.25">
      <c r="A3" t="s">
        <v>423</v>
      </c>
      <c r="B3" s="9">
        <v>12</v>
      </c>
    </row>
    <row r="4" spans="1:2" x14ac:dyDescent="0.25">
      <c r="A4" t="s">
        <v>424</v>
      </c>
      <c r="B4" s="9" t="s">
        <v>431</v>
      </c>
    </row>
    <row r="5" spans="1:2" x14ac:dyDescent="0.25">
      <c r="A5" t="s">
        <v>425</v>
      </c>
      <c r="B5" s="9" t="s">
        <v>432</v>
      </c>
    </row>
    <row r="6" spans="1:2" x14ac:dyDescent="0.25">
      <c r="A6" t="s">
        <v>426</v>
      </c>
      <c r="B6" s="9" t="s">
        <v>433</v>
      </c>
    </row>
    <row r="7" spans="1:2" x14ac:dyDescent="0.25">
      <c r="A7" t="s">
        <v>427</v>
      </c>
      <c r="B7" s="9">
        <v>1.26</v>
      </c>
    </row>
    <row r="8" spans="1:2" x14ac:dyDescent="0.25">
      <c r="A8" t="s">
        <v>428</v>
      </c>
      <c r="B8" s="9" t="s">
        <v>434</v>
      </c>
    </row>
    <row r="9" spans="1:2" x14ac:dyDescent="0.25">
      <c r="A9" t="s">
        <v>429</v>
      </c>
      <c r="B9" s="9" t="s">
        <v>435</v>
      </c>
    </row>
    <row r="10" spans="1:2" x14ac:dyDescent="0.25">
      <c r="A10" t="s">
        <v>442</v>
      </c>
      <c r="B10" s="9" t="s">
        <v>443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9"/>
  <sheetViews>
    <sheetView tabSelected="1" workbookViewId="0">
      <selection activeCell="B35" sqref="B35"/>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466</v>
      </c>
      <c r="E1" s="1" t="s">
        <v>3</v>
      </c>
      <c r="F1" s="1" t="s">
        <v>467</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8.7799999999999994</v>
      </c>
      <c r="F2">
        <f t="shared" ref="F2:F10" si="0">(E2/D2-1)*100</f>
        <v>1.8561484918793614</v>
      </c>
      <c r="G2">
        <v>8.2260000000000009</v>
      </c>
      <c r="H2" s="4">
        <v>9.2200000000000006</v>
      </c>
      <c r="I2" s="4">
        <v>6.08</v>
      </c>
      <c r="J2" t="s">
        <v>493</v>
      </c>
      <c r="K2" s="3">
        <v>0</v>
      </c>
      <c r="L2" t="s">
        <v>472</v>
      </c>
      <c r="M2" t="s">
        <v>447</v>
      </c>
      <c r="N2" s="3">
        <v>6.5000000000000002E-2</v>
      </c>
      <c r="O2" t="s">
        <v>494</v>
      </c>
      <c r="Q2" t="s">
        <v>448</v>
      </c>
      <c r="R2" s="3">
        <v>5.2539999999999996</v>
      </c>
      <c r="S2" s="3">
        <v>1.6E-2</v>
      </c>
      <c r="T2" t="s">
        <v>449</v>
      </c>
      <c r="U2" s="3">
        <v>4.1000000000000002E-2</v>
      </c>
      <c r="V2" s="3">
        <v>5.5E-2</v>
      </c>
      <c r="W2" s="3">
        <v>-0.26900000000000002</v>
      </c>
      <c r="X2" s="3">
        <v>3.3000000000000002E-2</v>
      </c>
    </row>
    <row r="3" spans="1:24" x14ac:dyDescent="0.25">
      <c r="A3" t="s">
        <v>131</v>
      </c>
      <c r="B3" t="s">
        <v>339</v>
      </c>
      <c r="C3" t="s">
        <v>34</v>
      </c>
      <c r="D3">
        <v>3.07</v>
      </c>
      <c r="E3" s="4">
        <v>3.33</v>
      </c>
      <c r="F3">
        <f t="shared" si="0"/>
        <v>8.4690553745928376</v>
      </c>
      <c r="G3">
        <v>3.0419999999999998</v>
      </c>
      <c r="H3" s="4">
        <v>3.54</v>
      </c>
      <c r="I3" s="4">
        <v>2.64</v>
      </c>
      <c r="J3" t="s">
        <v>484</v>
      </c>
      <c r="K3" s="3">
        <v>0</v>
      </c>
      <c r="L3" t="s">
        <v>476</v>
      </c>
      <c r="M3" t="s">
        <v>436</v>
      </c>
      <c r="N3" s="3">
        <v>0.05</v>
      </c>
      <c r="O3" t="s">
        <v>499</v>
      </c>
      <c r="Q3" t="s">
        <v>437</v>
      </c>
      <c r="R3" s="3">
        <v>0.54600000000000004</v>
      </c>
      <c r="S3" s="3">
        <v>2E-3</v>
      </c>
      <c r="T3" t="s">
        <v>438</v>
      </c>
      <c r="U3" s="3">
        <v>0.56999999999999995</v>
      </c>
      <c r="V3" s="3">
        <v>4.7E-2</v>
      </c>
      <c r="W3" s="3">
        <v>-0.29499999999999998</v>
      </c>
      <c r="X3" s="3">
        <v>5.3999999999999999E-2</v>
      </c>
    </row>
    <row r="4" spans="1:24" x14ac:dyDescent="0.25">
      <c r="A4" t="s">
        <v>419</v>
      </c>
      <c r="B4" t="s">
        <v>340</v>
      </c>
      <c r="C4" t="s">
        <v>34</v>
      </c>
      <c r="D4">
        <v>3.64</v>
      </c>
      <c r="E4" s="4">
        <v>3.89</v>
      </c>
      <c r="F4">
        <f t="shared" si="0"/>
        <v>6.8681318681318659</v>
      </c>
      <c r="G4">
        <v>3.5640000000000001</v>
      </c>
      <c r="H4" s="4">
        <v>4.03</v>
      </c>
      <c r="I4" s="4">
        <v>3.09</v>
      </c>
      <c r="J4" t="s">
        <v>495</v>
      </c>
      <c r="K4" s="3">
        <v>0</v>
      </c>
      <c r="L4" t="s">
        <v>133</v>
      </c>
      <c r="M4" t="s">
        <v>439</v>
      </c>
      <c r="N4" s="3">
        <v>4.9000000000000002E-2</v>
      </c>
      <c r="O4" t="s">
        <v>500</v>
      </c>
      <c r="Q4" t="s">
        <v>440</v>
      </c>
      <c r="R4" s="3">
        <v>0.28499999999999998</v>
      </c>
      <c r="S4" s="3">
        <v>3.0000000000000001E-3</v>
      </c>
      <c r="T4" t="s">
        <v>441</v>
      </c>
      <c r="U4" s="3">
        <v>1.306</v>
      </c>
      <c r="V4" s="3">
        <v>9.8000000000000004E-2</v>
      </c>
      <c r="W4" s="3">
        <v>-0.21099999999999999</v>
      </c>
      <c r="X4" s="3">
        <v>9.6000000000000002E-2</v>
      </c>
    </row>
    <row r="5" spans="1:24" x14ac:dyDescent="0.25">
      <c r="A5" t="s">
        <v>134</v>
      </c>
      <c r="B5" t="s">
        <v>341</v>
      </c>
      <c r="C5" t="s">
        <v>22</v>
      </c>
      <c r="D5">
        <v>5.18</v>
      </c>
      <c r="E5" s="4">
        <v>4.8600000000000003</v>
      </c>
      <c r="F5">
        <f t="shared" si="0"/>
        <v>-6.1776061776061653</v>
      </c>
      <c r="G5">
        <v>4.4460000000000006</v>
      </c>
      <c r="H5" s="4">
        <v>5.33</v>
      </c>
      <c r="I5" s="4">
        <v>4.41</v>
      </c>
      <c r="J5" t="s">
        <v>501</v>
      </c>
      <c r="K5" s="3">
        <v>0</v>
      </c>
      <c r="L5" t="s">
        <v>46</v>
      </c>
      <c r="M5" t="s">
        <v>464</v>
      </c>
      <c r="N5" s="3">
        <v>8.2000000000000003E-2</v>
      </c>
      <c r="O5" t="s">
        <v>502</v>
      </c>
      <c r="Q5" t="s">
        <v>465</v>
      </c>
      <c r="R5" s="3">
        <v>0.27800000000000002</v>
      </c>
      <c r="S5" s="3">
        <v>2.4E-2</v>
      </c>
      <c r="T5" t="s">
        <v>47</v>
      </c>
      <c r="U5" s="3">
        <v>1.524</v>
      </c>
      <c r="V5" s="3">
        <v>0.13200000000000001</v>
      </c>
      <c r="W5" s="3">
        <v>0.06</v>
      </c>
      <c r="X5" s="3">
        <v>3.7999999999999999E-2</v>
      </c>
    </row>
    <row r="6" spans="1:24" x14ac:dyDescent="0.25">
      <c r="A6" t="s">
        <v>30</v>
      </c>
      <c r="B6" t="s">
        <v>342</v>
      </c>
      <c r="C6" t="s">
        <v>22</v>
      </c>
      <c r="D6">
        <v>4.3499999999999996</v>
      </c>
      <c r="E6" s="4">
        <v>6.08</v>
      </c>
      <c r="F6">
        <f t="shared" si="0"/>
        <v>39.770114942528757</v>
      </c>
      <c r="G6">
        <v>5.5575000000000001</v>
      </c>
      <c r="H6" s="4">
        <v>6.18</v>
      </c>
      <c r="I6" s="4">
        <v>3.4</v>
      </c>
      <c r="J6" t="s">
        <v>490</v>
      </c>
      <c r="K6" s="3">
        <v>0.9</v>
      </c>
      <c r="L6" t="s">
        <v>471</v>
      </c>
      <c r="M6" t="s">
        <v>455</v>
      </c>
      <c r="N6" s="3">
        <v>3.5000000000000003E-2</v>
      </c>
      <c r="O6" t="s">
        <v>478</v>
      </c>
      <c r="P6" t="s">
        <v>503</v>
      </c>
      <c r="Q6" t="s">
        <v>456</v>
      </c>
      <c r="R6" s="3">
        <v>1.5249999999999999</v>
      </c>
      <c r="S6" s="3">
        <v>0.01</v>
      </c>
      <c r="T6" t="s">
        <v>32</v>
      </c>
      <c r="U6" s="3">
        <v>4.2000000000000003E-2</v>
      </c>
      <c r="V6" s="3">
        <v>0.10299999999999999</v>
      </c>
      <c r="X6" s="3">
        <v>0.42899999999999999</v>
      </c>
    </row>
    <row r="7" spans="1:24" x14ac:dyDescent="0.25">
      <c r="A7" t="s">
        <v>160</v>
      </c>
      <c r="B7" t="s">
        <v>343</v>
      </c>
      <c r="C7" t="s">
        <v>22</v>
      </c>
      <c r="D7" s="5">
        <v>13.56</v>
      </c>
      <c r="E7" s="4">
        <v>27.15</v>
      </c>
      <c r="F7">
        <f t="shared" si="0"/>
        <v>100.22123893805306</v>
      </c>
      <c r="G7">
        <v>26.000999100000001</v>
      </c>
      <c r="H7" s="4">
        <v>28.89</v>
      </c>
      <c r="I7" s="4">
        <v>13.11</v>
      </c>
      <c r="J7" t="s">
        <v>491</v>
      </c>
      <c r="K7" s="3">
        <v>1</v>
      </c>
      <c r="L7" t="s">
        <v>371</v>
      </c>
      <c r="M7" t="s">
        <v>457</v>
      </c>
      <c r="N7" s="3">
        <v>2.5999999999999999E-2</v>
      </c>
      <c r="O7" t="s">
        <v>485</v>
      </c>
      <c r="P7" t="s">
        <v>504</v>
      </c>
      <c r="Q7" t="s">
        <v>458</v>
      </c>
      <c r="R7" s="3">
        <v>0.161</v>
      </c>
      <c r="S7" s="3">
        <v>1.6E-2</v>
      </c>
      <c r="T7" t="s">
        <v>459</v>
      </c>
      <c r="U7" s="3">
        <v>3.9E-2</v>
      </c>
      <c r="V7" s="3">
        <v>6.0999999999999999E-2</v>
      </c>
      <c r="W7" s="3">
        <v>0.155</v>
      </c>
      <c r="X7" s="3">
        <v>0.17399999999999999</v>
      </c>
    </row>
    <row r="8" spans="1:24" x14ac:dyDescent="0.25">
      <c r="A8" t="s">
        <v>161</v>
      </c>
      <c r="B8" t="s">
        <v>344</v>
      </c>
      <c r="C8" t="s">
        <v>29</v>
      </c>
      <c r="D8">
        <v>3.88</v>
      </c>
      <c r="E8" s="4">
        <v>4.83</v>
      </c>
      <c r="F8">
        <f t="shared" si="0"/>
        <v>24.484536082474229</v>
      </c>
      <c r="G8">
        <v>4.3920000000000003</v>
      </c>
      <c r="H8" s="4">
        <v>5.14</v>
      </c>
      <c r="I8" s="4">
        <v>3.68</v>
      </c>
      <c r="J8" t="s">
        <v>505</v>
      </c>
      <c r="K8" s="3">
        <v>1</v>
      </c>
      <c r="L8" t="s">
        <v>162</v>
      </c>
      <c r="M8" t="s">
        <v>460</v>
      </c>
      <c r="N8" s="3">
        <v>3.9E-2</v>
      </c>
      <c r="O8" t="s">
        <v>492</v>
      </c>
      <c r="P8" t="s">
        <v>506</v>
      </c>
      <c r="Q8" t="s">
        <v>445</v>
      </c>
      <c r="R8" s="3">
        <v>1.2949999999999999</v>
      </c>
      <c r="S8" s="3">
        <v>6.0000000000000001E-3</v>
      </c>
      <c r="T8" t="s">
        <v>446</v>
      </c>
      <c r="U8" s="3">
        <v>0.10100000000000001</v>
      </c>
      <c r="V8" s="3">
        <v>2.8000000000000001E-2</v>
      </c>
      <c r="W8" s="3">
        <v>9.5000000000000001E-2</v>
      </c>
      <c r="X8" s="3">
        <v>0.151</v>
      </c>
    </row>
    <row r="9" spans="1:24" x14ac:dyDescent="0.25">
      <c r="A9" t="s">
        <v>163</v>
      </c>
      <c r="B9" t="s">
        <v>345</v>
      </c>
      <c r="C9" t="s">
        <v>26</v>
      </c>
      <c r="D9">
        <v>6.06</v>
      </c>
      <c r="E9" s="4">
        <v>6.5</v>
      </c>
      <c r="F9">
        <f t="shared" si="0"/>
        <v>7.2607260726072598</v>
      </c>
      <c r="G9">
        <v>5.976</v>
      </c>
      <c r="H9" s="4">
        <v>7.93</v>
      </c>
      <c r="I9" s="4">
        <v>5.88</v>
      </c>
      <c r="J9" t="s">
        <v>496</v>
      </c>
      <c r="K9" s="3">
        <v>1</v>
      </c>
      <c r="L9" t="s">
        <v>372</v>
      </c>
      <c r="M9" t="s">
        <v>473</v>
      </c>
      <c r="N9" s="3">
        <v>5.8000000000000003E-2</v>
      </c>
      <c r="O9" t="s">
        <v>486</v>
      </c>
      <c r="P9" t="s">
        <v>487</v>
      </c>
      <c r="Q9" t="s">
        <v>474</v>
      </c>
      <c r="R9" s="3">
        <v>2.82</v>
      </c>
      <c r="T9" t="s">
        <v>475</v>
      </c>
      <c r="U9" s="3">
        <v>7.9000000000000001E-2</v>
      </c>
      <c r="V9" s="3">
        <v>0.30199999999999999</v>
      </c>
      <c r="W9" s="3">
        <v>-0.28799999999999998</v>
      </c>
      <c r="X9" s="3">
        <v>2.1999999999999999E-2</v>
      </c>
    </row>
    <row r="10" spans="1:24" x14ac:dyDescent="0.25">
      <c r="A10" t="s">
        <v>164</v>
      </c>
      <c r="B10" t="s">
        <v>346</v>
      </c>
      <c r="C10" t="s">
        <v>34</v>
      </c>
      <c r="D10">
        <v>2.36</v>
      </c>
      <c r="E10" s="4">
        <v>2.75</v>
      </c>
      <c r="F10">
        <f t="shared" si="0"/>
        <v>16.525423728813561</v>
      </c>
      <c r="G10">
        <v>2.4750000000000001</v>
      </c>
      <c r="H10" s="4">
        <v>2.75</v>
      </c>
      <c r="I10" s="4">
        <v>1.96</v>
      </c>
      <c r="J10" t="s">
        <v>497</v>
      </c>
      <c r="K10" s="3">
        <v>0</v>
      </c>
      <c r="L10" t="s">
        <v>477</v>
      </c>
      <c r="M10" t="s">
        <v>461</v>
      </c>
      <c r="N10" s="3">
        <v>4.2000000000000003E-2</v>
      </c>
      <c r="O10" t="s">
        <v>498</v>
      </c>
      <c r="P10" t="s">
        <v>507</v>
      </c>
      <c r="Q10" t="s">
        <v>462</v>
      </c>
      <c r="R10" s="3">
        <v>5.8579999999999997</v>
      </c>
      <c r="S10" s="3">
        <v>5.0000000000000001E-3</v>
      </c>
      <c r="T10" t="s">
        <v>463</v>
      </c>
      <c r="U10" s="3">
        <v>0.60199999999999998</v>
      </c>
      <c r="V10" s="3">
        <v>0.121</v>
      </c>
      <c r="W10" s="3">
        <v>-0.66400000000000003</v>
      </c>
      <c r="X10" s="3">
        <v>8.5999999999999993E-2</v>
      </c>
    </row>
    <row r="11" spans="1:24" x14ac:dyDescent="0.25">
      <c r="E11" s="4"/>
      <c r="F11" s="4"/>
      <c r="G11" s="4"/>
      <c r="H11" s="4"/>
      <c r="I11" s="4"/>
      <c r="K11" s="3"/>
      <c r="N11" s="3"/>
      <c r="R11" s="3"/>
      <c r="U11" s="3"/>
      <c r="V11" s="3"/>
      <c r="W11" s="3"/>
      <c r="X11" s="3"/>
    </row>
    <row r="12" spans="1:24" x14ac:dyDescent="0.25">
      <c r="E12" s="4"/>
      <c r="F12" s="4"/>
      <c r="G12" s="4"/>
      <c r="H12" s="4"/>
      <c r="I12" s="4"/>
      <c r="K12" s="3"/>
      <c r="N12" s="3"/>
      <c r="R12" s="3"/>
      <c r="S12" s="3"/>
      <c r="U12" s="3"/>
      <c r="V12" s="3"/>
      <c r="W12" s="3"/>
      <c r="X12" s="3"/>
    </row>
    <row r="13" spans="1:24" x14ac:dyDescent="0.25">
      <c r="B13" s="3"/>
      <c r="C13" s="2"/>
      <c r="E13" s="4"/>
      <c r="F13" s="4"/>
      <c r="G13" s="4"/>
      <c r="H13" s="4"/>
      <c r="I13" s="4"/>
      <c r="K13" s="3"/>
      <c r="N13" s="3"/>
      <c r="R13" s="3"/>
      <c r="S13" s="3"/>
      <c r="U13" s="3"/>
      <c r="V13" s="3"/>
      <c r="W13" s="3"/>
      <c r="X13" s="3"/>
    </row>
    <row r="14" spans="1:24" x14ac:dyDescent="0.25">
      <c r="B14" s="3"/>
      <c r="C14" s="2"/>
    </row>
    <row r="15" spans="1:24" x14ac:dyDescent="0.25">
      <c r="B15" s="3"/>
      <c r="C15" s="2"/>
    </row>
    <row r="16" spans="1:24" x14ac:dyDescent="0.25">
      <c r="B16" s="3"/>
      <c r="C16" s="2"/>
    </row>
    <row r="17" spans="1:12" x14ac:dyDescent="0.25">
      <c r="B17" s="3"/>
    </row>
    <row r="18" spans="1:12" x14ac:dyDescent="0.25">
      <c r="A18" s="3"/>
      <c r="B18" s="3"/>
      <c r="C18" s="3"/>
      <c r="D18" s="3"/>
      <c r="E18" s="3"/>
      <c r="F18" s="3"/>
      <c r="G18" s="3"/>
      <c r="H18" s="3"/>
      <c r="I18" s="3"/>
      <c r="J18" s="3"/>
      <c r="K18" s="3"/>
      <c r="L18" s="3"/>
    </row>
    <row r="19" spans="1:12" x14ac:dyDescent="0.25">
      <c r="A19" s="3"/>
      <c r="B19" s="3"/>
      <c r="C19" s="3"/>
      <c r="D19" s="3"/>
      <c r="E19" s="3"/>
      <c r="F19" s="3"/>
      <c r="G19" s="3"/>
      <c r="H19" s="3"/>
      <c r="I19" s="3"/>
      <c r="J19" s="3"/>
      <c r="K19" s="3"/>
      <c r="L19" s="3"/>
    </row>
    <row r="20" spans="1:12" x14ac:dyDescent="0.25">
      <c r="A20" s="3"/>
      <c r="B20" s="3"/>
      <c r="C20" s="3"/>
      <c r="D20" s="3"/>
      <c r="E20" s="3"/>
      <c r="F20" s="3"/>
      <c r="G20" s="3"/>
      <c r="H20" s="3"/>
      <c r="I20" s="3"/>
      <c r="J20" s="3"/>
      <c r="K20" s="3"/>
      <c r="L20" s="21"/>
    </row>
    <row r="21" spans="1:12" x14ac:dyDescent="0.25">
      <c r="A21" s="3"/>
      <c r="B21" s="3"/>
      <c r="C21" s="3"/>
      <c r="D21" s="3"/>
      <c r="E21" s="3"/>
      <c r="F21" s="3"/>
      <c r="G21" s="3"/>
      <c r="H21" s="3"/>
      <c r="I21" s="3"/>
      <c r="J21" s="3"/>
      <c r="K21" s="3"/>
      <c r="L21" s="21"/>
    </row>
    <row r="22" spans="1:12" x14ac:dyDescent="0.25">
      <c r="A22" s="3"/>
      <c r="B22" s="3"/>
      <c r="C22" s="3"/>
      <c r="D22" s="3"/>
      <c r="E22" s="3"/>
      <c r="F22" s="3"/>
      <c r="G22" s="3"/>
      <c r="H22" s="3"/>
      <c r="I22" s="3"/>
      <c r="J22" s="3"/>
      <c r="K22" s="3"/>
      <c r="L22" s="21"/>
    </row>
    <row r="23" spans="1:12" x14ac:dyDescent="0.25">
      <c r="A23" s="3"/>
      <c r="B23" s="3"/>
      <c r="C23" s="3"/>
      <c r="D23" s="3"/>
      <c r="E23" s="3"/>
      <c r="F23" s="3"/>
      <c r="G23" s="3"/>
      <c r="H23" s="3"/>
      <c r="I23" s="3"/>
      <c r="J23" s="3"/>
      <c r="K23" s="3"/>
      <c r="L23" s="21"/>
    </row>
    <row r="24" spans="1:12" x14ac:dyDescent="0.25">
      <c r="A24" s="3"/>
      <c r="B24" s="3"/>
      <c r="C24" s="3"/>
      <c r="D24" s="3"/>
      <c r="E24" s="3"/>
      <c r="F24" s="3"/>
      <c r="G24" s="3"/>
      <c r="H24" s="3"/>
      <c r="I24" s="3"/>
      <c r="J24" s="3"/>
      <c r="K24" s="3"/>
      <c r="L24" s="21"/>
    </row>
    <row r="25" spans="1:12" x14ac:dyDescent="0.25">
      <c r="A25" s="3"/>
      <c r="B25" s="3"/>
      <c r="C25" s="3"/>
      <c r="D25" s="3"/>
      <c r="E25" s="3"/>
      <c r="F25" s="3"/>
      <c r="G25" s="3"/>
      <c r="H25" s="3"/>
      <c r="I25" s="3"/>
      <c r="J25" s="3"/>
      <c r="K25" s="3"/>
      <c r="L25" s="21"/>
    </row>
    <row r="26" spans="1:12" x14ac:dyDescent="0.25">
      <c r="A26" s="3"/>
      <c r="B26" s="3"/>
      <c r="C26" s="3"/>
      <c r="D26" s="3"/>
      <c r="E26" s="3"/>
      <c r="F26" s="3"/>
      <c r="G26" s="3"/>
      <c r="H26" s="3"/>
      <c r="I26" s="3"/>
      <c r="J26" s="3"/>
      <c r="K26" s="3"/>
      <c r="L26" s="21"/>
    </row>
    <row r="27" spans="1:12" x14ac:dyDescent="0.25">
      <c r="A27" s="3"/>
      <c r="B27" s="3"/>
      <c r="C27" s="3"/>
      <c r="D27" s="3"/>
      <c r="E27" s="3"/>
      <c r="F27" s="3"/>
      <c r="G27" s="3"/>
      <c r="H27" s="3"/>
      <c r="I27" s="3"/>
      <c r="J27" s="3"/>
      <c r="K27" s="3"/>
      <c r="L27" s="21"/>
    </row>
    <row r="28" spans="1:12" x14ac:dyDescent="0.25">
      <c r="A28" s="3"/>
      <c r="B28" s="3"/>
      <c r="C28" s="3"/>
      <c r="D28" s="3"/>
      <c r="E28" s="3"/>
      <c r="F28" s="3"/>
      <c r="G28" s="3"/>
      <c r="H28" s="3"/>
      <c r="I28" s="3"/>
      <c r="J28" s="3"/>
      <c r="K28" s="3"/>
      <c r="L28" s="21"/>
    </row>
    <row r="29" spans="1:12" x14ac:dyDescent="0.25">
      <c r="A29" s="3"/>
      <c r="B29" s="3"/>
      <c r="C29" s="3"/>
      <c r="D29" s="3"/>
      <c r="E29" s="3"/>
      <c r="F29" s="3"/>
      <c r="G29" s="3"/>
      <c r="H29" s="3"/>
      <c r="I29" s="3"/>
      <c r="J29" s="3"/>
      <c r="K29" s="3"/>
      <c r="L29" s="21"/>
    </row>
    <row r="30" spans="1:12" x14ac:dyDescent="0.25">
      <c r="A30" s="3"/>
      <c r="B30" s="3"/>
      <c r="C30" s="3"/>
      <c r="D30" s="3"/>
      <c r="E30" s="3"/>
      <c r="F30" s="3"/>
      <c r="G30" s="3"/>
      <c r="H30" s="3"/>
      <c r="I30" s="3"/>
      <c r="J30" s="3"/>
      <c r="K30" s="3"/>
      <c r="L30" s="21"/>
    </row>
    <row r="31" spans="1:12" x14ac:dyDescent="0.25">
      <c r="A31" s="3"/>
      <c r="B31" s="3"/>
      <c r="C31" s="3"/>
      <c r="D31" s="3"/>
      <c r="E31" s="3"/>
      <c r="F31" s="3"/>
      <c r="G31" s="3"/>
      <c r="H31" s="3"/>
      <c r="I31" s="3"/>
      <c r="J31" s="3"/>
      <c r="K31" s="3"/>
      <c r="L31" s="21"/>
    </row>
    <row r="32" spans="1:12" x14ac:dyDescent="0.25">
      <c r="A32" s="3"/>
      <c r="B32" s="3"/>
      <c r="C32" s="3"/>
      <c r="D32" s="3"/>
      <c r="E32" s="3"/>
      <c r="F32" s="3"/>
      <c r="G32" s="3"/>
      <c r="H32" s="3"/>
      <c r="I32" s="3"/>
      <c r="J32" s="3"/>
      <c r="K32" s="3"/>
      <c r="L32" s="3"/>
    </row>
    <row r="33" spans="1:12" x14ac:dyDescent="0.25">
      <c r="A33" s="3"/>
      <c r="B33" s="3"/>
      <c r="C33" s="3"/>
      <c r="D33" s="3"/>
      <c r="E33" s="3"/>
      <c r="F33" s="3"/>
      <c r="G33" s="3"/>
      <c r="H33" s="3"/>
      <c r="I33" s="3"/>
      <c r="J33" s="3"/>
      <c r="K33" s="3"/>
      <c r="L33" s="3"/>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sheetData>
  <sortState xmlns:xlrd2="http://schemas.microsoft.com/office/spreadsheetml/2017/richdata2" ref="Z2:Z13">
    <sortCondition ref="Z2:Z13"/>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6"/>
  <sheetViews>
    <sheetView zoomScale="90" zoomScaleNormal="90" workbookViewId="0">
      <selection activeCell="G30" sqref="G30"/>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414</v>
      </c>
      <c r="D1" s="1" t="s">
        <v>48</v>
      </c>
      <c r="E1" s="1" t="s">
        <v>49</v>
      </c>
      <c r="F1" s="1" t="s">
        <v>51</v>
      </c>
      <c r="G1" s="1" t="s">
        <v>52</v>
      </c>
      <c r="H1" s="1" t="s">
        <v>0</v>
      </c>
      <c r="I1" s="1" t="s">
        <v>2</v>
      </c>
      <c r="J1" s="1" t="s">
        <v>3</v>
      </c>
      <c r="K1" s="1" t="s">
        <v>417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s="26" customFormat="1" x14ac:dyDescent="0.25">
      <c r="A2" s="24">
        <v>46034</v>
      </c>
      <c r="B2" s="25" t="s">
        <v>105</v>
      </c>
      <c r="C2" s="25">
        <v>9.0399999999999991</v>
      </c>
      <c r="D2" s="15" t="s">
        <v>374</v>
      </c>
      <c r="E2" t="s">
        <v>412</v>
      </c>
      <c r="F2" s="25" t="s">
        <v>416</v>
      </c>
      <c r="G2" t="s">
        <v>413</v>
      </c>
      <c r="H2" t="s">
        <v>168</v>
      </c>
      <c r="I2" t="s">
        <v>26</v>
      </c>
      <c r="J2" s="4">
        <v>9.0399999999999991</v>
      </c>
      <c r="K2" s="5">
        <f t="shared" ref="K2:K4" si="0">(J2/C2-1)*100</f>
        <v>0</v>
      </c>
      <c r="L2" s="4">
        <v>11.74</v>
      </c>
      <c r="M2" s="4">
        <v>6.02</v>
      </c>
      <c r="N2" t="s">
        <v>394</v>
      </c>
      <c r="O2" s="3">
        <v>1</v>
      </c>
      <c r="P2" t="s">
        <v>395</v>
      </c>
      <c r="Q2" t="s">
        <v>418</v>
      </c>
      <c r="R2" s="3">
        <v>5.7000000000000002E-2</v>
      </c>
      <c r="S2" t="s">
        <v>508</v>
      </c>
      <c r="T2" t="s">
        <v>509</v>
      </c>
      <c r="U2" t="s">
        <v>450</v>
      </c>
      <c r="V2" s="3">
        <v>5.0000000000000001E-3</v>
      </c>
      <c r="W2" s="3">
        <v>0.03</v>
      </c>
      <c r="X2" t="s">
        <v>451</v>
      </c>
      <c r="Y2" s="3">
        <v>0.51700000000000002</v>
      </c>
      <c r="Z2" s="3">
        <v>-0.16800000000000001</v>
      </c>
      <c r="AA2" s="3">
        <v>-0.23499999999999999</v>
      </c>
      <c r="AB2" s="3">
        <v>0.16300000000000001</v>
      </c>
    </row>
    <row r="3" spans="1:28" x14ac:dyDescent="0.25">
      <c r="A3" s="14">
        <v>45999</v>
      </c>
      <c r="B3" s="15" t="s">
        <v>36</v>
      </c>
      <c r="C3" s="15">
        <v>2.0299999999999998</v>
      </c>
      <c r="D3" s="15" t="s">
        <v>374</v>
      </c>
      <c r="E3" t="s">
        <v>415</v>
      </c>
      <c r="F3" s="15" t="s">
        <v>416</v>
      </c>
      <c r="G3" t="s">
        <v>413</v>
      </c>
      <c r="H3" t="s">
        <v>35</v>
      </c>
      <c r="I3" t="s">
        <v>34</v>
      </c>
      <c r="J3" s="4">
        <v>2.0299999999999998</v>
      </c>
      <c r="K3" s="5">
        <f t="shared" si="0"/>
        <v>0</v>
      </c>
      <c r="L3" s="4">
        <v>2.46</v>
      </c>
      <c r="M3" s="4">
        <v>1.7749999999999999</v>
      </c>
      <c r="N3" t="s">
        <v>479</v>
      </c>
      <c r="O3" s="3">
        <v>0</v>
      </c>
      <c r="P3" t="s">
        <v>37</v>
      </c>
      <c r="Q3" t="s">
        <v>452</v>
      </c>
      <c r="R3" s="3">
        <v>4.3999999999999997E-2</v>
      </c>
      <c r="S3" t="s">
        <v>480</v>
      </c>
      <c r="T3" t="s">
        <v>481</v>
      </c>
      <c r="U3" t="s">
        <v>453</v>
      </c>
      <c r="V3" s="3">
        <v>0.502</v>
      </c>
      <c r="W3" s="3">
        <v>0.01</v>
      </c>
      <c r="X3" t="s">
        <v>454</v>
      </c>
      <c r="Y3" s="3">
        <v>2.8000000000000001E-2</v>
      </c>
      <c r="Z3" s="3">
        <v>2.3E-2</v>
      </c>
      <c r="AA3" s="3">
        <v>-0.57799999999999996</v>
      </c>
      <c r="AB3" s="3">
        <v>7.0000000000000001E-3</v>
      </c>
    </row>
    <row r="4" spans="1:28" x14ac:dyDescent="0.25">
      <c r="A4" s="14">
        <v>45999</v>
      </c>
      <c r="B4" s="15" t="s">
        <v>25</v>
      </c>
      <c r="C4" s="15">
        <v>4.5</v>
      </c>
      <c r="D4" s="15" t="s">
        <v>374</v>
      </c>
      <c r="E4" t="s">
        <v>415</v>
      </c>
      <c r="F4" s="15" t="s">
        <v>416</v>
      </c>
      <c r="G4" t="s">
        <v>413</v>
      </c>
      <c r="H4" t="s">
        <v>24</v>
      </c>
      <c r="I4" t="s">
        <v>26</v>
      </c>
      <c r="J4" s="4">
        <v>4.5</v>
      </c>
      <c r="K4" s="5">
        <f t="shared" si="0"/>
        <v>0</v>
      </c>
      <c r="L4" s="4">
        <v>5.2</v>
      </c>
      <c r="M4" s="4">
        <v>3.57</v>
      </c>
      <c r="N4" t="s">
        <v>482</v>
      </c>
      <c r="O4" s="3">
        <v>1</v>
      </c>
      <c r="P4" t="s">
        <v>27</v>
      </c>
      <c r="Q4" t="s">
        <v>468</v>
      </c>
      <c r="R4" s="3">
        <v>0.04</v>
      </c>
      <c r="S4" t="s">
        <v>483</v>
      </c>
      <c r="U4" t="s">
        <v>469</v>
      </c>
      <c r="V4" s="3">
        <v>8.8999999999999996E-2</v>
      </c>
      <c r="X4" t="s">
        <v>470</v>
      </c>
      <c r="Y4" s="3">
        <v>6.2E-2</v>
      </c>
      <c r="Z4" s="3">
        <v>4.7E-2</v>
      </c>
      <c r="AA4" s="3">
        <v>8.3000000000000004E-2</v>
      </c>
      <c r="AB4" s="3">
        <v>0.216</v>
      </c>
    </row>
    <row r="5" spans="1:28" x14ac:dyDescent="0.25">
      <c r="A5" s="14">
        <v>45894</v>
      </c>
      <c r="B5" s="15" t="s">
        <v>105</v>
      </c>
      <c r="C5" s="15">
        <v>11.05</v>
      </c>
      <c r="D5" s="15" t="s">
        <v>375</v>
      </c>
      <c r="E5" t="s">
        <v>415</v>
      </c>
      <c r="F5" t="s">
        <v>376</v>
      </c>
      <c r="G5" t="s">
        <v>377</v>
      </c>
      <c r="H5" t="s">
        <v>168</v>
      </c>
      <c r="I5" t="s">
        <v>26</v>
      </c>
      <c r="J5" s="4">
        <v>9.0399999999999991</v>
      </c>
      <c r="K5" s="5">
        <f>(J5/C5-1)*100</f>
        <v>-18.190045248868792</v>
      </c>
      <c r="L5" s="4">
        <v>11.74</v>
      </c>
      <c r="M5" s="4">
        <v>6.02</v>
      </c>
      <c r="N5" t="s">
        <v>394</v>
      </c>
      <c r="O5" s="3">
        <v>1</v>
      </c>
      <c r="P5" t="s">
        <v>395</v>
      </c>
      <c r="Q5" t="s">
        <v>418</v>
      </c>
      <c r="R5" s="3">
        <v>5.7000000000000002E-2</v>
      </c>
      <c r="S5" t="s">
        <v>508</v>
      </c>
      <c r="T5" t="s">
        <v>509</v>
      </c>
      <c r="U5" t="s">
        <v>450</v>
      </c>
      <c r="V5" s="3">
        <v>5.0000000000000001E-3</v>
      </c>
      <c r="W5" s="3">
        <v>0.03</v>
      </c>
      <c r="X5" t="s">
        <v>451</v>
      </c>
      <c r="Y5" s="3">
        <v>0.51700000000000002</v>
      </c>
      <c r="Z5" s="3">
        <v>-0.16800000000000001</v>
      </c>
      <c r="AA5" s="3">
        <v>-0.23499999999999999</v>
      </c>
      <c r="AB5" s="3">
        <v>0.16300000000000001</v>
      </c>
    </row>
    <row r="6" spans="1:28" x14ac:dyDescent="0.25">
      <c r="A6" s="14">
        <v>45894</v>
      </c>
      <c r="B6" s="15" t="s">
        <v>40</v>
      </c>
      <c r="C6" s="15">
        <v>2.83</v>
      </c>
      <c r="D6" s="15" t="s">
        <v>374</v>
      </c>
      <c r="E6" t="s">
        <v>415</v>
      </c>
      <c r="F6" s="15" t="s">
        <v>416</v>
      </c>
      <c r="G6" t="s">
        <v>377</v>
      </c>
      <c r="H6" t="s">
        <v>39</v>
      </c>
      <c r="I6" t="s">
        <v>38</v>
      </c>
      <c r="J6" s="15">
        <v>2.83</v>
      </c>
      <c r="K6" s="16">
        <f t="shared" ref="K6:K20" si="1">(J6/C6-1)*100</f>
        <v>0</v>
      </c>
      <c r="L6" s="4">
        <v>3.9</v>
      </c>
      <c r="M6" s="4">
        <v>2.72</v>
      </c>
      <c r="N6" t="s">
        <v>363</v>
      </c>
      <c r="O6" s="3">
        <v>1</v>
      </c>
      <c r="P6" t="s">
        <v>41</v>
      </c>
      <c r="Q6" t="s">
        <v>42</v>
      </c>
      <c r="R6" s="3">
        <v>5.3999999999999999E-2</v>
      </c>
      <c r="S6" t="s">
        <v>23</v>
      </c>
      <c r="T6" t="s">
        <v>444</v>
      </c>
      <c r="U6" t="s">
        <v>43</v>
      </c>
      <c r="V6" s="3">
        <v>6.4219999999999997</v>
      </c>
      <c r="W6" s="3">
        <v>1.2999999999999999E-2</v>
      </c>
      <c r="X6" t="s">
        <v>44</v>
      </c>
      <c r="Y6" s="3">
        <v>2.8000000000000001E-2</v>
      </c>
      <c r="Z6" s="3">
        <v>6.9000000000000006E-2</v>
      </c>
      <c r="AA6" s="3">
        <v>6.7000000000000004E-2</v>
      </c>
      <c r="AB6" s="3">
        <v>0.38600000000000001</v>
      </c>
    </row>
    <row r="7" spans="1:28" x14ac:dyDescent="0.25">
      <c r="A7" s="2">
        <v>45793</v>
      </c>
      <c r="B7" s="3" t="s">
        <v>135</v>
      </c>
      <c r="C7">
        <v>8.6199999999999992</v>
      </c>
      <c r="D7" t="s">
        <v>375</v>
      </c>
      <c r="E7" t="s">
        <v>415</v>
      </c>
      <c r="F7" t="s">
        <v>376</v>
      </c>
      <c r="G7" t="s">
        <v>377</v>
      </c>
      <c r="H7" t="s">
        <v>158</v>
      </c>
      <c r="I7" t="s">
        <v>159</v>
      </c>
      <c r="J7" s="4">
        <v>8.7799999999999994</v>
      </c>
      <c r="K7" s="5">
        <f t="shared" si="1"/>
        <v>1.8561484918793614</v>
      </c>
      <c r="L7" s="4">
        <v>9.2200000000000006</v>
      </c>
      <c r="M7" s="4">
        <v>6.08</v>
      </c>
      <c r="N7" t="s">
        <v>493</v>
      </c>
      <c r="O7" s="3">
        <v>0</v>
      </c>
      <c r="P7" t="s">
        <v>472</v>
      </c>
      <c r="Q7" t="s">
        <v>447</v>
      </c>
      <c r="R7" s="3">
        <v>6.5000000000000002E-2</v>
      </c>
      <c r="S7" t="s">
        <v>494</v>
      </c>
      <c r="U7" t="s">
        <v>448</v>
      </c>
      <c r="V7" s="3">
        <v>5.2539999999999996</v>
      </c>
      <c r="W7" s="3">
        <v>1.6E-2</v>
      </c>
      <c r="X7" t="s">
        <v>449</v>
      </c>
      <c r="Y7" s="3">
        <v>4.1000000000000002E-2</v>
      </c>
      <c r="Z7" s="3">
        <v>5.5E-2</v>
      </c>
      <c r="AA7" s="3">
        <v>-0.26900000000000002</v>
      </c>
      <c r="AB7" s="3">
        <v>3.3000000000000002E-2</v>
      </c>
    </row>
    <row r="8" spans="1:28" x14ac:dyDescent="0.25">
      <c r="A8" s="2">
        <v>45786</v>
      </c>
      <c r="B8" s="3" t="s">
        <v>80</v>
      </c>
      <c r="C8">
        <v>3.07</v>
      </c>
      <c r="D8" t="s">
        <v>375</v>
      </c>
      <c r="E8" t="s">
        <v>415</v>
      </c>
      <c r="F8" t="s">
        <v>376</v>
      </c>
      <c r="G8" t="s">
        <v>377</v>
      </c>
      <c r="H8" t="s">
        <v>131</v>
      </c>
      <c r="I8" t="s">
        <v>34</v>
      </c>
      <c r="J8" s="4">
        <v>3.33</v>
      </c>
      <c r="K8" s="5">
        <f t="shared" si="1"/>
        <v>8.4690553745928376</v>
      </c>
      <c r="L8" s="4">
        <v>3.54</v>
      </c>
      <c r="M8" s="4">
        <v>2.64</v>
      </c>
      <c r="N8" t="s">
        <v>484</v>
      </c>
      <c r="O8" s="3">
        <v>0</v>
      </c>
      <c r="P8" t="s">
        <v>476</v>
      </c>
      <c r="Q8" t="s">
        <v>436</v>
      </c>
      <c r="R8" s="3">
        <v>0.05</v>
      </c>
      <c r="S8" t="s">
        <v>499</v>
      </c>
      <c r="U8" t="s">
        <v>437</v>
      </c>
      <c r="V8" s="3">
        <v>0.54600000000000004</v>
      </c>
      <c r="W8" s="3">
        <v>2E-3</v>
      </c>
      <c r="X8" t="s">
        <v>438</v>
      </c>
      <c r="Y8" s="3">
        <v>0.56999999999999995</v>
      </c>
      <c r="Z8" s="3">
        <v>4.7E-2</v>
      </c>
      <c r="AA8" s="3">
        <v>-0.29499999999999998</v>
      </c>
      <c r="AB8" s="3">
        <v>5.3999999999999999E-2</v>
      </c>
    </row>
    <row r="9" spans="1:28" x14ac:dyDescent="0.25">
      <c r="A9" s="2">
        <v>45786</v>
      </c>
      <c r="B9" s="3" t="s">
        <v>81</v>
      </c>
      <c r="C9">
        <v>3.64</v>
      </c>
      <c r="D9" t="s">
        <v>375</v>
      </c>
      <c r="E9" t="s">
        <v>415</v>
      </c>
      <c r="F9" t="s">
        <v>376</v>
      </c>
      <c r="G9" t="s">
        <v>377</v>
      </c>
      <c r="H9" t="s">
        <v>132</v>
      </c>
      <c r="I9" t="s">
        <v>34</v>
      </c>
      <c r="J9" s="4">
        <v>3.89</v>
      </c>
      <c r="K9" s="5">
        <f t="shared" si="1"/>
        <v>6.8681318681318659</v>
      </c>
      <c r="L9" s="4">
        <v>4.03</v>
      </c>
      <c r="M9" s="4">
        <v>3.09</v>
      </c>
      <c r="N9" t="s">
        <v>495</v>
      </c>
      <c r="O9" s="3">
        <v>0</v>
      </c>
      <c r="P9" t="s">
        <v>133</v>
      </c>
      <c r="Q9" t="s">
        <v>439</v>
      </c>
      <c r="R9" s="3">
        <v>4.9000000000000002E-2</v>
      </c>
      <c r="S9" t="s">
        <v>500</v>
      </c>
      <c r="U9" t="s">
        <v>440</v>
      </c>
      <c r="V9" s="3">
        <v>0.28499999999999998</v>
      </c>
      <c r="W9" s="3">
        <v>3.0000000000000001E-3</v>
      </c>
      <c r="X9" t="s">
        <v>441</v>
      </c>
      <c r="Y9" s="3">
        <v>1.306</v>
      </c>
      <c r="Z9" s="3">
        <v>9.8000000000000004E-2</v>
      </c>
      <c r="AA9" s="3">
        <v>-0.21099999999999999</v>
      </c>
      <c r="AB9" s="3">
        <v>9.6000000000000002E-2</v>
      </c>
    </row>
    <row r="10" spans="1:28" x14ac:dyDescent="0.25">
      <c r="A10" s="2">
        <v>45786</v>
      </c>
      <c r="B10" s="3" t="s">
        <v>45</v>
      </c>
      <c r="C10">
        <v>5.18</v>
      </c>
      <c r="D10" t="s">
        <v>375</v>
      </c>
      <c r="E10" t="s">
        <v>415</v>
      </c>
      <c r="F10" t="s">
        <v>376</v>
      </c>
      <c r="G10" t="s">
        <v>377</v>
      </c>
      <c r="H10" t="s">
        <v>134</v>
      </c>
      <c r="I10" t="s">
        <v>22</v>
      </c>
      <c r="J10" s="4">
        <v>4.8600000000000003</v>
      </c>
      <c r="K10" s="5">
        <f t="shared" si="1"/>
        <v>-6.1776061776061653</v>
      </c>
      <c r="L10" s="4">
        <v>5.33</v>
      </c>
      <c r="M10" s="4">
        <v>4.41</v>
      </c>
      <c r="N10" t="s">
        <v>501</v>
      </c>
      <c r="O10" s="3">
        <v>0</v>
      </c>
      <c r="P10" t="s">
        <v>46</v>
      </c>
      <c r="Q10" t="s">
        <v>464</v>
      </c>
      <c r="R10" s="3">
        <v>8.2000000000000003E-2</v>
      </c>
      <c r="S10" t="s">
        <v>502</v>
      </c>
      <c r="U10" t="s">
        <v>465</v>
      </c>
      <c r="V10" s="3">
        <v>0.27800000000000002</v>
      </c>
      <c r="W10" s="3">
        <v>2.4E-2</v>
      </c>
      <c r="X10" t="s">
        <v>47</v>
      </c>
      <c r="Y10" s="3">
        <v>1.524</v>
      </c>
      <c r="Z10" s="3">
        <v>0.13200000000000001</v>
      </c>
      <c r="AA10" s="3">
        <v>0.06</v>
      </c>
      <c r="AB10" s="3">
        <v>3.7999999999999999E-2</v>
      </c>
    </row>
    <row r="11" spans="1:28" x14ac:dyDescent="0.25">
      <c r="A11" s="2">
        <v>45786</v>
      </c>
      <c r="B11" s="3" t="s">
        <v>40</v>
      </c>
      <c r="C11">
        <v>3.5</v>
      </c>
      <c r="D11" t="s">
        <v>375</v>
      </c>
      <c r="E11" t="s">
        <v>415</v>
      </c>
      <c r="F11" t="s">
        <v>376</v>
      </c>
      <c r="G11" t="s">
        <v>377</v>
      </c>
      <c r="H11" t="s">
        <v>39</v>
      </c>
      <c r="I11" t="s">
        <v>38</v>
      </c>
      <c r="J11" s="4">
        <v>3.53</v>
      </c>
      <c r="K11" s="5">
        <f t="shared" si="1"/>
        <v>0.85714285714284522</v>
      </c>
      <c r="L11" s="4">
        <v>3.9</v>
      </c>
      <c r="M11" s="4">
        <v>2.72</v>
      </c>
      <c r="N11" t="s">
        <v>363</v>
      </c>
      <c r="O11" s="3">
        <v>1</v>
      </c>
      <c r="P11" t="s">
        <v>41</v>
      </c>
      <c r="Q11" t="s">
        <v>42</v>
      </c>
      <c r="R11" s="3">
        <v>5.3999999999999999E-2</v>
      </c>
      <c r="S11" t="s">
        <v>23</v>
      </c>
      <c r="T11" t="s">
        <v>444</v>
      </c>
      <c r="U11" t="s">
        <v>43</v>
      </c>
      <c r="V11" s="3">
        <v>6.4219999999999997</v>
      </c>
      <c r="W11" s="3">
        <v>1.2999999999999999E-2</v>
      </c>
      <c r="X11" t="s">
        <v>44</v>
      </c>
      <c r="Y11" s="3">
        <v>2.8000000000000001E-2</v>
      </c>
      <c r="Z11" s="3">
        <v>6.9000000000000006E-2</v>
      </c>
      <c r="AA11" s="3">
        <v>6.7000000000000004E-2</v>
      </c>
      <c r="AB11" s="3">
        <v>0.38600000000000001</v>
      </c>
    </row>
    <row r="12" spans="1:28" x14ac:dyDescent="0.25">
      <c r="A12" s="2">
        <v>45786</v>
      </c>
      <c r="B12" s="3" t="s">
        <v>36</v>
      </c>
      <c r="C12">
        <v>2.2999999999999998</v>
      </c>
      <c r="D12" t="s">
        <v>375</v>
      </c>
      <c r="E12" t="s">
        <v>415</v>
      </c>
      <c r="F12" t="s">
        <v>376</v>
      </c>
      <c r="G12" t="s">
        <v>377</v>
      </c>
      <c r="H12" t="s">
        <v>35</v>
      </c>
      <c r="I12" t="s">
        <v>34</v>
      </c>
      <c r="J12" s="4">
        <v>2.0299999999999998</v>
      </c>
      <c r="K12" s="5">
        <f t="shared" si="1"/>
        <v>-11.739130434782608</v>
      </c>
      <c r="L12" s="4">
        <v>2.46</v>
      </c>
      <c r="M12" s="4">
        <v>1.7749999999999999</v>
      </c>
      <c r="N12" t="s">
        <v>479</v>
      </c>
      <c r="O12" s="3">
        <v>0</v>
      </c>
      <c r="P12" t="s">
        <v>37</v>
      </c>
      <c r="Q12" t="s">
        <v>452</v>
      </c>
      <c r="R12" s="3">
        <v>4.3999999999999997E-2</v>
      </c>
      <c r="S12" t="s">
        <v>480</v>
      </c>
      <c r="T12" t="s">
        <v>481</v>
      </c>
      <c r="U12" t="s">
        <v>453</v>
      </c>
      <c r="V12" s="3">
        <v>0.502</v>
      </c>
      <c r="W12" s="3">
        <v>0.01</v>
      </c>
      <c r="X12" t="s">
        <v>454</v>
      </c>
      <c r="Y12" s="3">
        <v>2.8000000000000001E-2</v>
      </c>
      <c r="Z12" s="3">
        <v>2.3E-2</v>
      </c>
      <c r="AA12" s="3">
        <v>-0.57799999999999996</v>
      </c>
      <c r="AB12" s="3">
        <v>7.0000000000000001E-3</v>
      </c>
    </row>
    <row r="13" spans="1:28" x14ac:dyDescent="0.25">
      <c r="A13" s="2">
        <v>45786</v>
      </c>
      <c r="B13" s="3" t="s">
        <v>31</v>
      </c>
      <c r="C13">
        <v>4.3499999999999996</v>
      </c>
      <c r="D13" t="s">
        <v>375</v>
      </c>
      <c r="E13" t="s">
        <v>415</v>
      </c>
      <c r="F13" t="s">
        <v>376</v>
      </c>
      <c r="G13" t="s">
        <v>377</v>
      </c>
      <c r="H13" t="s">
        <v>30</v>
      </c>
      <c r="I13" t="s">
        <v>22</v>
      </c>
      <c r="J13" s="4">
        <v>6.08</v>
      </c>
      <c r="K13" s="5">
        <f t="shared" si="1"/>
        <v>39.770114942528757</v>
      </c>
      <c r="L13" s="4">
        <v>6.18</v>
      </c>
      <c r="M13" s="4">
        <v>3.4</v>
      </c>
      <c r="N13" t="s">
        <v>490</v>
      </c>
      <c r="O13" s="3">
        <v>0.9</v>
      </c>
      <c r="P13" t="s">
        <v>471</v>
      </c>
      <c r="Q13" t="s">
        <v>455</v>
      </c>
      <c r="R13" s="3">
        <v>3.5000000000000003E-2</v>
      </c>
      <c r="S13" t="s">
        <v>478</v>
      </c>
      <c r="T13" t="s">
        <v>503</v>
      </c>
      <c r="U13" t="s">
        <v>456</v>
      </c>
      <c r="V13" s="3">
        <v>1.5249999999999999</v>
      </c>
      <c r="W13" s="3">
        <v>0.01</v>
      </c>
      <c r="X13" t="s">
        <v>32</v>
      </c>
      <c r="Y13" s="3">
        <v>4.2000000000000003E-2</v>
      </c>
      <c r="Z13" s="3">
        <v>0.10299999999999999</v>
      </c>
      <c r="AB13" s="3">
        <v>0.42899999999999999</v>
      </c>
    </row>
    <row r="14" spans="1:28" x14ac:dyDescent="0.25">
      <c r="A14" s="2">
        <v>45695</v>
      </c>
      <c r="B14" s="3" t="s">
        <v>25</v>
      </c>
      <c r="C14" s="5">
        <v>3.91</v>
      </c>
      <c r="D14" t="s">
        <v>375</v>
      </c>
      <c r="E14" t="s">
        <v>415</v>
      </c>
      <c r="F14" t="s">
        <v>376</v>
      </c>
      <c r="G14" t="s">
        <v>377</v>
      </c>
      <c r="H14" t="s">
        <v>24</v>
      </c>
      <c r="I14" t="s">
        <v>26</v>
      </c>
      <c r="J14" s="4">
        <v>5.86</v>
      </c>
      <c r="K14" s="5">
        <f t="shared" si="1"/>
        <v>49.872122762148344</v>
      </c>
      <c r="L14" s="4">
        <v>5.95</v>
      </c>
      <c r="M14" s="4">
        <v>3.38</v>
      </c>
      <c r="N14" t="s">
        <v>488</v>
      </c>
      <c r="O14" s="3">
        <v>0.9</v>
      </c>
      <c r="P14" t="s">
        <v>471</v>
      </c>
      <c r="Q14" t="s">
        <v>455</v>
      </c>
      <c r="R14" s="3">
        <v>3.5999999999999997E-2</v>
      </c>
      <c r="S14" t="s">
        <v>478</v>
      </c>
      <c r="T14" t="s">
        <v>489</v>
      </c>
      <c r="U14" t="s">
        <v>456</v>
      </c>
      <c r="V14" s="3">
        <v>1.5249999999999999</v>
      </c>
      <c r="W14" s="3">
        <v>0.01</v>
      </c>
      <c r="X14" t="s">
        <v>32</v>
      </c>
      <c r="Y14" s="3">
        <v>4.2000000000000003E-2</v>
      </c>
      <c r="Z14" s="3">
        <v>0.10299999999999999</v>
      </c>
      <c r="AB14" s="3">
        <v>0.42899999999999999</v>
      </c>
    </row>
    <row r="15" spans="1:28" x14ac:dyDescent="0.25">
      <c r="A15" s="2">
        <v>45758</v>
      </c>
      <c r="B15" s="3" t="s">
        <v>72</v>
      </c>
      <c r="C15">
        <v>3.93</v>
      </c>
      <c r="D15" t="s">
        <v>374</v>
      </c>
      <c r="E15" t="s">
        <v>412</v>
      </c>
      <c r="F15" t="s">
        <v>416</v>
      </c>
      <c r="G15" t="s">
        <v>413</v>
      </c>
      <c r="H15" t="s">
        <v>165</v>
      </c>
      <c r="I15" t="s">
        <v>26</v>
      </c>
      <c r="J15" s="4">
        <v>3.94</v>
      </c>
      <c r="K15" s="5">
        <f t="shared" si="1"/>
        <v>0.25445292620864812</v>
      </c>
      <c r="L15" s="4">
        <v>4.84</v>
      </c>
      <c r="M15" s="4">
        <v>2.2200000000000002</v>
      </c>
      <c r="N15" t="s">
        <v>370</v>
      </c>
      <c r="O15" s="3">
        <v>0</v>
      </c>
      <c r="P15" t="s">
        <v>378</v>
      </c>
      <c r="R15" s="3">
        <v>0</v>
      </c>
      <c r="S15" t="s">
        <v>379</v>
      </c>
      <c r="U15" t="s">
        <v>380</v>
      </c>
      <c r="V15" s="3">
        <v>0.57899999999999996</v>
      </c>
      <c r="X15" t="s">
        <v>381</v>
      </c>
      <c r="Y15" s="3">
        <v>-8.6999999999999994E-2</v>
      </c>
      <c r="Z15" s="3">
        <v>0.14199999999999999</v>
      </c>
      <c r="AB15" s="3">
        <v>-7.0999999999999994E-2</v>
      </c>
    </row>
    <row r="16" spans="1:28" x14ac:dyDescent="0.25">
      <c r="A16" s="2">
        <v>45737</v>
      </c>
      <c r="B16" s="3" t="s">
        <v>79</v>
      </c>
      <c r="C16">
        <v>142.36000000000001</v>
      </c>
      <c r="D16" t="s">
        <v>374</v>
      </c>
      <c r="E16" t="s">
        <v>412</v>
      </c>
      <c r="F16" t="s">
        <v>416</v>
      </c>
      <c r="G16" t="s">
        <v>413</v>
      </c>
      <c r="H16" t="s">
        <v>166</v>
      </c>
      <c r="I16" t="s">
        <v>26</v>
      </c>
      <c r="J16" s="4">
        <v>180.89</v>
      </c>
      <c r="K16" s="5">
        <f t="shared" si="1"/>
        <v>27.06518685023882</v>
      </c>
      <c r="L16" s="4">
        <v>192</v>
      </c>
      <c r="M16" s="4">
        <v>120.96</v>
      </c>
      <c r="N16" t="s">
        <v>382</v>
      </c>
      <c r="O16" s="3">
        <v>1</v>
      </c>
      <c r="P16" t="s">
        <v>383</v>
      </c>
      <c r="Q16" t="s">
        <v>384</v>
      </c>
      <c r="R16" s="3">
        <v>2.7E-2</v>
      </c>
      <c r="S16" t="s">
        <v>385</v>
      </c>
      <c r="U16" t="s">
        <v>386</v>
      </c>
      <c r="V16" s="3">
        <v>2.782</v>
      </c>
      <c r="X16" t="s">
        <v>387</v>
      </c>
      <c r="Y16" s="3">
        <v>0.35199999999999998</v>
      </c>
      <c r="Z16" s="3">
        <v>0.35299999999999998</v>
      </c>
      <c r="AA16" s="3">
        <v>4.1000000000000002E-2</v>
      </c>
      <c r="AB16" s="3">
        <v>0.13200000000000001</v>
      </c>
    </row>
    <row r="17" spans="1:28" x14ac:dyDescent="0.25">
      <c r="A17" s="2">
        <v>45730</v>
      </c>
      <c r="B17" s="3" t="s">
        <v>117</v>
      </c>
      <c r="C17">
        <v>2.81</v>
      </c>
      <c r="D17" t="s">
        <v>374</v>
      </c>
      <c r="E17" t="s">
        <v>412</v>
      </c>
      <c r="F17" t="s">
        <v>416</v>
      </c>
      <c r="G17" t="s">
        <v>413</v>
      </c>
      <c r="H17" t="s">
        <v>167</v>
      </c>
      <c r="I17" t="s">
        <v>22</v>
      </c>
      <c r="J17" s="4">
        <v>3.04</v>
      </c>
      <c r="K17" s="5">
        <f t="shared" si="1"/>
        <v>8.1850533807829251</v>
      </c>
      <c r="L17" s="4">
        <v>3.93</v>
      </c>
      <c r="M17" s="4">
        <v>2.21</v>
      </c>
      <c r="N17" t="s">
        <v>388</v>
      </c>
      <c r="O17" s="3">
        <v>1</v>
      </c>
      <c r="P17" t="s">
        <v>389</v>
      </c>
      <c r="Q17" t="s">
        <v>390</v>
      </c>
      <c r="R17" s="3">
        <v>5.2999999999999999E-2</v>
      </c>
      <c r="S17" t="s">
        <v>391</v>
      </c>
      <c r="U17" t="s">
        <v>392</v>
      </c>
      <c r="V17" s="3">
        <v>0.66600000000000004</v>
      </c>
      <c r="W17" s="3">
        <v>1.0999999999999999E-2</v>
      </c>
      <c r="X17" t="s">
        <v>393</v>
      </c>
      <c r="Y17" s="3">
        <v>3.6999999999999998E-2</v>
      </c>
      <c r="Z17" s="3">
        <v>9.5000000000000001E-2</v>
      </c>
      <c r="AA17" s="3">
        <v>0.222</v>
      </c>
      <c r="AB17" s="3">
        <v>0.17899999999999999</v>
      </c>
    </row>
    <row r="18" spans="1:28" x14ac:dyDescent="0.25">
      <c r="A18" s="2">
        <v>45716</v>
      </c>
      <c r="B18" t="s">
        <v>105</v>
      </c>
      <c r="C18">
        <v>8.9600000000000009</v>
      </c>
      <c r="D18" t="s">
        <v>374</v>
      </c>
      <c r="E18" t="s">
        <v>412</v>
      </c>
      <c r="F18" t="s">
        <v>416</v>
      </c>
      <c r="G18" t="s">
        <v>413</v>
      </c>
      <c r="H18" t="s">
        <v>168</v>
      </c>
      <c r="I18" t="s">
        <v>26</v>
      </c>
      <c r="J18" s="4">
        <v>9.67</v>
      </c>
      <c r="K18" s="5">
        <f t="shared" si="1"/>
        <v>7.9241071428571397</v>
      </c>
      <c r="L18" s="4">
        <v>12.26</v>
      </c>
      <c r="M18" s="4">
        <v>6.29</v>
      </c>
      <c r="N18" t="s">
        <v>394</v>
      </c>
      <c r="O18" s="3">
        <v>0.85</v>
      </c>
      <c r="P18" t="s">
        <v>395</v>
      </c>
      <c r="Q18" t="s">
        <v>396</v>
      </c>
      <c r="R18" s="3">
        <v>6.5000000000000002E-2</v>
      </c>
      <c r="S18" t="s">
        <v>397</v>
      </c>
      <c r="U18" t="s">
        <v>398</v>
      </c>
      <c r="V18" s="3">
        <v>6.0000000000000001E-3</v>
      </c>
      <c r="W18" s="3">
        <v>4.9000000000000002E-2</v>
      </c>
      <c r="X18" t="s">
        <v>399</v>
      </c>
      <c r="Y18" s="3">
        <v>0.59</v>
      </c>
      <c r="Z18" s="3">
        <v>-0.191</v>
      </c>
      <c r="AA18" s="3">
        <v>-0.03</v>
      </c>
      <c r="AB18" s="3">
        <v>0.23200000000000001</v>
      </c>
    </row>
    <row r="19" spans="1:28" x14ac:dyDescent="0.25">
      <c r="A19" s="2">
        <v>45716</v>
      </c>
      <c r="B19" t="s">
        <v>75</v>
      </c>
      <c r="C19">
        <v>14</v>
      </c>
      <c r="D19" t="s">
        <v>374</v>
      </c>
      <c r="E19" t="s">
        <v>412</v>
      </c>
      <c r="F19" t="s">
        <v>416</v>
      </c>
      <c r="G19" t="s">
        <v>413</v>
      </c>
      <c r="H19" t="s">
        <v>169</v>
      </c>
      <c r="I19" t="s">
        <v>400</v>
      </c>
      <c r="J19" s="4">
        <v>15.23</v>
      </c>
      <c r="K19" s="5">
        <f t="shared" si="1"/>
        <v>8.7857142857142847</v>
      </c>
      <c r="L19" s="4">
        <v>17.97</v>
      </c>
      <c r="M19" s="4">
        <v>12.06</v>
      </c>
      <c r="N19" t="s">
        <v>373</v>
      </c>
      <c r="O19" s="3">
        <v>1</v>
      </c>
      <c r="P19" t="s">
        <v>401</v>
      </c>
      <c r="Q19" t="s">
        <v>402</v>
      </c>
      <c r="R19" s="3">
        <v>4.4999999999999998E-2</v>
      </c>
      <c r="S19" t="s">
        <v>362</v>
      </c>
      <c r="T19" t="s">
        <v>403</v>
      </c>
      <c r="U19" t="s">
        <v>404</v>
      </c>
      <c r="V19" s="3">
        <v>0.85599999999999998</v>
      </c>
      <c r="W19" s="3">
        <v>1.0999999999999999E-2</v>
      </c>
      <c r="X19" t="s">
        <v>405</v>
      </c>
      <c r="Y19" s="3">
        <v>5.7000000000000002E-2</v>
      </c>
      <c r="Z19" s="3">
        <v>0.04</v>
      </c>
      <c r="AA19" s="3">
        <v>-7.1999999999999995E-2</v>
      </c>
      <c r="AB19" s="3">
        <v>0.17100000000000001</v>
      </c>
    </row>
    <row r="20" spans="1:28" x14ac:dyDescent="0.25">
      <c r="A20" s="2">
        <v>45716</v>
      </c>
      <c r="B20" t="s">
        <v>101</v>
      </c>
      <c r="C20">
        <v>35.08</v>
      </c>
      <c r="D20" t="s">
        <v>374</v>
      </c>
      <c r="E20" t="s">
        <v>412</v>
      </c>
      <c r="F20" t="s">
        <v>416</v>
      </c>
      <c r="G20" t="s">
        <v>413</v>
      </c>
      <c r="H20" t="s">
        <v>170</v>
      </c>
      <c r="I20" t="s">
        <v>26</v>
      </c>
      <c r="J20" s="4">
        <v>39.79</v>
      </c>
      <c r="K20" s="5">
        <f t="shared" si="1"/>
        <v>13.426453819840379</v>
      </c>
      <c r="L20" s="4">
        <v>40.71</v>
      </c>
      <c r="M20" s="4">
        <v>30.41</v>
      </c>
      <c r="N20" t="s">
        <v>406</v>
      </c>
      <c r="O20" s="3">
        <v>1</v>
      </c>
      <c r="P20" t="s">
        <v>407</v>
      </c>
      <c r="Q20" t="s">
        <v>408</v>
      </c>
      <c r="R20" s="3">
        <v>4.2999999999999997E-2</v>
      </c>
      <c r="S20" t="s">
        <v>409</v>
      </c>
      <c r="U20" t="s">
        <v>410</v>
      </c>
      <c r="V20" s="3">
        <v>2.9950000000000001</v>
      </c>
      <c r="X20" t="s">
        <v>411</v>
      </c>
      <c r="Y20" s="3">
        <v>0.32900000000000001</v>
      </c>
      <c r="Z20" s="3">
        <v>0.47899999999999998</v>
      </c>
      <c r="AA20" s="3">
        <v>6.3E-2</v>
      </c>
      <c r="AB20" s="3">
        <v>0.113</v>
      </c>
    </row>
    <row r="23" spans="1:28" x14ac:dyDescent="0.25">
      <c r="C23" s="5"/>
      <c r="D23" s="4"/>
      <c r="G23" s="4"/>
      <c r="H23" s="4"/>
      <c r="J23" s="3"/>
      <c r="M23" s="3"/>
      <c r="Q23" s="3"/>
      <c r="R23" s="3"/>
      <c r="T23" s="3"/>
      <c r="U23" s="3"/>
      <c r="V23" s="3"/>
      <c r="W23" s="3"/>
    </row>
    <row r="24" spans="1:28" x14ac:dyDescent="0.25">
      <c r="D24" s="4"/>
      <c r="G24" s="4"/>
      <c r="H24" s="4"/>
      <c r="J24" s="3"/>
      <c r="M24" s="3"/>
      <c r="Q24" s="3"/>
      <c r="R24" s="3"/>
      <c r="T24" s="3"/>
      <c r="U24" s="3"/>
      <c r="V24" s="3"/>
      <c r="W24" s="3"/>
    </row>
    <row r="25" spans="1:28" x14ac:dyDescent="0.25">
      <c r="D25" s="4"/>
      <c r="G25" s="4"/>
      <c r="H25" s="4"/>
      <c r="J25" s="3"/>
      <c r="M25" s="3"/>
      <c r="Q25" s="3"/>
      <c r="T25" s="3"/>
      <c r="U25" s="3"/>
      <c r="V25" s="3"/>
      <c r="W25" s="3"/>
    </row>
    <row r="26" spans="1:28" x14ac:dyDescent="0.25">
      <c r="D26" s="4"/>
      <c r="G26" s="4"/>
      <c r="H26" s="4"/>
      <c r="J26" s="3"/>
      <c r="M26" s="3"/>
      <c r="Q26" s="3"/>
      <c r="R26" s="3"/>
      <c r="T26" s="3"/>
      <c r="U26" s="3"/>
      <c r="V26" s="3"/>
      <c r="W26"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J8" sqref="J8"/>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11.373966168218308</v>
      </c>
      <c r="B2">
        <v>1547.7393999999999</v>
      </c>
      <c r="C2">
        <f>COUNTA(Trades!$A$2:A1048576)</f>
        <v>194</v>
      </c>
      <c r="D2">
        <f>COUNTIF(Trades!$J$2:J894,"&gt;0")</f>
        <v>118</v>
      </c>
      <c r="E2">
        <f>AVERAGEIF(Trades!$J$2:J894,"&gt;0")*100</f>
        <v>49.414541596227636</v>
      </c>
      <c r="F2">
        <f>C2-D2</f>
        <v>76</v>
      </c>
      <c r="G2">
        <f>AVERAGEIF(Trades!$J$2:J894,"&lt;0")*100</f>
        <v>-14.211632678641381</v>
      </c>
      <c r="H2">
        <v>-21.65</v>
      </c>
      <c r="I2">
        <v>5.4272479153414155</v>
      </c>
      <c r="J2">
        <v>3.1201394134472205</v>
      </c>
      <c r="K2">
        <v>2.903116190431354</v>
      </c>
      <c r="L2">
        <v>4.0827045000000002</v>
      </c>
    </row>
    <row r="4" spans="1:12" x14ac:dyDescent="0.25">
      <c r="L4" s="2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84"/>
  <sheetViews>
    <sheetView topLeftCell="A1352" workbookViewId="0">
      <selection activeCell="G1382" sqref="G1382"/>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B1382-MAX(B46:B1382,100000)</f>
        <v>-17599</v>
      </c>
      <c r="E1382">
        <f>D1382/MAX($B$2:B1382,100000)</f>
        <v>-1.0567822131525942E-2</v>
      </c>
    </row>
    <row r="1383" spans="1:5" x14ac:dyDescent="0.25">
      <c r="A1383" s="2">
        <v>46027</v>
      </c>
      <c r="B1383">
        <v>1643594.9</v>
      </c>
      <c r="C1383">
        <v>221530.59904</v>
      </c>
      <c r="D1383">
        <f>B1383-MAX(B47:B1383,100000)</f>
        <v>-21743.5</v>
      </c>
      <c r="E1383">
        <f>D1383/MAX($B$2:B1383,100000)</f>
        <v>-1.3056505512633348E-2</v>
      </c>
    </row>
    <row r="1384" spans="1:5" x14ac:dyDescent="0.25">
      <c r="A1384" s="2">
        <v>46033</v>
      </c>
      <c r="B1384">
        <v>1636472.9</v>
      </c>
      <c r="C1384">
        <v>221530.59904</v>
      </c>
      <c r="D1384">
        <f>B1384-MAX(B48:B1384,100000)</f>
        <v>-28865.5</v>
      </c>
      <c r="E1384">
        <f>D1384/MAX($B$2:B1384,100000)</f>
        <v>-1.7333113798372751E-2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zoomScaleNormal="100" workbookViewId="0">
      <selection activeCell="N11" sqref="N11"/>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3"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8"/>
      <c r="O1" s="18"/>
    </row>
    <row r="2" spans="1:30" x14ac:dyDescent="0.25">
      <c r="A2" s="3" t="s">
        <v>135</v>
      </c>
      <c r="B2" t="s">
        <v>158</v>
      </c>
      <c r="C2" t="s">
        <v>335</v>
      </c>
      <c r="D2" s="2">
        <v>45793</v>
      </c>
      <c r="E2">
        <v>8.6199999999999992</v>
      </c>
      <c r="F2" s="14">
        <v>46031</v>
      </c>
      <c r="G2" s="4">
        <v>8.7799999999999994</v>
      </c>
      <c r="H2" s="3">
        <f t="shared" ref="H2" si="0">G2/E2-1</f>
        <v>1.8561484918793614E-2</v>
      </c>
      <c r="I2">
        <f t="shared" ref="I2" si="1">K2*E2*J2</f>
        <v>2055.8867600000135</v>
      </c>
      <c r="J2" s="3">
        <f t="shared" ref="J2" si="2">H2-0.002</f>
        <v>1.6561484918793612E-2</v>
      </c>
      <c r="K2">
        <v>14401</v>
      </c>
      <c r="M2" s="4"/>
      <c r="N2" s="4"/>
      <c r="P2" s="11"/>
      <c r="Q2" s="13"/>
      <c r="R2" s="2"/>
      <c r="T2" s="3"/>
      <c r="V2" s="3"/>
      <c r="AA2" s="3"/>
      <c r="AB2" s="3"/>
      <c r="AC2" s="3"/>
      <c r="AD2" s="3"/>
    </row>
    <row r="3" spans="1:30" x14ac:dyDescent="0.25">
      <c r="A3" s="3" t="s">
        <v>80</v>
      </c>
      <c r="B3" t="s">
        <v>131</v>
      </c>
      <c r="C3" t="s">
        <v>335</v>
      </c>
      <c r="D3" s="2">
        <v>45786</v>
      </c>
      <c r="E3">
        <v>3.07</v>
      </c>
      <c r="F3" s="14">
        <v>46031</v>
      </c>
      <c r="G3" s="4">
        <v>3.33</v>
      </c>
      <c r="H3" s="3">
        <f t="shared" ref="H3:H10" si="3">G3/E3-1</f>
        <v>8.4690553745928376E-2</v>
      </c>
      <c r="I3">
        <f t="shared" ref="I3:I11" si="4">K3*E3*J3</f>
        <v>9780.7180800000042</v>
      </c>
      <c r="J3" s="3">
        <f t="shared" ref="J3:J11" si="5">H3-0.002</f>
        <v>8.2690553745928375E-2</v>
      </c>
      <c r="K3">
        <v>38528</v>
      </c>
      <c r="M3" s="4"/>
      <c r="N3" s="4"/>
      <c r="P3" s="11"/>
      <c r="Q3" s="12"/>
      <c r="R3" s="2"/>
      <c r="T3" s="3"/>
      <c r="V3" s="3"/>
      <c r="AA3" s="3"/>
      <c r="AB3" s="3"/>
      <c r="AC3" s="3"/>
      <c r="AD3" s="3"/>
    </row>
    <row r="4" spans="1:30" x14ac:dyDescent="0.25">
      <c r="A4" s="3" t="s">
        <v>81</v>
      </c>
      <c r="B4" t="s">
        <v>132</v>
      </c>
      <c r="C4" t="s">
        <v>335</v>
      </c>
      <c r="D4" s="2">
        <v>45786</v>
      </c>
      <c r="E4">
        <v>3.64</v>
      </c>
      <c r="F4" s="14">
        <v>46031</v>
      </c>
      <c r="G4" s="4">
        <v>3.89</v>
      </c>
      <c r="H4" s="3">
        <f t="shared" si="3"/>
        <v>6.8681318681318659E-2</v>
      </c>
      <c r="I4">
        <f t="shared" si="4"/>
        <v>7997.6239999999971</v>
      </c>
      <c r="J4" s="3">
        <f t="shared" si="5"/>
        <v>6.6681318681318658E-2</v>
      </c>
      <c r="K4">
        <v>32950</v>
      </c>
      <c r="M4" s="4"/>
      <c r="N4" s="4"/>
      <c r="P4" s="11"/>
      <c r="Q4" s="12"/>
      <c r="R4" s="2"/>
      <c r="T4" s="3"/>
      <c r="V4" s="3"/>
      <c r="AA4" s="3"/>
      <c r="AB4" s="3"/>
      <c r="AC4" s="3"/>
      <c r="AD4" s="3"/>
    </row>
    <row r="5" spans="1:30" x14ac:dyDescent="0.25">
      <c r="A5" s="3" t="s">
        <v>45</v>
      </c>
      <c r="B5" t="s">
        <v>134</v>
      </c>
      <c r="C5" t="s">
        <v>335</v>
      </c>
      <c r="D5" s="2">
        <v>45786</v>
      </c>
      <c r="E5">
        <v>5.18</v>
      </c>
      <c r="F5" s="14">
        <v>46031</v>
      </c>
      <c r="G5" s="4">
        <v>4.8600000000000003</v>
      </c>
      <c r="H5" s="3">
        <f t="shared" si="3"/>
        <v>-6.1776061776061653E-2</v>
      </c>
      <c r="I5">
        <f t="shared" si="4"/>
        <v>-7448.957279999986</v>
      </c>
      <c r="J5" s="3">
        <f t="shared" si="5"/>
        <v>-6.3776061776061654E-2</v>
      </c>
      <c r="K5">
        <v>22548</v>
      </c>
      <c r="M5" s="4"/>
      <c r="N5" s="4"/>
      <c r="P5" s="11"/>
      <c r="Q5" s="12"/>
      <c r="R5" s="2"/>
      <c r="T5" s="3"/>
      <c r="V5" s="3"/>
      <c r="AA5" s="3"/>
      <c r="AB5" s="3"/>
      <c r="AC5" s="3"/>
      <c r="AD5" s="3"/>
    </row>
    <row r="6" spans="1:30" x14ac:dyDescent="0.25">
      <c r="A6" s="3" t="s">
        <v>31</v>
      </c>
      <c r="B6" t="s">
        <v>30</v>
      </c>
      <c r="C6" t="s">
        <v>335</v>
      </c>
      <c r="D6" s="2">
        <v>45786</v>
      </c>
      <c r="E6">
        <v>4.3499999999999996</v>
      </c>
      <c r="F6" s="14">
        <v>46031</v>
      </c>
      <c r="G6" s="4">
        <v>6.08</v>
      </c>
      <c r="H6" s="3">
        <f t="shared" si="3"/>
        <v>0.39770114942528756</v>
      </c>
      <c r="I6">
        <f t="shared" si="4"/>
        <v>46237.560600000019</v>
      </c>
      <c r="J6" s="3">
        <f t="shared" si="5"/>
        <v>0.39570114942528756</v>
      </c>
      <c r="K6">
        <v>26862</v>
      </c>
      <c r="M6" s="4"/>
      <c r="N6" s="4"/>
      <c r="P6" s="11"/>
      <c r="Q6" s="12"/>
      <c r="R6" s="2"/>
      <c r="T6" s="3"/>
      <c r="V6" s="3"/>
      <c r="AA6" s="3"/>
      <c r="AB6" s="3"/>
      <c r="AC6" s="3"/>
      <c r="AD6" s="3"/>
    </row>
    <row r="7" spans="1:30" x14ac:dyDescent="0.25">
      <c r="A7" s="3" t="s">
        <v>118</v>
      </c>
      <c r="B7" t="s">
        <v>160</v>
      </c>
      <c r="C7" t="s">
        <v>335</v>
      </c>
      <c r="D7" s="2">
        <v>45639</v>
      </c>
      <c r="E7">
        <v>13.27768</v>
      </c>
      <c r="F7" s="14">
        <v>46031</v>
      </c>
      <c r="G7" s="4">
        <v>27.15</v>
      </c>
      <c r="H7" s="3">
        <f t="shared" si="3"/>
        <v>1.0447849323074512</v>
      </c>
      <c r="I7">
        <f t="shared" si="4"/>
        <v>120873.52530719998</v>
      </c>
      <c r="J7" s="3">
        <f t="shared" si="5"/>
        <v>1.0427849323074512</v>
      </c>
      <c r="K7">
        <v>8730</v>
      </c>
      <c r="M7" s="4"/>
      <c r="N7" s="4"/>
      <c r="P7" s="11"/>
      <c r="Q7" s="12"/>
      <c r="R7" s="2"/>
      <c r="T7" s="3"/>
      <c r="V7" s="3"/>
      <c r="AA7" s="3"/>
      <c r="AB7" s="3"/>
      <c r="AC7" s="3"/>
      <c r="AD7" s="3"/>
    </row>
    <row r="8" spans="1:30" x14ac:dyDescent="0.25">
      <c r="A8" s="3" t="s">
        <v>136</v>
      </c>
      <c r="B8" t="s">
        <v>161</v>
      </c>
      <c r="C8" t="s">
        <v>335</v>
      </c>
      <c r="D8" s="2">
        <v>45499</v>
      </c>
      <c r="E8">
        <v>3.696536</v>
      </c>
      <c r="F8" s="14">
        <v>46031</v>
      </c>
      <c r="G8" s="4">
        <v>4.83</v>
      </c>
      <c r="H8" s="3">
        <f t="shared" si="3"/>
        <v>0.30662869237578105</v>
      </c>
      <c r="I8">
        <f t="shared" si="4"/>
        <v>33904.869571152005</v>
      </c>
      <c r="J8" s="3">
        <f t="shared" si="5"/>
        <v>0.30462869237578105</v>
      </c>
      <c r="K8">
        <v>30109</v>
      </c>
      <c r="M8" s="4"/>
      <c r="N8" s="4"/>
      <c r="P8" s="11"/>
      <c r="Q8" s="12"/>
      <c r="R8" s="2"/>
      <c r="T8" s="3"/>
      <c r="V8" s="3"/>
      <c r="AA8" s="3"/>
      <c r="AB8" s="3"/>
      <c r="AC8" s="3"/>
      <c r="AD8" s="3"/>
    </row>
    <row r="9" spans="1:30" x14ac:dyDescent="0.25">
      <c r="A9" s="3" t="s">
        <v>115</v>
      </c>
      <c r="B9" t="s">
        <v>163</v>
      </c>
      <c r="C9" t="s">
        <v>335</v>
      </c>
      <c r="D9" s="2">
        <v>45282</v>
      </c>
      <c r="E9">
        <v>5.588908</v>
      </c>
      <c r="F9" s="14">
        <v>46031</v>
      </c>
      <c r="G9" s="4">
        <v>6.5</v>
      </c>
      <c r="H9" s="3">
        <f t="shared" si="3"/>
        <v>0.16301789186724847</v>
      </c>
      <c r="I9">
        <f t="shared" si="4"/>
        <v>17636.518178031998</v>
      </c>
      <c r="J9" s="3">
        <f t="shared" si="5"/>
        <v>0.16101789186724846</v>
      </c>
      <c r="K9">
        <v>19598</v>
      </c>
      <c r="M9" s="4"/>
      <c r="N9" s="4"/>
      <c r="P9" s="11"/>
      <c r="Q9" s="12"/>
      <c r="R9" s="2"/>
      <c r="T9" s="3"/>
      <c r="V9" s="3"/>
      <c r="AA9" s="3"/>
      <c r="AB9" s="3"/>
      <c r="AC9" s="3"/>
      <c r="AD9" s="3"/>
    </row>
    <row r="10" spans="1:30" x14ac:dyDescent="0.25">
      <c r="A10" s="3" t="s">
        <v>137</v>
      </c>
      <c r="B10" t="s">
        <v>164</v>
      </c>
      <c r="C10" t="s">
        <v>335</v>
      </c>
      <c r="D10" s="2">
        <v>45275</v>
      </c>
      <c r="E10">
        <v>2.2089750000000001</v>
      </c>
      <c r="F10" s="14">
        <v>46031</v>
      </c>
      <c r="G10" s="4">
        <v>2.75</v>
      </c>
      <c r="H10" s="3">
        <f t="shared" si="3"/>
        <v>0.24492128702226146</v>
      </c>
      <c r="I10">
        <f t="shared" si="4"/>
        <v>26537.901657750001</v>
      </c>
      <c r="J10" s="3">
        <f t="shared" si="5"/>
        <v>0.24292128702226146</v>
      </c>
      <c r="K10">
        <v>49455</v>
      </c>
      <c r="M10" s="4"/>
      <c r="N10" s="4"/>
      <c r="P10" s="11"/>
      <c r="Q10" s="12"/>
      <c r="R10" s="2"/>
      <c r="T10" s="3"/>
      <c r="V10" s="3"/>
      <c r="AA10" s="3"/>
      <c r="AB10" s="3"/>
      <c r="AC10" s="3"/>
      <c r="AD10" s="3"/>
    </row>
    <row r="11" spans="1:30" x14ac:dyDescent="0.25">
      <c r="A11" s="15" t="s">
        <v>105</v>
      </c>
      <c r="B11" t="s">
        <v>168</v>
      </c>
      <c r="C11" s="15" t="s">
        <v>336</v>
      </c>
      <c r="D11" s="14">
        <v>45894</v>
      </c>
      <c r="E11" s="15">
        <v>10.6</v>
      </c>
      <c r="F11" s="14">
        <v>46034</v>
      </c>
      <c r="G11" s="4" t="s">
        <v>416</v>
      </c>
      <c r="H11" s="3" t="s">
        <v>416</v>
      </c>
      <c r="I11" s="15" t="s">
        <v>416</v>
      </c>
      <c r="J11" s="17" t="s">
        <v>416</v>
      </c>
      <c r="K11" s="15">
        <v>12532</v>
      </c>
      <c r="N11" s="4"/>
      <c r="P11" s="11"/>
      <c r="Q11" s="12"/>
      <c r="R11" s="2"/>
      <c r="T11" s="3"/>
      <c r="V11" s="3"/>
      <c r="AA11" s="3"/>
      <c r="AB11" s="3"/>
      <c r="AC11" s="3"/>
      <c r="AD11" s="3"/>
    </row>
    <row r="12" spans="1:30" x14ac:dyDescent="0.25">
      <c r="A12" s="3" t="s">
        <v>36</v>
      </c>
      <c r="B12" t="s">
        <v>35</v>
      </c>
      <c r="C12" t="s">
        <v>336</v>
      </c>
      <c r="D12" s="2">
        <v>45786</v>
      </c>
      <c r="E12">
        <v>2.2999999999999998</v>
      </c>
      <c r="F12" s="14">
        <v>45999</v>
      </c>
      <c r="G12" s="4">
        <v>2.0299999999999998</v>
      </c>
      <c r="H12" s="3">
        <f t="shared" ref="H12:H13" si="6">G12/E12-1</f>
        <v>-0.11739130434782608</v>
      </c>
      <c r="I12">
        <f t="shared" ref="I12:I13" si="7">K12*E12*J12</f>
        <v>-14236.362399999998</v>
      </c>
      <c r="J12" s="3">
        <f t="shared" ref="J12:J13" si="8">H12-0.002</f>
        <v>-0.11939130434782608</v>
      </c>
      <c r="K12">
        <v>51844</v>
      </c>
      <c r="O12" s="4"/>
      <c r="P12" s="11"/>
      <c r="Q12" s="12"/>
      <c r="R12" s="2"/>
      <c r="T12" s="3"/>
      <c r="V12" s="3"/>
      <c r="AA12" s="3"/>
      <c r="AB12" s="3"/>
      <c r="AC12" s="3"/>
      <c r="AD12" s="3"/>
    </row>
    <row r="13" spans="1:30" x14ac:dyDescent="0.25">
      <c r="A13" s="3" t="s">
        <v>25</v>
      </c>
      <c r="B13" t="s">
        <v>24</v>
      </c>
      <c r="C13" t="s">
        <v>336</v>
      </c>
      <c r="D13" s="2">
        <v>45695</v>
      </c>
      <c r="E13">
        <v>3.8413110000000001</v>
      </c>
      <c r="F13" s="14">
        <v>45999</v>
      </c>
      <c r="G13" s="4">
        <v>4.49</v>
      </c>
      <c r="H13" s="3">
        <f t="shared" si="6"/>
        <v>0.16887177320451263</v>
      </c>
      <c r="I13">
        <f t="shared" si="7"/>
        <v>19930.170304775987</v>
      </c>
      <c r="J13" s="3">
        <f t="shared" si="8"/>
        <v>0.16687177320451263</v>
      </c>
      <c r="K13">
        <v>31092</v>
      </c>
      <c r="M13" s="4"/>
      <c r="N13" s="4"/>
      <c r="O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9">G14/E14-1</f>
        <v>-0.18285714285714294</v>
      </c>
      <c r="I14">
        <f>K14*E14*J14</f>
        <v>-21594.272000000008</v>
      </c>
      <c r="J14" s="3">
        <f t="shared" ref="J14" si="10">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2:W195">
    <sortCondition ref="P2: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Q33" sqref="Q33"/>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t="s">
        <v>361</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f>AVERAGE(M2:M27)</f>
        <v>2.3479967926366842E-2</v>
      </c>
    </row>
    <row r="29" spans="1:29" x14ac:dyDescent="0.25">
      <c r="B29" s="3"/>
      <c r="C29" s="3"/>
      <c r="D29" s="3"/>
      <c r="E29" s="3"/>
      <c r="F29" s="3"/>
      <c r="G29" s="3"/>
      <c r="H29" s="3"/>
      <c r="I29" s="3"/>
      <c r="J29" s="3"/>
      <c r="K29" s="3"/>
      <c r="L29" s="3"/>
      <c r="M29" s="3"/>
      <c r="N29" s="19"/>
    </row>
    <row r="30" spans="1:29" x14ac:dyDescent="0.25">
      <c r="B30" s="3"/>
      <c r="C30" s="3"/>
      <c r="D30" s="3"/>
      <c r="E30" s="3"/>
      <c r="F30" s="3"/>
      <c r="G30" s="3"/>
      <c r="H30" s="3"/>
      <c r="I30" s="3"/>
      <c r="J30" s="3"/>
      <c r="K30" s="3"/>
      <c r="L30" s="3"/>
      <c r="M30" s="3"/>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N32" s="22"/>
    </row>
    <row r="33" spans="2:17" x14ac:dyDescent="0.25">
      <c r="B33" s="3"/>
      <c r="C33" s="3"/>
      <c r="D33" s="3"/>
      <c r="E33" s="3"/>
      <c r="F33" s="3"/>
      <c r="G33" s="3"/>
      <c r="H33" s="3"/>
      <c r="I33" s="3"/>
      <c r="J33" s="3"/>
      <c r="K33" s="3"/>
      <c r="L33" s="3"/>
      <c r="M33" s="3"/>
      <c r="O33" s="12"/>
      <c r="P33" s="22"/>
      <c r="Q33" s="22"/>
    </row>
    <row r="35" spans="2:17" x14ac:dyDescent="0.25">
      <c r="B35" s="3"/>
      <c r="C35" s="3"/>
      <c r="D35" s="3"/>
      <c r="E35" s="3"/>
      <c r="F35" s="3"/>
      <c r="G35" s="3"/>
      <c r="H35" s="3"/>
      <c r="I35" s="3"/>
      <c r="J35" s="3"/>
      <c r="K35" s="3"/>
      <c r="L35" s="3"/>
      <c r="M35" s="3"/>
      <c r="N35" s="20"/>
    </row>
    <row r="36" spans="2:17" x14ac:dyDescent="0.25">
      <c r="B36" s="3"/>
      <c r="H36" s="3"/>
      <c r="I36" s="3"/>
      <c r="J36" s="3"/>
      <c r="K36" s="3"/>
      <c r="L36" s="3"/>
      <c r="M36" s="3"/>
      <c r="N36" s="20"/>
    </row>
    <row r="38" spans="2:17" x14ac:dyDescent="0.25">
      <c r="N38" s="11"/>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82"/>
  <sheetViews>
    <sheetView topLeftCell="A1352" workbookViewId="0">
      <selection activeCell="F1387" sqref="F1387"/>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364</v>
      </c>
      <c r="B1" s="7" t="s">
        <v>335</v>
      </c>
      <c r="C1" s="7" t="s">
        <v>365</v>
      </c>
      <c r="D1" s="7" t="s">
        <v>366</v>
      </c>
      <c r="E1" s="7" t="s">
        <v>367</v>
      </c>
      <c r="F1" s="7" t="s">
        <v>368</v>
      </c>
      <c r="G1" s="7" t="s">
        <v>369</v>
      </c>
      <c r="H1" s="7" t="s">
        <v>420</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82"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2026-01-10T01:08:02Z</dcterms:modified>
</cp:coreProperties>
</file>