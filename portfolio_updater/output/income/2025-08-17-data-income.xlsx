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95CA8857-6849-4963-86EA-BA90FA710256}" xr6:coauthVersionLast="47" xr6:coauthVersionMax="47" xr10:uidLastSave="{00000000-0000-0000-0000-000000000000}"/>
  <bookViews>
    <workbookView xWindow="38280" yWindow="-120" windowWidth="38640" windowHeight="21120"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6" l="1"/>
  <c r="I3" i="6"/>
  <c r="I4" i="6"/>
  <c r="I5" i="6"/>
  <c r="I6" i="6"/>
  <c r="I7" i="6"/>
  <c r="I8" i="6"/>
  <c r="I9" i="6"/>
  <c r="I10" i="6"/>
  <c r="I11" i="6"/>
  <c r="I12" i="6"/>
  <c r="I13" i="6"/>
  <c r="J2" i="6"/>
  <c r="J3" i="6"/>
  <c r="J4" i="6"/>
  <c r="J5" i="6"/>
  <c r="J6" i="6"/>
  <c r="J7" i="6"/>
  <c r="J8" i="6"/>
  <c r="J9" i="6"/>
  <c r="J10" i="6"/>
  <c r="J11" i="6"/>
  <c r="J12" i="6"/>
  <c r="J13" i="6"/>
  <c r="E1339" i="5"/>
  <c r="E1340" i="5"/>
  <c r="D1339" i="5"/>
  <c r="D1340" i="5"/>
  <c r="L2" i="3"/>
  <c r="L3" i="3"/>
  <c r="L4" i="3"/>
  <c r="L5" i="3"/>
  <c r="L6" i="3"/>
  <c r="L7" i="3"/>
  <c r="L8" i="3"/>
  <c r="L9" i="3"/>
  <c r="H1339" i="8"/>
  <c r="H1340" i="8" s="1"/>
  <c r="E1338" i="5"/>
  <c r="D1338" i="5"/>
  <c r="H1338" i="8"/>
  <c r="H1337" i="8"/>
  <c r="H2" i="6"/>
  <c r="H3" i="6"/>
  <c r="H4" i="6"/>
  <c r="H5" i="6"/>
  <c r="H6" i="6"/>
  <c r="H7" i="6"/>
  <c r="H8" i="6"/>
  <c r="H9" i="6"/>
  <c r="H10" i="6"/>
  <c r="H11" i="6"/>
  <c r="H12" i="6"/>
  <c r="H13" i="6"/>
  <c r="E1337" i="5"/>
  <c r="D1337" i="5"/>
  <c r="E1336" i="5"/>
  <c r="H4" i="8"/>
  <c r="H5" i="8"/>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3" i="8"/>
  <c r="E1335" i="5"/>
  <c r="L10" i="3"/>
  <c r="L11" i="3"/>
  <c r="L12" i="3"/>
  <c r="L13" i="3"/>
  <c r="L14" i="3"/>
  <c r="L15"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<sst xmlns="http://schemas.openxmlformats.org/spreadsheetml/2006/main" count="999" uniqueCount="502">
  <si>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</si>
  <si>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</si>
  <si>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</si>
  <si>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</si>
  <si>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</si>
  <si>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</si>
  <si>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</si>
  <si>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</si>
  <si>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</si>
  <si>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</si>
  <si>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</si>
  <si>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</si>
  <si>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</si>
  <si>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</si>
  <si>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</si>
  <si>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</si>
  <si>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</si>
  <si>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</si>
  <si>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</si>
  <si>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</si>
  <si>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</si>
  <si>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</si>
  <si>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</si>
  <si>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</si>
  <si>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</si>
  <si>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</si>
  <si>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</si>
  <si>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</si>
  <si>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</si>
  <si>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</si>
  <si>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</si>
  <si>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</si>
  <si>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</si>
  <si>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</si>
  <si>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</si>
  <si>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</si>
  <si>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</si>
  <si>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</si>
  <si>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</si>
  <si>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</si>
  <si>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</si>
  <si>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</si>
  <si>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</si>
  <si>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</si>
  <si>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</si>
  <si>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</si>
  <si>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</si>
  <si>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</si>
  <si>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</si>
  <si>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</si>
  <si>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</si>
  <si>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</si>
  <si>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</si>
  <si>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</si>
  <si>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</si>
  <si>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</si>
  <si>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</si>
  <si>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</si>
  <si>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</si>
  <si>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</si>
  <si>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</si>
  <si>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</si>
  <si>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</si>
  <si>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</si>
  <si>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</si>
  <si>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</si>
  <si>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</si>
  <si>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</si>
  <si>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</si>
  <si>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</si>
  <si>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</si>
  <si>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</si>
  <si>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</si>
  <si>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</si>
  <si>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</si>
  <si>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</si>
  <si>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</si>
  <si>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</si>
  <si>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</si>
  <si>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</si>
  <si>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</si>
  <si>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</si>
  <si>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</si>
  <si>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</si>
  <si>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</si>
  <si>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</si>
  <si>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</si>
  <si>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</si>
  <si>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</si>
  <si>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</si>
  <si>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</si>
  <si>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</si>
  <si>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</si>
  <si>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</si>
  <si>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</si>
  <si>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</si>
  <si>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</si>
  <si>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</si>
  <si>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</si>
  <si>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</si>
  <si>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</si>
  <si>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</si>
  <si>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</si>
  <si>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</si>
  <si>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</si>
  <si>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</si>
  <si>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</si>
  <si>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</si>
  <si>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</si>
  <si>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</si>
  <si>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</si>
  <si>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</si>
  <si>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</si>
  <si>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</si>
  <si>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</si>
  <si>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</si>
  <si>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</si>
  <si>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</si>
  <si>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</si>
  <si>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</si>
  <si>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</si>
  <si>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</si>
  <si>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</si>
  <si>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</si>
  <si>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</si>
  <si>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</si>
  <si>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</si>
  <si>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</si>
  <si>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</si>
  <si>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</si>
  <si>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</si>
  <si>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</si>
  <si>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</si>
  <si>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</si>
  <si>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</si>
  <si>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</si>
  <si>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</si>
  <si>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</si>
  <si>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</si>
  <si>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</si>
  <si>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</si>
  <si>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</si>
  <si>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</si>
  <si>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</si>
  <si>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</si>
  <si>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</si>
  <si>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</si>
  <si>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</si>
  <si>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</si>
  <si>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</si>
  <si>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</si>
  <si>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</si>
  <si>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</si>
  <si>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</si>
  <si>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</si>
  <si>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</si>
  <si>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</si>
  <si>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</si>
  <si>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</si>
  <si>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</si>
  <si>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</si>
  <si>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</si>
  <si>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</si>
  <si>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</si>
  <si>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</si>
  <si>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</si>
  <si>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</si>
  <si>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</si>
  <si>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</si>
  <si>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</si>
  <si>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</si>
  <si>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</si>
  <si>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$12747.0M</t>
  </si>
  <si>
    <t>$-619.0M</t>
  </si>
  <si>
    <t>Monadelphous Group Limited Ordinary</t>
  </si>
  <si>
    <t>18.4x</t>
  </si>
  <si>
    <t>$-188.0M</t>
  </si>
  <si>
    <t>$54.7M</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</si>
  <si>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</si>
  <si>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</si>
  <si>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</si>
  <si>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</si>
  <si>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</si>
  <si>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</si>
  <si>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</si>
  <si>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</si>
  <si>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19.9x</t>
  </si>
  <si>
    <t>$1630.8M</t>
  </si>
  <si>
    <t>$80.7M</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</si>
  <si>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</si>
  <si>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</si>
  <si>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</si>
  <si>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</si>
  <si>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</si>
  <si>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</si>
  <si>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</si>
  <si>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</si>
  <si>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</si>
  <si>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</si>
  <si>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</si>
  <si>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</si>
  <si>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</si>
  <si>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</si>
  <si>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</si>
  <si>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</si>
  <si>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</si>
  <si>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</si>
  <si>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</si>
  <si>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</si>
  <si>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</si>
  <si>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</si>
  <si>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</si>
  <si>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</si>
  <si>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</si>
  <si>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</si>
  <si>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</si>
  <si>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</si>
  <si>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</si>
  <si>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</si>
  <si>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</si>
  <si>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</si>
  <si>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</si>
  <si>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</si>
  <si>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</si>
  <si>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</si>
  <si>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</si>
  <si>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</si>
  <si>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</si>
  <si>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</si>
  <si>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</si>
  <si>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</si>
  <si>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</si>
  <si>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</si>
  <si>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</si>
  <si>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</si>
  <si>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</si>
  <si>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</si>
  <si>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</si>
  <si>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</si>
  <si>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</si>
  <si>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</si>
  <si>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</si>
  <si>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</si>
  <si>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</si>
  <si>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</si>
  <si>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</si>
  <si>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</si>
  <si>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</si>
  <si>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</si>
  <si>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</si>
  <si>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</si>
  <si>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</si>
  <si>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</si>
  <si>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</si>
  <si>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</si>
  <si>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</si>
  <si>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</si>
  <si>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</si>
  <si>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</si>
  <si>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</si>
  <si>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</si>
  <si>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</si>
  <si>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</si>
  <si>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</si>
  <si>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</si>
  <si>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</si>
  <si>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</si>
  <si>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</si>
  <si>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</si>
  <si>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</si>
  <si>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</si>
  <si>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</si>
  <si>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</si>
  <si>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</si>
  <si>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</si>
  <si>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</si>
  <si>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</si>
  <si>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</si>
  <si>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</si>
  <si>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</si>
  <si>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</si>
  <si>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</si>
  <si>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</si>
  <si>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</si>
  <si>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</si>
  <si>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</si>
  <si>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</si>
  <si>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</si>
  <si>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</si>
  <si>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</si>
  <si>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</si>
  <si>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</si>
  <si>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</si>
  <si>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</si>
  <si>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</si>
  <si>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</si>
  <si>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</si>
  <si>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</si>
  <si>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</si>
  <si>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</si>
  <si>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</si>
  <si>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</si>
  <si>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</si>
  <si>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</si>
  <si>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</si>
  <si>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</si>
  <si>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</si>
  <si>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</si>
  <si>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</si>
  <si>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</si>
  <si>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</si>
  <si>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</si>
  <si>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</si>
  <si>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</si>
  <si>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</si>
  <si>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</si>
  <si>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</si>
  <si>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</si>
  <si>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</si>
  <si>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</si>
  <si>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</si>
  <si>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</si>
  <si>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</si>
  <si>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</si>
  <si>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</si>
  <si>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</si>
  <si>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</si>
  <si>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</si>
  <si>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</si>
  <si>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</si>
  <si>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</si>
  <si>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</si>
  <si>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</si>
  <si>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</si>
  <si>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</si>
  <si>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</si>
  <si>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</si>
  <si>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</si>
  <si>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</si>
  <si>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</si>
  <si>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</si>
  <si>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</si>
  <si>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</si>
  <si>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</si>
  <si>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</si>
  <si>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</si>
  <si>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</si>
  <si>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</si>
  <si>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</si>
  <si>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</si>
  <si>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</si>
  <si>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</si>
  <si>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</si>
  <si>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</si>
  <si>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</si>
  <si>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</si>
  <si>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</si>
  <si>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</si>
  <si>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</si>
  <si>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</si>
  <si>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</si>
  <si>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</si>
  <si>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</si>
  <si>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</si>
  <si>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</si>
  <si>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</si>
  <si>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ING</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</si>
  <si>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</si>
  <si>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</si>
  <si>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</si>
  <si>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</si>
  <si>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</si>
  <si>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</si>
  <si>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</si>
  <si>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</si>
  <si>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</si>
  <si>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</si>
  <si>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</si>
  <si>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</si>
  <si>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</si>
  <si>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</si>
  <si>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</si>
  <si>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</si>
  <si>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</si>
  <si>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</si>
  <si>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</si>
  <si>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</si>
  <si>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</si>
  <si>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</si>
  <si>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</si>
  <si>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$2.0B</t>
  </si>
  <si>
    <t>0.7x</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</si>
  <si>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</si>
  <si>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</si>
  <si>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</si>
  <si>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</si>
  <si>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</si>
  <si>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</si>
  <si>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</si>
  <si>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</si>
  <si>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</si>
  <si>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</si>
  <si>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</si>
  <si>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</si>
  <si>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</si>
  <si>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</si>
  <si>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</si>
  <si>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</si>
  <si>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</si>
  <si>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</si>
  <si>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</si>
  <si>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</si>
  <si>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</si>
  <si>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</si>
  <si>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</si>
  <si>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</si>
  <si>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</si>
  <si>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</si>
  <si>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</si>
  <si>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</si>
  <si>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</si>
  <si>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</si>
  <si>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</si>
  <si>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</si>
  <si>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</si>
  <si>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</si>
  <si>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</si>
  <si>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</si>
  <si>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</si>
  <si>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</si>
  <si>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</si>
  <si>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</si>
  <si>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</si>
  <si>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</si>
  <si>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</si>
  <si>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</si>
  <si>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</si>
  <si>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</si>
  <si>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</si>
  <si>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</si>
  <si>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</si>
  <si>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</si>
  <si>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</si>
  <si>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</si>
  <si>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</si>
  <si>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</si>
  <si>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</si>
  <si>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</si>
  <si>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</si>
  <si>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</si>
  <si>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$4.4B</t>
  </si>
  <si>
    <t>1.8x</t>
  </si>
  <si>
    <t>1.0x</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</si>
  <si>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</si>
  <si>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</si>
  <si>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</si>
  <si>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</si>
  <si>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</si>
  <si>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</si>
  <si>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</si>
  <si>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</si>
  <si>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</si>
  <si>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</si>
  <si>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</si>
  <si>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</si>
  <si>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</si>
  <si>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</si>
  <si>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</si>
  <si>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</si>
  <si>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3.7x</t>
  </si>
  <si>
    <t>$2.1B</t>
  </si>
  <si>
    <t>14.9x</t>
  </si>
  <si>
    <t>$1344.2M</t>
  </si>
  <si>
    <t>$-7.1M</t>
  </si>
  <si>
    <t>9.5x</t>
  </si>
  <si>
    <t>$782.9M</t>
  </si>
  <si>
    <t>$-12.0M</t>
  </si>
  <si>
    <t>$7.7B</t>
  </si>
  <si>
    <t>52.7x</t>
  </si>
  <si>
    <t>3.0x</t>
  </si>
  <si>
    <t>3.2x</t>
  </si>
  <si>
    <t>$3.4B</t>
  </si>
  <si>
    <t>Dividend Yield</t>
  </si>
  <si>
    <t>&gt; 4%</t>
  </si>
  <si>
    <t>$11.2B</t>
  </si>
  <si>
    <t>12.8x</t>
  </si>
  <si>
    <t>7.4x</t>
  </si>
  <si>
    <t>$9.1B</t>
  </si>
  <si>
    <t>59.6x</t>
  </si>
  <si>
    <t>34.3x</t>
  </si>
  <si>
    <t>$14.1B</t>
  </si>
  <si>
    <t>36.7x</t>
  </si>
  <si>
    <t>36.6x</t>
  </si>
  <si>
    <t>$55.2B</t>
  </si>
  <si>
    <t>25.6x</t>
  </si>
  <si>
    <t>2.4x</t>
  </si>
  <si>
    <t>42.1x</t>
  </si>
  <si>
    <t>$16983.0M</t>
  </si>
  <si>
    <t>$1313.0M</t>
  </si>
  <si>
    <t>$5.1B</t>
  </si>
  <si>
    <t>9.7x</t>
  </si>
  <si>
    <t>42.6x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</si>
</sst>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Red]\-&quot;$&quot;#,##0.00"/>
    <numFmt numFmtId="164" formatCode="0.000000%"/>
    <numFmt numFmtId="165" formatCode="0.000%"/>
    <numFmt numFmtId="166" formatCode="0.00000000000000000%"/>
  </numFmts>
  <fonts count="19"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1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66"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G5" sqref="G5"/>
    </sheetView>
  </sheetViews>
  <sheetFormatPr defaultRowHeight="15" x14ac:dyDescent="0.25"/>
  <cols>
    <col min="1" max="1" width="35.42578125" customWidth="1"/>
    <col min="2" max="2" width="12.7109375" bestFit="1" customWidth="1"/>
  </cols>
  <sheetData>
    <row r="1" spans="1:2" x14ac:dyDescent="0.25">
      <c r="B1" s="9" t="s">
        <v>454</v>
      </c>
    </row>
    <row r="2" spans="1:2" x14ac:dyDescent="0.25">
      <c r="A2" t="s">
        <v>455</v>
      </c>
      <c r="B2" s="9" t="s">
        <v>463</v>
      </c>
    </row>
    <row r="3" spans="1:2" x14ac:dyDescent="0.25">
      <c r="A3" t="s">
        <v>456</v>
      </c>
      <c r="B3" s="9">
        <v>12</v>
      </c>
    </row>
    <row r="4" spans="1:2" x14ac:dyDescent="0.25">
      <c r="A4" t="s">
        <v>457</v>
      </c>
      <c r="B4" s="9" t="s">
        <v>464</v>
      </c>
    </row>
    <row r="5" spans="1:2" x14ac:dyDescent="0.25">
      <c r="A5" t="s">
        <v>458</v>
      </c>
      <c r="B5" s="9" t="s">
        <v>465</v>
      </c>
    </row>
    <row r="6" spans="1:2" x14ac:dyDescent="0.25">
      <c r="A6" t="s">
        <v>459</v>
      </c>
      <c r="B6" s="9" t="s">
        <v>466</v>
      </c>
    </row>
    <row r="7" spans="1:2" x14ac:dyDescent="0.25">
      <c r="A7" t="s">
        <v>460</v>
      </c>
      <c r="B7" s="9">
        <v>1.26</v>
      </c>
    </row>
    <row r="8" spans="1:2" x14ac:dyDescent="0.25">
      <c r="A8" t="s">
        <v>461</v>
      </c>
      <c r="B8" s="9" t="s">
        <v>467</v>
      </c>
    </row>
    <row r="9" spans="1:2" x14ac:dyDescent="0.25">
      <c r="A9" t="s">
        <v>462</v>
      </c>
      <c r="B9" s="9" t="s">
        <v>468</v>
      </c>
    </row>
    <row r="10" spans="1:2" x14ac:dyDescent="0.25">
      <c r="A10" t="s">
        <v>482</v>
      </c>
      <c r="B10" s="9" t="s">
        <v>483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workbookViewId="0">
      <selection activeCell="D2" sqref="D2:D13"/>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169</v>
      </c>
      <c r="B2" t="s">
        <v>362</v>
      </c>
      <c r="C2" t="s">
        <v>170</v>
      </c>
      <c r="D2" s="4">
        <v>8.57</v>
      </c>
      <c r="E2" s="4">
        <v>8.68</v>
      </c>
      <c r="F2" s="4">
        <v>6.15</v>
      </c>
      <c r="G2" t="s">
        <v>484</v>
      </c>
      <c r="H2" s="3">
        <v>0</v>
      </c>
      <c r="I2" t="s">
        <v>171</v>
      </c>
      <c r="K2" s="3">
        <v>6.7000000000000004E-2</v>
      </c>
      <c r="L2" t="s">
        <v>469</v>
      </c>
      <c r="N2" t="s">
        <v>172</v>
      </c>
      <c r="O2" s="3">
        <v>5.1680000000000001</v>
      </c>
      <c r="P2" s="3">
        <v>1.0999999999999999E-2</v>
      </c>
      <c r="Q2" t="s">
        <v>173</v>
      </c>
      <c r="R2" s="3">
        <v>-5.0000000000000001E-3</v>
      </c>
      <c r="S2" s="3">
        <v>5.7000000000000002E-2</v>
      </c>
      <c r="T2" s="3">
        <v>9.7550000000000008</v>
      </c>
      <c r="U2" s="3">
        <v>-1.4E-2</v>
      </c>
    </row>
    <row r="3" spans="1:21" x14ac:dyDescent="0.25">
      <c r="A3" t="s">
        <v>141</v>
      </c>
      <c r="B3" t="s">
        <v>363</v>
      </c>
      <c r="C3" t="s">
        <v>40</v>
      </c>
      <c r="D3" s="4">
        <v>3.34</v>
      </c>
      <c r="E3" s="4">
        <v>3.37</v>
      </c>
      <c r="F3" s="4">
        <v>2.71</v>
      </c>
      <c r="G3" t="s">
        <v>470</v>
      </c>
      <c r="H3" s="3">
        <v>0</v>
      </c>
      <c r="I3" t="s">
        <v>142</v>
      </c>
      <c r="J3" t="s">
        <v>471</v>
      </c>
      <c r="K3" s="3">
        <v>4.9000000000000002E-2</v>
      </c>
      <c r="L3" t="s">
        <v>448</v>
      </c>
      <c r="N3" t="s">
        <v>472</v>
      </c>
      <c r="O3" s="3">
        <v>0.54600000000000004</v>
      </c>
      <c r="P3" s="3">
        <v>2E-3</v>
      </c>
      <c r="Q3" t="s">
        <v>473</v>
      </c>
      <c r="R3" s="3">
        <v>0.56999999999999995</v>
      </c>
      <c r="S3" s="3">
        <v>4.7E-2</v>
      </c>
      <c r="T3" s="3">
        <v>-0.29499999999999998</v>
      </c>
      <c r="U3" s="3">
        <v>5.3999999999999999E-2</v>
      </c>
    </row>
    <row r="4" spans="1:21" x14ac:dyDescent="0.25">
      <c r="A4" t="s">
        <v>449</v>
      </c>
      <c r="B4" t="s">
        <v>364</v>
      </c>
      <c r="C4" t="s">
        <v>40</v>
      </c>
      <c r="D4" s="4">
        <v>3.6</v>
      </c>
      <c r="E4" s="4">
        <v>3.71</v>
      </c>
      <c r="F4" s="4">
        <v>3.1</v>
      </c>
      <c r="G4" t="s">
        <v>400</v>
      </c>
      <c r="H4" s="3">
        <v>0</v>
      </c>
      <c r="I4" t="s">
        <v>144</v>
      </c>
      <c r="J4" t="s">
        <v>474</v>
      </c>
      <c r="K4" s="3">
        <v>5.1999999999999998E-2</v>
      </c>
      <c r="L4" t="s">
        <v>485</v>
      </c>
      <c r="N4" t="s">
        <v>475</v>
      </c>
      <c r="O4" s="3">
        <v>0.28499999999999998</v>
      </c>
      <c r="P4" s="3">
        <v>3.0000000000000001E-3</v>
      </c>
      <c r="Q4" t="s">
        <v>476</v>
      </c>
      <c r="R4" s="3">
        <v>1.306</v>
      </c>
      <c r="S4" s="3">
        <v>9.8000000000000004E-2</v>
      </c>
      <c r="T4" s="3">
        <v>-0.21099999999999999</v>
      </c>
      <c r="U4" s="3">
        <v>9.6000000000000002E-2</v>
      </c>
    </row>
    <row r="5" spans="1:21" x14ac:dyDescent="0.25">
      <c r="A5" t="s">
        <v>145</v>
      </c>
      <c r="B5" t="s">
        <v>365</v>
      </c>
      <c r="C5" t="s">
        <v>22</v>
      </c>
      <c r="D5" s="4">
        <v>5.27</v>
      </c>
      <c r="E5" s="4">
        <v>5.42</v>
      </c>
      <c r="F5" s="4">
        <v>4.26</v>
      </c>
      <c r="G5" t="s">
        <v>477</v>
      </c>
      <c r="H5" s="3">
        <v>0</v>
      </c>
      <c r="I5" t="s">
        <v>54</v>
      </c>
      <c r="J5" t="s">
        <v>55</v>
      </c>
      <c r="K5" s="3">
        <v>7.5999999999999998E-2</v>
      </c>
      <c r="L5" t="s">
        <v>478</v>
      </c>
      <c r="N5" t="s">
        <v>56</v>
      </c>
      <c r="O5" s="3">
        <v>0.28799999999999998</v>
      </c>
      <c r="P5" s="3">
        <v>2.7E-2</v>
      </c>
      <c r="Q5" t="s">
        <v>57</v>
      </c>
      <c r="R5" s="3">
        <v>1.887</v>
      </c>
      <c r="S5" s="3">
        <v>0.13200000000000001</v>
      </c>
      <c r="T5" s="3">
        <v>0.06</v>
      </c>
      <c r="U5" s="3">
        <v>4.3999999999999997E-2</v>
      </c>
    </row>
    <row r="6" spans="1:21" x14ac:dyDescent="0.25">
      <c r="A6" t="s">
        <v>47</v>
      </c>
      <c r="B6" t="s">
        <v>366</v>
      </c>
      <c r="C6" t="s">
        <v>46</v>
      </c>
      <c r="D6" s="4">
        <v>3.53</v>
      </c>
      <c r="E6" s="4">
        <v>3.9</v>
      </c>
      <c r="F6" s="4">
        <v>2.72</v>
      </c>
      <c r="G6" t="s">
        <v>393</v>
      </c>
      <c r="H6" s="3">
        <v>1</v>
      </c>
      <c r="I6" t="s">
        <v>49</v>
      </c>
      <c r="J6" t="s">
        <v>50</v>
      </c>
      <c r="K6" s="3">
        <v>5.3999999999999999E-2</v>
      </c>
      <c r="L6" t="s">
        <v>23</v>
      </c>
      <c r="M6" t="s">
        <v>486</v>
      </c>
      <c r="N6" t="s">
        <v>51</v>
      </c>
      <c r="O6" s="3">
        <v>6.4219999999999997</v>
      </c>
      <c r="P6" s="3">
        <v>1.2999999999999999E-2</v>
      </c>
      <c r="Q6" t="s">
        <v>52</v>
      </c>
      <c r="R6" s="3">
        <v>2.8000000000000001E-2</v>
      </c>
      <c r="S6" s="3">
        <v>6.9000000000000006E-2</v>
      </c>
      <c r="T6" s="3">
        <v>6.7000000000000004E-2</v>
      </c>
      <c r="U6" s="3">
        <v>0.38600000000000001</v>
      </c>
    </row>
    <row r="7" spans="1:21" x14ac:dyDescent="0.25">
      <c r="A7" t="s">
        <v>41</v>
      </c>
      <c r="B7" t="s">
        <v>367</v>
      </c>
      <c r="C7" t="s">
        <v>40</v>
      </c>
      <c r="D7" s="4">
        <v>2.29</v>
      </c>
      <c r="E7" s="4">
        <v>2.37</v>
      </c>
      <c r="F7" s="4">
        <v>1.7749999999999999</v>
      </c>
      <c r="G7" t="s">
        <v>487</v>
      </c>
      <c r="H7" s="3">
        <v>0</v>
      </c>
      <c r="I7" t="s">
        <v>43</v>
      </c>
      <c r="K7" s="3">
        <v>3.9E-2</v>
      </c>
      <c r="L7" t="s">
        <v>479</v>
      </c>
      <c r="M7" t="s">
        <v>488</v>
      </c>
      <c r="N7" t="s">
        <v>44</v>
      </c>
      <c r="O7" s="3">
        <v>0.5</v>
      </c>
      <c r="P7" s="3">
        <v>1.2999999999999999E-2</v>
      </c>
      <c r="Q7" t="s">
        <v>45</v>
      </c>
      <c r="R7" s="3">
        <v>-0.20699999999999999</v>
      </c>
      <c r="S7" s="3">
        <v>0.188</v>
      </c>
      <c r="U7" s="3">
        <v>-6.2E-2</v>
      </c>
    </row>
    <row r="8" spans="1:21" x14ac:dyDescent="0.25">
      <c r="A8" t="s">
        <v>33</v>
      </c>
      <c r="B8" t="s">
        <v>368</v>
      </c>
      <c r="C8" t="s">
        <v>22</v>
      </c>
      <c r="D8" s="4">
        <v>5.5</v>
      </c>
      <c r="E8" s="4">
        <v>5.51</v>
      </c>
      <c r="F8" s="4">
        <v>3</v>
      </c>
      <c r="G8" t="s">
        <v>450</v>
      </c>
      <c r="H8" s="3">
        <v>0.9</v>
      </c>
      <c r="I8" t="s">
        <v>35</v>
      </c>
      <c r="J8" t="s">
        <v>36</v>
      </c>
      <c r="K8" s="3">
        <v>3.5999999999999997E-2</v>
      </c>
      <c r="L8" t="s">
        <v>391</v>
      </c>
      <c r="M8" t="s">
        <v>489</v>
      </c>
      <c r="N8" t="s">
        <v>37</v>
      </c>
      <c r="O8" s="3">
        <v>1.407</v>
      </c>
      <c r="P8" s="3">
        <v>1.0999999999999999E-2</v>
      </c>
      <c r="Q8" t="s">
        <v>38</v>
      </c>
      <c r="R8" s="3">
        <v>3.5999999999999997E-2</v>
      </c>
      <c r="S8" s="3">
        <v>0.10299999999999999</v>
      </c>
      <c r="U8" s="3">
        <v>0.36699999999999999</v>
      </c>
    </row>
    <row r="9" spans="1:21" x14ac:dyDescent="0.25">
      <c r="A9" t="s">
        <v>24</v>
      </c>
      <c r="B9" t="s">
        <v>369</v>
      </c>
      <c r="C9" t="s">
        <v>26</v>
      </c>
      <c r="D9" s="4">
        <v>5.17</v>
      </c>
      <c r="E9" s="4">
        <v>5.31</v>
      </c>
      <c r="F9" s="4">
        <v>3.47</v>
      </c>
      <c r="G9" t="s">
        <v>490</v>
      </c>
      <c r="H9" s="3">
        <v>1</v>
      </c>
      <c r="I9" t="s">
        <v>27</v>
      </c>
      <c r="J9" t="s">
        <v>28</v>
      </c>
      <c r="K9" s="3">
        <v>3.3000000000000002E-2</v>
      </c>
      <c r="L9" t="s">
        <v>451</v>
      </c>
      <c r="M9" t="s">
        <v>491</v>
      </c>
      <c r="N9" t="s">
        <v>29</v>
      </c>
      <c r="O9" s="3">
        <v>8.7999999999999995E-2</v>
      </c>
      <c r="Q9" t="s">
        <v>30</v>
      </c>
      <c r="R9" s="3">
        <v>6.2E-2</v>
      </c>
      <c r="S9" s="3">
        <v>3.5000000000000003E-2</v>
      </c>
      <c r="T9" s="3">
        <v>3.6999999999999998E-2</v>
      </c>
      <c r="U9" s="3">
        <v>0.20699999999999999</v>
      </c>
    </row>
    <row r="10" spans="1:21" x14ac:dyDescent="0.25">
      <c r="A10" t="s">
        <v>174</v>
      </c>
      <c r="B10" t="s">
        <v>370</v>
      </c>
      <c r="C10" t="s">
        <v>22</v>
      </c>
      <c r="D10" s="4">
        <v>20.22</v>
      </c>
      <c r="E10" s="4">
        <v>20.399999999999999</v>
      </c>
      <c r="F10" s="4">
        <v>11.18</v>
      </c>
      <c r="G10" t="s">
        <v>390</v>
      </c>
      <c r="H10" s="3">
        <v>1</v>
      </c>
      <c r="I10" t="s">
        <v>401</v>
      </c>
      <c r="J10" t="s">
        <v>175</v>
      </c>
      <c r="K10" s="3">
        <v>3.3000000000000002E-2</v>
      </c>
      <c r="L10" t="s">
        <v>452</v>
      </c>
      <c r="M10" t="s">
        <v>492</v>
      </c>
      <c r="N10" t="s">
        <v>176</v>
      </c>
      <c r="O10" s="3">
        <v>0.17399999999999999</v>
      </c>
      <c r="P10" s="3">
        <v>1.7999999999999999E-2</v>
      </c>
      <c r="Q10" t="s">
        <v>177</v>
      </c>
      <c r="R10" s="3">
        <v>3.6999999999999998E-2</v>
      </c>
      <c r="S10" s="3">
        <v>4.7E-2</v>
      </c>
      <c r="T10" s="3">
        <v>8.5000000000000006E-2</v>
      </c>
      <c r="U10" s="3">
        <v>0.159</v>
      </c>
    </row>
    <row r="11" spans="1:21" x14ac:dyDescent="0.25">
      <c r="A11" t="s">
        <v>178</v>
      </c>
      <c r="B11" t="s">
        <v>371</v>
      </c>
      <c r="C11" t="s">
        <v>32</v>
      </c>
      <c r="D11" s="4">
        <v>4.88</v>
      </c>
      <c r="E11" s="4">
        <v>5.01</v>
      </c>
      <c r="F11" s="4">
        <v>3.69</v>
      </c>
      <c r="G11" t="s">
        <v>493</v>
      </c>
      <c r="H11" s="3">
        <v>1</v>
      </c>
      <c r="I11" t="s">
        <v>179</v>
      </c>
      <c r="J11" t="s">
        <v>494</v>
      </c>
      <c r="K11" s="3">
        <v>3.7999999999999999E-2</v>
      </c>
      <c r="L11" t="s">
        <v>495</v>
      </c>
      <c r="M11" t="s">
        <v>496</v>
      </c>
      <c r="N11" t="s">
        <v>497</v>
      </c>
      <c r="O11" s="3">
        <v>1.2949999999999999</v>
      </c>
      <c r="P11" s="3">
        <v>6.0000000000000001E-3</v>
      </c>
      <c r="Q11" t="s">
        <v>498</v>
      </c>
      <c r="R11" s="3">
        <v>0.10100000000000001</v>
      </c>
      <c r="S11" s="3">
        <v>2.8000000000000001E-2</v>
      </c>
      <c r="T11" s="3">
        <v>9.4E-2</v>
      </c>
      <c r="U11" s="3">
        <v>0.151</v>
      </c>
    </row>
    <row r="12" spans="1:21" x14ac:dyDescent="0.25">
      <c r="A12" t="s">
        <v>180</v>
      </c>
      <c r="B12" t="s">
        <v>372</v>
      </c>
      <c r="C12" t="s">
        <v>26</v>
      </c>
      <c r="D12" s="4">
        <v>7.83</v>
      </c>
      <c r="E12" s="4">
        <v>8.16</v>
      </c>
      <c r="F12" s="4">
        <v>5.66</v>
      </c>
      <c r="G12" t="s">
        <v>499</v>
      </c>
      <c r="H12" s="3">
        <v>1</v>
      </c>
      <c r="I12" t="s">
        <v>402</v>
      </c>
      <c r="J12" t="s">
        <v>181</v>
      </c>
      <c r="K12" s="3">
        <v>4.4999999999999998E-2</v>
      </c>
      <c r="L12" t="s">
        <v>480</v>
      </c>
      <c r="N12" t="s">
        <v>182</v>
      </c>
      <c r="O12" s="3">
        <v>2.81</v>
      </c>
      <c r="Q12" t="s">
        <v>183</v>
      </c>
      <c r="R12" s="3">
        <v>0.188</v>
      </c>
      <c r="S12" s="3">
        <v>0.432</v>
      </c>
      <c r="T12" s="3">
        <v>-0.17100000000000001</v>
      </c>
      <c r="U12" s="3">
        <v>0.05</v>
      </c>
    </row>
    <row r="13" spans="1:21" x14ac:dyDescent="0.25">
      <c r="A13" t="s">
        <v>184</v>
      </c>
      <c r="B13" t="s">
        <v>373</v>
      </c>
      <c r="C13" t="s">
        <v>40</v>
      </c>
      <c r="D13" s="4">
        <v>2.4700000000000002</v>
      </c>
      <c r="E13" s="4">
        <v>2.4900000000000002</v>
      </c>
      <c r="F13" s="4">
        <v>2</v>
      </c>
      <c r="G13" t="s">
        <v>481</v>
      </c>
      <c r="H13" s="3">
        <v>0</v>
      </c>
      <c r="I13" t="s">
        <v>185</v>
      </c>
      <c r="J13" t="s">
        <v>186</v>
      </c>
      <c r="K13" s="3">
        <v>4.4999999999999998E-2</v>
      </c>
      <c r="L13" t="s">
        <v>500</v>
      </c>
      <c r="M13" t="s">
        <v>501</v>
      </c>
      <c r="N13" t="s">
        <v>187</v>
      </c>
      <c r="O13" s="3">
        <v>0.47499999999999998</v>
      </c>
      <c r="P13" s="3">
        <v>2E-3</v>
      </c>
      <c r="Q13" t="s">
        <v>188</v>
      </c>
      <c r="R13" s="3">
        <v>0.64300000000000002</v>
      </c>
      <c r="S13" s="3">
        <v>0.17699999999999999</v>
      </c>
      <c r="T13" s="3">
        <v>-0.17599999999999999</v>
      </c>
      <c r="U13" s="3">
        <v>4.5999999999999999E-2</v>
      </c>
    </row>
    <row r="14" spans="1:21" x14ac:dyDescent="0.25">
      <c r="D14" s="4"/>
      <c r="E14" s="4"/>
      <c r="F14" s="4"/>
      <c r="H14" s="3"/>
      <c r="K14" s="3"/>
      <c r="O14" s="3"/>
      <c r="R14" s="3"/>
      <c r="S14" s="3"/>
      <c r="T14" s="3"/>
      <c r="U14" s="3"/>
    </row>
    <row r="15" spans="1:21" x14ac:dyDescent="0.25">
      <c r="D15" s="4"/>
      <c r="E15" s="4"/>
      <c r="F15" s="4"/>
      <c r="H15" s="3"/>
      <c r="K15" s="3"/>
      <c r="O15" s="3"/>
      <c r="P15" s="3"/>
      <c r="R15" s="3"/>
      <c r="S15" s="3"/>
      <c r="T15" s="3"/>
      <c r="U15" s="3"/>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5"/>
  <sheetViews>
    <sheetView topLeftCell="G1" workbookViewId="0">
      <selection activeCell="M30" sqref="M30"/>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4.5703125" customWidth="1"/>
    <col min="7" max="7" width="18.5703125" bestFit="1" customWidth="1"/>
    <col min="8" max="8" width="78.42578125" bestFit="1" customWidth="1"/>
    <col min="9" max="9" width="50" bestFit="1" customWidth="1"/>
    <col min="12" max="12" width="17.5703125" bestFit="1" customWidth="1"/>
    <col min="22" max="22" width="11.28515625" bestFit="1" customWidth="1"/>
    <col min="23" max="23" width="20" bestFit="1" customWidth="1"/>
  </cols>
  <sheetData>
    <row r="1" spans="1:29" x14ac:dyDescent="0.25">
      <c r="A1" s="1" t="s">
        <v>70</v>
      </c>
      <c r="B1" s="1" t="s">
        <v>1</v>
      </c>
      <c r="C1" s="1" t="s">
        <v>444</v>
      </c>
      <c r="D1" s="1" t="s">
        <v>58</v>
      </c>
      <c r="E1" s="1" t="s">
        <v>59</v>
      </c>
      <c r="F1" s="1" t="s">
        <v>60</v>
      </c>
      <c r="G1" s="1" t="s">
        <v>61</v>
      </c>
      <c r="H1" s="1" t="s">
        <v>62</v>
      </c>
      <c r="I1" s="1" t="s">
        <v>0</v>
      </c>
      <c r="J1" s="1" t="s">
        <v>2</v>
      </c>
      <c r="K1" s="1" t="s">
        <v>3</v>
      </c>
      <c r="L1" s="1" t="s">
        <v>447</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2">
        <v>45793</v>
      </c>
      <c r="B2" s="3" t="s">
        <v>146</v>
      </c>
      <c r="C2">
        <v>8.6199999999999992</v>
      </c>
      <c r="D2" t="s">
        <v>405</v>
      </c>
      <c r="E2" t="s">
        <v>445</v>
      </c>
      <c r="F2">
        <v>6.2604007720947203</v>
      </c>
      <c r="G2" t="s">
        <v>406</v>
      </c>
      <c r="H2" t="s">
        <v>407</v>
      </c>
      <c r="I2" t="s">
        <v>169</v>
      </c>
      <c r="J2" t="s">
        <v>170</v>
      </c>
      <c r="K2" s="4">
        <v>8.57</v>
      </c>
      <c r="L2" s="5">
        <f>(K2/C2-1)*100</f>
        <v>-0.58004640371228655</v>
      </c>
      <c r="M2" s="4">
        <v>8.68</v>
      </c>
      <c r="N2" s="4">
        <v>6.15</v>
      </c>
      <c r="O2" t="s">
        <v>484</v>
      </c>
      <c r="P2" s="3">
        <v>0</v>
      </c>
      <c r="Q2" t="s">
        <v>171</v>
      </c>
      <c r="S2" s="3">
        <v>6.7000000000000004E-2</v>
      </c>
      <c r="T2" t="s">
        <v>469</v>
      </c>
      <c r="V2" t="s">
        <v>172</v>
      </c>
      <c r="W2" s="3">
        <v>5.1680000000000001</v>
      </c>
      <c r="X2" s="3">
        <v>1.0999999999999999E-2</v>
      </c>
      <c r="Y2" t="s">
        <v>173</v>
      </c>
      <c r="Z2" s="3">
        <v>-5.0000000000000001E-3</v>
      </c>
      <c r="AA2" s="3">
        <v>5.7000000000000002E-2</v>
      </c>
      <c r="AB2" s="3">
        <v>9.7550000000000008</v>
      </c>
      <c r="AC2" s="3">
        <v>-1.4E-2</v>
      </c>
    </row>
    <row r="3" spans="1:29" x14ac:dyDescent="0.25">
      <c r="A3" s="2">
        <v>45786</v>
      </c>
      <c r="B3" s="3" t="s">
        <v>90</v>
      </c>
      <c r="C3">
        <v>3.07</v>
      </c>
      <c r="D3" t="s">
        <v>405</v>
      </c>
      <c r="E3" t="s">
        <v>445</v>
      </c>
      <c r="F3">
        <v>2.7442634105682302</v>
      </c>
      <c r="G3" t="s">
        <v>406</v>
      </c>
      <c r="H3" t="s">
        <v>407</v>
      </c>
      <c r="I3" t="s">
        <v>141</v>
      </c>
      <c r="J3" t="s">
        <v>40</v>
      </c>
      <c r="K3" s="4">
        <v>3.34</v>
      </c>
      <c r="L3" s="5">
        <f t="shared" ref="L3:L15" si="0">(K3/C3-1)*100</f>
        <v>8.7947882736156391</v>
      </c>
      <c r="M3" s="4">
        <v>3.37</v>
      </c>
      <c r="N3" s="4">
        <v>2.71</v>
      </c>
      <c r="O3" t="s">
        <v>470</v>
      </c>
      <c r="P3" s="3">
        <v>0</v>
      </c>
      <c r="Q3" t="s">
        <v>142</v>
      </c>
      <c r="R3" t="s">
        <v>471</v>
      </c>
      <c r="S3" s="3">
        <v>4.9000000000000002E-2</v>
      </c>
      <c r="T3" t="s">
        <v>448</v>
      </c>
      <c r="V3" t="s">
        <v>472</v>
      </c>
      <c r="W3" s="3">
        <v>0.54600000000000004</v>
      </c>
      <c r="X3" s="3">
        <v>2E-3</v>
      </c>
      <c r="Y3" t="s">
        <v>473</v>
      </c>
      <c r="Z3" s="3">
        <v>0.56999999999999995</v>
      </c>
      <c r="AA3" s="3">
        <v>4.7E-2</v>
      </c>
      <c r="AB3" s="3">
        <v>-0.29499999999999998</v>
      </c>
      <c r="AC3" s="3">
        <v>5.3999999999999999E-2</v>
      </c>
    </row>
    <row r="4" spans="1:29" x14ac:dyDescent="0.25">
      <c r="A4" s="2">
        <v>45786</v>
      </c>
      <c r="B4" s="3" t="s">
        <v>91</v>
      </c>
      <c r="C4">
        <v>3.64</v>
      </c>
      <c r="D4" t="s">
        <v>405</v>
      </c>
      <c r="E4" t="s">
        <v>445</v>
      </c>
      <c r="F4">
        <v>3.19366002082824</v>
      </c>
      <c r="G4" t="s">
        <v>406</v>
      </c>
      <c r="H4" t="s">
        <v>407</v>
      </c>
      <c r="I4" t="s">
        <v>143</v>
      </c>
      <c r="J4" t="s">
        <v>40</v>
      </c>
      <c r="K4" s="4">
        <v>3.6</v>
      </c>
      <c r="L4" s="5">
        <f t="shared" si="0"/>
        <v>-1.098901098901095</v>
      </c>
      <c r="M4" s="4">
        <v>3.71</v>
      </c>
      <c r="N4" s="4">
        <v>3.1</v>
      </c>
      <c r="O4" t="s">
        <v>400</v>
      </c>
      <c r="P4" s="3">
        <v>0</v>
      </c>
      <c r="Q4" t="s">
        <v>144</v>
      </c>
      <c r="R4" t="s">
        <v>474</v>
      </c>
      <c r="S4" s="3">
        <v>5.1999999999999998E-2</v>
      </c>
      <c r="T4" t="s">
        <v>485</v>
      </c>
      <c r="V4" t="s">
        <v>475</v>
      </c>
      <c r="W4" s="3">
        <v>0.28499999999999998</v>
      </c>
      <c r="X4" s="3">
        <v>3.0000000000000001E-3</v>
      </c>
      <c r="Y4" t="s">
        <v>476</v>
      </c>
      <c r="Z4" s="3">
        <v>1.306</v>
      </c>
      <c r="AA4" s="3">
        <v>9.8000000000000004E-2</v>
      </c>
      <c r="AB4" s="3">
        <v>-0.21099999999999999</v>
      </c>
      <c r="AC4" s="3">
        <v>9.6000000000000002E-2</v>
      </c>
    </row>
    <row r="5" spans="1:29" x14ac:dyDescent="0.25">
      <c r="A5" s="2">
        <v>45786</v>
      </c>
      <c r="B5" s="3" t="s">
        <v>53</v>
      </c>
      <c r="C5">
        <v>5.18</v>
      </c>
      <c r="D5" t="s">
        <v>405</v>
      </c>
      <c r="E5" t="s">
        <v>445</v>
      </c>
      <c r="F5">
        <v>4.6287302970886204</v>
      </c>
      <c r="G5" t="s">
        <v>406</v>
      </c>
      <c r="H5" t="s">
        <v>407</v>
      </c>
      <c r="I5" t="s">
        <v>145</v>
      </c>
      <c r="J5" t="s">
        <v>22</v>
      </c>
      <c r="K5" s="4">
        <v>5.27</v>
      </c>
      <c r="L5" s="5">
        <f t="shared" si="0"/>
        <v>1.7374517374517451</v>
      </c>
      <c r="M5" s="4">
        <v>5.42</v>
      </c>
      <c r="N5" s="4">
        <v>4.26</v>
      </c>
      <c r="O5" t="s">
        <v>477</v>
      </c>
      <c r="P5" s="3">
        <v>0</v>
      </c>
      <c r="Q5" t="s">
        <v>54</v>
      </c>
      <c r="R5" t="s">
        <v>55</v>
      </c>
      <c r="S5" s="3">
        <v>7.5999999999999998E-2</v>
      </c>
      <c r="T5" t="s">
        <v>478</v>
      </c>
      <c r="V5" t="s">
        <v>56</v>
      </c>
      <c r="W5" s="3">
        <v>0.28799999999999998</v>
      </c>
      <c r="X5" s="3">
        <v>2.7E-2</v>
      </c>
      <c r="Y5" t="s">
        <v>57</v>
      </c>
      <c r="Z5" s="3">
        <v>1.887</v>
      </c>
      <c r="AA5" s="3">
        <v>0.13200000000000001</v>
      </c>
      <c r="AB5" s="3">
        <v>0.06</v>
      </c>
      <c r="AC5" s="3">
        <v>4.3999999999999997E-2</v>
      </c>
    </row>
    <row r="6" spans="1:29" x14ac:dyDescent="0.25">
      <c r="A6" s="2">
        <v>45786</v>
      </c>
      <c r="B6" s="3" t="s">
        <v>48</v>
      </c>
      <c r="C6">
        <v>3.5</v>
      </c>
      <c r="D6" t="s">
        <v>405</v>
      </c>
      <c r="E6" t="s">
        <v>445</v>
      </c>
      <c r="F6">
        <v>2.9866869449615399</v>
      </c>
      <c r="G6" t="s">
        <v>406</v>
      </c>
      <c r="H6" t="s">
        <v>407</v>
      </c>
      <c r="I6" t="s">
        <v>47</v>
      </c>
      <c r="J6" t="s">
        <v>46</v>
      </c>
      <c r="K6" s="4">
        <v>3.53</v>
      </c>
      <c r="L6" s="5">
        <f t="shared" si="0"/>
        <v>0.85714285714284522</v>
      </c>
      <c r="M6" s="4">
        <v>3.9</v>
      </c>
      <c r="N6" s="4">
        <v>2.72</v>
      </c>
      <c r="O6" t="s">
        <v>393</v>
      </c>
      <c r="P6" s="3">
        <v>1</v>
      </c>
      <c r="Q6" t="s">
        <v>49</v>
      </c>
      <c r="R6" t="s">
        <v>50</v>
      </c>
      <c r="S6" s="3">
        <v>5.3999999999999999E-2</v>
      </c>
      <c r="T6" t="s">
        <v>23</v>
      </c>
      <c r="U6" t="s">
        <v>486</v>
      </c>
      <c r="V6" t="s">
        <v>51</v>
      </c>
      <c r="W6" s="3">
        <v>6.4219999999999997</v>
      </c>
      <c r="X6" s="3">
        <v>1.2999999999999999E-2</v>
      </c>
      <c r="Y6" t="s">
        <v>52</v>
      </c>
      <c r="Z6" s="3">
        <v>2.8000000000000001E-2</v>
      </c>
      <c r="AA6" s="3">
        <v>6.9000000000000006E-2</v>
      </c>
      <c r="AB6" s="3">
        <v>6.7000000000000004E-2</v>
      </c>
      <c r="AC6" s="3">
        <v>0.38600000000000001</v>
      </c>
    </row>
    <row r="7" spans="1:29" x14ac:dyDescent="0.25">
      <c r="A7" s="2">
        <v>45786</v>
      </c>
      <c r="B7" s="3" t="s">
        <v>42</v>
      </c>
      <c r="C7">
        <v>2.2999999999999998</v>
      </c>
      <c r="D7" t="s">
        <v>405</v>
      </c>
      <c r="E7" t="s">
        <v>445</v>
      </c>
      <c r="F7">
        <v>1.84206271171569</v>
      </c>
      <c r="G7" t="s">
        <v>406</v>
      </c>
      <c r="H7" t="s">
        <v>407</v>
      </c>
      <c r="I7" t="s">
        <v>41</v>
      </c>
      <c r="J7" t="s">
        <v>40</v>
      </c>
      <c r="K7" s="4">
        <v>2.29</v>
      </c>
      <c r="L7" s="5">
        <f>(K7/C7-1)*100</f>
        <v>-0.43478260869563856</v>
      </c>
      <c r="M7" s="4">
        <v>2.37</v>
      </c>
      <c r="N7" s="4">
        <v>1.7749999999999999</v>
      </c>
      <c r="O7" t="s">
        <v>487</v>
      </c>
      <c r="P7" s="3">
        <v>0</v>
      </c>
      <c r="Q7" t="s">
        <v>43</v>
      </c>
      <c r="S7" s="3">
        <v>3.9E-2</v>
      </c>
      <c r="T7" t="s">
        <v>479</v>
      </c>
      <c r="U7" t="s">
        <v>488</v>
      </c>
      <c r="V7" t="s">
        <v>44</v>
      </c>
      <c r="W7" s="3">
        <v>0.5</v>
      </c>
      <c r="X7" s="3">
        <v>1.2999999999999999E-2</v>
      </c>
      <c r="Y7" t="s">
        <v>45</v>
      </c>
      <c r="Z7" s="3">
        <v>-0.20699999999999999</v>
      </c>
      <c r="AA7" s="3">
        <v>0.188</v>
      </c>
      <c r="AC7" s="3">
        <v>-6.2E-2</v>
      </c>
    </row>
    <row r="8" spans="1:29" x14ac:dyDescent="0.25">
      <c r="A8" s="2">
        <v>45786</v>
      </c>
      <c r="B8" s="3" t="s">
        <v>34</v>
      </c>
      <c r="C8">
        <v>4.3499999999999996</v>
      </c>
      <c r="D8" t="s">
        <v>405</v>
      </c>
      <c r="E8" t="s">
        <v>445</v>
      </c>
      <c r="F8">
        <v>3.5680241584777801</v>
      </c>
      <c r="G8" t="s">
        <v>406</v>
      </c>
      <c r="H8" t="s">
        <v>407</v>
      </c>
      <c r="I8" t="s">
        <v>33</v>
      </c>
      <c r="J8" t="s">
        <v>22</v>
      </c>
      <c r="K8" s="4">
        <v>5.5</v>
      </c>
      <c r="L8" s="5">
        <f t="shared" si="0"/>
        <v>26.436781609195403</v>
      </c>
      <c r="M8" s="4">
        <v>5.51</v>
      </c>
      <c r="N8" s="4">
        <v>3</v>
      </c>
      <c r="O8" t="s">
        <v>450</v>
      </c>
      <c r="P8" s="3">
        <v>0.9</v>
      </c>
      <c r="Q8" t="s">
        <v>35</v>
      </c>
      <c r="R8" t="s">
        <v>36</v>
      </c>
      <c r="S8" s="3">
        <v>3.5999999999999997E-2</v>
      </c>
      <c r="T8" t="s">
        <v>391</v>
      </c>
      <c r="U8" t="s">
        <v>489</v>
      </c>
      <c r="V8" t="s">
        <v>37</v>
      </c>
      <c r="W8" s="3">
        <v>1.407</v>
      </c>
      <c r="X8" s="3">
        <v>1.0999999999999999E-2</v>
      </c>
      <c r="Y8" t="s">
        <v>38</v>
      </c>
      <c r="Z8" s="3">
        <v>3.5999999999999997E-2</v>
      </c>
      <c r="AA8" s="3">
        <v>0.10299999999999999</v>
      </c>
      <c r="AC8" s="3">
        <v>0.36699999999999999</v>
      </c>
    </row>
    <row r="9" spans="1:29" x14ac:dyDescent="0.25">
      <c r="A9" s="2">
        <v>45695</v>
      </c>
      <c r="B9" s="3" t="s">
        <v>25</v>
      </c>
      <c r="C9" s="5">
        <v>3.91</v>
      </c>
      <c r="D9" t="s">
        <v>405</v>
      </c>
      <c r="E9" t="s">
        <v>445</v>
      </c>
      <c r="F9">
        <v>3.7135944366454998</v>
      </c>
      <c r="G9" t="s">
        <v>406</v>
      </c>
      <c r="H9" t="s">
        <v>407</v>
      </c>
      <c r="I9" t="s">
        <v>24</v>
      </c>
      <c r="J9" t="s">
        <v>26</v>
      </c>
      <c r="K9" s="4">
        <v>5.17</v>
      </c>
      <c r="L9" s="5">
        <f t="shared" si="0"/>
        <v>32.225063938618923</v>
      </c>
      <c r="M9" s="4">
        <v>5.31</v>
      </c>
      <c r="N9" s="4">
        <v>3.47</v>
      </c>
      <c r="O9" t="s">
        <v>490</v>
      </c>
      <c r="P9" s="3">
        <v>1</v>
      </c>
      <c r="Q9" t="s">
        <v>27</v>
      </c>
      <c r="R9" t="s">
        <v>28</v>
      </c>
      <c r="S9" s="3">
        <v>3.3000000000000002E-2</v>
      </c>
      <c r="T9" t="s">
        <v>451</v>
      </c>
      <c r="U9" t="s">
        <v>491</v>
      </c>
      <c r="V9" t="s">
        <v>29</v>
      </c>
      <c r="W9" s="3">
        <v>8.7999999999999995E-2</v>
      </c>
      <c r="Y9" t="s">
        <v>30</v>
      </c>
      <c r="Z9" s="3">
        <v>6.2E-2</v>
      </c>
      <c r="AA9" s="3">
        <v>3.5000000000000003E-2</v>
      </c>
      <c r="AB9" s="3">
        <v>3.6999999999999998E-2</v>
      </c>
      <c r="AC9" s="3">
        <v>0.20699999999999999</v>
      </c>
    </row>
    <row r="10" spans="1:29" x14ac:dyDescent="0.25">
      <c r="A10" s="2">
        <v>45758</v>
      </c>
      <c r="B10" s="3" t="s">
        <v>82</v>
      </c>
      <c r="C10">
        <v>3.93</v>
      </c>
      <c r="D10" t="s">
        <v>404</v>
      </c>
      <c r="E10" t="s">
        <v>442</v>
      </c>
      <c r="F10">
        <v>3.6</v>
      </c>
      <c r="G10" t="s">
        <v>446</v>
      </c>
      <c r="H10" t="s">
        <v>443</v>
      </c>
      <c r="I10" t="s">
        <v>189</v>
      </c>
      <c r="J10" t="s">
        <v>26</v>
      </c>
      <c r="K10" s="4">
        <v>3.94</v>
      </c>
      <c r="L10" s="5">
        <f t="shared" si="0"/>
        <v>0.25445292620864812</v>
      </c>
      <c r="M10" s="4">
        <v>4.84</v>
      </c>
      <c r="N10" s="4">
        <v>2.2200000000000002</v>
      </c>
      <c r="O10" t="s">
        <v>400</v>
      </c>
      <c r="P10" s="3">
        <v>0</v>
      </c>
      <c r="Q10" t="s">
        <v>408</v>
      </c>
      <c r="S10" s="3">
        <v>0</v>
      </c>
      <c r="T10" t="s">
        <v>409</v>
      </c>
      <c r="V10" t="s">
        <v>410</v>
      </c>
      <c r="W10" s="3">
        <v>0.57899999999999996</v>
      </c>
      <c r="Y10" t="s">
        <v>411</v>
      </c>
      <c r="Z10" s="3">
        <v>-8.6999999999999994E-2</v>
      </c>
      <c r="AA10" s="3">
        <v>0.14199999999999999</v>
      </c>
      <c r="AC10" s="3">
        <v>-7.0999999999999994E-2</v>
      </c>
    </row>
    <row r="11" spans="1:29" x14ac:dyDescent="0.25">
      <c r="A11" s="2">
        <v>45737</v>
      </c>
      <c r="B11" s="3" t="s">
        <v>89</v>
      </c>
      <c r="C11">
        <v>142.36000000000001</v>
      </c>
      <c r="D11" t="s">
        <v>404</v>
      </c>
      <c r="E11" t="s">
        <v>442</v>
      </c>
      <c r="F11">
        <v>143.88999999999999</v>
      </c>
      <c r="G11" t="s">
        <v>446</v>
      </c>
      <c r="H11" t="s">
        <v>443</v>
      </c>
      <c r="I11" t="s">
        <v>190</v>
      </c>
      <c r="J11" t="s">
        <v>26</v>
      </c>
      <c r="K11" s="4">
        <v>180.89</v>
      </c>
      <c r="L11" s="5">
        <f t="shared" si="0"/>
        <v>27.06518685023882</v>
      </c>
      <c r="M11" s="4">
        <v>192</v>
      </c>
      <c r="N11" s="4">
        <v>120.96</v>
      </c>
      <c r="O11" t="s">
        <v>412</v>
      </c>
      <c r="P11" s="3">
        <v>1</v>
      </c>
      <c r="Q11" t="s">
        <v>413</v>
      </c>
      <c r="R11" t="s">
        <v>414</v>
      </c>
      <c r="S11" s="3">
        <v>2.7E-2</v>
      </c>
      <c r="T11" t="s">
        <v>415</v>
      </c>
      <c r="V11" t="s">
        <v>416</v>
      </c>
      <c r="W11" s="3">
        <v>2.782</v>
      </c>
      <c r="Y11" t="s">
        <v>417</v>
      </c>
      <c r="Z11" s="3">
        <v>0.35199999999999998</v>
      </c>
      <c r="AA11" s="3">
        <v>0.35299999999999998</v>
      </c>
      <c r="AB11" s="3">
        <v>4.1000000000000002E-2</v>
      </c>
      <c r="AC11" s="3">
        <v>0.13200000000000001</v>
      </c>
    </row>
    <row r="12" spans="1:29" x14ac:dyDescent="0.25">
      <c r="A12" s="2">
        <v>45730</v>
      </c>
      <c r="B12" s="3" t="s">
        <v>127</v>
      </c>
      <c r="C12">
        <v>2.81</v>
      </c>
      <c r="D12" t="s">
        <v>404</v>
      </c>
      <c r="E12" t="s">
        <v>442</v>
      </c>
      <c r="F12">
        <v>2.7319439999999999</v>
      </c>
      <c r="G12" t="s">
        <v>446</v>
      </c>
      <c r="H12" t="s">
        <v>443</v>
      </c>
      <c r="I12" t="s">
        <v>191</v>
      </c>
      <c r="J12" t="s">
        <v>22</v>
      </c>
      <c r="K12" s="4">
        <v>3.04</v>
      </c>
      <c r="L12" s="5">
        <f t="shared" si="0"/>
        <v>8.1850533807829251</v>
      </c>
      <c r="M12" s="4">
        <v>3.93</v>
      </c>
      <c r="N12" s="4">
        <v>2.21</v>
      </c>
      <c r="O12" t="s">
        <v>418</v>
      </c>
      <c r="P12" s="3">
        <v>1</v>
      </c>
      <c r="Q12" t="s">
        <v>419</v>
      </c>
      <c r="R12" t="s">
        <v>420</v>
      </c>
      <c r="S12" s="3">
        <v>5.2999999999999999E-2</v>
      </c>
      <c r="T12" t="s">
        <v>421</v>
      </c>
      <c r="V12" t="s">
        <v>422</v>
      </c>
      <c r="W12" s="3">
        <v>0.66600000000000004</v>
      </c>
      <c r="X12" s="3">
        <v>1.0999999999999999E-2</v>
      </c>
      <c r="Y12" t="s">
        <v>423</v>
      </c>
      <c r="Z12" s="3">
        <v>3.6999999999999998E-2</v>
      </c>
      <c r="AA12" s="3">
        <v>9.5000000000000001E-2</v>
      </c>
      <c r="AB12" s="3">
        <v>0.222</v>
      </c>
      <c r="AC12" s="3">
        <v>0.17899999999999999</v>
      </c>
    </row>
    <row r="13" spans="1:29" x14ac:dyDescent="0.25">
      <c r="A13" s="2">
        <v>45716</v>
      </c>
      <c r="B13" t="s">
        <v>115</v>
      </c>
      <c r="C13">
        <v>8.9600000000000009</v>
      </c>
      <c r="D13" t="s">
        <v>404</v>
      </c>
      <c r="E13" t="s">
        <v>442</v>
      </c>
      <c r="F13">
        <v>8.6627080000000003</v>
      </c>
      <c r="G13" t="s">
        <v>446</v>
      </c>
      <c r="H13" t="s">
        <v>443</v>
      </c>
      <c r="I13" t="s">
        <v>192</v>
      </c>
      <c r="J13" t="s">
        <v>26</v>
      </c>
      <c r="K13" s="4">
        <v>9.67</v>
      </c>
      <c r="L13" s="5">
        <f t="shared" si="0"/>
        <v>7.9241071428571397</v>
      </c>
      <c r="M13" s="4">
        <v>12.26</v>
      </c>
      <c r="N13" s="4">
        <v>6.29</v>
      </c>
      <c r="O13" t="s">
        <v>424</v>
      </c>
      <c r="P13" s="3">
        <v>0.85</v>
      </c>
      <c r="Q13" t="s">
        <v>425</v>
      </c>
      <c r="R13" t="s">
        <v>426</v>
      </c>
      <c r="S13" s="3">
        <v>6.5000000000000002E-2</v>
      </c>
      <c r="T13" t="s">
        <v>427</v>
      </c>
      <c r="V13" t="s">
        <v>428</v>
      </c>
      <c r="W13" s="3">
        <v>6.0000000000000001E-3</v>
      </c>
      <c r="X13" s="3">
        <v>4.9000000000000002E-2</v>
      </c>
      <c r="Y13" t="s">
        <v>429</v>
      </c>
      <c r="Z13" s="3">
        <v>0.59</v>
      </c>
      <c r="AA13" s="3">
        <v>-0.191</v>
      </c>
      <c r="AB13" s="3">
        <v>-0.03</v>
      </c>
      <c r="AC13" s="3">
        <v>0.23200000000000001</v>
      </c>
    </row>
    <row r="14" spans="1:29" x14ac:dyDescent="0.25">
      <c r="A14" s="2">
        <v>45716</v>
      </c>
      <c r="B14" t="s">
        <v>85</v>
      </c>
      <c r="C14">
        <v>14</v>
      </c>
      <c r="D14" t="s">
        <v>404</v>
      </c>
      <c r="E14" t="s">
        <v>442</v>
      </c>
      <c r="F14">
        <v>13.58675</v>
      </c>
      <c r="G14" t="s">
        <v>446</v>
      </c>
      <c r="H14" t="s">
        <v>443</v>
      </c>
      <c r="I14" t="s">
        <v>193</v>
      </c>
      <c r="J14" t="s">
        <v>430</v>
      </c>
      <c r="K14" s="4">
        <v>15.23</v>
      </c>
      <c r="L14" s="5">
        <f t="shared" si="0"/>
        <v>8.7857142857142847</v>
      </c>
      <c r="M14" s="4">
        <v>17.97</v>
      </c>
      <c r="N14" s="4">
        <v>12.06</v>
      </c>
      <c r="O14" t="s">
        <v>403</v>
      </c>
      <c r="P14" s="3">
        <v>1</v>
      </c>
      <c r="Q14" t="s">
        <v>431</v>
      </c>
      <c r="R14" t="s">
        <v>432</v>
      </c>
      <c r="S14" s="3">
        <v>4.4999999999999998E-2</v>
      </c>
      <c r="T14" t="s">
        <v>392</v>
      </c>
      <c r="U14" t="s">
        <v>433</v>
      </c>
      <c r="V14" t="s">
        <v>434</v>
      </c>
      <c r="W14" s="3">
        <v>0.85599999999999998</v>
      </c>
      <c r="X14" s="3">
        <v>1.0999999999999999E-2</v>
      </c>
      <c r="Y14" t="s">
        <v>435</v>
      </c>
      <c r="Z14" s="3">
        <v>5.7000000000000002E-2</v>
      </c>
      <c r="AA14" s="3">
        <v>0.04</v>
      </c>
      <c r="AB14" s="3">
        <v>-7.1999999999999995E-2</v>
      </c>
      <c r="AC14" s="3">
        <v>0.17100000000000001</v>
      </c>
    </row>
    <row r="15" spans="1:29" x14ac:dyDescent="0.25">
      <c r="A15" s="2">
        <v>45716</v>
      </c>
      <c r="B15" t="s">
        <v>111</v>
      </c>
      <c r="C15">
        <v>35.08</v>
      </c>
      <c r="D15" t="s">
        <v>404</v>
      </c>
      <c r="E15" t="s">
        <v>442</v>
      </c>
      <c r="F15">
        <v>34.185600000000001</v>
      </c>
      <c r="G15" t="s">
        <v>446</v>
      </c>
      <c r="H15" t="s">
        <v>443</v>
      </c>
      <c r="I15" t="s">
        <v>194</v>
      </c>
      <c r="J15" t="s">
        <v>26</v>
      </c>
      <c r="K15" s="4">
        <v>39.79</v>
      </c>
      <c r="L15" s="5">
        <f t="shared" si="0"/>
        <v>13.426453819840379</v>
      </c>
      <c r="M15" s="4">
        <v>40.71</v>
      </c>
      <c r="N15" s="4">
        <v>30.41</v>
      </c>
      <c r="O15" t="s">
        <v>436</v>
      </c>
      <c r="P15" s="3">
        <v>1</v>
      </c>
      <c r="Q15" t="s">
        <v>437</v>
      </c>
      <c r="R15" t="s">
        <v>438</v>
      </c>
      <c r="S15" s="3">
        <v>4.2999999999999997E-2</v>
      </c>
      <c r="T15" t="s">
        <v>439</v>
      </c>
      <c r="V15" t="s">
        <v>440</v>
      </c>
      <c r="W15" s="3">
        <v>2.9950000000000001</v>
      </c>
      <c r="Y15" t="s">
        <v>441</v>
      </c>
      <c r="Z15" s="3">
        <v>0.32900000000000001</v>
      </c>
      <c r="AA15" s="3">
        <v>0.47899999999999998</v>
      </c>
      <c r="AB15" s="3">
        <v>6.3E-2</v>
      </c>
      <c r="AC15" s="3">
        <v>0.113</v>
      </c>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H9" sqref="H9"/>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63</v>
      </c>
      <c r="B1" s="1" t="s">
        <v>88</v>
      </c>
      <c r="C1" s="1" t="s">
        <v>64</v>
      </c>
      <c r="D1" s="1" t="s">
        <v>65</v>
      </c>
      <c r="E1" s="1" t="s">
        <v>66</v>
      </c>
      <c r="F1" s="1" t="s">
        <v>67</v>
      </c>
      <c r="G1" s="1" t="s">
        <v>68</v>
      </c>
      <c r="H1" s="1" t="s">
        <v>69</v>
      </c>
      <c r="I1" s="1" t="s">
        <v>138</v>
      </c>
      <c r="J1" s="1" t="s">
        <v>139</v>
      </c>
      <c r="K1" s="1" t="s">
        <v>140</v>
      </c>
      <c r="L1" s="1" t="s">
        <v>87</v>
      </c>
    </row>
    <row r="2" spans="1:12" x14ac:dyDescent="0.25">
      <c r="A2">
        <v>11.45</v>
      </c>
      <c r="B2">
        <v>1503.86</v>
      </c>
      <c r="C2">
        <v>193</v>
      </c>
      <c r="D2">
        <v>118</v>
      </c>
      <c r="E2">
        <v>48.83</v>
      </c>
      <c r="F2">
        <v>75</v>
      </c>
      <c r="G2">
        <v>-13.85</v>
      </c>
      <c r="H2">
        <v>-21.65</v>
      </c>
      <c r="I2" s="5">
        <v>8.9312237524901583</v>
      </c>
      <c r="J2" s="5">
        <v>0.34217110550032181</v>
      </c>
      <c r="K2" s="5">
        <v>5.8734520000000234</v>
      </c>
      <c r="L2" s="5">
        <v>4.7413969752778566</v>
      </c>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40"/>
  <sheetViews>
    <sheetView topLeftCell="A1293" workbookViewId="0">
      <selection activeCell="G1331" sqref="G1331"/>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70</v>
      </c>
      <c r="B1" s="1" t="s">
        <v>71</v>
      </c>
      <c r="C1" s="1" t="s">
        <v>137</v>
      </c>
      <c r="D1" s="1" t="s">
        <v>72</v>
      </c>
      <c r="E1" s="1" t="s">
        <v>73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D1340" si="2">B1339-MAX(B4:B1339,100000)</f>
        <v>-5124.1000000000931</v>
      </c>
      <c r="E1339">
        <f>D1339/MAX($B$2:B1339,100000)</f>
        <v>-3.1324178749735413E-3</v>
      </c>
    </row>
    <row r="1340" spans="1:11" x14ac:dyDescent="0.25">
      <c r="A1340" s="2">
        <v>45884</v>
      </c>
      <c r="B1340">
        <v>1648174.5</v>
      </c>
      <c r="C1340">
        <v>14541.18</v>
      </c>
      <c r="D1340">
        <f t="shared" si="2"/>
        <v>0</v>
      </c>
      <c r="E1340">
        <f>D1340/MAX($B$2:B1340,100000)</f>
        <v>0</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tabSelected="1" workbookViewId="0">
      <selection activeCell="F3" sqref="F3"/>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3" max="13" width="10.140625" bestFit="1" customWidth="1"/>
    <col min="15" max="15" width="19.140625" customWidth="1"/>
    <col min="16" max="16" width="10.4257812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361</v>
      </c>
      <c r="C1" s="1" t="s">
        <v>74</v>
      </c>
      <c r="D1" s="1" t="s">
        <v>70</v>
      </c>
      <c r="E1" s="1" t="s">
        <v>75</v>
      </c>
      <c r="F1" s="1" t="s">
        <v>76</v>
      </c>
      <c r="G1" s="1" t="s">
        <v>77</v>
      </c>
      <c r="H1" s="1" t="s">
        <v>78</v>
      </c>
      <c r="I1" s="1" t="s">
        <v>79</v>
      </c>
      <c r="J1" s="1" t="s">
        <v>80</v>
      </c>
      <c r="K1" s="1" t="s">
        <v>81</v>
      </c>
    </row>
    <row r="2" spans="1:30" x14ac:dyDescent="0.25">
      <c r="A2" s="3" t="s">
        <v>146</v>
      </c>
      <c r="B2" t="s">
        <v>169</v>
      </c>
      <c r="C2" t="s">
        <v>359</v>
      </c>
      <c r="D2" s="2">
        <v>45793</v>
      </c>
      <c r="E2">
        <v>8.6199999999999992</v>
      </c>
      <c r="F2" s="2">
        <v>45884</v>
      </c>
      <c r="G2" s="4">
        <v>8.57</v>
      </c>
      <c r="H2" s="3">
        <f>G2/E2-1</f>
        <v>-5.8004640371228655E-3</v>
      </c>
      <c r="I2">
        <f t="shared" ref="I2:I13" si="0">K2*E2*J2</f>
        <v>-968.32323999998698</v>
      </c>
      <c r="J2" s="3">
        <f t="shared" ref="J2:J13" si="1">H2-0.002</f>
        <v>-7.8004640371228656E-3</v>
      </c>
      <c r="K2">
        <v>14401</v>
      </c>
      <c r="P2" s="11"/>
      <c r="Q2" s="14"/>
      <c r="R2" s="2"/>
      <c r="T2" s="3"/>
      <c r="V2" s="3"/>
      <c r="AA2" s="3"/>
      <c r="AB2" s="3"/>
      <c r="AC2" s="3"/>
      <c r="AD2" s="3"/>
    </row>
    <row r="3" spans="1:30" x14ac:dyDescent="0.25">
      <c r="A3" s="3" t="s">
        <v>90</v>
      </c>
      <c r="B3" t="s">
        <v>141</v>
      </c>
      <c r="C3" t="s">
        <v>359</v>
      </c>
      <c r="D3" s="2">
        <v>45786</v>
      </c>
      <c r="E3">
        <v>3.07</v>
      </c>
      <c r="F3" s="2">
        <v>45884</v>
      </c>
      <c r="G3" s="4">
        <v>3.34</v>
      </c>
      <c r="H3" s="3">
        <f t="shared" ref="H3:H13" si="2">G3/E3-1</f>
        <v>8.7947882736156391E-2</v>
      </c>
      <c r="I3">
        <f t="shared" si="0"/>
        <v>10165.998080000003</v>
      </c>
      <c r="J3" s="3">
        <f t="shared" si="1"/>
        <v>8.5947882736156389E-2</v>
      </c>
      <c r="K3">
        <v>38528</v>
      </c>
      <c r="P3" s="11"/>
      <c r="Q3" s="13"/>
      <c r="R3" s="2"/>
      <c r="T3" s="3"/>
      <c r="V3" s="3"/>
      <c r="AA3" s="3"/>
      <c r="AB3" s="3"/>
      <c r="AC3" s="3"/>
      <c r="AD3" s="3"/>
    </row>
    <row r="4" spans="1:30" x14ac:dyDescent="0.25">
      <c r="A4" s="3" t="s">
        <v>91</v>
      </c>
      <c r="B4" t="s">
        <v>143</v>
      </c>
      <c r="C4" t="s">
        <v>359</v>
      </c>
      <c r="D4" s="2">
        <v>45786</v>
      </c>
      <c r="E4">
        <v>3.64</v>
      </c>
      <c r="F4" s="2">
        <v>45884</v>
      </c>
      <c r="G4" s="4">
        <v>3.6</v>
      </c>
      <c r="H4" s="3">
        <f t="shared" si="2"/>
        <v>-1.098901098901095E-2</v>
      </c>
      <c r="I4">
        <f t="shared" si="0"/>
        <v>-1557.8759999999954</v>
      </c>
      <c r="J4" s="3">
        <f t="shared" si="1"/>
        <v>-1.298901098901095E-2</v>
      </c>
      <c r="K4">
        <v>32950</v>
      </c>
      <c r="P4" s="11"/>
      <c r="Q4" s="13"/>
      <c r="R4" s="2"/>
      <c r="T4" s="3"/>
      <c r="V4" s="3"/>
      <c r="AA4" s="3"/>
      <c r="AB4" s="3"/>
      <c r="AC4" s="3"/>
      <c r="AD4" s="3"/>
    </row>
    <row r="5" spans="1:30" x14ac:dyDescent="0.25">
      <c r="A5" s="3" t="s">
        <v>53</v>
      </c>
      <c r="B5" t="s">
        <v>145</v>
      </c>
      <c r="C5" t="s">
        <v>359</v>
      </c>
      <c r="D5" s="2">
        <v>45786</v>
      </c>
      <c r="E5">
        <v>5.18</v>
      </c>
      <c r="F5" s="2">
        <v>45884</v>
      </c>
      <c r="G5" s="4">
        <v>5.27</v>
      </c>
      <c r="H5" s="3">
        <f t="shared" si="2"/>
        <v>1.7374517374517451E-2</v>
      </c>
      <c r="I5">
        <f t="shared" si="0"/>
        <v>1795.7227200000088</v>
      </c>
      <c r="J5" s="3">
        <f t="shared" si="1"/>
        <v>1.5374517374517451E-2</v>
      </c>
      <c r="K5">
        <v>22548</v>
      </c>
      <c r="P5" s="11"/>
      <c r="Q5" s="13"/>
      <c r="R5" s="2"/>
      <c r="T5" s="3"/>
      <c r="V5" s="3"/>
      <c r="AA5" s="3"/>
      <c r="AB5" s="3"/>
      <c r="AC5" s="3"/>
      <c r="AD5" s="3"/>
    </row>
    <row r="6" spans="1:30" x14ac:dyDescent="0.25">
      <c r="A6" s="3" t="s">
        <v>48</v>
      </c>
      <c r="B6" t="s">
        <v>47</v>
      </c>
      <c r="C6" t="s">
        <v>359</v>
      </c>
      <c r="D6" s="2">
        <v>45786</v>
      </c>
      <c r="E6">
        <v>3.5</v>
      </c>
      <c r="F6" s="2">
        <v>45884</v>
      </c>
      <c r="G6" s="4">
        <v>3.53</v>
      </c>
      <c r="H6" s="3">
        <f t="shared" si="2"/>
        <v>8.5714285714284522E-3</v>
      </c>
      <c r="I6">
        <f t="shared" si="0"/>
        <v>767.64799999998604</v>
      </c>
      <c r="J6" s="3">
        <f t="shared" si="1"/>
        <v>6.5714285714284521E-3</v>
      </c>
      <c r="K6">
        <v>33376</v>
      </c>
      <c r="P6" s="11"/>
      <c r="Q6" s="13"/>
      <c r="R6" s="2"/>
      <c r="T6" s="3"/>
      <c r="V6" s="3"/>
      <c r="AA6" s="3"/>
      <c r="AB6" s="3"/>
      <c r="AC6" s="3"/>
      <c r="AD6" s="3"/>
    </row>
    <row r="7" spans="1:30" x14ac:dyDescent="0.25">
      <c r="A7" s="3" t="s">
        <v>42</v>
      </c>
      <c r="B7" t="s">
        <v>41</v>
      </c>
      <c r="C7" t="s">
        <v>359</v>
      </c>
      <c r="D7" s="2">
        <v>45786</v>
      </c>
      <c r="E7">
        <v>2.2999999999999998</v>
      </c>
      <c r="F7" s="2">
        <v>45884</v>
      </c>
      <c r="G7" s="4">
        <v>2.29</v>
      </c>
      <c r="H7" s="3">
        <f t="shared" si="2"/>
        <v>-4.3478260869563856E-3</v>
      </c>
      <c r="I7">
        <f t="shared" si="0"/>
        <v>-756.92239999998378</v>
      </c>
      <c r="J7" s="3">
        <f t="shared" si="1"/>
        <v>-6.3478260869563857E-3</v>
      </c>
      <c r="K7">
        <v>51844</v>
      </c>
      <c r="P7" s="11"/>
      <c r="Q7" s="13"/>
      <c r="R7" s="2"/>
      <c r="T7" s="3"/>
      <c r="V7" s="3"/>
      <c r="AA7" s="3"/>
      <c r="AB7" s="3"/>
      <c r="AC7" s="3"/>
      <c r="AD7" s="3"/>
    </row>
    <row r="8" spans="1:30" x14ac:dyDescent="0.25">
      <c r="A8" s="3" t="s">
        <v>34</v>
      </c>
      <c r="B8" t="s">
        <v>33</v>
      </c>
      <c r="C8" t="s">
        <v>359</v>
      </c>
      <c r="D8" s="2">
        <v>45786</v>
      </c>
      <c r="E8">
        <v>4.3499999999999996</v>
      </c>
      <c r="F8" s="2">
        <v>45884</v>
      </c>
      <c r="G8" s="4">
        <v>5.5</v>
      </c>
      <c r="H8" s="3">
        <f t="shared" si="2"/>
        <v>0.26436781609195403</v>
      </c>
      <c r="I8">
        <f t="shared" si="0"/>
        <v>30657.600600000002</v>
      </c>
      <c r="J8" s="3">
        <f t="shared" si="1"/>
        <v>0.26236781609195403</v>
      </c>
      <c r="K8">
        <v>26862</v>
      </c>
      <c r="P8" s="11"/>
      <c r="Q8" s="13"/>
      <c r="R8" s="2"/>
      <c r="T8" s="3"/>
      <c r="V8" s="3"/>
      <c r="AA8" s="3"/>
      <c r="AB8" s="3"/>
      <c r="AC8" s="3"/>
      <c r="AD8" s="3"/>
    </row>
    <row r="9" spans="1:30" x14ac:dyDescent="0.25">
      <c r="A9" s="3" t="s">
        <v>25</v>
      </c>
      <c r="B9" t="s">
        <v>24</v>
      </c>
      <c r="C9" t="s">
        <v>359</v>
      </c>
      <c r="D9" s="2">
        <v>45695</v>
      </c>
      <c r="E9">
        <v>3.8413110000000001</v>
      </c>
      <c r="F9" s="2">
        <v>45884</v>
      </c>
      <c r="G9" s="4">
        <v>5.17</v>
      </c>
      <c r="H9" s="3">
        <f t="shared" si="2"/>
        <v>0.34589466981455019</v>
      </c>
      <c r="I9">
        <f t="shared" si="0"/>
        <v>41072.730304775985</v>
      </c>
      <c r="J9" s="3">
        <f t="shared" si="1"/>
        <v>0.34389466981455019</v>
      </c>
      <c r="K9">
        <v>31092</v>
      </c>
      <c r="P9" s="11"/>
      <c r="Q9" s="13"/>
      <c r="R9" s="2"/>
      <c r="T9" s="3"/>
      <c r="V9" s="3"/>
      <c r="AA9" s="3"/>
      <c r="AB9" s="3"/>
      <c r="AC9" s="3"/>
      <c r="AD9" s="3"/>
    </row>
    <row r="10" spans="1:30" x14ac:dyDescent="0.25">
      <c r="A10" s="3" t="s">
        <v>128</v>
      </c>
      <c r="B10" t="s">
        <v>174</v>
      </c>
      <c r="C10" t="s">
        <v>359</v>
      </c>
      <c r="D10" s="2">
        <v>45639</v>
      </c>
      <c r="E10">
        <v>13.27768</v>
      </c>
      <c r="F10" s="2">
        <v>45884</v>
      </c>
      <c r="G10" s="4">
        <v>20.22</v>
      </c>
      <c r="H10" s="3">
        <f t="shared" si="2"/>
        <v>0.52285640262455479</v>
      </c>
      <c r="I10">
        <f t="shared" si="0"/>
        <v>60374.625307199989</v>
      </c>
      <c r="J10" s="3">
        <f t="shared" si="1"/>
        <v>0.52085640262455479</v>
      </c>
      <c r="K10">
        <v>8730</v>
      </c>
      <c r="P10" s="11"/>
      <c r="Q10" s="13"/>
      <c r="R10" s="2"/>
      <c r="T10" s="3"/>
      <c r="V10" s="3"/>
      <c r="AA10" s="3"/>
      <c r="AB10" s="3"/>
      <c r="AC10" s="3"/>
      <c r="AD10" s="3"/>
    </row>
    <row r="11" spans="1:30" x14ac:dyDescent="0.25">
      <c r="A11" s="3" t="s">
        <v>147</v>
      </c>
      <c r="B11" t="s">
        <v>178</v>
      </c>
      <c r="C11" t="s">
        <v>359</v>
      </c>
      <c r="D11" s="2">
        <v>45499</v>
      </c>
      <c r="E11">
        <v>3.696536</v>
      </c>
      <c r="F11" s="2">
        <v>45884</v>
      </c>
      <c r="G11" s="4">
        <v>4.88</v>
      </c>
      <c r="H11" s="3">
        <f t="shared" si="2"/>
        <v>0.32015486931548875</v>
      </c>
      <c r="I11">
        <f t="shared" si="0"/>
        <v>35410.319571151987</v>
      </c>
      <c r="J11" s="3">
        <f t="shared" si="1"/>
        <v>0.31815486931548875</v>
      </c>
      <c r="K11">
        <v>30109</v>
      </c>
      <c r="P11" s="11"/>
      <c r="Q11" s="13"/>
      <c r="R11" s="2"/>
      <c r="T11" s="3"/>
      <c r="V11" s="3"/>
      <c r="AA11" s="3"/>
      <c r="AB11" s="3"/>
      <c r="AC11" s="3"/>
      <c r="AD11" s="3"/>
    </row>
    <row r="12" spans="1:30" x14ac:dyDescent="0.25">
      <c r="A12" s="3" t="s">
        <v>125</v>
      </c>
      <c r="B12" t="s">
        <v>180</v>
      </c>
      <c r="C12" t="s">
        <v>359</v>
      </c>
      <c r="D12" s="2">
        <v>45282</v>
      </c>
      <c r="E12">
        <v>5.588908</v>
      </c>
      <c r="F12" s="2">
        <v>45884</v>
      </c>
      <c r="G12" s="4">
        <v>7.83</v>
      </c>
      <c r="H12" s="3">
        <f t="shared" si="2"/>
        <v>0.40098924512623935</v>
      </c>
      <c r="I12">
        <f t="shared" si="0"/>
        <v>43701.858178032002</v>
      </c>
      <c r="J12" s="3">
        <f t="shared" si="1"/>
        <v>0.39898924512623934</v>
      </c>
      <c r="K12">
        <v>19598</v>
      </c>
      <c r="P12" s="11"/>
      <c r="Q12" s="13"/>
      <c r="R12" s="2"/>
      <c r="T12" s="3"/>
      <c r="V12" s="3"/>
      <c r="AA12" s="3"/>
      <c r="AB12" s="3"/>
      <c r="AC12" s="3"/>
      <c r="AD12" s="3"/>
    </row>
    <row r="13" spans="1:30" x14ac:dyDescent="0.25">
      <c r="A13" s="3" t="s">
        <v>148</v>
      </c>
      <c r="B13" t="s">
        <v>184</v>
      </c>
      <c r="C13" t="s">
        <v>359</v>
      </c>
      <c r="D13" s="2">
        <v>45275</v>
      </c>
      <c r="E13">
        <v>2.2089750000000001</v>
      </c>
      <c r="F13" s="2">
        <v>45884</v>
      </c>
      <c r="G13" s="4">
        <v>2.4700000000000002</v>
      </c>
      <c r="H13" s="3">
        <f t="shared" si="2"/>
        <v>0.11816566507090398</v>
      </c>
      <c r="I13">
        <f t="shared" si="0"/>
        <v>12690.501657750006</v>
      </c>
      <c r="J13" s="3">
        <f t="shared" si="1"/>
        <v>0.11616566507090398</v>
      </c>
      <c r="K13">
        <v>49455</v>
      </c>
      <c r="P13" s="11"/>
      <c r="Q13" s="13"/>
      <c r="R13" s="2"/>
      <c r="T13" s="3"/>
      <c r="V13" s="3"/>
      <c r="AA13" s="3"/>
      <c r="AB13" s="3"/>
      <c r="AC13" s="3"/>
      <c r="AD13" s="3"/>
    </row>
    <row r="14" spans="1:30" x14ac:dyDescent="0.25">
      <c r="A14" s="3" t="s">
        <v>82</v>
      </c>
      <c r="B14" t="s">
        <v>189</v>
      </c>
      <c r="C14" t="s">
        <v>360</v>
      </c>
      <c r="D14" s="2">
        <v>45506</v>
      </c>
      <c r="E14">
        <v>2.7</v>
      </c>
      <c r="F14" s="2">
        <v>45758</v>
      </c>
      <c r="G14">
        <v>3.6</v>
      </c>
      <c r="H14" s="3">
        <v>0.33329999999999999</v>
      </c>
      <c r="I14">
        <v>37486.25</v>
      </c>
      <c r="J14" s="3">
        <v>0.33100000000000002</v>
      </c>
      <c r="K14">
        <v>41945</v>
      </c>
      <c r="P14" s="2"/>
      <c r="R14" s="2"/>
      <c r="T14" s="3"/>
      <c r="V14" s="3"/>
      <c r="AA14" s="3"/>
      <c r="AB14" s="3"/>
      <c r="AC14" s="3"/>
      <c r="AD14" s="3"/>
    </row>
    <row r="15" spans="1:30" x14ac:dyDescent="0.25">
      <c r="A15" s="3" t="s">
        <v>89</v>
      </c>
      <c r="B15" t="s">
        <v>190</v>
      </c>
      <c r="C15" t="s">
        <v>360</v>
      </c>
      <c r="D15" s="2">
        <v>45135</v>
      </c>
      <c r="E15">
        <v>97.787260000000003</v>
      </c>
      <c r="F15" s="2">
        <v>45737</v>
      </c>
      <c r="G15">
        <v>143.88999999999999</v>
      </c>
      <c r="H15" s="3">
        <v>0.47149999999999997</v>
      </c>
      <c r="I15">
        <v>52143.98</v>
      </c>
      <c r="J15" s="3">
        <v>0.46899999999999997</v>
      </c>
      <c r="K15">
        <v>1137</v>
      </c>
      <c r="P15" s="2"/>
      <c r="R15" s="2"/>
      <c r="T15" s="3"/>
      <c r="V15" s="3"/>
      <c r="AA15" s="3"/>
      <c r="AB15" s="3"/>
      <c r="AC15" s="3"/>
      <c r="AD15" s="3"/>
    </row>
    <row r="16" spans="1:30" x14ac:dyDescent="0.25">
      <c r="A16" s="3" t="s">
        <v>127</v>
      </c>
      <c r="B16" t="s">
        <v>191</v>
      </c>
      <c r="C16" t="s">
        <v>360</v>
      </c>
      <c r="D16" s="2">
        <v>45282</v>
      </c>
      <c r="E16">
        <v>2.7426889999999999</v>
      </c>
      <c r="F16" s="2">
        <v>45730</v>
      </c>
      <c r="G16">
        <v>2.7319439999999999</v>
      </c>
      <c r="H16" s="3">
        <v>-3.8999999999999998E-3</v>
      </c>
      <c r="I16">
        <v>-652.45000000000005</v>
      </c>
      <c r="J16" s="3">
        <v>-5.8999999999999999E-3</v>
      </c>
      <c r="K16">
        <v>40226</v>
      </c>
      <c r="P16" s="2"/>
      <c r="R16" s="2"/>
      <c r="T16" s="3"/>
      <c r="V16" s="3"/>
      <c r="AA16" s="3"/>
      <c r="AB16" s="3"/>
      <c r="AC16" s="3"/>
      <c r="AD16" s="3"/>
    </row>
    <row r="17" spans="1:30" x14ac:dyDescent="0.25">
      <c r="A17" t="s">
        <v>115</v>
      </c>
      <c r="B17" t="s">
        <v>192</v>
      </c>
      <c r="C17" t="s">
        <v>360</v>
      </c>
      <c r="D17" s="2">
        <v>45527</v>
      </c>
      <c r="E17">
        <v>10.07382</v>
      </c>
      <c r="F17" s="2">
        <v>45716</v>
      </c>
      <c r="G17">
        <v>8.6627080000000003</v>
      </c>
      <c r="H17" s="3">
        <v>-0.1401</v>
      </c>
      <c r="I17">
        <v>-16268.79</v>
      </c>
      <c r="J17" s="3">
        <v>-0.1419</v>
      </c>
      <c r="K17">
        <v>11378</v>
      </c>
      <c r="P17" s="2"/>
      <c r="R17" s="2"/>
      <c r="T17" s="3"/>
      <c r="V17" s="3"/>
      <c r="AA17" s="3"/>
      <c r="AB17" s="3"/>
      <c r="AC17" s="3"/>
      <c r="AD17" s="3"/>
    </row>
    <row r="18" spans="1:30" x14ac:dyDescent="0.25">
      <c r="A18" t="s">
        <v>85</v>
      </c>
      <c r="B18" t="s">
        <v>193</v>
      </c>
      <c r="C18" t="s">
        <v>360</v>
      </c>
      <c r="D18" s="2">
        <v>45268</v>
      </c>
      <c r="E18">
        <v>12.95567</v>
      </c>
      <c r="F18" s="2">
        <v>45716</v>
      </c>
      <c r="G18">
        <v>13.58675</v>
      </c>
      <c r="H18" s="3">
        <v>4.87E-2</v>
      </c>
      <c r="I18">
        <v>4948.1400000000003</v>
      </c>
      <c r="J18" s="3">
        <v>4.6699999999999998E-2</v>
      </c>
      <c r="K18">
        <v>8185</v>
      </c>
      <c r="P18" s="2"/>
      <c r="R18" s="2"/>
      <c r="T18" s="3"/>
      <c r="V18" s="3"/>
      <c r="AA18" s="3"/>
      <c r="AB18" s="3"/>
      <c r="AC18" s="3"/>
      <c r="AD18" s="3"/>
    </row>
    <row r="19" spans="1:30" x14ac:dyDescent="0.25">
      <c r="A19" t="s">
        <v>111</v>
      </c>
      <c r="B19" t="s">
        <v>194</v>
      </c>
      <c r="C19" t="s">
        <v>360</v>
      </c>
      <c r="D19" s="2">
        <v>45177</v>
      </c>
      <c r="E19">
        <v>26.35557</v>
      </c>
      <c r="F19" s="2">
        <v>45716</v>
      </c>
      <c r="G19">
        <v>34.185600000000001</v>
      </c>
      <c r="H19" s="3">
        <v>0.29709999999999998</v>
      </c>
      <c r="I19">
        <v>31753.9</v>
      </c>
      <c r="J19" s="3">
        <v>0.29480000000000001</v>
      </c>
      <c r="K19">
        <v>4087</v>
      </c>
      <c r="P19" s="2"/>
      <c r="R19" s="2"/>
      <c r="T19" s="3"/>
      <c r="V19" s="3"/>
      <c r="AA19" s="3"/>
      <c r="AB19" s="3"/>
      <c r="AC19" s="3"/>
      <c r="AD19" s="3"/>
    </row>
    <row r="20" spans="1:30" x14ac:dyDescent="0.25">
      <c r="A20" t="s">
        <v>91</v>
      </c>
      <c r="B20" t="s">
        <v>143</v>
      </c>
      <c r="C20" t="s">
        <v>360</v>
      </c>
      <c r="D20" s="2">
        <v>45527</v>
      </c>
      <c r="E20">
        <v>3.6396850000000001</v>
      </c>
      <c r="F20" s="2">
        <v>45646</v>
      </c>
      <c r="G20">
        <v>3.2504140000000001</v>
      </c>
      <c r="H20" s="3">
        <v>-0.107</v>
      </c>
      <c r="I20">
        <v>-12473.53</v>
      </c>
      <c r="J20" s="3">
        <v>-0.10879999999999999</v>
      </c>
      <c r="K20">
        <v>31486</v>
      </c>
      <c r="P20" s="2"/>
      <c r="R20" s="2"/>
      <c r="T20" s="3"/>
      <c r="V20" s="3"/>
      <c r="AA20" s="3"/>
      <c r="AB20" s="3"/>
      <c r="AC20" s="3"/>
      <c r="AD20" s="3"/>
    </row>
    <row r="21" spans="1:30" x14ac:dyDescent="0.25">
      <c r="A21" t="s">
        <v>109</v>
      </c>
      <c r="B21" t="s">
        <v>195</v>
      </c>
      <c r="C21" t="s">
        <v>360</v>
      </c>
      <c r="D21" s="2">
        <v>45142</v>
      </c>
      <c r="E21">
        <v>7.1551619999999998</v>
      </c>
      <c r="F21" s="2">
        <v>45632</v>
      </c>
      <c r="G21">
        <v>6.4484979999999998</v>
      </c>
      <c r="H21" s="3">
        <v>-9.8799999999999999E-2</v>
      </c>
      <c r="I21">
        <v>-11200.16</v>
      </c>
      <c r="J21" s="3">
        <v>-0.1007</v>
      </c>
      <c r="K21">
        <v>15550</v>
      </c>
      <c r="P21" s="2"/>
      <c r="R21" s="2"/>
      <c r="T21" s="3"/>
      <c r="V21" s="3"/>
      <c r="AA21" s="3"/>
      <c r="AB21" s="3"/>
      <c r="AC21" s="3"/>
      <c r="AD21" s="3"/>
    </row>
    <row r="22" spans="1:30" x14ac:dyDescent="0.25">
      <c r="A22" t="s">
        <v>97</v>
      </c>
      <c r="B22" t="s">
        <v>196</v>
      </c>
      <c r="C22" t="s">
        <v>360</v>
      </c>
      <c r="D22" s="2">
        <v>45485</v>
      </c>
      <c r="E22">
        <v>8.6439319999999995</v>
      </c>
      <c r="F22" s="2">
        <v>45548</v>
      </c>
      <c r="G22">
        <v>5.6598430000000004</v>
      </c>
      <c r="H22" s="3">
        <v>-0.34520000000000001</v>
      </c>
      <c r="I22">
        <v>-38739.21</v>
      </c>
      <c r="J22" s="3">
        <v>-0.34689999999999999</v>
      </c>
      <c r="K22">
        <v>12920</v>
      </c>
      <c r="P22" s="2"/>
      <c r="R22" s="2"/>
      <c r="T22" s="3"/>
      <c r="V22" s="3"/>
      <c r="AA22" s="3"/>
      <c r="AB22" s="3"/>
      <c r="AC22" s="3"/>
      <c r="AD22" s="3"/>
    </row>
    <row r="23" spans="1:30" x14ac:dyDescent="0.25">
      <c r="A23" t="s">
        <v>149</v>
      </c>
      <c r="B23" t="s">
        <v>197</v>
      </c>
      <c r="C23" t="s">
        <v>360</v>
      </c>
      <c r="D23" s="2">
        <v>44890</v>
      </c>
      <c r="E23">
        <v>92.587500000000006</v>
      </c>
      <c r="F23" s="2">
        <v>45499</v>
      </c>
      <c r="G23">
        <v>107.5629</v>
      </c>
      <c r="H23" s="3">
        <v>0.16170000000000001</v>
      </c>
      <c r="I23">
        <v>18188.330000000002</v>
      </c>
      <c r="J23" s="3">
        <v>0.15959999999999999</v>
      </c>
      <c r="K23">
        <v>1231</v>
      </c>
      <c r="P23" s="2"/>
      <c r="R23" s="2"/>
      <c r="T23" s="3"/>
      <c r="V23" s="3"/>
      <c r="AA23" s="3"/>
      <c r="AB23" s="3"/>
      <c r="AC23" s="3"/>
      <c r="AD23" s="3"/>
    </row>
    <row r="24" spans="1:30" x14ac:dyDescent="0.25">
      <c r="A24" t="s">
        <v>123</v>
      </c>
      <c r="B24" t="s">
        <v>198</v>
      </c>
      <c r="C24" t="s">
        <v>360</v>
      </c>
      <c r="D24" s="2">
        <v>44883</v>
      </c>
      <c r="E24">
        <v>38.313299999999998</v>
      </c>
      <c r="F24" s="2">
        <v>45499</v>
      </c>
      <c r="G24">
        <v>39.760440000000003</v>
      </c>
      <c r="H24" s="3">
        <v>3.78E-2</v>
      </c>
      <c r="I24">
        <v>4152.38</v>
      </c>
      <c r="J24" s="3">
        <v>3.5700000000000003E-2</v>
      </c>
      <c r="K24">
        <v>3033</v>
      </c>
      <c r="P24" s="2"/>
      <c r="R24" s="2"/>
      <c r="T24" s="3"/>
      <c r="V24" s="3"/>
      <c r="AA24" s="3"/>
      <c r="AB24" s="3"/>
      <c r="AC24" s="3"/>
      <c r="AD24" s="3"/>
    </row>
    <row r="25" spans="1:30" x14ac:dyDescent="0.25">
      <c r="A25" t="s">
        <v>150</v>
      </c>
      <c r="B25" t="s">
        <v>199</v>
      </c>
      <c r="C25" t="s">
        <v>360</v>
      </c>
      <c r="D25" s="2">
        <v>44883</v>
      </c>
      <c r="E25">
        <v>2.3662589999999999</v>
      </c>
      <c r="F25" s="2">
        <v>45478</v>
      </c>
      <c r="G25">
        <v>2.0750220000000001</v>
      </c>
      <c r="H25" s="3">
        <v>-0.1231</v>
      </c>
      <c r="I25">
        <v>-14521.06</v>
      </c>
      <c r="J25" s="3">
        <v>-0.125</v>
      </c>
      <c r="K25">
        <v>49111</v>
      </c>
      <c r="P25" s="2"/>
      <c r="R25" s="2"/>
      <c r="T25" s="3"/>
      <c r="V25" s="3"/>
      <c r="AA25" s="3"/>
      <c r="AB25" s="3"/>
      <c r="AC25" s="3"/>
      <c r="AD25" s="3"/>
    </row>
    <row r="26" spans="1:30" x14ac:dyDescent="0.25">
      <c r="A26" t="s">
        <v>105</v>
      </c>
      <c r="B26" t="s">
        <v>200</v>
      </c>
      <c r="C26" t="s">
        <v>360</v>
      </c>
      <c r="D26" s="2">
        <v>44890</v>
      </c>
      <c r="E26">
        <v>16.067329999999998</v>
      </c>
      <c r="F26" s="2">
        <v>45450</v>
      </c>
      <c r="G26">
        <v>22.999580000000002</v>
      </c>
      <c r="H26" s="3">
        <v>0.43140000000000001</v>
      </c>
      <c r="I26">
        <v>48907.13</v>
      </c>
      <c r="J26" s="3">
        <v>0.42899999999999999</v>
      </c>
      <c r="K26">
        <v>7095</v>
      </c>
      <c r="P26" s="2"/>
      <c r="R26" s="2"/>
      <c r="T26" s="3"/>
      <c r="V26" s="3"/>
      <c r="AA26" s="3"/>
      <c r="AB26" s="3"/>
      <c r="AC26" s="3"/>
      <c r="AD26" s="3"/>
    </row>
    <row r="27" spans="1:30" x14ac:dyDescent="0.25">
      <c r="A27" t="s">
        <v>99</v>
      </c>
      <c r="B27" t="s">
        <v>201</v>
      </c>
      <c r="C27" t="s">
        <v>360</v>
      </c>
      <c r="D27" s="2">
        <v>45191</v>
      </c>
      <c r="E27">
        <v>7.9152880000000003</v>
      </c>
      <c r="F27" s="2">
        <v>45275</v>
      </c>
      <c r="G27">
        <v>7.182391</v>
      </c>
      <c r="H27" s="3">
        <v>-9.2600000000000002E-2</v>
      </c>
      <c r="I27">
        <v>-10176.469999999999</v>
      </c>
      <c r="J27" s="3">
        <v>-9.4500000000000001E-2</v>
      </c>
      <c r="K27">
        <v>13605</v>
      </c>
      <c r="P27" s="2"/>
      <c r="R27" s="2"/>
      <c r="T27" s="3"/>
      <c r="V27" s="3"/>
      <c r="AA27" s="3"/>
      <c r="AB27" s="3"/>
      <c r="AC27" s="3"/>
      <c r="AD27" s="3"/>
    </row>
    <row r="28" spans="1:30" x14ac:dyDescent="0.25">
      <c r="A28" t="s">
        <v>94</v>
      </c>
      <c r="B28" t="s">
        <v>202</v>
      </c>
      <c r="C28" t="s">
        <v>360</v>
      </c>
      <c r="D28" s="2">
        <v>45142</v>
      </c>
      <c r="E28">
        <v>33.277320000000003</v>
      </c>
      <c r="F28" s="2">
        <v>45268</v>
      </c>
      <c r="G28">
        <v>27.8538</v>
      </c>
      <c r="H28" s="3">
        <v>-0.16300000000000001</v>
      </c>
      <c r="I28">
        <v>-18335.189999999999</v>
      </c>
      <c r="J28" s="3">
        <v>-0.1648</v>
      </c>
      <c r="K28">
        <v>3343</v>
      </c>
      <c r="P28" s="2"/>
      <c r="R28" s="2"/>
      <c r="T28" s="3"/>
      <c r="V28" s="3"/>
      <c r="AA28" s="3"/>
      <c r="AB28" s="3"/>
      <c r="AC28" s="3"/>
      <c r="AD28" s="3"/>
    </row>
    <row r="29" spans="1:30" x14ac:dyDescent="0.25">
      <c r="A29" t="s">
        <v>310</v>
      </c>
      <c r="B29" t="s">
        <v>203</v>
      </c>
      <c r="C29" t="s">
        <v>360</v>
      </c>
      <c r="D29" s="2">
        <v>45128</v>
      </c>
      <c r="E29">
        <v>3.1294369999999998</v>
      </c>
      <c r="F29" s="2">
        <v>45233</v>
      </c>
      <c r="G29">
        <v>2.6991390000000002</v>
      </c>
      <c r="H29" s="3">
        <v>-0.13750000000000001</v>
      </c>
      <c r="I29">
        <v>-15590.22</v>
      </c>
      <c r="J29" s="3">
        <v>-0.1394</v>
      </c>
      <c r="K29">
        <v>35747</v>
      </c>
      <c r="P29" s="2"/>
      <c r="R29" s="2"/>
      <c r="T29" s="3"/>
      <c r="V29" s="3"/>
      <c r="AA29" s="3"/>
      <c r="AB29" s="3"/>
      <c r="AC29" s="3"/>
      <c r="AD29" s="3"/>
    </row>
    <row r="30" spans="1:30" x14ac:dyDescent="0.25">
      <c r="A30" t="s">
        <v>31</v>
      </c>
      <c r="B30" t="s">
        <v>204</v>
      </c>
      <c r="C30" t="s">
        <v>360</v>
      </c>
      <c r="D30" s="2">
        <v>45128</v>
      </c>
      <c r="E30">
        <v>13.38044</v>
      </c>
      <c r="F30" s="2">
        <v>45184</v>
      </c>
      <c r="G30">
        <v>13.163410000000001</v>
      </c>
      <c r="H30" s="3">
        <v>-1.6199999999999999E-2</v>
      </c>
      <c r="I30">
        <v>-2036.03</v>
      </c>
      <c r="J30" s="3">
        <v>-1.8200000000000001E-2</v>
      </c>
      <c r="K30">
        <v>8359</v>
      </c>
      <c r="P30" s="2"/>
      <c r="R30" s="2"/>
      <c r="T30" s="3"/>
      <c r="V30" s="3"/>
      <c r="AA30" s="3"/>
      <c r="AB30" s="3"/>
      <c r="AC30" s="3"/>
      <c r="AD30" s="3"/>
    </row>
    <row r="31" spans="1:30" x14ac:dyDescent="0.25">
      <c r="A31" t="s">
        <v>127</v>
      </c>
      <c r="B31" t="s">
        <v>191</v>
      </c>
      <c r="C31" t="s">
        <v>360</v>
      </c>
      <c r="D31" s="2">
        <v>45135</v>
      </c>
      <c r="E31">
        <v>2.3355670000000002</v>
      </c>
      <c r="F31" s="2">
        <v>45184</v>
      </c>
      <c r="G31">
        <v>2.2634259999999999</v>
      </c>
      <c r="H31" s="3">
        <v>-3.09E-2</v>
      </c>
      <c r="I31">
        <v>-3656.81</v>
      </c>
      <c r="J31" s="3">
        <v>-3.2899999999999999E-2</v>
      </c>
      <c r="K31">
        <v>47652</v>
      </c>
      <c r="P31" s="2"/>
      <c r="R31" s="2"/>
      <c r="T31" s="3"/>
      <c r="V31" s="3"/>
      <c r="AA31" s="3"/>
      <c r="AB31" s="3"/>
      <c r="AC31" s="3"/>
      <c r="AD31" s="3"/>
    </row>
    <row r="32" spans="1:30" x14ac:dyDescent="0.25">
      <c r="A32" t="s">
        <v>151</v>
      </c>
      <c r="B32" t="s">
        <v>205</v>
      </c>
      <c r="C32" t="s">
        <v>360</v>
      </c>
      <c r="D32" s="2">
        <v>45037</v>
      </c>
      <c r="E32">
        <v>10.17454</v>
      </c>
      <c r="F32" s="2">
        <v>45170</v>
      </c>
      <c r="G32">
        <v>6.6974179999999999</v>
      </c>
      <c r="H32" s="3">
        <v>-0.3417</v>
      </c>
      <c r="I32">
        <v>-38447.910000000003</v>
      </c>
      <c r="J32" s="3">
        <v>-0.34339999999999998</v>
      </c>
      <c r="K32">
        <v>11004</v>
      </c>
      <c r="P32" s="2"/>
      <c r="R32" s="2"/>
      <c r="T32" s="3"/>
      <c r="V32" s="3"/>
      <c r="AA32" s="3"/>
      <c r="AB32" s="3"/>
      <c r="AC32" s="3"/>
      <c r="AD32" s="3"/>
    </row>
    <row r="33" spans="1:30" x14ac:dyDescent="0.25">
      <c r="A33" t="s">
        <v>152</v>
      </c>
      <c r="B33" t="s">
        <v>206</v>
      </c>
      <c r="C33" t="s">
        <v>360</v>
      </c>
      <c r="D33" s="2">
        <v>44890</v>
      </c>
      <c r="E33">
        <v>0.99093569999999997</v>
      </c>
      <c r="F33" s="2">
        <v>45170</v>
      </c>
      <c r="G33">
        <v>0.97065049999999997</v>
      </c>
      <c r="H33" s="3">
        <v>-2.0500000000000001E-2</v>
      </c>
      <c r="I33">
        <v>-2560.4499999999998</v>
      </c>
      <c r="J33" s="3">
        <v>-2.2499999999999999E-2</v>
      </c>
      <c r="K33">
        <v>115093</v>
      </c>
      <c r="P33" s="2"/>
      <c r="R33" s="2"/>
      <c r="T33" s="3"/>
      <c r="V33" s="3"/>
      <c r="AA33" s="3"/>
      <c r="AB33" s="3"/>
      <c r="AC33" s="3"/>
      <c r="AD33" s="3"/>
    </row>
    <row r="34" spans="1:30" x14ac:dyDescent="0.25">
      <c r="A34" t="s">
        <v>146</v>
      </c>
      <c r="B34" t="s">
        <v>169</v>
      </c>
      <c r="C34" t="s">
        <v>360</v>
      </c>
      <c r="D34" s="2">
        <v>44561</v>
      </c>
      <c r="E34">
        <v>8.3717020000000009</v>
      </c>
      <c r="F34" s="2">
        <v>45100</v>
      </c>
      <c r="G34">
        <v>8.5932460000000006</v>
      </c>
      <c r="H34" s="3">
        <v>2.6499999999999999E-2</v>
      </c>
      <c r="I34">
        <v>3024.79</v>
      </c>
      <c r="J34" s="3">
        <v>2.4400000000000002E-2</v>
      </c>
      <c r="K34">
        <v>14785</v>
      </c>
      <c r="P34" s="2"/>
      <c r="R34" s="2"/>
      <c r="T34" s="3"/>
      <c r="V34" s="3"/>
      <c r="AA34" s="3"/>
      <c r="AB34" s="3"/>
      <c r="AC34" s="3"/>
      <c r="AD34" s="3"/>
    </row>
    <row r="35" spans="1:30" x14ac:dyDescent="0.25">
      <c r="A35" t="s">
        <v>100</v>
      </c>
      <c r="B35" t="s">
        <v>207</v>
      </c>
      <c r="C35" t="s">
        <v>360</v>
      </c>
      <c r="D35" s="2">
        <v>44806</v>
      </c>
      <c r="E35">
        <v>3.1855519999999999</v>
      </c>
      <c r="F35" s="2">
        <v>45072</v>
      </c>
      <c r="G35">
        <v>2.5106449999999998</v>
      </c>
      <c r="H35" s="3">
        <v>-0.21190000000000001</v>
      </c>
      <c r="I35">
        <v>-24356.75</v>
      </c>
      <c r="J35" s="3">
        <v>-0.2137</v>
      </c>
      <c r="K35">
        <v>35787</v>
      </c>
      <c r="P35" s="2"/>
      <c r="R35" s="2"/>
      <c r="T35" s="3"/>
      <c r="V35" s="3"/>
      <c r="AA35" s="3"/>
      <c r="AB35" s="3"/>
      <c r="AC35" s="3"/>
      <c r="AD35" s="3"/>
    </row>
    <row r="36" spans="1:30" x14ac:dyDescent="0.25">
      <c r="A36" t="s">
        <v>101</v>
      </c>
      <c r="B36" t="s">
        <v>208</v>
      </c>
      <c r="C36" t="s">
        <v>360</v>
      </c>
      <c r="D36" s="2">
        <v>44890</v>
      </c>
      <c r="E36">
        <v>5.8372440000000001</v>
      </c>
      <c r="F36" s="2">
        <v>45016</v>
      </c>
      <c r="G36">
        <v>6.1833629999999999</v>
      </c>
      <c r="H36" s="3">
        <v>5.9299999999999999E-2</v>
      </c>
      <c r="I36">
        <v>6526.61</v>
      </c>
      <c r="J36" s="3">
        <v>5.7200000000000001E-2</v>
      </c>
      <c r="K36">
        <v>19535</v>
      </c>
      <c r="P36" s="2"/>
      <c r="R36" s="2"/>
      <c r="T36" s="3"/>
      <c r="V36" s="3"/>
      <c r="AA36" s="3"/>
      <c r="AB36" s="3"/>
      <c r="AC36" s="3"/>
      <c r="AD36" s="3"/>
    </row>
    <row r="37" spans="1:30" x14ac:dyDescent="0.25">
      <c r="A37" t="s">
        <v>136</v>
      </c>
      <c r="B37" t="s">
        <v>209</v>
      </c>
      <c r="C37" t="s">
        <v>360</v>
      </c>
      <c r="D37" s="2">
        <v>44883</v>
      </c>
      <c r="E37">
        <v>29.51549</v>
      </c>
      <c r="F37" s="2">
        <v>45009</v>
      </c>
      <c r="G37">
        <v>18.54757</v>
      </c>
      <c r="H37" s="3">
        <v>-0.37159999999999999</v>
      </c>
      <c r="I37">
        <v>-43358.91</v>
      </c>
      <c r="J37" s="3">
        <v>-0.37319999999999998</v>
      </c>
      <c r="K37">
        <v>3936</v>
      </c>
      <c r="P37" s="2"/>
      <c r="R37" s="2"/>
      <c r="T37" s="3"/>
      <c r="V37" s="3"/>
      <c r="AA37" s="3"/>
      <c r="AB37" s="3"/>
      <c r="AC37" s="3"/>
      <c r="AD37" s="3"/>
    </row>
    <row r="38" spans="1:30" x14ac:dyDescent="0.25">
      <c r="A38" t="s">
        <v>94</v>
      </c>
      <c r="B38" t="s">
        <v>202</v>
      </c>
      <c r="C38" t="s">
        <v>360</v>
      </c>
      <c r="D38" s="2">
        <v>44806</v>
      </c>
      <c r="E38">
        <v>27.906690000000001</v>
      </c>
      <c r="F38" s="2">
        <v>45009</v>
      </c>
      <c r="G38">
        <v>27.20552</v>
      </c>
      <c r="H38" s="3">
        <v>-2.5100000000000001E-2</v>
      </c>
      <c r="I38">
        <v>-3089.41</v>
      </c>
      <c r="J38" s="3">
        <v>-2.7099999999999999E-2</v>
      </c>
      <c r="K38">
        <v>4085</v>
      </c>
      <c r="P38" s="2"/>
      <c r="R38" s="2"/>
      <c r="T38" s="3"/>
      <c r="V38" s="3"/>
      <c r="AA38" s="3"/>
      <c r="AB38" s="3"/>
      <c r="AC38" s="3"/>
      <c r="AD38" s="3"/>
    </row>
    <row r="39" spans="1:30" x14ac:dyDescent="0.25">
      <c r="A39" t="s">
        <v>153</v>
      </c>
      <c r="B39" t="s">
        <v>210</v>
      </c>
      <c r="C39" t="s">
        <v>360</v>
      </c>
      <c r="D39" s="2">
        <v>44302</v>
      </c>
      <c r="E39">
        <v>5.9960889999999996</v>
      </c>
      <c r="F39" s="2">
        <v>45009</v>
      </c>
      <c r="G39">
        <v>6.5478110000000003</v>
      </c>
      <c r="H39" s="3">
        <v>9.1999999999999998E-2</v>
      </c>
      <c r="I39">
        <v>9720.84</v>
      </c>
      <c r="J39" s="3">
        <v>8.9899999999999994E-2</v>
      </c>
      <c r="K39">
        <v>18029</v>
      </c>
      <c r="P39" s="2"/>
      <c r="R39" s="2"/>
      <c r="T39" s="3"/>
      <c r="V39" s="3"/>
      <c r="AA39" s="3"/>
      <c r="AB39" s="3"/>
      <c r="AC39" s="3"/>
      <c r="AD39" s="3"/>
    </row>
    <row r="40" spans="1:30" x14ac:dyDescent="0.25">
      <c r="A40" t="s">
        <v>95</v>
      </c>
      <c r="B40" t="s">
        <v>211</v>
      </c>
      <c r="C40" t="s">
        <v>360</v>
      </c>
      <c r="D40" s="2">
        <v>44876</v>
      </c>
      <c r="E40">
        <v>1.8972009999999999</v>
      </c>
      <c r="F40" s="2">
        <v>44995</v>
      </c>
      <c r="G40">
        <v>1.882422</v>
      </c>
      <c r="H40" s="3">
        <v>-7.7999999999999996E-3</v>
      </c>
      <c r="I40">
        <v>-1135.19</v>
      </c>
      <c r="J40" s="3">
        <v>-9.7999999999999997E-3</v>
      </c>
      <c r="K40">
        <v>61168</v>
      </c>
      <c r="P40" s="2"/>
      <c r="R40" s="2"/>
      <c r="T40" s="3"/>
      <c r="V40" s="3"/>
      <c r="AA40" s="3"/>
      <c r="AB40" s="3"/>
      <c r="AC40" s="3"/>
      <c r="AD40" s="3"/>
    </row>
    <row r="41" spans="1:30" x14ac:dyDescent="0.25">
      <c r="A41" t="s">
        <v>97</v>
      </c>
      <c r="B41" t="s">
        <v>196</v>
      </c>
      <c r="C41" t="s">
        <v>360</v>
      </c>
      <c r="D41" s="2">
        <v>44820</v>
      </c>
      <c r="E41">
        <v>7.5257350000000001</v>
      </c>
      <c r="F41" s="2">
        <v>44869</v>
      </c>
      <c r="G41">
        <v>8.0143090000000008</v>
      </c>
      <c r="H41" s="3">
        <v>6.4899999999999999E-2</v>
      </c>
      <c r="I41">
        <v>7190.6</v>
      </c>
      <c r="J41" s="3">
        <v>6.2899999999999998E-2</v>
      </c>
      <c r="K41">
        <v>15201</v>
      </c>
      <c r="P41" s="2"/>
      <c r="R41" s="2"/>
      <c r="T41" s="3"/>
      <c r="V41" s="3"/>
      <c r="AA41" s="3"/>
      <c r="AB41" s="3"/>
      <c r="AC41" s="3"/>
      <c r="AD41" s="3"/>
    </row>
    <row r="42" spans="1:30" x14ac:dyDescent="0.25">
      <c r="A42" t="s">
        <v>96</v>
      </c>
      <c r="B42" t="s">
        <v>212</v>
      </c>
      <c r="C42" t="s">
        <v>360</v>
      </c>
      <c r="D42" s="2">
        <v>44799</v>
      </c>
      <c r="E42">
        <v>3.5457719999999999</v>
      </c>
      <c r="F42" s="2">
        <v>44869</v>
      </c>
      <c r="G42">
        <v>4.3987660000000002</v>
      </c>
      <c r="H42" s="3">
        <v>0.24060000000000001</v>
      </c>
      <c r="I42">
        <v>27426.080000000002</v>
      </c>
      <c r="J42" s="3">
        <v>0.23830000000000001</v>
      </c>
      <c r="K42">
        <v>32455</v>
      </c>
      <c r="P42" s="2"/>
      <c r="R42" s="2"/>
      <c r="T42" s="3"/>
      <c r="V42" s="3"/>
      <c r="AA42" s="3"/>
      <c r="AB42" s="3"/>
      <c r="AC42" s="3"/>
      <c r="AD42" s="3"/>
    </row>
    <row r="43" spans="1:30" x14ac:dyDescent="0.25">
      <c r="A43" t="s">
        <v>91</v>
      </c>
      <c r="B43" t="s">
        <v>143</v>
      </c>
      <c r="C43" t="s">
        <v>360</v>
      </c>
      <c r="D43" s="2">
        <v>44064</v>
      </c>
      <c r="E43">
        <v>3.2422080000000002</v>
      </c>
      <c r="F43" s="2">
        <v>44834</v>
      </c>
      <c r="G43">
        <v>3.1972809999999998</v>
      </c>
      <c r="H43" s="3">
        <v>-1.3899999999999999E-2</v>
      </c>
      <c r="I43">
        <v>-1640.65</v>
      </c>
      <c r="J43" s="3">
        <v>-1.5800000000000002E-2</v>
      </c>
      <c r="K43">
        <v>31940</v>
      </c>
      <c r="P43" s="2"/>
      <c r="R43" s="2"/>
      <c r="T43" s="3"/>
      <c r="V43" s="3"/>
      <c r="AA43" s="3"/>
      <c r="AB43" s="3"/>
      <c r="AC43" s="3"/>
      <c r="AD43" s="3"/>
    </row>
    <row r="44" spans="1:30" x14ac:dyDescent="0.25">
      <c r="A44" t="s">
        <v>154</v>
      </c>
      <c r="B44" t="s">
        <v>213</v>
      </c>
      <c r="C44" t="s">
        <v>360</v>
      </c>
      <c r="D44" s="2">
        <v>44652</v>
      </c>
      <c r="E44">
        <v>3.8408259999999999</v>
      </c>
      <c r="F44" s="2">
        <v>44736</v>
      </c>
      <c r="G44">
        <v>3.3760129999999999</v>
      </c>
      <c r="H44" s="3">
        <v>-0.121</v>
      </c>
      <c r="I44">
        <v>-15051.62</v>
      </c>
      <c r="J44" s="3">
        <v>-0.1229</v>
      </c>
      <c r="K44">
        <v>31887</v>
      </c>
      <c r="P44" s="2"/>
      <c r="R44" s="2"/>
      <c r="T44" s="3"/>
      <c r="V44" s="3"/>
      <c r="AA44" s="3"/>
      <c r="AB44" s="3"/>
      <c r="AC44" s="3"/>
      <c r="AD44" s="3"/>
    </row>
    <row r="45" spans="1:30" x14ac:dyDescent="0.25">
      <c r="A45" t="s">
        <v>114</v>
      </c>
      <c r="B45" t="s">
        <v>214</v>
      </c>
      <c r="C45" t="s">
        <v>360</v>
      </c>
      <c r="D45" s="2">
        <v>44064</v>
      </c>
      <c r="E45">
        <v>12.469709999999999</v>
      </c>
      <c r="F45" s="2">
        <v>44736</v>
      </c>
      <c r="G45">
        <v>14.61537</v>
      </c>
      <c r="H45" s="3">
        <v>0.1721</v>
      </c>
      <c r="I45">
        <v>17588.41</v>
      </c>
      <c r="J45" s="3">
        <v>0.1699</v>
      </c>
      <c r="K45">
        <v>8302</v>
      </c>
      <c r="P45" s="2"/>
      <c r="R45" s="2"/>
      <c r="T45" s="3"/>
      <c r="V45" s="3"/>
      <c r="AA45" s="3"/>
      <c r="AB45" s="3"/>
      <c r="AC45" s="3"/>
      <c r="AD45" s="3"/>
    </row>
    <row r="46" spans="1:30" x14ac:dyDescent="0.25">
      <c r="A46" t="s">
        <v>155</v>
      </c>
      <c r="B46" t="s">
        <v>215</v>
      </c>
      <c r="C46" t="s">
        <v>360</v>
      </c>
      <c r="D46" s="2">
        <v>44057</v>
      </c>
      <c r="E46">
        <v>3.6547510000000001</v>
      </c>
      <c r="F46" s="2">
        <v>44736</v>
      </c>
      <c r="G46">
        <v>3.4775930000000002</v>
      </c>
      <c r="H46" s="3">
        <v>-4.8500000000000001E-2</v>
      </c>
      <c r="I46">
        <v>-5237.53</v>
      </c>
      <c r="J46" s="3">
        <v>-5.04E-2</v>
      </c>
      <c r="K46">
        <v>28420</v>
      </c>
      <c r="P46" s="2"/>
      <c r="R46" s="2"/>
      <c r="T46" s="3"/>
      <c r="V46" s="3"/>
      <c r="AA46" s="3"/>
      <c r="AB46" s="3"/>
      <c r="AC46" s="3"/>
      <c r="AD46" s="3"/>
    </row>
    <row r="47" spans="1:30" x14ac:dyDescent="0.25">
      <c r="A47" t="s">
        <v>98</v>
      </c>
      <c r="B47" t="s">
        <v>216</v>
      </c>
      <c r="C47" t="s">
        <v>360</v>
      </c>
      <c r="D47" s="2">
        <v>44652</v>
      </c>
      <c r="E47">
        <v>45.204439999999998</v>
      </c>
      <c r="F47" s="2">
        <v>44729</v>
      </c>
      <c r="G47">
        <v>32.829250000000002</v>
      </c>
      <c r="H47" s="3">
        <v>-0.27379999999999999</v>
      </c>
      <c r="I47">
        <v>-33723.33</v>
      </c>
      <c r="J47" s="3">
        <v>-0.27550000000000002</v>
      </c>
      <c r="K47">
        <v>2708</v>
      </c>
      <c r="P47" s="2"/>
      <c r="R47" s="2"/>
      <c r="T47" s="3"/>
      <c r="V47" s="3"/>
      <c r="AA47" s="3"/>
      <c r="AB47" s="3"/>
      <c r="AC47" s="3"/>
      <c r="AD47" s="3"/>
    </row>
    <row r="48" spans="1:30" x14ac:dyDescent="0.25">
      <c r="A48" t="s">
        <v>119</v>
      </c>
      <c r="B48" t="s">
        <v>217</v>
      </c>
      <c r="C48" t="s">
        <v>360</v>
      </c>
      <c r="D48" s="2">
        <v>44645</v>
      </c>
      <c r="E48">
        <v>8.4104030000000005</v>
      </c>
      <c r="F48" s="2">
        <v>44729</v>
      </c>
      <c r="G48">
        <v>7.5676930000000002</v>
      </c>
      <c r="H48" s="3">
        <v>-0.1002</v>
      </c>
      <c r="I48">
        <v>-12474.1</v>
      </c>
      <c r="J48" s="3">
        <v>-0.1021</v>
      </c>
      <c r="K48">
        <v>14527</v>
      </c>
      <c r="P48" s="2"/>
      <c r="R48" s="2"/>
      <c r="T48" s="3"/>
      <c r="V48" s="3"/>
      <c r="AA48" s="3"/>
      <c r="AB48" s="3"/>
      <c r="AC48" s="3"/>
      <c r="AD48" s="3"/>
    </row>
    <row r="49" spans="1:30" x14ac:dyDescent="0.25">
      <c r="A49" t="s">
        <v>111</v>
      </c>
      <c r="B49" t="s">
        <v>194</v>
      </c>
      <c r="C49" t="s">
        <v>360</v>
      </c>
      <c r="D49" s="2">
        <v>44519</v>
      </c>
      <c r="E49">
        <v>24.446380000000001</v>
      </c>
      <c r="F49" s="2">
        <v>44729</v>
      </c>
      <c r="G49">
        <v>22.794740000000001</v>
      </c>
      <c r="H49" s="3">
        <v>-6.7599999999999993E-2</v>
      </c>
      <c r="I49">
        <v>-8448.5400000000009</v>
      </c>
      <c r="J49" s="3">
        <v>-6.9500000000000006E-2</v>
      </c>
      <c r="K49">
        <v>4973</v>
      </c>
      <c r="P49" s="2"/>
      <c r="R49" s="2"/>
      <c r="T49" s="3"/>
      <c r="V49" s="3"/>
      <c r="AA49" s="3"/>
      <c r="AB49" s="3"/>
      <c r="AC49" s="3"/>
      <c r="AD49" s="3"/>
    </row>
    <row r="50" spans="1:30" x14ac:dyDescent="0.25">
      <c r="A50" t="s">
        <v>156</v>
      </c>
      <c r="B50" t="s">
        <v>218</v>
      </c>
      <c r="C50" t="s">
        <v>360</v>
      </c>
      <c r="D50" s="2">
        <v>44302</v>
      </c>
      <c r="E50">
        <v>7.8513089999999996</v>
      </c>
      <c r="F50" s="2">
        <v>44729</v>
      </c>
      <c r="G50">
        <v>7.692285</v>
      </c>
      <c r="H50" s="3">
        <v>-2.0299999999999999E-2</v>
      </c>
      <c r="I50">
        <v>-2403.27</v>
      </c>
      <c r="J50" s="3">
        <v>-2.2200000000000001E-2</v>
      </c>
      <c r="K50">
        <v>13767</v>
      </c>
      <c r="P50" s="2"/>
      <c r="R50" s="2"/>
      <c r="T50" s="3"/>
      <c r="V50" s="3"/>
      <c r="AA50" s="3"/>
      <c r="AB50" s="3"/>
      <c r="AC50" s="3"/>
      <c r="AD50" s="3"/>
    </row>
    <row r="51" spans="1:30" x14ac:dyDescent="0.25">
      <c r="A51" t="s">
        <v>117</v>
      </c>
      <c r="B51" t="s">
        <v>219</v>
      </c>
      <c r="C51" t="s">
        <v>360</v>
      </c>
      <c r="D51" s="2">
        <v>44148</v>
      </c>
      <c r="E51">
        <v>1.0931219999999999</v>
      </c>
      <c r="F51" s="2">
        <v>44701</v>
      </c>
      <c r="G51">
        <v>1.13314</v>
      </c>
      <c r="H51" s="3">
        <v>3.6600000000000001E-2</v>
      </c>
      <c r="I51">
        <v>3576.38</v>
      </c>
      <c r="J51" s="3">
        <v>3.4599999999999999E-2</v>
      </c>
      <c r="K51">
        <v>94634</v>
      </c>
      <c r="P51" s="2"/>
      <c r="R51" s="2"/>
      <c r="T51" s="3"/>
      <c r="V51" s="3"/>
      <c r="AA51" s="3"/>
      <c r="AB51" s="3"/>
      <c r="AC51" s="3"/>
      <c r="AD51" s="3"/>
    </row>
    <row r="52" spans="1:30" x14ac:dyDescent="0.25">
      <c r="A52" t="s">
        <v>107</v>
      </c>
      <c r="B52" t="s">
        <v>220</v>
      </c>
      <c r="C52" t="s">
        <v>360</v>
      </c>
      <c r="D52" s="2">
        <v>44057</v>
      </c>
      <c r="E52">
        <v>2.9340320000000002</v>
      </c>
      <c r="F52" s="2">
        <v>44694</v>
      </c>
      <c r="G52">
        <v>3.8533750000000002</v>
      </c>
      <c r="H52" s="3">
        <v>0.31330000000000002</v>
      </c>
      <c r="I52">
        <v>32315.42</v>
      </c>
      <c r="J52" s="3">
        <v>0.311</v>
      </c>
      <c r="K52">
        <v>35412</v>
      </c>
      <c r="P52" s="2"/>
      <c r="R52" s="2"/>
      <c r="T52" s="3"/>
      <c r="V52" s="3"/>
      <c r="AA52" s="3"/>
      <c r="AB52" s="3"/>
      <c r="AC52" s="3"/>
      <c r="AD52" s="3"/>
    </row>
    <row r="53" spans="1:30" x14ac:dyDescent="0.25">
      <c r="A53" t="s">
        <v>98</v>
      </c>
      <c r="B53" t="s">
        <v>216</v>
      </c>
      <c r="C53" t="s">
        <v>360</v>
      </c>
      <c r="D53" s="2">
        <v>44287</v>
      </c>
      <c r="E53">
        <v>43.181980000000003</v>
      </c>
      <c r="F53" s="2">
        <v>44596</v>
      </c>
      <c r="G53">
        <v>36.847549999999998</v>
      </c>
      <c r="H53" s="3">
        <v>-0.1467</v>
      </c>
      <c r="I53">
        <v>-15914.27</v>
      </c>
      <c r="J53" s="3">
        <v>-0.14849999999999999</v>
      </c>
      <c r="K53">
        <v>2481</v>
      </c>
      <c r="P53" s="2"/>
      <c r="R53" s="2"/>
      <c r="T53" s="3"/>
      <c r="V53" s="3"/>
      <c r="AA53" s="3"/>
      <c r="AB53" s="3"/>
      <c r="AC53" s="3"/>
      <c r="AD53" s="3"/>
    </row>
    <row r="54" spans="1:30" x14ac:dyDescent="0.25">
      <c r="A54" t="s">
        <v>106</v>
      </c>
      <c r="B54" t="s">
        <v>221</v>
      </c>
      <c r="C54" t="s">
        <v>360</v>
      </c>
      <c r="D54" s="2">
        <v>44120</v>
      </c>
      <c r="E54">
        <v>2.5234549999999998</v>
      </c>
      <c r="F54" s="2">
        <v>44596</v>
      </c>
      <c r="G54">
        <v>3.0364110000000002</v>
      </c>
      <c r="H54" s="3">
        <v>0.20330000000000001</v>
      </c>
      <c r="I54">
        <v>20826.07</v>
      </c>
      <c r="J54" s="3">
        <v>0.2011</v>
      </c>
      <c r="K54">
        <v>41045</v>
      </c>
      <c r="P54" s="2"/>
      <c r="R54" s="2"/>
      <c r="T54" s="3"/>
      <c r="V54" s="3"/>
      <c r="AA54" s="3"/>
      <c r="AB54" s="3"/>
      <c r="AC54" s="3"/>
      <c r="AD54" s="3"/>
    </row>
    <row r="55" spans="1:30" x14ac:dyDescent="0.25">
      <c r="A55" t="s">
        <v>311</v>
      </c>
      <c r="B55" t="s">
        <v>222</v>
      </c>
      <c r="C55" t="s">
        <v>360</v>
      </c>
      <c r="D55" s="2">
        <v>44120</v>
      </c>
      <c r="E55">
        <v>1.8375509999999999</v>
      </c>
      <c r="F55" s="2">
        <v>44596</v>
      </c>
      <c r="G55">
        <v>2.59</v>
      </c>
      <c r="H55" s="3">
        <v>0.40949999999999998</v>
      </c>
      <c r="I55">
        <v>42175.69</v>
      </c>
      <c r="J55" s="3">
        <v>0.40710000000000002</v>
      </c>
      <c r="K55">
        <v>56383</v>
      </c>
      <c r="P55" s="2"/>
      <c r="R55" s="2"/>
      <c r="T55" s="3"/>
      <c r="V55" s="3"/>
      <c r="AA55" s="3"/>
      <c r="AB55" s="3"/>
      <c r="AC55" s="3"/>
      <c r="AD55" s="3"/>
    </row>
    <row r="56" spans="1:30" x14ac:dyDescent="0.25">
      <c r="A56" t="s">
        <v>312</v>
      </c>
      <c r="B56" t="s">
        <v>223</v>
      </c>
      <c r="C56" t="s">
        <v>360</v>
      </c>
      <c r="D56" s="2">
        <v>44036</v>
      </c>
      <c r="E56">
        <v>2.0526409999999999</v>
      </c>
      <c r="F56" s="2">
        <v>44529</v>
      </c>
      <c r="G56">
        <v>2.759582</v>
      </c>
      <c r="H56" s="3">
        <v>0.34439999999999998</v>
      </c>
      <c r="I56">
        <v>35380.97</v>
      </c>
      <c r="J56" s="3">
        <v>0.34210000000000002</v>
      </c>
      <c r="K56">
        <v>50391</v>
      </c>
      <c r="P56" s="2"/>
      <c r="R56" s="2"/>
      <c r="T56" s="3"/>
      <c r="V56" s="3"/>
      <c r="AA56" s="3"/>
      <c r="AB56" s="3"/>
      <c r="AC56" s="3"/>
      <c r="AD56" s="3"/>
    </row>
    <row r="57" spans="1:30" x14ac:dyDescent="0.25">
      <c r="A57" t="s">
        <v>90</v>
      </c>
      <c r="B57" t="s">
        <v>141</v>
      </c>
      <c r="C57" t="s">
        <v>360</v>
      </c>
      <c r="D57" s="2">
        <v>44295</v>
      </c>
      <c r="E57">
        <v>2.7186620000000001</v>
      </c>
      <c r="F57" s="2">
        <v>44477</v>
      </c>
      <c r="G57">
        <v>3.006561</v>
      </c>
      <c r="H57" s="3">
        <v>0.10589999999999999</v>
      </c>
      <c r="I57">
        <v>11136.55</v>
      </c>
      <c r="J57" s="3">
        <v>0.1038</v>
      </c>
      <c r="K57">
        <v>39467</v>
      </c>
      <c r="P57" s="2"/>
      <c r="R57" s="2"/>
      <c r="T57" s="3"/>
      <c r="V57" s="3"/>
      <c r="AA57" s="3"/>
      <c r="AB57" s="3"/>
      <c r="AC57" s="3"/>
      <c r="AD57" s="3"/>
    </row>
    <row r="58" spans="1:30" x14ac:dyDescent="0.25">
      <c r="A58" t="s">
        <v>123</v>
      </c>
      <c r="B58" t="s">
        <v>198</v>
      </c>
      <c r="C58" t="s">
        <v>360</v>
      </c>
      <c r="D58" s="2">
        <v>44057</v>
      </c>
      <c r="E58">
        <v>24.610420000000001</v>
      </c>
      <c r="F58" s="2">
        <v>44281</v>
      </c>
      <c r="G58">
        <v>29.500250000000001</v>
      </c>
      <c r="H58" s="3">
        <v>0.19869999999999999</v>
      </c>
      <c r="I58">
        <v>20411.57</v>
      </c>
      <c r="J58" s="3">
        <v>0.19650000000000001</v>
      </c>
      <c r="K58">
        <v>4221</v>
      </c>
      <c r="P58" s="2"/>
      <c r="R58" s="2"/>
      <c r="T58" s="3"/>
      <c r="V58" s="3"/>
      <c r="AA58" s="3"/>
      <c r="AB58" s="3"/>
      <c r="AC58" s="3"/>
      <c r="AD58" s="3"/>
    </row>
    <row r="59" spans="1:30" x14ac:dyDescent="0.25">
      <c r="A59" t="s">
        <v>149</v>
      </c>
      <c r="B59" t="s">
        <v>197</v>
      </c>
      <c r="C59" t="s">
        <v>360</v>
      </c>
      <c r="D59" s="2">
        <v>44036</v>
      </c>
      <c r="E59">
        <v>73.055689999999998</v>
      </c>
      <c r="F59" s="2">
        <v>44281</v>
      </c>
      <c r="G59">
        <v>81.242840000000001</v>
      </c>
      <c r="H59" s="3">
        <v>0.11210000000000001</v>
      </c>
      <c r="I59">
        <v>11374.45</v>
      </c>
      <c r="J59" s="3">
        <v>0.11</v>
      </c>
      <c r="K59">
        <v>1416</v>
      </c>
      <c r="P59" s="2"/>
      <c r="R59" s="2"/>
      <c r="T59" s="3"/>
      <c r="V59" s="3"/>
      <c r="AA59" s="3"/>
      <c r="AB59" s="3"/>
      <c r="AC59" s="3"/>
      <c r="AD59" s="3"/>
    </row>
    <row r="60" spans="1:30" x14ac:dyDescent="0.25">
      <c r="A60" t="s">
        <v>108</v>
      </c>
      <c r="B60" t="s">
        <v>224</v>
      </c>
      <c r="C60" t="s">
        <v>360</v>
      </c>
      <c r="D60" s="2">
        <v>44148</v>
      </c>
      <c r="E60">
        <v>1.024232</v>
      </c>
      <c r="F60" s="2">
        <v>44260</v>
      </c>
      <c r="G60">
        <v>0.95419880000000001</v>
      </c>
      <c r="H60" s="3">
        <v>-6.8400000000000002E-2</v>
      </c>
      <c r="I60">
        <v>-7274.25</v>
      </c>
      <c r="J60" s="3">
        <v>-7.0300000000000001E-2</v>
      </c>
      <c r="K60">
        <v>101015</v>
      </c>
      <c r="P60" s="2"/>
      <c r="R60" s="2"/>
      <c r="T60" s="3"/>
      <c r="V60" s="3"/>
      <c r="AA60" s="3"/>
      <c r="AB60" s="3"/>
      <c r="AC60" s="3"/>
      <c r="AD60" s="3"/>
    </row>
    <row r="61" spans="1:30" x14ac:dyDescent="0.25">
      <c r="A61" t="s">
        <v>157</v>
      </c>
      <c r="B61" t="s">
        <v>225</v>
      </c>
      <c r="C61" t="s">
        <v>360</v>
      </c>
      <c r="D61" s="2">
        <v>44127</v>
      </c>
      <c r="E61">
        <v>3.2092170000000002</v>
      </c>
      <c r="F61" s="2">
        <v>44260</v>
      </c>
      <c r="G61">
        <v>3.3086639999999998</v>
      </c>
      <c r="H61" s="3">
        <v>3.1E-2</v>
      </c>
      <c r="I61">
        <v>3055.23</v>
      </c>
      <c r="J61" s="3">
        <v>2.9000000000000001E-2</v>
      </c>
      <c r="K61">
        <v>32877</v>
      </c>
      <c r="P61" s="2"/>
      <c r="R61" s="2"/>
      <c r="T61" s="3"/>
      <c r="V61" s="3"/>
      <c r="AA61" s="3"/>
      <c r="AB61" s="3"/>
      <c r="AC61" s="3"/>
      <c r="AD61" s="3"/>
    </row>
    <row r="62" spans="1:30" x14ac:dyDescent="0.25">
      <c r="A62" t="s">
        <v>313</v>
      </c>
      <c r="B62" t="s">
        <v>226</v>
      </c>
      <c r="C62" t="s">
        <v>360</v>
      </c>
      <c r="D62" s="2">
        <v>44120</v>
      </c>
      <c r="E62">
        <v>31.78068</v>
      </c>
      <c r="F62" s="2">
        <v>44141</v>
      </c>
      <c r="G62">
        <v>29.285440000000001</v>
      </c>
      <c r="H62" s="3">
        <v>-7.85E-2</v>
      </c>
      <c r="I62">
        <v>-8328.4500000000007</v>
      </c>
      <c r="J62" s="3">
        <v>-8.0399999999999999E-2</v>
      </c>
      <c r="K62">
        <v>3258</v>
      </c>
      <c r="P62" s="2"/>
      <c r="R62" s="2"/>
      <c r="T62" s="3"/>
      <c r="V62" s="3"/>
      <c r="AA62" s="3"/>
      <c r="AB62" s="3"/>
      <c r="AC62" s="3"/>
      <c r="AD62" s="3"/>
    </row>
    <row r="63" spans="1:30" x14ac:dyDescent="0.25">
      <c r="A63" t="s">
        <v>131</v>
      </c>
      <c r="B63" t="s">
        <v>227</v>
      </c>
      <c r="C63" t="s">
        <v>360</v>
      </c>
      <c r="D63" s="2">
        <v>44120</v>
      </c>
      <c r="E63">
        <v>8.9446809999999992</v>
      </c>
      <c r="F63" s="2">
        <v>44141</v>
      </c>
      <c r="G63">
        <v>8.0774209999999993</v>
      </c>
      <c r="H63" s="3">
        <v>-9.7000000000000003E-2</v>
      </c>
      <c r="I63">
        <v>-10240.870000000001</v>
      </c>
      <c r="J63" s="3">
        <v>-9.8900000000000002E-2</v>
      </c>
      <c r="K63">
        <v>11581</v>
      </c>
      <c r="P63" s="2"/>
      <c r="R63" s="2"/>
      <c r="T63" s="3"/>
      <c r="V63" s="3"/>
      <c r="AA63" s="3"/>
      <c r="AB63" s="3"/>
      <c r="AC63" s="3"/>
      <c r="AD63" s="3"/>
    </row>
    <row r="64" spans="1:30" x14ac:dyDescent="0.25">
      <c r="A64" t="s">
        <v>105</v>
      </c>
      <c r="B64" t="s">
        <v>200</v>
      </c>
      <c r="C64" t="s">
        <v>360</v>
      </c>
      <c r="D64" s="2">
        <v>43994</v>
      </c>
      <c r="E64">
        <v>8.7523750000000007</v>
      </c>
      <c r="F64" s="2">
        <v>44099</v>
      </c>
      <c r="G64">
        <v>9.9681060000000006</v>
      </c>
      <c r="H64" s="3">
        <v>0.1389</v>
      </c>
      <c r="I64">
        <v>14057.8</v>
      </c>
      <c r="J64" s="3">
        <v>0.1368</v>
      </c>
      <c r="K64">
        <v>11744</v>
      </c>
      <c r="P64" s="2"/>
      <c r="R64" s="2"/>
      <c r="T64" s="3"/>
      <c r="V64" s="3"/>
      <c r="AA64" s="3"/>
      <c r="AB64" s="3"/>
      <c r="AC64" s="3"/>
      <c r="AD64" s="3"/>
    </row>
    <row r="65" spans="1:30" x14ac:dyDescent="0.25">
      <c r="A65" t="s">
        <v>129</v>
      </c>
      <c r="B65" t="s">
        <v>228</v>
      </c>
      <c r="C65" t="s">
        <v>360</v>
      </c>
      <c r="D65" s="2">
        <v>44064</v>
      </c>
      <c r="E65">
        <v>9.3863950000000003</v>
      </c>
      <c r="F65" s="2">
        <v>44092</v>
      </c>
      <c r="G65">
        <v>8.2261249999999997</v>
      </c>
      <c r="H65" s="3">
        <v>-0.1236</v>
      </c>
      <c r="I65">
        <v>-12993.33</v>
      </c>
      <c r="J65" s="3">
        <v>-0.1255</v>
      </c>
      <c r="K65">
        <v>11031</v>
      </c>
      <c r="P65" s="2"/>
      <c r="R65" s="2"/>
      <c r="T65" s="3"/>
      <c r="V65" s="3"/>
      <c r="AA65" s="3"/>
      <c r="AB65" s="3"/>
      <c r="AC65" s="3"/>
      <c r="AD65" s="3"/>
    </row>
    <row r="66" spans="1:30" x14ac:dyDescent="0.25">
      <c r="A66" t="s">
        <v>92</v>
      </c>
      <c r="B66" t="s">
        <v>229</v>
      </c>
      <c r="C66" t="s">
        <v>360</v>
      </c>
      <c r="D66" s="2">
        <v>42307</v>
      </c>
      <c r="E66">
        <v>1.7258309999999999</v>
      </c>
      <c r="F66" s="2">
        <v>43917</v>
      </c>
      <c r="G66">
        <v>2.4826760000000001</v>
      </c>
      <c r="H66" s="3">
        <v>0.4385</v>
      </c>
      <c r="I66">
        <v>28494.82</v>
      </c>
      <c r="J66" s="3">
        <v>0.43609999999999999</v>
      </c>
      <c r="K66">
        <v>37860</v>
      </c>
      <c r="P66" s="2"/>
      <c r="R66" s="2"/>
      <c r="T66" s="3"/>
      <c r="V66" s="3"/>
      <c r="AA66" s="3"/>
      <c r="AB66" s="3"/>
      <c r="AC66" s="3"/>
      <c r="AD66" s="3"/>
    </row>
    <row r="67" spans="1:30" x14ac:dyDescent="0.25">
      <c r="A67" t="s">
        <v>83</v>
      </c>
      <c r="B67" t="s">
        <v>230</v>
      </c>
      <c r="C67" t="s">
        <v>360</v>
      </c>
      <c r="D67" s="2">
        <v>43826</v>
      </c>
      <c r="E67">
        <v>15.73377</v>
      </c>
      <c r="F67" s="2">
        <v>43910</v>
      </c>
      <c r="G67">
        <v>12.305809999999999</v>
      </c>
      <c r="H67" s="3">
        <v>-0.21790000000000001</v>
      </c>
      <c r="I67">
        <v>-26866.94</v>
      </c>
      <c r="J67" s="3">
        <v>-0.21970000000000001</v>
      </c>
      <c r="K67">
        <v>7774</v>
      </c>
      <c r="P67" s="2"/>
      <c r="R67" s="2"/>
      <c r="T67" s="3"/>
      <c r="V67" s="3"/>
      <c r="AA67" s="3"/>
      <c r="AB67" s="3"/>
      <c r="AC67" s="3"/>
      <c r="AD67" s="3"/>
    </row>
    <row r="68" spans="1:30" x14ac:dyDescent="0.25">
      <c r="A68" t="s">
        <v>155</v>
      </c>
      <c r="B68" t="s">
        <v>215</v>
      </c>
      <c r="C68" t="s">
        <v>360</v>
      </c>
      <c r="D68" s="2">
        <v>43252</v>
      </c>
      <c r="E68">
        <v>2.675144</v>
      </c>
      <c r="F68" s="2">
        <v>43910</v>
      </c>
      <c r="G68">
        <v>3.1954910000000001</v>
      </c>
      <c r="H68" s="3">
        <v>0.19450000000000001</v>
      </c>
      <c r="I68">
        <v>16522.919999999998</v>
      </c>
      <c r="J68" s="3">
        <v>0.1923</v>
      </c>
      <c r="K68">
        <v>32116</v>
      </c>
      <c r="P68" s="2"/>
      <c r="R68" s="2"/>
      <c r="T68" s="3"/>
      <c r="V68" s="3"/>
      <c r="AA68" s="3"/>
      <c r="AB68" s="3"/>
      <c r="AC68" s="3"/>
      <c r="AD68" s="3"/>
    </row>
    <row r="69" spans="1:30" x14ac:dyDescent="0.25">
      <c r="A69" t="s">
        <v>91</v>
      </c>
      <c r="B69" t="s">
        <v>143</v>
      </c>
      <c r="C69" t="s">
        <v>360</v>
      </c>
      <c r="D69" s="2">
        <v>43077</v>
      </c>
      <c r="E69">
        <v>2.2245949999999999</v>
      </c>
      <c r="F69" s="2">
        <v>43910</v>
      </c>
      <c r="G69">
        <v>2.6140590000000001</v>
      </c>
      <c r="H69" s="3">
        <v>0.17510000000000001</v>
      </c>
      <c r="I69">
        <v>15403.48</v>
      </c>
      <c r="J69" s="3">
        <v>0.1729</v>
      </c>
      <c r="K69">
        <v>40048</v>
      </c>
      <c r="P69" s="2"/>
      <c r="R69" s="2"/>
      <c r="T69" s="3"/>
      <c r="V69" s="3"/>
      <c r="AA69" s="3"/>
      <c r="AB69" s="3"/>
      <c r="AC69" s="3"/>
      <c r="AD69" s="3"/>
    </row>
    <row r="70" spans="1:30" x14ac:dyDescent="0.25">
      <c r="A70" t="s">
        <v>106</v>
      </c>
      <c r="B70" t="s">
        <v>221</v>
      </c>
      <c r="C70" t="s">
        <v>360</v>
      </c>
      <c r="D70" s="2">
        <v>42650</v>
      </c>
      <c r="E70">
        <v>1.993241</v>
      </c>
      <c r="F70" s="2">
        <v>43910</v>
      </c>
      <c r="G70">
        <v>2.485484</v>
      </c>
      <c r="H70" s="3">
        <v>0.247</v>
      </c>
      <c r="I70">
        <v>18927.689999999999</v>
      </c>
      <c r="J70" s="3">
        <v>0.2447</v>
      </c>
      <c r="K70">
        <v>38805</v>
      </c>
      <c r="P70" s="2"/>
      <c r="R70" s="2"/>
      <c r="T70" s="3"/>
      <c r="V70" s="3"/>
      <c r="AA70" s="3"/>
      <c r="AB70" s="3"/>
      <c r="AC70" s="3"/>
      <c r="AD70" s="3"/>
    </row>
    <row r="71" spans="1:30" x14ac:dyDescent="0.25">
      <c r="A71" t="s">
        <v>146</v>
      </c>
      <c r="B71" t="s">
        <v>169</v>
      </c>
      <c r="C71" t="s">
        <v>360</v>
      </c>
      <c r="D71" s="2">
        <v>42307</v>
      </c>
      <c r="E71">
        <v>5.6599830000000004</v>
      </c>
      <c r="F71" s="2">
        <v>43910</v>
      </c>
      <c r="G71">
        <v>6.8602489999999996</v>
      </c>
      <c r="H71" s="3">
        <v>0.21210000000000001</v>
      </c>
      <c r="I71">
        <v>13708.96</v>
      </c>
      <c r="J71" s="3">
        <v>0.20979999999999999</v>
      </c>
      <c r="K71">
        <v>11542</v>
      </c>
      <c r="P71" s="2"/>
      <c r="R71" s="2"/>
      <c r="T71" s="3"/>
      <c r="V71" s="3"/>
      <c r="AA71" s="3"/>
      <c r="AB71" s="3"/>
      <c r="AC71" s="3"/>
      <c r="AD71" s="3"/>
    </row>
    <row r="72" spans="1:30" x14ac:dyDescent="0.25">
      <c r="A72" t="s">
        <v>132</v>
      </c>
      <c r="B72" t="s">
        <v>231</v>
      </c>
      <c r="C72" t="s">
        <v>360</v>
      </c>
      <c r="D72" s="2">
        <v>40431</v>
      </c>
      <c r="E72">
        <v>1.4433370000000001</v>
      </c>
      <c r="F72" s="2">
        <v>43910</v>
      </c>
      <c r="G72">
        <v>3.7075100000000001</v>
      </c>
      <c r="H72" s="3">
        <v>1.5687</v>
      </c>
      <c r="I72">
        <v>59308.37</v>
      </c>
      <c r="J72" s="3">
        <v>1.5650999999999999</v>
      </c>
      <c r="K72">
        <v>26254</v>
      </c>
      <c r="P72" s="2"/>
      <c r="R72" s="2"/>
      <c r="T72" s="3"/>
      <c r="V72" s="3"/>
      <c r="AA72" s="3"/>
      <c r="AB72" s="3"/>
      <c r="AC72" s="3"/>
      <c r="AD72" s="3"/>
    </row>
    <row r="73" spans="1:30" x14ac:dyDescent="0.25">
      <c r="A73" t="s">
        <v>314</v>
      </c>
      <c r="B73" t="s">
        <v>232</v>
      </c>
      <c r="C73" t="s">
        <v>360</v>
      </c>
      <c r="D73" s="2">
        <v>40431</v>
      </c>
      <c r="E73">
        <v>1.375461</v>
      </c>
      <c r="F73" s="2">
        <v>43903</v>
      </c>
      <c r="G73">
        <v>6.8250000000000002</v>
      </c>
      <c r="H73" s="3">
        <v>3.9620000000000002</v>
      </c>
      <c r="I73">
        <v>149838.14000000001</v>
      </c>
      <c r="J73" s="3">
        <v>3.956</v>
      </c>
      <c r="K73">
        <v>27537</v>
      </c>
      <c r="P73" s="2"/>
      <c r="R73" s="2"/>
      <c r="T73" s="3"/>
      <c r="V73" s="3"/>
      <c r="AA73" s="3"/>
      <c r="AB73" s="3"/>
      <c r="AC73" s="3"/>
      <c r="AD73" s="3"/>
    </row>
    <row r="74" spans="1:30" x14ac:dyDescent="0.25">
      <c r="A74" t="s">
        <v>118</v>
      </c>
      <c r="B74" t="s">
        <v>233</v>
      </c>
      <c r="C74" t="s">
        <v>360</v>
      </c>
      <c r="D74" s="2">
        <v>43721</v>
      </c>
      <c r="E74">
        <v>11.002700000000001</v>
      </c>
      <c r="F74" s="2">
        <v>43896</v>
      </c>
      <c r="G74">
        <v>7.3419619999999997</v>
      </c>
      <c r="H74" s="3">
        <v>-0.3327</v>
      </c>
      <c r="I74">
        <v>-39811.360000000001</v>
      </c>
      <c r="J74" s="3">
        <v>-0.33439999999999998</v>
      </c>
      <c r="K74">
        <v>10821</v>
      </c>
      <c r="P74" s="2"/>
      <c r="R74" s="2"/>
      <c r="T74" s="3"/>
      <c r="V74" s="3"/>
      <c r="AA74" s="3"/>
      <c r="AB74" s="3"/>
      <c r="AC74" s="3"/>
      <c r="AD74" s="3"/>
    </row>
    <row r="75" spans="1:30" x14ac:dyDescent="0.25">
      <c r="A75" t="s">
        <v>105</v>
      </c>
      <c r="B75" t="s">
        <v>200</v>
      </c>
      <c r="C75" t="s">
        <v>360</v>
      </c>
      <c r="D75" s="2">
        <v>43483</v>
      </c>
      <c r="E75">
        <v>2.1108579999999999</v>
      </c>
      <c r="F75" s="2">
        <v>43896</v>
      </c>
      <c r="G75">
        <v>5.2456469999999999</v>
      </c>
      <c r="H75" s="3">
        <v>1.4851000000000001</v>
      </c>
      <c r="I75">
        <v>137597.65</v>
      </c>
      <c r="J75" s="3">
        <v>1.4816</v>
      </c>
      <c r="K75">
        <v>43997</v>
      </c>
      <c r="P75" s="2"/>
      <c r="R75" s="2"/>
      <c r="T75" s="3"/>
      <c r="V75" s="3"/>
      <c r="AA75" s="3"/>
      <c r="AB75" s="3"/>
      <c r="AC75" s="3"/>
      <c r="AD75" s="3"/>
    </row>
    <row r="76" spans="1:30" x14ac:dyDescent="0.25">
      <c r="A76" t="s">
        <v>103</v>
      </c>
      <c r="B76" t="s">
        <v>234</v>
      </c>
      <c r="C76" t="s">
        <v>360</v>
      </c>
      <c r="D76" s="2">
        <v>42440</v>
      </c>
      <c r="E76">
        <v>31.193999999999999</v>
      </c>
      <c r="F76" s="2">
        <v>43896</v>
      </c>
      <c r="G76">
        <v>61.209209999999999</v>
      </c>
      <c r="H76" s="3">
        <v>0.96220000000000006</v>
      </c>
      <c r="I76">
        <v>63795.42</v>
      </c>
      <c r="J76" s="3">
        <v>0.95920000000000005</v>
      </c>
      <c r="K76">
        <v>2132</v>
      </c>
      <c r="P76" s="2"/>
      <c r="R76" s="2"/>
      <c r="T76" s="3"/>
      <c r="V76" s="3"/>
      <c r="AA76" s="3"/>
      <c r="AB76" s="3"/>
      <c r="AC76" s="3"/>
      <c r="AD76" s="3"/>
    </row>
    <row r="77" spans="1:30" x14ac:dyDescent="0.25">
      <c r="A77" t="s">
        <v>311</v>
      </c>
      <c r="B77" t="s">
        <v>222</v>
      </c>
      <c r="C77" t="s">
        <v>360</v>
      </c>
      <c r="D77" s="2">
        <v>41250</v>
      </c>
      <c r="E77">
        <v>0.63561590000000001</v>
      </c>
      <c r="F77" s="2">
        <v>43812</v>
      </c>
      <c r="G77">
        <v>1.5162359999999999</v>
      </c>
      <c r="H77" s="3">
        <v>1.3855</v>
      </c>
      <c r="I77">
        <v>61195.86</v>
      </c>
      <c r="J77" s="3">
        <v>1.3821000000000001</v>
      </c>
      <c r="K77">
        <v>69662</v>
      </c>
      <c r="P77" s="2"/>
      <c r="R77" s="2"/>
      <c r="T77" s="3"/>
      <c r="V77" s="3"/>
      <c r="AA77" s="3"/>
      <c r="AB77" s="3"/>
      <c r="AC77" s="3"/>
      <c r="AD77" s="3"/>
    </row>
    <row r="78" spans="1:30" x14ac:dyDescent="0.25">
      <c r="A78" t="s">
        <v>104</v>
      </c>
      <c r="B78" t="s">
        <v>235</v>
      </c>
      <c r="C78" t="s">
        <v>360</v>
      </c>
      <c r="D78" s="2">
        <v>43273</v>
      </c>
      <c r="E78">
        <v>2.9275319999999998</v>
      </c>
      <c r="F78" s="2">
        <v>43700</v>
      </c>
      <c r="G78">
        <v>3.8142580000000001</v>
      </c>
      <c r="H78" s="3">
        <v>0.3029</v>
      </c>
      <c r="I78">
        <v>26710.16</v>
      </c>
      <c r="J78" s="3">
        <v>0.30059999999999998</v>
      </c>
      <c r="K78">
        <v>30353</v>
      </c>
      <c r="P78" s="2"/>
      <c r="R78" s="2"/>
      <c r="T78" s="3"/>
      <c r="V78" s="3"/>
      <c r="AA78" s="3"/>
      <c r="AB78" s="3"/>
      <c r="AC78" s="3"/>
      <c r="AD78" s="3"/>
    </row>
    <row r="79" spans="1:30" x14ac:dyDescent="0.25">
      <c r="A79" t="s">
        <v>130</v>
      </c>
      <c r="B79" t="s">
        <v>236</v>
      </c>
      <c r="C79" t="s">
        <v>360</v>
      </c>
      <c r="D79" s="2">
        <v>43231</v>
      </c>
      <c r="E79">
        <v>6.6040460000000003</v>
      </c>
      <c r="F79" s="2">
        <v>43392</v>
      </c>
      <c r="G79">
        <v>6.3587049999999996</v>
      </c>
      <c r="H79" s="3">
        <v>-3.7199999999999997E-2</v>
      </c>
      <c r="I79">
        <v>-3375.26</v>
      </c>
      <c r="J79" s="3">
        <v>-3.9100000000000003E-2</v>
      </c>
      <c r="K79">
        <v>13067</v>
      </c>
      <c r="P79" s="2"/>
      <c r="R79" s="2"/>
      <c r="T79" s="3"/>
      <c r="V79" s="3"/>
      <c r="AA79" s="3"/>
      <c r="AB79" s="3"/>
      <c r="AC79" s="3"/>
      <c r="AD79" s="3"/>
    </row>
    <row r="80" spans="1:30" x14ac:dyDescent="0.25">
      <c r="A80" t="s">
        <v>111</v>
      </c>
      <c r="B80" t="s">
        <v>194</v>
      </c>
      <c r="C80" t="s">
        <v>360</v>
      </c>
      <c r="D80" s="2">
        <v>42706</v>
      </c>
      <c r="E80">
        <v>18.39866</v>
      </c>
      <c r="F80" s="2">
        <v>43252</v>
      </c>
      <c r="G80">
        <v>18.808540000000001</v>
      </c>
      <c r="H80" s="3">
        <v>2.23E-2</v>
      </c>
      <c r="I80">
        <v>1498.52</v>
      </c>
      <c r="J80" s="3">
        <v>2.0299999999999999E-2</v>
      </c>
      <c r="K80">
        <v>4021</v>
      </c>
      <c r="P80" s="2"/>
      <c r="R80" s="2"/>
      <c r="T80" s="3"/>
      <c r="V80" s="3"/>
      <c r="AA80" s="3"/>
      <c r="AB80" s="3"/>
      <c r="AC80" s="3"/>
      <c r="AD80" s="3"/>
    </row>
    <row r="81" spans="1:30" x14ac:dyDescent="0.25">
      <c r="A81" t="s">
        <v>153</v>
      </c>
      <c r="B81" t="s">
        <v>210</v>
      </c>
      <c r="C81" t="s">
        <v>360</v>
      </c>
      <c r="D81" s="2">
        <v>43028</v>
      </c>
      <c r="E81">
        <v>3.9590390000000002</v>
      </c>
      <c r="F81" s="2">
        <v>43154</v>
      </c>
      <c r="G81">
        <v>2.8154780000000001</v>
      </c>
      <c r="H81" s="3">
        <v>-0.2888</v>
      </c>
      <c r="I81">
        <v>-25210.75</v>
      </c>
      <c r="J81" s="3">
        <v>-0.29060000000000002</v>
      </c>
      <c r="K81">
        <v>21916</v>
      </c>
      <c r="P81" s="2"/>
      <c r="R81" s="2"/>
      <c r="T81" s="3"/>
      <c r="V81" s="3"/>
      <c r="AA81" s="3"/>
      <c r="AB81" s="3"/>
      <c r="AC81" s="3"/>
      <c r="AD81" s="3"/>
    </row>
    <row r="82" spans="1:30" x14ac:dyDescent="0.25">
      <c r="A82" t="s">
        <v>112</v>
      </c>
      <c r="B82" t="s">
        <v>237</v>
      </c>
      <c r="C82" t="s">
        <v>360</v>
      </c>
      <c r="D82" s="2">
        <v>42979</v>
      </c>
      <c r="E82">
        <v>2.658633</v>
      </c>
      <c r="F82" s="2">
        <v>43147</v>
      </c>
      <c r="G82">
        <v>3.4412569999999998</v>
      </c>
      <c r="H82" s="3">
        <v>0.2944</v>
      </c>
      <c r="I82">
        <v>25183.45</v>
      </c>
      <c r="J82" s="3">
        <v>0.29210000000000003</v>
      </c>
      <c r="K82">
        <v>32431</v>
      </c>
      <c r="P82" s="2"/>
      <c r="R82" s="2"/>
      <c r="T82" s="3"/>
      <c r="V82" s="3"/>
      <c r="AA82" s="3"/>
      <c r="AB82" s="3"/>
      <c r="AC82" s="3"/>
      <c r="AD82" s="3"/>
    </row>
    <row r="83" spans="1:30" x14ac:dyDescent="0.25">
      <c r="A83" t="s">
        <v>110</v>
      </c>
      <c r="B83" t="s">
        <v>238</v>
      </c>
      <c r="C83" t="s">
        <v>360</v>
      </c>
      <c r="D83" s="2">
        <v>42657</v>
      </c>
      <c r="E83">
        <v>13.06062</v>
      </c>
      <c r="F83" s="2">
        <v>43070</v>
      </c>
      <c r="G83">
        <v>14.639340000000001</v>
      </c>
      <c r="H83" s="3">
        <v>0.12089999999999999</v>
      </c>
      <c r="I83">
        <v>9053.2999999999993</v>
      </c>
      <c r="J83" s="3">
        <v>0.1188</v>
      </c>
      <c r="K83">
        <v>5837</v>
      </c>
      <c r="P83" s="2"/>
      <c r="R83" s="2"/>
      <c r="T83" s="3"/>
      <c r="V83" s="3"/>
      <c r="AA83" s="3"/>
      <c r="AB83" s="3"/>
      <c r="AC83" s="3"/>
      <c r="AD83" s="3"/>
    </row>
    <row r="84" spans="1:30" x14ac:dyDescent="0.25">
      <c r="A84" t="s">
        <v>84</v>
      </c>
      <c r="B84" t="s">
        <v>239</v>
      </c>
      <c r="C84" t="s">
        <v>360</v>
      </c>
      <c r="D84" s="2">
        <v>42440</v>
      </c>
      <c r="E84">
        <v>5.0307579999999996</v>
      </c>
      <c r="F84" s="2">
        <v>43000</v>
      </c>
      <c r="G84">
        <v>9.6191759999999995</v>
      </c>
      <c r="H84" s="3">
        <v>0.91210000000000002</v>
      </c>
      <c r="I84">
        <v>60460.69</v>
      </c>
      <c r="J84" s="3">
        <v>0.90920000000000001</v>
      </c>
      <c r="K84">
        <v>13219</v>
      </c>
      <c r="P84" s="2"/>
      <c r="R84" s="2"/>
      <c r="T84" s="3"/>
      <c r="V84" s="3"/>
      <c r="AA84" s="3"/>
      <c r="AB84" s="3"/>
      <c r="AC84" s="3"/>
      <c r="AD84" s="3"/>
    </row>
    <row r="85" spans="1:30" x14ac:dyDescent="0.25">
      <c r="A85" t="s">
        <v>129</v>
      </c>
      <c r="B85" t="s">
        <v>228</v>
      </c>
      <c r="C85" t="s">
        <v>360</v>
      </c>
      <c r="D85" s="2">
        <v>42706</v>
      </c>
      <c r="E85">
        <v>8.6552039999999995</v>
      </c>
      <c r="F85" s="2">
        <v>42916</v>
      </c>
      <c r="G85">
        <v>9.2336170000000006</v>
      </c>
      <c r="H85" s="3">
        <v>6.6799999999999998E-2</v>
      </c>
      <c r="I85">
        <v>4790.8599999999997</v>
      </c>
      <c r="J85" s="3">
        <v>6.4799999999999996E-2</v>
      </c>
      <c r="K85">
        <v>8547</v>
      </c>
      <c r="P85" s="2"/>
      <c r="R85" s="2"/>
      <c r="T85" s="3"/>
      <c r="V85" s="3"/>
      <c r="AA85" s="3"/>
      <c r="AB85" s="3"/>
      <c r="AC85" s="3"/>
      <c r="AD85" s="3"/>
    </row>
    <row r="86" spans="1:30" x14ac:dyDescent="0.25">
      <c r="A86" t="s">
        <v>133</v>
      </c>
      <c r="B86" t="s">
        <v>240</v>
      </c>
      <c r="C86" t="s">
        <v>360</v>
      </c>
      <c r="D86" s="2">
        <v>42440</v>
      </c>
      <c r="E86">
        <v>0.65802970000000005</v>
      </c>
      <c r="F86" s="2">
        <v>42678</v>
      </c>
      <c r="G86">
        <v>1.0210999999999999</v>
      </c>
      <c r="H86" s="3">
        <v>0.55179999999999996</v>
      </c>
      <c r="I86">
        <v>36530.5</v>
      </c>
      <c r="J86" s="3">
        <v>0.54920000000000002</v>
      </c>
      <c r="K86">
        <v>101083</v>
      </c>
      <c r="P86" s="2"/>
      <c r="R86" s="2"/>
      <c r="T86" s="3"/>
      <c r="V86" s="3"/>
      <c r="AA86" s="3"/>
      <c r="AB86" s="3"/>
      <c r="AC86" s="3"/>
      <c r="AD86" s="3"/>
    </row>
    <row r="87" spans="1:30" x14ac:dyDescent="0.25">
      <c r="A87" t="s">
        <v>113</v>
      </c>
      <c r="B87" t="s">
        <v>241</v>
      </c>
      <c r="C87" t="s">
        <v>360</v>
      </c>
      <c r="D87" s="2">
        <v>40851</v>
      </c>
      <c r="E87">
        <v>12.00189</v>
      </c>
      <c r="F87" s="2">
        <v>42678</v>
      </c>
      <c r="G87">
        <v>19.553070000000002</v>
      </c>
      <c r="H87" s="3">
        <v>0.62919999999999998</v>
      </c>
      <c r="I87">
        <v>23295.8</v>
      </c>
      <c r="J87" s="3">
        <v>0.62649999999999995</v>
      </c>
      <c r="K87">
        <v>3098</v>
      </c>
      <c r="P87" s="2"/>
      <c r="R87" s="2"/>
      <c r="T87" s="3"/>
      <c r="V87" s="3"/>
      <c r="AA87" s="3"/>
      <c r="AB87" s="3"/>
      <c r="AC87" s="3"/>
      <c r="AD87" s="3"/>
    </row>
    <row r="88" spans="1:30" x14ac:dyDescent="0.25">
      <c r="A88" t="s">
        <v>315</v>
      </c>
      <c r="B88" t="s">
        <v>242</v>
      </c>
      <c r="C88" t="s">
        <v>360</v>
      </c>
      <c r="D88" s="2">
        <v>42013</v>
      </c>
      <c r="E88">
        <v>2.5611169999999999</v>
      </c>
      <c r="F88" s="2">
        <v>42622</v>
      </c>
      <c r="G88">
        <v>4.0441440000000002</v>
      </c>
      <c r="H88" s="3">
        <v>0.57909999999999995</v>
      </c>
      <c r="I88">
        <v>33877.97</v>
      </c>
      <c r="J88" s="3">
        <v>0.57650000000000001</v>
      </c>
      <c r="K88">
        <v>22946</v>
      </c>
      <c r="P88" s="2"/>
      <c r="R88" s="2"/>
      <c r="T88" s="3"/>
      <c r="V88" s="3"/>
      <c r="AA88" s="3"/>
      <c r="AB88" s="3"/>
      <c r="AC88" s="3"/>
      <c r="AD88" s="3"/>
    </row>
    <row r="89" spans="1:30" x14ac:dyDescent="0.25">
      <c r="A89" t="s">
        <v>91</v>
      </c>
      <c r="B89" t="s">
        <v>143</v>
      </c>
      <c r="C89" t="s">
        <v>360</v>
      </c>
      <c r="D89" s="2">
        <v>40928</v>
      </c>
      <c r="E89">
        <v>0.87261219999999995</v>
      </c>
      <c r="F89" s="2">
        <v>42622</v>
      </c>
      <c r="G89">
        <v>2.1009039999999999</v>
      </c>
      <c r="H89" s="3">
        <v>1.4076</v>
      </c>
      <c r="I89">
        <v>51784.4</v>
      </c>
      <c r="J89" s="3">
        <v>1.4041999999999999</v>
      </c>
      <c r="K89">
        <v>42262</v>
      </c>
      <c r="P89" s="2"/>
      <c r="R89" s="2"/>
      <c r="T89" s="3"/>
      <c r="V89" s="3"/>
      <c r="AA89" s="3"/>
      <c r="AB89" s="3"/>
      <c r="AC89" s="3"/>
      <c r="AD89" s="3"/>
    </row>
    <row r="90" spans="1:30" x14ac:dyDescent="0.25">
      <c r="A90" t="s">
        <v>114</v>
      </c>
      <c r="B90" t="s">
        <v>214</v>
      </c>
      <c r="C90" t="s">
        <v>360</v>
      </c>
      <c r="D90" s="2">
        <v>40886</v>
      </c>
      <c r="E90">
        <v>3.825688</v>
      </c>
      <c r="F90" s="2">
        <v>42419</v>
      </c>
      <c r="G90">
        <v>8.5842200000000002</v>
      </c>
      <c r="H90" s="3">
        <v>1.2438</v>
      </c>
      <c r="I90">
        <v>46255.71</v>
      </c>
      <c r="J90" s="3">
        <v>1.2405999999999999</v>
      </c>
      <c r="K90">
        <v>9746</v>
      </c>
      <c r="P90" s="2"/>
      <c r="R90" s="2"/>
      <c r="T90" s="3"/>
      <c r="V90" s="3"/>
      <c r="AA90" s="3"/>
      <c r="AB90" s="3"/>
      <c r="AC90" s="3"/>
      <c r="AD90" s="3"/>
    </row>
    <row r="91" spans="1:30" x14ac:dyDescent="0.25">
      <c r="A91" t="s">
        <v>158</v>
      </c>
      <c r="B91" t="s">
        <v>243</v>
      </c>
      <c r="C91" t="s">
        <v>360</v>
      </c>
      <c r="D91" s="2">
        <v>41726</v>
      </c>
      <c r="E91">
        <v>2.4943819999999999</v>
      </c>
      <c r="F91" s="2">
        <v>42384</v>
      </c>
      <c r="G91">
        <v>2.7702830000000001</v>
      </c>
      <c r="H91" s="3">
        <v>0.1106</v>
      </c>
      <c r="I91">
        <v>5965.91</v>
      </c>
      <c r="J91" s="3">
        <v>0.1085</v>
      </c>
      <c r="K91">
        <v>22044</v>
      </c>
      <c r="P91" s="2"/>
      <c r="R91" s="2"/>
      <c r="T91" s="3"/>
      <c r="V91" s="3"/>
      <c r="AA91" s="3"/>
      <c r="AB91" s="3"/>
      <c r="AC91" s="3"/>
      <c r="AD91" s="3"/>
    </row>
    <row r="92" spans="1:30" x14ac:dyDescent="0.25">
      <c r="A92" t="s">
        <v>116</v>
      </c>
      <c r="B92" t="s">
        <v>244</v>
      </c>
      <c r="C92" t="s">
        <v>360</v>
      </c>
      <c r="D92" s="2">
        <v>42223</v>
      </c>
      <c r="E92">
        <v>0.7163988</v>
      </c>
      <c r="F92" s="2">
        <v>42258</v>
      </c>
      <c r="G92">
        <v>0.68396920000000005</v>
      </c>
      <c r="H92" s="3">
        <v>-4.53E-2</v>
      </c>
      <c r="I92">
        <v>-3112.46</v>
      </c>
      <c r="J92" s="3">
        <v>-4.7199999999999999E-2</v>
      </c>
      <c r="K92">
        <v>92003</v>
      </c>
      <c r="P92" s="2"/>
      <c r="R92" s="2"/>
      <c r="T92" s="3"/>
      <c r="V92" s="3"/>
      <c r="AA92" s="3"/>
      <c r="AB92" s="3"/>
      <c r="AC92" s="3"/>
      <c r="AD92" s="3"/>
    </row>
    <row r="93" spans="1:30" x14ac:dyDescent="0.25">
      <c r="A93" t="s">
        <v>316</v>
      </c>
      <c r="B93" t="s">
        <v>245</v>
      </c>
      <c r="C93" t="s">
        <v>360</v>
      </c>
      <c r="D93" s="2">
        <v>41950</v>
      </c>
      <c r="E93">
        <v>2.8846799999999999</v>
      </c>
      <c r="F93" s="2">
        <v>42237</v>
      </c>
      <c r="G93">
        <v>2.2744420000000001</v>
      </c>
      <c r="H93" s="3">
        <v>-0.21149999999999999</v>
      </c>
      <c r="I93">
        <v>-12013.78</v>
      </c>
      <c r="J93" s="3">
        <v>-0.21329999999999999</v>
      </c>
      <c r="K93">
        <v>19522</v>
      </c>
      <c r="P93" s="2"/>
      <c r="R93" s="2"/>
      <c r="T93" s="3"/>
      <c r="V93" s="3"/>
      <c r="AA93" s="3"/>
      <c r="AB93" s="3"/>
      <c r="AC93" s="3"/>
      <c r="AD93" s="3"/>
    </row>
    <row r="94" spans="1:30" x14ac:dyDescent="0.25">
      <c r="A94" t="s">
        <v>159</v>
      </c>
      <c r="B94" t="s">
        <v>246</v>
      </c>
      <c r="C94" t="s">
        <v>360</v>
      </c>
      <c r="D94" s="2">
        <v>42223</v>
      </c>
      <c r="E94">
        <v>1.0472490000000001</v>
      </c>
      <c r="F94" s="2">
        <v>42230</v>
      </c>
      <c r="G94">
        <v>0.91127999999999998</v>
      </c>
      <c r="H94" s="3">
        <v>-0.1298</v>
      </c>
      <c r="I94">
        <v>-8679.3700000000008</v>
      </c>
      <c r="J94" s="3">
        <v>-0.13170000000000001</v>
      </c>
      <c r="K94">
        <v>62927</v>
      </c>
      <c r="P94" s="2"/>
      <c r="R94" s="2"/>
      <c r="T94" s="3"/>
      <c r="V94" s="3"/>
      <c r="AA94" s="3"/>
      <c r="AB94" s="3"/>
      <c r="AC94" s="3"/>
      <c r="AD94" s="3"/>
    </row>
    <row r="95" spans="1:30" x14ac:dyDescent="0.25">
      <c r="A95" t="s">
        <v>160</v>
      </c>
      <c r="B95" t="s">
        <v>247</v>
      </c>
      <c r="C95" t="s">
        <v>360</v>
      </c>
      <c r="D95" s="2">
        <v>40522</v>
      </c>
      <c r="E95">
        <v>7.0630329999999999</v>
      </c>
      <c r="F95" s="2">
        <v>42216</v>
      </c>
      <c r="G95">
        <v>14.82302</v>
      </c>
      <c r="H95" s="3">
        <v>1.0987</v>
      </c>
      <c r="I95">
        <v>41971.46</v>
      </c>
      <c r="J95" s="3">
        <v>1.0955999999999999</v>
      </c>
      <c r="K95">
        <v>5424</v>
      </c>
      <c r="P95" s="2"/>
      <c r="R95" s="2"/>
      <c r="T95" s="3"/>
      <c r="V95" s="3"/>
      <c r="AA95" s="3"/>
      <c r="AB95" s="3"/>
      <c r="AC95" s="3"/>
      <c r="AD95" s="3"/>
    </row>
    <row r="96" spans="1:30" x14ac:dyDescent="0.25">
      <c r="A96" t="s">
        <v>121</v>
      </c>
      <c r="B96" t="s">
        <v>248</v>
      </c>
      <c r="C96" t="s">
        <v>360</v>
      </c>
      <c r="D96" s="2">
        <v>41831</v>
      </c>
      <c r="E96">
        <v>3.885294</v>
      </c>
      <c r="F96" s="2">
        <v>42139</v>
      </c>
      <c r="G96">
        <v>4.8504529999999999</v>
      </c>
      <c r="H96" s="3">
        <v>0.24840000000000001</v>
      </c>
      <c r="I96">
        <v>13477.92</v>
      </c>
      <c r="J96" s="3">
        <v>0.2462</v>
      </c>
      <c r="K96">
        <v>14092</v>
      </c>
      <c r="P96" s="2"/>
      <c r="R96" s="2"/>
      <c r="T96" s="3"/>
      <c r="V96" s="3"/>
      <c r="AA96" s="3"/>
      <c r="AB96" s="3"/>
      <c r="AC96" s="3"/>
      <c r="AD96" s="3"/>
    </row>
    <row r="97" spans="1:30" x14ac:dyDescent="0.25">
      <c r="A97" t="s">
        <v>131</v>
      </c>
      <c r="B97" t="s">
        <v>227</v>
      </c>
      <c r="C97" t="s">
        <v>360</v>
      </c>
      <c r="D97" s="2">
        <v>41831</v>
      </c>
      <c r="E97">
        <v>12.72757</v>
      </c>
      <c r="F97" s="2">
        <v>41957</v>
      </c>
      <c r="G97">
        <v>8.9646600000000003</v>
      </c>
      <c r="H97" s="3">
        <v>-0.29570000000000002</v>
      </c>
      <c r="I97">
        <v>-16281.36</v>
      </c>
      <c r="J97" s="3">
        <v>-0.2974</v>
      </c>
      <c r="K97">
        <v>4302</v>
      </c>
      <c r="P97" s="2"/>
      <c r="R97" s="2"/>
      <c r="T97" s="3"/>
      <c r="V97" s="3"/>
      <c r="AA97" s="3"/>
      <c r="AB97" s="3"/>
      <c r="AC97" s="3"/>
      <c r="AD97" s="3"/>
    </row>
    <row r="98" spans="1:30" x14ac:dyDescent="0.25">
      <c r="A98" t="s">
        <v>117</v>
      </c>
      <c r="B98" t="s">
        <v>219</v>
      </c>
      <c r="C98" t="s">
        <v>360</v>
      </c>
      <c r="D98" s="2">
        <v>40403</v>
      </c>
      <c r="E98">
        <v>0.39760719999999999</v>
      </c>
      <c r="F98" s="2">
        <v>41908</v>
      </c>
      <c r="G98">
        <v>0.62709809999999999</v>
      </c>
      <c r="H98" s="3">
        <v>0.57720000000000005</v>
      </c>
      <c r="I98">
        <v>21292.59</v>
      </c>
      <c r="J98" s="3">
        <v>0.5746</v>
      </c>
      <c r="K98">
        <v>93198</v>
      </c>
      <c r="P98" s="2"/>
      <c r="R98" s="2"/>
      <c r="T98" s="3"/>
      <c r="V98" s="3"/>
      <c r="AA98" s="3"/>
      <c r="AB98" s="3"/>
      <c r="AC98" s="3"/>
      <c r="AD98" s="3"/>
    </row>
    <row r="99" spans="1:30" x14ac:dyDescent="0.25">
      <c r="A99" t="s">
        <v>21</v>
      </c>
      <c r="B99" t="s">
        <v>249</v>
      </c>
      <c r="C99" t="s">
        <v>360</v>
      </c>
      <c r="D99" s="2">
        <v>41782</v>
      </c>
      <c r="E99">
        <v>3.2193000000000001</v>
      </c>
      <c r="F99" s="2">
        <v>41810</v>
      </c>
      <c r="G99">
        <v>2.6748599999999998</v>
      </c>
      <c r="H99" s="3">
        <v>-0.1691</v>
      </c>
      <c r="I99">
        <v>-9518.0300000000007</v>
      </c>
      <c r="J99" s="3">
        <v>-0.1709</v>
      </c>
      <c r="K99">
        <v>17295</v>
      </c>
      <c r="P99" s="2"/>
      <c r="R99" s="2"/>
      <c r="T99" s="3"/>
      <c r="V99" s="3"/>
      <c r="AA99" s="3"/>
      <c r="AB99" s="3"/>
      <c r="AC99" s="3"/>
      <c r="AD99" s="3"/>
    </row>
    <row r="100" spans="1:30" x14ac:dyDescent="0.25">
      <c r="A100" t="s">
        <v>126</v>
      </c>
      <c r="B100" t="s">
        <v>250</v>
      </c>
      <c r="C100" t="s">
        <v>360</v>
      </c>
      <c r="D100" s="2">
        <v>41502</v>
      </c>
      <c r="E100">
        <v>0.48221180000000002</v>
      </c>
      <c r="F100" s="2">
        <v>41810</v>
      </c>
      <c r="G100">
        <v>0.49083450000000001</v>
      </c>
      <c r="H100" s="3">
        <v>1.7899999999999999E-2</v>
      </c>
      <c r="I100">
        <v>787.94</v>
      </c>
      <c r="J100" s="3">
        <v>1.5900000000000001E-2</v>
      </c>
      <c r="K100">
        <v>103004</v>
      </c>
      <c r="P100" s="2"/>
      <c r="R100" s="2"/>
      <c r="T100" s="3"/>
      <c r="V100" s="3"/>
      <c r="AA100" s="3"/>
      <c r="AB100" s="3"/>
      <c r="AC100" s="3"/>
      <c r="AD100" s="3"/>
    </row>
    <row r="101" spans="1:30" x14ac:dyDescent="0.25">
      <c r="A101" t="s">
        <v>315</v>
      </c>
      <c r="B101" t="s">
        <v>242</v>
      </c>
      <c r="C101" t="s">
        <v>360</v>
      </c>
      <c r="D101" s="2">
        <v>40886</v>
      </c>
      <c r="E101">
        <v>1.910223</v>
      </c>
      <c r="F101" s="2">
        <v>41796</v>
      </c>
      <c r="G101">
        <v>2.3123320000000001</v>
      </c>
      <c r="H101" s="3">
        <v>0.21049999999999999</v>
      </c>
      <c r="I101">
        <v>7767.14</v>
      </c>
      <c r="J101" s="3">
        <v>0.20830000000000001</v>
      </c>
      <c r="K101">
        <v>19521</v>
      </c>
      <c r="P101" s="2"/>
      <c r="R101" s="2"/>
      <c r="T101" s="3"/>
      <c r="V101" s="3"/>
      <c r="AA101" s="3"/>
      <c r="AB101" s="3"/>
      <c r="AC101" s="3"/>
      <c r="AD101" s="3"/>
    </row>
    <row r="102" spans="1:30" x14ac:dyDescent="0.25">
      <c r="A102" t="s">
        <v>161</v>
      </c>
      <c r="B102" t="s">
        <v>251</v>
      </c>
      <c r="C102" t="s">
        <v>360</v>
      </c>
      <c r="D102" s="2">
        <v>41691</v>
      </c>
      <c r="E102">
        <v>4.0379139999999998</v>
      </c>
      <c r="F102" s="2">
        <v>41768</v>
      </c>
      <c r="G102">
        <v>3.1699250000000001</v>
      </c>
      <c r="H102" s="3">
        <v>-0.215</v>
      </c>
      <c r="I102">
        <v>-12609.84</v>
      </c>
      <c r="J102" s="3">
        <v>-0.2167</v>
      </c>
      <c r="K102">
        <v>14408</v>
      </c>
      <c r="P102" s="2"/>
      <c r="R102" s="2"/>
      <c r="T102" s="3"/>
      <c r="V102" s="3"/>
      <c r="AA102" s="3"/>
      <c r="AB102" s="3"/>
      <c r="AC102" s="3"/>
      <c r="AD102" s="3"/>
    </row>
    <row r="103" spans="1:30" x14ac:dyDescent="0.25">
      <c r="A103" t="s">
        <v>162</v>
      </c>
      <c r="B103" t="s">
        <v>252</v>
      </c>
      <c r="C103" t="s">
        <v>360</v>
      </c>
      <c r="D103" s="2">
        <v>41537</v>
      </c>
      <c r="E103">
        <v>1.789795</v>
      </c>
      <c r="F103" s="2">
        <v>41726</v>
      </c>
      <c r="G103">
        <v>1.4050389999999999</v>
      </c>
      <c r="H103" s="3">
        <v>-0.215</v>
      </c>
      <c r="I103">
        <v>-11485.67</v>
      </c>
      <c r="J103" s="3">
        <v>-0.21679999999999999</v>
      </c>
      <c r="K103">
        <v>29606</v>
      </c>
      <c r="P103" s="2"/>
      <c r="R103" s="2"/>
      <c r="T103" s="3"/>
      <c r="V103" s="3"/>
      <c r="AA103" s="3"/>
      <c r="AB103" s="3"/>
      <c r="AC103" s="3"/>
      <c r="AD103" s="3"/>
    </row>
    <row r="104" spans="1:30" x14ac:dyDescent="0.25">
      <c r="A104" t="s">
        <v>317</v>
      </c>
      <c r="B104" t="s">
        <v>253</v>
      </c>
      <c r="C104" t="s">
        <v>360</v>
      </c>
      <c r="D104" s="2">
        <v>41502</v>
      </c>
      <c r="E104">
        <v>0.8489139</v>
      </c>
      <c r="F104" s="2">
        <v>41670</v>
      </c>
      <c r="G104">
        <v>1.1625049999999999</v>
      </c>
      <c r="H104" s="3">
        <v>0.36940000000000001</v>
      </c>
      <c r="I104">
        <v>18233.330000000002</v>
      </c>
      <c r="J104" s="3">
        <v>0.36699999999999999</v>
      </c>
      <c r="K104">
        <v>58519</v>
      </c>
      <c r="P104" s="2"/>
      <c r="R104" s="2"/>
      <c r="T104" s="3"/>
      <c r="V104" s="3"/>
      <c r="AA104" s="3"/>
      <c r="AB104" s="3"/>
      <c r="AC104" s="3"/>
      <c r="AD104" s="3"/>
    </row>
    <row r="105" spans="1:30" x14ac:dyDescent="0.25">
      <c r="A105" t="s">
        <v>39</v>
      </c>
      <c r="B105" t="s">
        <v>254</v>
      </c>
      <c r="C105" t="s">
        <v>360</v>
      </c>
      <c r="D105" s="2">
        <v>40431</v>
      </c>
      <c r="E105">
        <v>1.165489</v>
      </c>
      <c r="F105" s="2">
        <v>41537</v>
      </c>
      <c r="G105">
        <v>1.686909</v>
      </c>
      <c r="H105" s="3">
        <v>0.44740000000000002</v>
      </c>
      <c r="I105">
        <v>16857.599999999999</v>
      </c>
      <c r="J105" s="3">
        <v>0.44490000000000002</v>
      </c>
      <c r="K105">
        <v>32508</v>
      </c>
      <c r="P105" s="2"/>
      <c r="R105" s="2"/>
      <c r="T105" s="3"/>
      <c r="V105" s="3"/>
      <c r="AA105" s="3"/>
      <c r="AB105" s="3"/>
      <c r="AC105" s="3"/>
      <c r="AD105" s="3"/>
    </row>
    <row r="106" spans="1:30" x14ac:dyDescent="0.25">
      <c r="A106" t="s">
        <v>163</v>
      </c>
      <c r="B106" t="s">
        <v>255</v>
      </c>
      <c r="C106" t="s">
        <v>360</v>
      </c>
      <c r="D106" s="2">
        <v>41404</v>
      </c>
      <c r="E106">
        <v>1.300414</v>
      </c>
      <c r="F106" s="2">
        <v>41425</v>
      </c>
      <c r="G106">
        <v>1.2351430000000001</v>
      </c>
      <c r="H106" s="3">
        <v>-5.0200000000000002E-2</v>
      </c>
      <c r="I106">
        <v>-2662.02</v>
      </c>
      <c r="J106" s="3">
        <v>-5.21E-2</v>
      </c>
      <c r="K106">
        <v>39259</v>
      </c>
      <c r="P106" s="2"/>
      <c r="R106" s="2"/>
      <c r="T106" s="3"/>
      <c r="V106" s="3"/>
      <c r="AA106" s="3"/>
      <c r="AB106" s="3"/>
      <c r="AC106" s="3"/>
      <c r="AD106" s="3"/>
    </row>
    <row r="107" spans="1:30" x14ac:dyDescent="0.25">
      <c r="A107" t="s">
        <v>93</v>
      </c>
      <c r="B107" t="s">
        <v>256</v>
      </c>
      <c r="C107" t="s">
        <v>360</v>
      </c>
      <c r="D107" s="2">
        <v>41264</v>
      </c>
      <c r="E107">
        <v>5.9979139999999997</v>
      </c>
      <c r="F107" s="2">
        <v>41425</v>
      </c>
      <c r="G107">
        <v>5.7813939999999997</v>
      </c>
      <c r="H107" s="3">
        <v>-3.61E-2</v>
      </c>
      <c r="I107">
        <v>-1711.79</v>
      </c>
      <c r="J107" s="3">
        <v>-3.8100000000000002E-2</v>
      </c>
      <c r="K107">
        <v>7498</v>
      </c>
      <c r="P107" s="2"/>
      <c r="R107" s="2"/>
      <c r="T107" s="3"/>
      <c r="V107" s="3"/>
      <c r="AA107" s="3"/>
      <c r="AB107" s="3"/>
      <c r="AC107" s="3"/>
      <c r="AD107" s="3"/>
    </row>
    <row r="108" spans="1:30" x14ac:dyDescent="0.25">
      <c r="A108" t="s">
        <v>162</v>
      </c>
      <c r="B108" t="s">
        <v>252</v>
      </c>
      <c r="C108" t="s">
        <v>360</v>
      </c>
      <c r="D108" s="2">
        <v>41250</v>
      </c>
      <c r="E108">
        <v>1.1014429999999999</v>
      </c>
      <c r="F108" s="2">
        <v>41376</v>
      </c>
      <c r="G108">
        <v>1.363885</v>
      </c>
      <c r="H108" s="3">
        <v>0.23830000000000001</v>
      </c>
      <c r="I108">
        <v>10449.5</v>
      </c>
      <c r="J108" s="3">
        <v>0.23599999999999999</v>
      </c>
      <c r="K108">
        <v>40194</v>
      </c>
      <c r="P108" s="2"/>
      <c r="R108" s="2"/>
      <c r="T108" s="3"/>
      <c r="V108" s="3"/>
      <c r="AA108" s="3"/>
      <c r="AB108" s="3"/>
      <c r="AC108" s="3"/>
      <c r="AD108" s="3"/>
    </row>
    <row r="109" spans="1:30" x14ac:dyDescent="0.25">
      <c r="A109" t="s">
        <v>318</v>
      </c>
      <c r="B109" t="s">
        <v>257</v>
      </c>
      <c r="C109" t="s">
        <v>360</v>
      </c>
      <c r="D109" s="2">
        <v>41117</v>
      </c>
      <c r="E109">
        <v>3.3409910000000001E-2</v>
      </c>
      <c r="F109" s="2">
        <v>41243</v>
      </c>
      <c r="G109">
        <v>2.652024E-2</v>
      </c>
      <c r="H109" s="3">
        <v>-0.20619999999999999</v>
      </c>
      <c r="I109">
        <v>-8616.43</v>
      </c>
      <c r="J109" s="3">
        <v>-0.20799999999999999</v>
      </c>
      <c r="K109">
        <v>1239845</v>
      </c>
      <c r="P109" s="2"/>
      <c r="R109" s="2"/>
      <c r="T109" s="3"/>
      <c r="V109" s="3"/>
      <c r="AA109" s="3"/>
      <c r="AB109" s="3"/>
      <c r="AC109" s="3"/>
      <c r="AD109" s="3"/>
    </row>
    <row r="110" spans="1:30" x14ac:dyDescent="0.25">
      <c r="A110" t="s">
        <v>319</v>
      </c>
      <c r="B110" t="s">
        <v>258</v>
      </c>
      <c r="C110" t="s">
        <v>360</v>
      </c>
      <c r="D110" s="2">
        <v>40178</v>
      </c>
      <c r="E110">
        <v>0.95360290000000003</v>
      </c>
      <c r="F110" s="2">
        <v>41236</v>
      </c>
      <c r="G110">
        <v>2.79</v>
      </c>
      <c r="H110" s="3">
        <v>1.9257</v>
      </c>
      <c r="I110">
        <v>72494.27</v>
      </c>
      <c r="J110" s="3">
        <v>1.9218</v>
      </c>
      <c r="K110">
        <v>39557</v>
      </c>
      <c r="P110" s="2"/>
      <c r="R110" s="2"/>
      <c r="T110" s="3"/>
      <c r="V110" s="3"/>
      <c r="AA110" s="3"/>
      <c r="AB110" s="3"/>
      <c r="AC110" s="3"/>
      <c r="AD110" s="3"/>
    </row>
    <row r="111" spans="1:30" x14ac:dyDescent="0.25">
      <c r="A111" t="s">
        <v>164</v>
      </c>
      <c r="B111" t="s">
        <v>259</v>
      </c>
      <c r="C111" t="s">
        <v>360</v>
      </c>
      <c r="D111" s="2">
        <v>40004</v>
      </c>
      <c r="E111">
        <v>1.951487</v>
      </c>
      <c r="F111" s="2">
        <v>41096</v>
      </c>
      <c r="G111">
        <v>1.84511</v>
      </c>
      <c r="H111" s="3">
        <v>-5.45E-2</v>
      </c>
      <c r="I111">
        <v>-1625.61</v>
      </c>
      <c r="J111" s="3">
        <v>-5.6500000000000002E-2</v>
      </c>
      <c r="K111">
        <v>14755</v>
      </c>
      <c r="P111" s="2"/>
      <c r="R111" s="2"/>
      <c r="T111" s="3"/>
      <c r="V111" s="3"/>
      <c r="AA111" s="3"/>
      <c r="AB111" s="3"/>
      <c r="AC111" s="3"/>
      <c r="AD111" s="3"/>
    </row>
    <row r="112" spans="1:30" x14ac:dyDescent="0.25">
      <c r="A112" t="s">
        <v>119</v>
      </c>
      <c r="B112" t="s">
        <v>217</v>
      </c>
      <c r="C112" t="s">
        <v>360</v>
      </c>
      <c r="D112" s="2">
        <v>40851</v>
      </c>
      <c r="E112">
        <v>4.3541639999999999</v>
      </c>
      <c r="F112" s="2">
        <v>40907</v>
      </c>
      <c r="G112">
        <v>3.758569</v>
      </c>
      <c r="H112" s="3">
        <v>-0.1368</v>
      </c>
      <c r="I112">
        <v>-5156.87</v>
      </c>
      <c r="J112" s="3">
        <v>-0.13869999999999999</v>
      </c>
      <c r="K112">
        <v>8542</v>
      </c>
      <c r="P112" s="2"/>
      <c r="R112" s="2"/>
      <c r="T112" s="3"/>
      <c r="V112" s="3"/>
      <c r="AA112" s="3"/>
      <c r="AB112" s="3"/>
      <c r="AC112" s="3"/>
      <c r="AD112" s="3"/>
    </row>
    <row r="113" spans="1:30" x14ac:dyDescent="0.25">
      <c r="A113" t="s">
        <v>111</v>
      </c>
      <c r="B113" t="s">
        <v>194</v>
      </c>
      <c r="C113" t="s">
        <v>360</v>
      </c>
      <c r="D113" s="2">
        <v>40851</v>
      </c>
      <c r="E113">
        <v>10.90368</v>
      </c>
      <c r="F113" s="2">
        <v>40879</v>
      </c>
      <c r="G113">
        <v>9.8171990000000005</v>
      </c>
      <c r="H113" s="3">
        <v>-9.9599999999999994E-2</v>
      </c>
      <c r="I113">
        <v>-3774.45</v>
      </c>
      <c r="J113" s="3">
        <v>-0.10150000000000001</v>
      </c>
      <c r="K113">
        <v>3409</v>
      </c>
      <c r="P113" s="2"/>
      <c r="R113" s="2"/>
      <c r="T113" s="3"/>
      <c r="V113" s="3"/>
      <c r="AA113" s="3"/>
      <c r="AB113" s="3"/>
      <c r="AC113" s="3"/>
      <c r="AD113" s="3"/>
    </row>
    <row r="114" spans="1:30" x14ac:dyDescent="0.25">
      <c r="A114" t="s">
        <v>320</v>
      </c>
      <c r="B114" t="s">
        <v>260</v>
      </c>
      <c r="C114" t="s">
        <v>360</v>
      </c>
      <c r="D114" s="2">
        <v>40851</v>
      </c>
      <c r="E114">
        <v>3.131643</v>
      </c>
      <c r="F114" s="2">
        <v>40879</v>
      </c>
      <c r="G114">
        <v>2.6585169999999998</v>
      </c>
      <c r="H114" s="3">
        <v>-0.15110000000000001</v>
      </c>
      <c r="I114">
        <v>-5686.65</v>
      </c>
      <c r="J114" s="3">
        <v>-0.15290000000000001</v>
      </c>
      <c r="K114">
        <v>11874</v>
      </c>
      <c r="P114" s="2"/>
      <c r="R114" s="2"/>
      <c r="T114" s="3"/>
      <c r="V114" s="3"/>
      <c r="AA114" s="3"/>
      <c r="AB114" s="3"/>
      <c r="AC114" s="3"/>
      <c r="AD114" s="3"/>
    </row>
    <row r="115" spans="1:30" x14ac:dyDescent="0.25">
      <c r="A115" t="s">
        <v>86</v>
      </c>
      <c r="B115" t="s">
        <v>261</v>
      </c>
      <c r="C115" t="s">
        <v>360</v>
      </c>
      <c r="D115" s="2">
        <v>40851</v>
      </c>
      <c r="E115">
        <v>4.1012009999999997</v>
      </c>
      <c r="F115" s="2">
        <v>40879</v>
      </c>
      <c r="G115">
        <v>3.7831679999999999</v>
      </c>
      <c r="H115" s="3">
        <v>-7.7499999999999999E-2</v>
      </c>
      <c r="I115">
        <v>-2956.4</v>
      </c>
      <c r="J115" s="3">
        <v>-7.9500000000000001E-2</v>
      </c>
      <c r="K115">
        <v>9071</v>
      </c>
      <c r="P115" s="2"/>
      <c r="R115" s="2"/>
      <c r="T115" s="3"/>
      <c r="V115" s="3"/>
      <c r="AA115" s="3"/>
      <c r="AB115" s="3"/>
      <c r="AC115" s="3"/>
      <c r="AD115" s="3"/>
    </row>
    <row r="116" spans="1:30" x14ac:dyDescent="0.25">
      <c r="A116" t="s">
        <v>151</v>
      </c>
      <c r="B116" t="s">
        <v>205</v>
      </c>
      <c r="C116" t="s">
        <v>360</v>
      </c>
      <c r="D116" s="2">
        <v>40641</v>
      </c>
      <c r="E116">
        <v>5.3942560000000004</v>
      </c>
      <c r="F116" s="2">
        <v>40809</v>
      </c>
      <c r="G116">
        <v>4.1764099999999997</v>
      </c>
      <c r="H116" s="3">
        <v>-0.2258</v>
      </c>
      <c r="I116">
        <v>-8904.91</v>
      </c>
      <c r="J116" s="3">
        <v>-0.22750000000000001</v>
      </c>
      <c r="K116">
        <v>7255</v>
      </c>
      <c r="P116" s="2"/>
      <c r="R116" s="2"/>
      <c r="T116" s="3"/>
      <c r="V116" s="3"/>
      <c r="AA116" s="3"/>
      <c r="AB116" s="3"/>
      <c r="AC116" s="3"/>
      <c r="AD116" s="3"/>
    </row>
    <row r="117" spans="1:30" x14ac:dyDescent="0.25">
      <c r="A117" t="s">
        <v>121</v>
      </c>
      <c r="B117" t="s">
        <v>248</v>
      </c>
      <c r="C117" t="s">
        <v>360</v>
      </c>
      <c r="D117" s="2">
        <v>40431</v>
      </c>
      <c r="E117">
        <v>4.2194450000000003</v>
      </c>
      <c r="F117" s="2">
        <v>40774</v>
      </c>
      <c r="G117">
        <v>3.5903999999999998</v>
      </c>
      <c r="H117" s="3">
        <v>-0.14910000000000001</v>
      </c>
      <c r="I117">
        <v>-5717.05</v>
      </c>
      <c r="J117" s="3">
        <v>-0.15090000000000001</v>
      </c>
      <c r="K117">
        <v>8977</v>
      </c>
      <c r="P117" s="2"/>
      <c r="R117" s="2"/>
      <c r="T117" s="3"/>
      <c r="V117" s="3"/>
      <c r="AA117" s="3"/>
      <c r="AB117" s="3"/>
      <c r="AC117" s="3"/>
      <c r="AD117" s="3"/>
    </row>
    <row r="118" spans="1:30" x14ac:dyDescent="0.25">
      <c r="A118" t="s">
        <v>321</v>
      </c>
      <c r="B118" t="s">
        <v>262</v>
      </c>
      <c r="C118" t="s">
        <v>360</v>
      </c>
      <c r="D118" s="2">
        <v>40641</v>
      </c>
      <c r="E118">
        <v>1.6885330000000001</v>
      </c>
      <c r="F118" s="2">
        <v>40774</v>
      </c>
      <c r="G118">
        <v>1.589826</v>
      </c>
      <c r="H118" s="3">
        <v>-5.8500000000000003E-2</v>
      </c>
      <c r="I118">
        <v>-2363.5100000000002</v>
      </c>
      <c r="J118" s="3">
        <v>-6.0400000000000002E-2</v>
      </c>
      <c r="K118">
        <v>23175</v>
      </c>
      <c r="P118" s="2"/>
      <c r="R118" s="2"/>
      <c r="T118" s="3"/>
      <c r="V118" s="3"/>
      <c r="AA118" s="3"/>
      <c r="AB118" s="3"/>
      <c r="AC118" s="3"/>
      <c r="AD118" s="3"/>
    </row>
    <row r="119" spans="1:30" x14ac:dyDescent="0.25">
      <c r="A119" t="s">
        <v>157</v>
      </c>
      <c r="B119" t="s">
        <v>225</v>
      </c>
      <c r="C119" t="s">
        <v>360</v>
      </c>
      <c r="D119" s="2">
        <v>40431</v>
      </c>
      <c r="E119">
        <v>1.674226</v>
      </c>
      <c r="F119" s="2">
        <v>40767</v>
      </c>
      <c r="G119">
        <v>1.185349</v>
      </c>
      <c r="H119" s="3">
        <v>-0.29199999999999998</v>
      </c>
      <c r="I119">
        <v>-11122.59</v>
      </c>
      <c r="J119" s="3">
        <v>-0.29370000000000002</v>
      </c>
      <c r="K119">
        <v>22619</v>
      </c>
      <c r="P119" s="2"/>
      <c r="R119" s="2"/>
      <c r="T119" s="3"/>
      <c r="V119" s="3"/>
      <c r="AA119" s="3"/>
      <c r="AB119" s="3"/>
      <c r="AC119" s="3"/>
      <c r="AD119" s="3"/>
    </row>
    <row r="120" spans="1:30" x14ac:dyDescent="0.25">
      <c r="A120" t="s">
        <v>315</v>
      </c>
      <c r="B120" t="s">
        <v>242</v>
      </c>
      <c r="C120" t="s">
        <v>360</v>
      </c>
      <c r="D120" s="2">
        <v>40284</v>
      </c>
      <c r="E120">
        <v>1.5437479999999999</v>
      </c>
      <c r="F120" s="2">
        <v>40746</v>
      </c>
      <c r="G120">
        <v>1.5992200000000001</v>
      </c>
      <c r="H120" s="3">
        <v>3.5900000000000001E-2</v>
      </c>
      <c r="I120">
        <v>1324.19</v>
      </c>
      <c r="J120" s="3">
        <v>3.39E-2</v>
      </c>
      <c r="K120">
        <v>25305</v>
      </c>
      <c r="P120" s="2"/>
      <c r="R120" s="2"/>
      <c r="T120" s="3"/>
      <c r="V120" s="3"/>
      <c r="AA120" s="3"/>
      <c r="AB120" s="3"/>
      <c r="AC120" s="3"/>
      <c r="AD120" s="3"/>
    </row>
    <row r="121" spans="1:30" x14ac:dyDescent="0.25">
      <c r="A121" t="s">
        <v>322</v>
      </c>
      <c r="B121" t="s">
        <v>263</v>
      </c>
      <c r="C121" t="s">
        <v>360</v>
      </c>
      <c r="D121" s="2">
        <v>40018</v>
      </c>
      <c r="E121">
        <v>8.4166540000000008E-3</v>
      </c>
      <c r="F121" s="2">
        <v>40627</v>
      </c>
      <c r="G121">
        <v>7.9554659999999996E-3</v>
      </c>
      <c r="H121" s="3">
        <v>-5.4800000000000001E-2</v>
      </c>
      <c r="I121">
        <v>-1708.35</v>
      </c>
      <c r="J121" s="3">
        <v>-5.67E-2</v>
      </c>
      <c r="K121">
        <v>3577312</v>
      </c>
      <c r="P121" s="2"/>
      <c r="R121" s="2"/>
      <c r="T121" s="3"/>
      <c r="V121" s="3"/>
      <c r="AA121" s="3"/>
      <c r="AB121" s="3"/>
      <c r="AC121" s="3"/>
      <c r="AD121" s="3"/>
    </row>
    <row r="122" spans="1:30" x14ac:dyDescent="0.25">
      <c r="A122" t="s">
        <v>120</v>
      </c>
      <c r="B122" t="s">
        <v>264</v>
      </c>
      <c r="C122" t="s">
        <v>360</v>
      </c>
      <c r="D122" s="2">
        <v>39920</v>
      </c>
      <c r="E122">
        <v>3.3279519999999998</v>
      </c>
      <c r="F122" s="2">
        <v>40620</v>
      </c>
      <c r="G122">
        <v>7.3467760000000002</v>
      </c>
      <c r="H122" s="3">
        <v>1.2076</v>
      </c>
      <c r="I122">
        <v>33460.03</v>
      </c>
      <c r="J122" s="3">
        <v>1.2043999999999999</v>
      </c>
      <c r="K122">
        <v>8348</v>
      </c>
      <c r="P122" s="2"/>
      <c r="R122" s="2"/>
      <c r="T122" s="3"/>
      <c r="V122" s="3"/>
      <c r="AA122" s="3"/>
      <c r="AB122" s="3"/>
      <c r="AC122" s="3"/>
      <c r="AD122" s="3"/>
    </row>
    <row r="123" spans="1:30" x14ac:dyDescent="0.25">
      <c r="A123" t="s">
        <v>313</v>
      </c>
      <c r="B123" t="s">
        <v>226</v>
      </c>
      <c r="C123" t="s">
        <v>360</v>
      </c>
      <c r="D123" s="2">
        <v>40004</v>
      </c>
      <c r="E123">
        <v>9.4556550000000001</v>
      </c>
      <c r="F123" s="2">
        <v>40515</v>
      </c>
      <c r="G123">
        <v>10.140560000000001</v>
      </c>
      <c r="H123" s="3">
        <v>7.2400000000000006E-2</v>
      </c>
      <c r="I123">
        <v>2025.85</v>
      </c>
      <c r="J123" s="3">
        <v>7.0400000000000004E-2</v>
      </c>
      <c r="K123">
        <v>3045</v>
      </c>
      <c r="P123" s="2"/>
      <c r="R123" s="2"/>
      <c r="T123" s="3"/>
      <c r="V123" s="3"/>
      <c r="AA123" s="3"/>
      <c r="AB123" s="3"/>
      <c r="AC123" s="3"/>
      <c r="AD123" s="3"/>
    </row>
    <row r="124" spans="1:30" x14ac:dyDescent="0.25">
      <c r="A124" t="s">
        <v>314</v>
      </c>
      <c r="B124" t="s">
        <v>232</v>
      </c>
      <c r="C124" t="s">
        <v>360</v>
      </c>
      <c r="D124" s="2">
        <v>40249</v>
      </c>
      <c r="E124">
        <v>1.399022</v>
      </c>
      <c r="F124" s="2">
        <v>40326</v>
      </c>
      <c r="G124">
        <v>1.1423970000000001</v>
      </c>
      <c r="H124" s="3">
        <v>-0.18340000000000001</v>
      </c>
      <c r="I124">
        <v>-7092.87</v>
      </c>
      <c r="J124" s="3">
        <v>-0.1852</v>
      </c>
      <c r="K124">
        <v>27368</v>
      </c>
      <c r="P124" s="2"/>
      <c r="R124" s="2"/>
      <c r="T124" s="3"/>
      <c r="V124" s="3"/>
      <c r="AA124" s="3"/>
      <c r="AB124" s="3"/>
      <c r="AC124" s="3"/>
      <c r="AD124" s="3"/>
    </row>
    <row r="125" spans="1:30" x14ac:dyDescent="0.25">
      <c r="A125" t="s">
        <v>121</v>
      </c>
      <c r="B125" t="s">
        <v>248</v>
      </c>
      <c r="C125" t="s">
        <v>360</v>
      </c>
      <c r="D125" s="2">
        <v>39906</v>
      </c>
      <c r="E125">
        <v>2.557372</v>
      </c>
      <c r="F125" s="2">
        <v>40326</v>
      </c>
      <c r="G125">
        <v>3.4951490000000001</v>
      </c>
      <c r="H125" s="3">
        <v>0.36670000000000003</v>
      </c>
      <c r="I125">
        <v>9771.93</v>
      </c>
      <c r="J125" s="3">
        <v>0.36430000000000001</v>
      </c>
      <c r="K125">
        <v>10488</v>
      </c>
      <c r="P125" s="2"/>
      <c r="R125" s="2"/>
      <c r="T125" s="3"/>
      <c r="V125" s="3"/>
      <c r="AA125" s="3"/>
      <c r="AB125" s="3"/>
      <c r="AC125" s="3"/>
      <c r="AD125" s="3"/>
    </row>
    <row r="126" spans="1:30" x14ac:dyDescent="0.25">
      <c r="A126" t="s">
        <v>323</v>
      </c>
      <c r="B126" t="s">
        <v>265</v>
      </c>
      <c r="C126" t="s">
        <v>360</v>
      </c>
      <c r="D126" s="2">
        <v>40284</v>
      </c>
      <c r="E126">
        <v>2.0479669999999999</v>
      </c>
      <c r="F126" s="2">
        <v>40312</v>
      </c>
      <c r="G126">
        <v>1.8848549999999999</v>
      </c>
      <c r="H126" s="3">
        <v>-7.9600000000000004E-2</v>
      </c>
      <c r="I126">
        <v>-3186.88</v>
      </c>
      <c r="J126" s="3">
        <v>-8.1600000000000006E-2</v>
      </c>
      <c r="K126">
        <v>19078</v>
      </c>
      <c r="P126" s="2"/>
      <c r="R126" s="2"/>
      <c r="T126" s="3"/>
      <c r="V126" s="3"/>
      <c r="AA126" s="3"/>
      <c r="AB126" s="3"/>
      <c r="AC126" s="3"/>
      <c r="AD126" s="3"/>
    </row>
    <row r="127" spans="1:30" x14ac:dyDescent="0.25">
      <c r="A127" t="s">
        <v>324</v>
      </c>
      <c r="B127" t="s">
        <v>266</v>
      </c>
      <c r="C127" t="s">
        <v>360</v>
      </c>
      <c r="D127" s="2">
        <v>40249</v>
      </c>
      <c r="E127">
        <v>1.7383439999999999</v>
      </c>
      <c r="F127" s="2">
        <v>40312</v>
      </c>
      <c r="G127">
        <v>1.3906750000000001</v>
      </c>
      <c r="H127" s="3">
        <v>-0.2</v>
      </c>
      <c r="I127">
        <v>-7727.73</v>
      </c>
      <c r="J127" s="3">
        <v>-0.20180000000000001</v>
      </c>
      <c r="K127">
        <v>22029</v>
      </c>
      <c r="P127" s="2"/>
      <c r="R127" s="2"/>
      <c r="T127" s="3"/>
      <c r="V127" s="3"/>
      <c r="AA127" s="3"/>
      <c r="AB127" s="3"/>
      <c r="AC127" s="3"/>
      <c r="AD127" s="3"/>
    </row>
    <row r="128" spans="1:30" x14ac:dyDescent="0.25">
      <c r="A128" t="s">
        <v>84</v>
      </c>
      <c r="B128" t="s">
        <v>239</v>
      </c>
      <c r="C128" t="s">
        <v>360</v>
      </c>
      <c r="D128" s="2">
        <v>40178</v>
      </c>
      <c r="E128">
        <v>3.8469989999999998</v>
      </c>
      <c r="F128" s="2">
        <v>40312</v>
      </c>
      <c r="G128">
        <v>3.9406300000000001</v>
      </c>
      <c r="H128" s="3">
        <v>2.4299999999999999E-2</v>
      </c>
      <c r="I128">
        <v>841.61</v>
      </c>
      <c r="J128" s="3">
        <v>2.23E-2</v>
      </c>
      <c r="K128">
        <v>9804</v>
      </c>
      <c r="P128" s="2"/>
      <c r="R128" s="2"/>
      <c r="T128" s="3"/>
      <c r="V128" s="3"/>
      <c r="AA128" s="3"/>
      <c r="AB128" s="3"/>
      <c r="AC128" s="3"/>
      <c r="AD128" s="3"/>
    </row>
    <row r="129" spans="1:30" x14ac:dyDescent="0.25">
      <c r="A129" t="s">
        <v>165</v>
      </c>
      <c r="B129" t="s">
        <v>267</v>
      </c>
      <c r="C129" t="s">
        <v>360</v>
      </c>
      <c r="D129" s="2">
        <v>39912</v>
      </c>
      <c r="E129">
        <v>6.8492280000000001</v>
      </c>
      <c r="F129" s="2">
        <v>40312</v>
      </c>
      <c r="G129">
        <v>9.5499779999999994</v>
      </c>
      <c r="H129" s="3">
        <v>0.39429999999999998</v>
      </c>
      <c r="I129">
        <v>10758.89</v>
      </c>
      <c r="J129" s="3">
        <v>0.39190000000000003</v>
      </c>
      <c r="K129">
        <v>4008</v>
      </c>
      <c r="P129" s="2"/>
      <c r="R129" s="2"/>
      <c r="T129" s="3"/>
      <c r="V129" s="3"/>
      <c r="AA129" s="3"/>
      <c r="AB129" s="3"/>
      <c r="AC129" s="3"/>
      <c r="AD129" s="3"/>
    </row>
    <row r="130" spans="1:30" x14ac:dyDescent="0.25">
      <c r="A130" t="s">
        <v>111</v>
      </c>
      <c r="B130" t="s">
        <v>194</v>
      </c>
      <c r="C130" t="s">
        <v>360</v>
      </c>
      <c r="D130" s="2">
        <v>39912</v>
      </c>
      <c r="E130">
        <v>8.3161769999999997</v>
      </c>
      <c r="F130" s="2">
        <v>40312</v>
      </c>
      <c r="G130">
        <v>9.5746590000000005</v>
      </c>
      <c r="H130" s="3">
        <v>0.15129999999999999</v>
      </c>
      <c r="I130">
        <v>4096.43</v>
      </c>
      <c r="J130" s="3">
        <v>0.1492</v>
      </c>
      <c r="K130">
        <v>3302</v>
      </c>
      <c r="P130" s="2"/>
      <c r="R130" s="2"/>
      <c r="T130" s="3"/>
      <c r="V130" s="3"/>
      <c r="AA130" s="3"/>
      <c r="AB130" s="3"/>
      <c r="AC130" s="3"/>
      <c r="AD130" s="3"/>
    </row>
    <row r="131" spans="1:30" x14ac:dyDescent="0.25">
      <c r="A131" t="s">
        <v>21</v>
      </c>
      <c r="B131" t="s">
        <v>249</v>
      </c>
      <c r="C131" t="s">
        <v>360</v>
      </c>
      <c r="D131" s="2">
        <v>39920</v>
      </c>
      <c r="E131">
        <v>2.4324940000000002</v>
      </c>
      <c r="F131" s="2">
        <v>40269</v>
      </c>
      <c r="G131">
        <v>3.7392889999999999</v>
      </c>
      <c r="H131" s="3">
        <v>0.53720000000000001</v>
      </c>
      <c r="I131">
        <v>14850.52</v>
      </c>
      <c r="J131" s="3">
        <v>0.53469999999999995</v>
      </c>
      <c r="K131">
        <v>11418</v>
      </c>
      <c r="P131" s="2"/>
      <c r="R131" s="2"/>
      <c r="T131" s="3"/>
      <c r="V131" s="3"/>
      <c r="AA131" s="3"/>
      <c r="AB131" s="3"/>
      <c r="AC131" s="3"/>
      <c r="AD131" s="3"/>
    </row>
    <row r="132" spans="1:30" x14ac:dyDescent="0.25">
      <c r="A132" t="s">
        <v>122</v>
      </c>
      <c r="B132" t="s">
        <v>268</v>
      </c>
      <c r="C132" t="s">
        <v>360</v>
      </c>
      <c r="D132" s="2">
        <v>39920</v>
      </c>
      <c r="E132">
        <v>0.32983780000000001</v>
      </c>
      <c r="F132" s="2">
        <v>40214</v>
      </c>
      <c r="G132">
        <v>0.34119969999999999</v>
      </c>
      <c r="H132" s="3">
        <v>3.44E-2</v>
      </c>
      <c r="I132">
        <v>900.15</v>
      </c>
      <c r="J132" s="3">
        <v>3.2399999999999998E-2</v>
      </c>
      <c r="K132">
        <v>84198</v>
      </c>
      <c r="P132" s="2"/>
      <c r="R132" s="2"/>
      <c r="T132" s="3"/>
      <c r="V132" s="3"/>
      <c r="AA132" s="3"/>
      <c r="AB132" s="3"/>
      <c r="AC132" s="3"/>
      <c r="AD132" s="3"/>
    </row>
    <row r="133" spans="1:30" x14ac:dyDescent="0.25">
      <c r="A133" t="s">
        <v>325</v>
      </c>
      <c r="B133" t="s">
        <v>269</v>
      </c>
      <c r="C133" t="s">
        <v>360</v>
      </c>
      <c r="D133" s="2">
        <v>39906</v>
      </c>
      <c r="E133">
        <v>2.4935550000000002</v>
      </c>
      <c r="F133" s="2">
        <v>40214</v>
      </c>
      <c r="G133">
        <v>4.0538780000000001</v>
      </c>
      <c r="H133" s="3">
        <v>0.62570000000000003</v>
      </c>
      <c r="I133">
        <v>16715.52</v>
      </c>
      <c r="J133" s="3">
        <v>0.62309999999999999</v>
      </c>
      <c r="K133">
        <v>10758</v>
      </c>
      <c r="P133" s="2"/>
      <c r="R133" s="2"/>
      <c r="T133" s="3"/>
      <c r="V133" s="3"/>
      <c r="AA133" s="3"/>
      <c r="AB133" s="3"/>
      <c r="AC133" s="3"/>
      <c r="AD133" s="3"/>
    </row>
    <row r="134" spans="1:30" x14ac:dyDescent="0.25">
      <c r="A134" t="s">
        <v>116</v>
      </c>
      <c r="B134" t="s">
        <v>244</v>
      </c>
      <c r="C134" t="s">
        <v>360</v>
      </c>
      <c r="D134" s="2">
        <v>40178</v>
      </c>
      <c r="E134">
        <v>0.32037589999999999</v>
      </c>
      <c r="F134" s="2">
        <v>40214</v>
      </c>
      <c r="G134">
        <v>0.30976110000000001</v>
      </c>
      <c r="H134" s="3">
        <v>-3.3099999999999997E-2</v>
      </c>
      <c r="I134">
        <v>-1323.61</v>
      </c>
      <c r="J134" s="3">
        <v>-3.5099999999999999E-2</v>
      </c>
      <c r="K134">
        <v>117707</v>
      </c>
      <c r="P134" s="2"/>
      <c r="R134" s="2"/>
      <c r="T134" s="3"/>
      <c r="V134" s="3"/>
      <c r="AA134" s="3"/>
      <c r="AB134" s="3"/>
      <c r="AC134" s="3"/>
      <c r="AD134" s="3"/>
    </row>
    <row r="135" spans="1:30" x14ac:dyDescent="0.25">
      <c r="A135" t="s">
        <v>326</v>
      </c>
      <c r="B135" t="s">
        <v>270</v>
      </c>
      <c r="C135" t="s">
        <v>360</v>
      </c>
      <c r="D135" s="2">
        <v>39920</v>
      </c>
      <c r="E135">
        <v>10.78767</v>
      </c>
      <c r="F135" s="2">
        <v>40157</v>
      </c>
      <c r="G135">
        <v>16.86</v>
      </c>
      <c r="H135" s="3">
        <v>0.56289999999999996</v>
      </c>
      <c r="I135">
        <v>15565.06</v>
      </c>
      <c r="J135" s="3">
        <v>0.56030000000000002</v>
      </c>
      <c r="K135">
        <v>2575</v>
      </c>
      <c r="P135" s="2"/>
      <c r="R135" s="2"/>
      <c r="T135" s="3"/>
      <c r="V135" s="3"/>
      <c r="AA135" s="3"/>
      <c r="AB135" s="3"/>
      <c r="AC135" s="3"/>
      <c r="AD135" s="3"/>
    </row>
    <row r="136" spans="1:30" x14ac:dyDescent="0.25">
      <c r="A136" t="s">
        <v>327</v>
      </c>
      <c r="B136" t="s">
        <v>271</v>
      </c>
      <c r="C136" t="s">
        <v>360</v>
      </c>
      <c r="D136" s="2">
        <v>40018</v>
      </c>
      <c r="E136">
        <v>1.592592</v>
      </c>
      <c r="F136" s="2">
        <v>40151</v>
      </c>
      <c r="G136">
        <v>1.6050549999999999</v>
      </c>
      <c r="H136" s="3">
        <v>7.7999999999999996E-3</v>
      </c>
      <c r="I136">
        <v>175.13</v>
      </c>
      <c r="J136" s="3">
        <v>5.7999999999999996E-3</v>
      </c>
      <c r="K136">
        <v>18902</v>
      </c>
      <c r="P136" s="2"/>
      <c r="R136" s="2"/>
      <c r="T136" s="3"/>
      <c r="V136" s="3"/>
      <c r="AA136" s="3"/>
      <c r="AB136" s="3"/>
      <c r="AC136" s="3"/>
      <c r="AD136" s="3"/>
    </row>
    <row r="137" spans="1:30" x14ac:dyDescent="0.25">
      <c r="A137" t="s">
        <v>328</v>
      </c>
      <c r="B137" t="s">
        <v>272</v>
      </c>
      <c r="C137" t="s">
        <v>360</v>
      </c>
      <c r="D137" s="2">
        <v>39912</v>
      </c>
      <c r="E137">
        <v>0.90903460000000003</v>
      </c>
      <c r="F137" s="2">
        <v>40151</v>
      </c>
      <c r="G137">
        <v>1.225848</v>
      </c>
      <c r="H137" s="3">
        <v>0.34849999999999998</v>
      </c>
      <c r="I137">
        <v>9507.3799999999992</v>
      </c>
      <c r="J137" s="3">
        <v>0.34620000000000001</v>
      </c>
      <c r="K137">
        <v>30213</v>
      </c>
      <c r="P137" s="2"/>
      <c r="R137" s="2"/>
      <c r="T137" s="3"/>
      <c r="V137" s="3"/>
      <c r="AA137" s="3"/>
      <c r="AB137" s="3"/>
      <c r="AC137" s="3"/>
      <c r="AD137" s="3"/>
    </row>
    <row r="138" spans="1:30" x14ac:dyDescent="0.25">
      <c r="A138" t="s">
        <v>127</v>
      </c>
      <c r="B138" t="s">
        <v>191</v>
      </c>
      <c r="C138" t="s">
        <v>360</v>
      </c>
      <c r="D138" s="2">
        <v>39909</v>
      </c>
      <c r="E138">
        <v>0.36048730000000001</v>
      </c>
      <c r="F138" s="2">
        <v>40011</v>
      </c>
      <c r="G138">
        <v>0.4566172</v>
      </c>
      <c r="H138" s="3">
        <v>0.26669999999999999</v>
      </c>
      <c r="I138">
        <v>7130.16</v>
      </c>
      <c r="J138" s="3">
        <v>0.26440000000000002</v>
      </c>
      <c r="K138">
        <v>74808</v>
      </c>
      <c r="P138" s="2"/>
      <c r="R138" s="2"/>
      <c r="T138" s="3"/>
      <c r="V138" s="3"/>
      <c r="AA138" s="3"/>
      <c r="AB138" s="3"/>
      <c r="AC138" s="3"/>
      <c r="AD138" s="3"/>
    </row>
    <row r="139" spans="1:30" x14ac:dyDescent="0.25">
      <c r="A139" t="s">
        <v>128</v>
      </c>
      <c r="B139" t="s">
        <v>174</v>
      </c>
      <c r="C139" t="s">
        <v>360</v>
      </c>
      <c r="D139" s="2">
        <v>39906</v>
      </c>
      <c r="E139">
        <v>3.5099119999999999</v>
      </c>
      <c r="F139" s="2">
        <v>40011</v>
      </c>
      <c r="G139">
        <v>4.4283539999999997</v>
      </c>
      <c r="H139" s="3">
        <v>0.26169999999999999</v>
      </c>
      <c r="I139">
        <v>6956.25</v>
      </c>
      <c r="J139" s="3">
        <v>0.25940000000000002</v>
      </c>
      <c r="K139">
        <v>7640</v>
      </c>
      <c r="P139" s="2"/>
      <c r="R139" s="2"/>
      <c r="T139" s="3"/>
      <c r="V139" s="3"/>
      <c r="AA139" s="3"/>
      <c r="AB139" s="3"/>
      <c r="AC139" s="3"/>
      <c r="AD139" s="3"/>
    </row>
    <row r="140" spans="1:30" x14ac:dyDescent="0.25">
      <c r="A140" t="s">
        <v>329</v>
      </c>
      <c r="B140" t="s">
        <v>273</v>
      </c>
      <c r="C140" t="s">
        <v>360</v>
      </c>
      <c r="D140" s="2">
        <v>39912</v>
      </c>
      <c r="E140">
        <v>1.9159870000000001</v>
      </c>
      <c r="F140" s="2">
        <v>40000</v>
      </c>
      <c r="G140">
        <v>2.63117</v>
      </c>
      <c r="H140" s="3">
        <v>0.37330000000000002</v>
      </c>
      <c r="I140">
        <v>10188.4</v>
      </c>
      <c r="J140" s="3">
        <v>0.37090000000000001</v>
      </c>
      <c r="K140">
        <v>14337</v>
      </c>
      <c r="P140" s="2"/>
      <c r="R140" s="2"/>
      <c r="T140" s="3"/>
      <c r="V140" s="3"/>
      <c r="AA140" s="3"/>
      <c r="AB140" s="3"/>
      <c r="AC140" s="3"/>
      <c r="AD140" s="3"/>
    </row>
    <row r="141" spans="1:30" x14ac:dyDescent="0.25">
      <c r="A141" t="s">
        <v>147</v>
      </c>
      <c r="B141" t="s">
        <v>178</v>
      </c>
      <c r="C141" t="s">
        <v>360</v>
      </c>
      <c r="D141" s="2">
        <v>39395</v>
      </c>
      <c r="E141">
        <v>1.641562</v>
      </c>
      <c r="F141" s="2">
        <v>39738</v>
      </c>
      <c r="G141">
        <v>1.484661</v>
      </c>
      <c r="H141" s="3">
        <v>-9.5600000000000004E-2</v>
      </c>
      <c r="I141">
        <v>-2856.97</v>
      </c>
      <c r="J141" s="3">
        <v>-9.7500000000000003E-2</v>
      </c>
      <c r="K141">
        <v>17853</v>
      </c>
      <c r="P141" s="2"/>
      <c r="R141" s="2"/>
      <c r="T141" s="3"/>
      <c r="V141" s="3"/>
      <c r="AA141" s="3"/>
      <c r="AB141" s="3"/>
      <c r="AC141" s="3"/>
      <c r="AD141" s="3"/>
    </row>
    <row r="142" spans="1:30" x14ac:dyDescent="0.25">
      <c r="A142" t="s">
        <v>113</v>
      </c>
      <c r="B142" t="s">
        <v>241</v>
      </c>
      <c r="C142" t="s">
        <v>360</v>
      </c>
      <c r="D142" s="2">
        <v>39590</v>
      </c>
      <c r="E142">
        <v>11.697279999999999</v>
      </c>
      <c r="F142" s="2">
        <v>39640</v>
      </c>
      <c r="G142">
        <v>9.8938769999999998</v>
      </c>
      <c r="H142" s="3">
        <v>-0.1542</v>
      </c>
      <c r="I142">
        <v>-4432.8999999999996</v>
      </c>
      <c r="J142" s="3">
        <v>-0.156</v>
      </c>
      <c r="K142">
        <v>2429</v>
      </c>
      <c r="P142" s="2"/>
      <c r="R142" s="2"/>
      <c r="T142" s="3"/>
      <c r="V142" s="3"/>
      <c r="AA142" s="3"/>
      <c r="AB142" s="3"/>
      <c r="AC142" s="3"/>
      <c r="AD142" s="3"/>
    </row>
    <row r="143" spans="1:30" x14ac:dyDescent="0.25">
      <c r="A143" t="s">
        <v>102</v>
      </c>
      <c r="B143" t="s">
        <v>274</v>
      </c>
      <c r="C143" t="s">
        <v>360</v>
      </c>
      <c r="D143" s="2">
        <v>39339</v>
      </c>
      <c r="E143">
        <v>18.444199999999999</v>
      </c>
      <c r="F143" s="2">
        <v>39640</v>
      </c>
      <c r="G143">
        <v>23.905419999999999</v>
      </c>
      <c r="H143" s="3">
        <v>0.29609999999999997</v>
      </c>
      <c r="I143">
        <v>8697.2900000000009</v>
      </c>
      <c r="J143" s="3">
        <v>0.29380000000000001</v>
      </c>
      <c r="K143">
        <v>1605</v>
      </c>
      <c r="P143" s="2"/>
      <c r="R143" s="2"/>
      <c r="T143" s="3"/>
      <c r="V143" s="3"/>
      <c r="AA143" s="3"/>
      <c r="AB143" s="3"/>
      <c r="AC143" s="3"/>
      <c r="AD143" s="3"/>
    </row>
    <row r="144" spans="1:30" x14ac:dyDescent="0.25">
      <c r="A144" t="s">
        <v>134</v>
      </c>
      <c r="B144" t="s">
        <v>275</v>
      </c>
      <c r="C144" t="s">
        <v>360</v>
      </c>
      <c r="D144" s="2">
        <v>39591</v>
      </c>
      <c r="E144">
        <v>2.1451760000000002</v>
      </c>
      <c r="F144" s="2">
        <v>39633</v>
      </c>
      <c r="G144">
        <v>1.7190460000000001</v>
      </c>
      <c r="H144" s="3">
        <v>-0.1986</v>
      </c>
      <c r="I144">
        <v>-5687.53</v>
      </c>
      <c r="J144" s="3">
        <v>-0.20039999999999999</v>
      </c>
      <c r="K144">
        <v>13227</v>
      </c>
      <c r="P144" s="2"/>
      <c r="R144" s="2"/>
      <c r="T144" s="3"/>
      <c r="V144" s="3"/>
      <c r="AA144" s="3"/>
      <c r="AB144" s="3"/>
      <c r="AC144" s="3"/>
      <c r="AD144" s="3"/>
    </row>
    <row r="145" spans="1:30" x14ac:dyDescent="0.25">
      <c r="A145" t="s">
        <v>330</v>
      </c>
      <c r="B145" t="s">
        <v>276</v>
      </c>
      <c r="C145" t="s">
        <v>360</v>
      </c>
      <c r="D145" s="2">
        <v>39577</v>
      </c>
      <c r="E145">
        <v>1.2958229999999999</v>
      </c>
      <c r="F145" s="2">
        <v>39626</v>
      </c>
      <c r="G145">
        <v>1.153551</v>
      </c>
      <c r="H145" s="3">
        <v>-0.10979999999999999</v>
      </c>
      <c r="I145">
        <v>-3157.68</v>
      </c>
      <c r="J145" s="3">
        <v>-0.11169999999999999</v>
      </c>
      <c r="K145">
        <v>21819</v>
      </c>
      <c r="P145" s="2"/>
      <c r="R145" s="2"/>
      <c r="T145" s="3"/>
      <c r="V145" s="3"/>
      <c r="AA145" s="3"/>
      <c r="AB145" s="3"/>
      <c r="AC145" s="3"/>
      <c r="AD145" s="3"/>
    </row>
    <row r="146" spans="1:30" x14ac:dyDescent="0.25">
      <c r="A146" t="s">
        <v>328</v>
      </c>
      <c r="B146" t="s">
        <v>272</v>
      </c>
      <c r="C146" t="s">
        <v>360</v>
      </c>
      <c r="D146" s="2">
        <v>39612</v>
      </c>
      <c r="E146">
        <v>1.390118</v>
      </c>
      <c r="F146" s="2">
        <v>39619</v>
      </c>
      <c r="G146">
        <v>1.159756</v>
      </c>
      <c r="H146" s="3">
        <v>-0.16569999999999999</v>
      </c>
      <c r="I146">
        <v>-4708.3100000000004</v>
      </c>
      <c r="J146" s="3">
        <v>-0.16750000000000001</v>
      </c>
      <c r="K146">
        <v>20215</v>
      </c>
      <c r="P146" s="2"/>
      <c r="R146" s="2"/>
      <c r="T146" s="3"/>
      <c r="V146" s="3"/>
      <c r="AA146" s="3"/>
      <c r="AB146" s="3"/>
      <c r="AC146" s="3"/>
      <c r="AD146" s="3"/>
    </row>
    <row r="147" spans="1:30" x14ac:dyDescent="0.25">
      <c r="A147" t="s">
        <v>312</v>
      </c>
      <c r="B147" t="s">
        <v>223</v>
      </c>
      <c r="C147" t="s">
        <v>360</v>
      </c>
      <c r="D147" s="2">
        <v>38968</v>
      </c>
      <c r="E147">
        <v>0.48757850000000003</v>
      </c>
      <c r="F147" s="2">
        <v>39527</v>
      </c>
      <c r="G147">
        <v>0.50376240000000005</v>
      </c>
      <c r="H147" s="3">
        <v>3.32E-2</v>
      </c>
      <c r="I147">
        <v>737.07</v>
      </c>
      <c r="J147" s="3">
        <v>3.1199999999999999E-2</v>
      </c>
      <c r="K147">
        <v>48515</v>
      </c>
      <c r="P147" s="2"/>
      <c r="R147" s="2"/>
      <c r="T147" s="3"/>
      <c r="V147" s="3"/>
      <c r="AA147" s="3"/>
      <c r="AB147" s="3"/>
      <c r="AC147" s="3"/>
      <c r="AD147" s="3"/>
    </row>
    <row r="148" spans="1:30" x14ac:dyDescent="0.25">
      <c r="A148" t="s">
        <v>331</v>
      </c>
      <c r="B148" t="s">
        <v>277</v>
      </c>
      <c r="C148" t="s">
        <v>360</v>
      </c>
      <c r="D148" s="2">
        <v>36686</v>
      </c>
      <c r="E148">
        <v>0.36021720000000002</v>
      </c>
      <c r="F148" s="2">
        <v>39507</v>
      </c>
      <c r="G148">
        <v>0.88336230000000004</v>
      </c>
      <c r="H148" s="3">
        <v>1.4522999999999999</v>
      </c>
      <c r="I148">
        <v>11027.78</v>
      </c>
      <c r="J148" s="3">
        <v>1.4489000000000001</v>
      </c>
      <c r="K148">
        <v>21130</v>
      </c>
      <c r="P148" s="2"/>
      <c r="R148" s="2"/>
      <c r="T148" s="3"/>
      <c r="V148" s="3"/>
      <c r="AA148" s="3"/>
      <c r="AB148" s="3"/>
      <c r="AC148" s="3"/>
      <c r="AD148" s="3"/>
    </row>
    <row r="149" spans="1:30" x14ac:dyDescent="0.25">
      <c r="A149" t="s">
        <v>166</v>
      </c>
      <c r="B149" t="s">
        <v>278</v>
      </c>
      <c r="C149" t="s">
        <v>360</v>
      </c>
      <c r="D149" s="2">
        <v>39052</v>
      </c>
      <c r="E149">
        <v>1.8614169999999999E-2</v>
      </c>
      <c r="F149" s="2">
        <v>39500</v>
      </c>
      <c r="G149">
        <v>2.1133119999999998E-2</v>
      </c>
      <c r="H149" s="3">
        <v>0.1353</v>
      </c>
      <c r="I149">
        <v>3466.98</v>
      </c>
      <c r="J149" s="3">
        <v>0.13320000000000001</v>
      </c>
      <c r="K149">
        <v>1398424</v>
      </c>
      <c r="P149" s="2"/>
      <c r="R149" s="2"/>
      <c r="T149" s="3"/>
      <c r="V149" s="3"/>
      <c r="AA149" s="3"/>
      <c r="AB149" s="3"/>
      <c r="AC149" s="3"/>
      <c r="AD149" s="3"/>
    </row>
    <row r="150" spans="1:30" x14ac:dyDescent="0.25">
      <c r="A150" t="s">
        <v>113</v>
      </c>
      <c r="B150" t="s">
        <v>241</v>
      </c>
      <c r="C150" t="s">
        <v>360</v>
      </c>
      <c r="D150" s="2">
        <v>39423</v>
      </c>
      <c r="E150">
        <v>12.1972</v>
      </c>
      <c r="F150" s="2">
        <v>39472</v>
      </c>
      <c r="G150">
        <v>9.8273949999999992</v>
      </c>
      <c r="H150" s="3">
        <v>-0.1943</v>
      </c>
      <c r="I150">
        <v>-5714.07</v>
      </c>
      <c r="J150" s="3">
        <v>-0.1961</v>
      </c>
      <c r="K150">
        <v>2389</v>
      </c>
      <c r="P150" s="2"/>
      <c r="R150" s="2"/>
      <c r="T150" s="3"/>
      <c r="V150" s="3"/>
      <c r="AA150" s="3"/>
      <c r="AB150" s="3"/>
      <c r="AC150" s="3"/>
      <c r="AD150" s="3"/>
    </row>
    <row r="151" spans="1:30" x14ac:dyDescent="0.25">
      <c r="A151" t="s">
        <v>132</v>
      </c>
      <c r="B151" t="s">
        <v>231</v>
      </c>
      <c r="C151" t="s">
        <v>360</v>
      </c>
      <c r="D151" s="2">
        <v>36630</v>
      </c>
      <c r="E151">
        <v>1.888166</v>
      </c>
      <c r="F151" s="2">
        <v>39437</v>
      </c>
      <c r="G151">
        <v>5.11144</v>
      </c>
      <c r="H151" s="3">
        <v>1.7071000000000001</v>
      </c>
      <c r="I151">
        <v>13556.6</v>
      </c>
      <c r="J151" s="3">
        <v>1.7034</v>
      </c>
      <c r="K151">
        <v>4215</v>
      </c>
      <c r="P151" s="2"/>
      <c r="R151" s="2"/>
      <c r="T151" s="3"/>
      <c r="V151" s="3"/>
      <c r="AA151" s="3"/>
      <c r="AB151" s="3"/>
      <c r="AC151" s="3"/>
      <c r="AD151" s="3"/>
    </row>
    <row r="152" spans="1:30" x14ac:dyDescent="0.25">
      <c r="A152" t="s">
        <v>113</v>
      </c>
      <c r="B152" t="s">
        <v>241</v>
      </c>
      <c r="C152" t="s">
        <v>360</v>
      </c>
      <c r="D152" s="2">
        <v>37855</v>
      </c>
      <c r="E152">
        <v>5.4490590000000001</v>
      </c>
      <c r="F152" s="2">
        <v>39318</v>
      </c>
      <c r="G152">
        <v>10.36237</v>
      </c>
      <c r="H152" s="3">
        <v>0.90169999999999995</v>
      </c>
      <c r="I152">
        <v>10970.4</v>
      </c>
      <c r="J152" s="3">
        <v>0.89880000000000004</v>
      </c>
      <c r="K152">
        <v>2240</v>
      </c>
      <c r="P152" s="2"/>
      <c r="R152" s="2"/>
      <c r="T152" s="3"/>
      <c r="V152" s="3"/>
      <c r="AA152" s="3"/>
      <c r="AB152" s="3"/>
      <c r="AC152" s="3"/>
      <c r="AD152" s="3"/>
    </row>
    <row r="153" spans="1:30" x14ac:dyDescent="0.25">
      <c r="A153" t="s">
        <v>120</v>
      </c>
      <c r="B153" t="s">
        <v>264</v>
      </c>
      <c r="C153" t="s">
        <v>360</v>
      </c>
      <c r="D153" s="2">
        <v>38681</v>
      </c>
      <c r="E153">
        <v>2.9536440000000002</v>
      </c>
      <c r="F153" s="2">
        <v>39318</v>
      </c>
      <c r="G153">
        <v>3.7269049999999999</v>
      </c>
      <c r="H153" s="3">
        <v>0.26179999999999998</v>
      </c>
      <c r="I153">
        <v>5425.09</v>
      </c>
      <c r="J153" s="3">
        <v>0.25950000000000001</v>
      </c>
      <c r="K153">
        <v>7077</v>
      </c>
      <c r="P153" s="2"/>
      <c r="R153" s="2"/>
      <c r="T153" s="3"/>
      <c r="V153" s="3"/>
      <c r="AA153" s="3"/>
      <c r="AB153" s="3"/>
      <c r="AC153" s="3"/>
      <c r="AD153" s="3"/>
    </row>
    <row r="154" spans="1:30" x14ac:dyDescent="0.25">
      <c r="A154" t="s">
        <v>167</v>
      </c>
      <c r="B154" t="s">
        <v>279</v>
      </c>
      <c r="C154" t="s">
        <v>360</v>
      </c>
      <c r="D154" s="2">
        <v>38016</v>
      </c>
      <c r="E154">
        <v>1.4870399999999999</v>
      </c>
      <c r="F154" s="2">
        <v>39318</v>
      </c>
      <c r="G154">
        <v>2.8600249999999998</v>
      </c>
      <c r="H154" s="3">
        <v>0.92330000000000001</v>
      </c>
      <c r="I154">
        <v>11057.23</v>
      </c>
      <c r="J154" s="3">
        <v>0.9204</v>
      </c>
      <c r="K154">
        <v>8079</v>
      </c>
      <c r="P154" s="2"/>
      <c r="R154" s="2"/>
      <c r="T154" s="3"/>
      <c r="V154" s="3"/>
      <c r="AA154" s="3"/>
      <c r="AB154" s="3"/>
      <c r="AC154" s="3"/>
      <c r="AD154" s="3"/>
    </row>
    <row r="155" spans="1:30" x14ac:dyDescent="0.25">
      <c r="A155" t="s">
        <v>332</v>
      </c>
      <c r="B155" t="s">
        <v>280</v>
      </c>
      <c r="C155" t="s">
        <v>360</v>
      </c>
      <c r="D155" s="2">
        <v>37979</v>
      </c>
      <c r="E155">
        <v>1.1629689999999999</v>
      </c>
      <c r="F155" s="2">
        <v>39318</v>
      </c>
      <c r="G155">
        <v>5.2215769999999999</v>
      </c>
      <c r="H155" s="3">
        <v>3.4899</v>
      </c>
      <c r="I155">
        <v>40980.14</v>
      </c>
      <c r="J155" s="3">
        <v>3.4843999999999999</v>
      </c>
      <c r="K155">
        <v>10113</v>
      </c>
      <c r="P155" s="2"/>
      <c r="R155" s="2"/>
      <c r="T155" s="3"/>
      <c r="V155" s="3"/>
      <c r="AA155" s="3"/>
      <c r="AB155" s="3"/>
      <c r="AC155" s="3"/>
      <c r="AD155" s="3"/>
    </row>
    <row r="156" spans="1:30" x14ac:dyDescent="0.25">
      <c r="A156" t="s">
        <v>333</v>
      </c>
      <c r="B156" t="s">
        <v>281</v>
      </c>
      <c r="C156" t="s">
        <v>360</v>
      </c>
      <c r="D156" s="2">
        <v>38366</v>
      </c>
      <c r="E156">
        <v>0.98294490000000001</v>
      </c>
      <c r="F156" s="2">
        <v>39304</v>
      </c>
      <c r="G156">
        <v>0.81349309999999997</v>
      </c>
      <c r="H156" s="3">
        <v>-0.1724</v>
      </c>
      <c r="I156">
        <v>-2988.97</v>
      </c>
      <c r="J156" s="3">
        <v>-0.17419999999999999</v>
      </c>
      <c r="K156">
        <v>17454</v>
      </c>
      <c r="P156" s="2"/>
      <c r="R156" s="2"/>
      <c r="T156" s="3"/>
      <c r="V156" s="3"/>
      <c r="AA156" s="3"/>
      <c r="AB156" s="3"/>
      <c r="AC156" s="3"/>
      <c r="AD156" s="3"/>
    </row>
    <row r="157" spans="1:30" x14ac:dyDescent="0.25">
      <c r="A157" t="s">
        <v>334</v>
      </c>
      <c r="B157" t="s">
        <v>282</v>
      </c>
      <c r="C157" t="s">
        <v>360</v>
      </c>
      <c r="D157" s="2">
        <v>38961</v>
      </c>
      <c r="E157">
        <v>1.2317530000000001</v>
      </c>
      <c r="F157" s="2">
        <v>39297</v>
      </c>
      <c r="G157">
        <v>2.0048979999999998</v>
      </c>
      <c r="H157" s="3">
        <v>0.62770000000000004</v>
      </c>
      <c r="I157">
        <v>14606.7</v>
      </c>
      <c r="J157" s="3">
        <v>0.62509999999999999</v>
      </c>
      <c r="K157">
        <v>18972</v>
      </c>
      <c r="P157" s="2"/>
      <c r="R157" s="2"/>
      <c r="T157" s="3"/>
      <c r="V157" s="3"/>
      <c r="AA157" s="3"/>
      <c r="AB157" s="3"/>
      <c r="AC157" s="3"/>
      <c r="AD157" s="3"/>
    </row>
    <row r="158" spans="1:30" x14ac:dyDescent="0.25">
      <c r="A158" t="s">
        <v>335</v>
      </c>
      <c r="B158" t="s">
        <v>283</v>
      </c>
      <c r="C158" t="s">
        <v>360</v>
      </c>
      <c r="D158" s="2">
        <v>38968</v>
      </c>
      <c r="E158">
        <v>1.5682849999999999</v>
      </c>
      <c r="F158" s="2">
        <v>39297</v>
      </c>
      <c r="G158">
        <v>2.915343</v>
      </c>
      <c r="H158" s="3">
        <v>0.8589</v>
      </c>
      <c r="I158">
        <v>20252.73</v>
      </c>
      <c r="J158" s="3">
        <v>0.85609999999999997</v>
      </c>
      <c r="K158">
        <v>15085</v>
      </c>
      <c r="P158" s="2"/>
      <c r="R158" s="2"/>
      <c r="T158" s="3"/>
      <c r="V158" s="3"/>
      <c r="AA158" s="3"/>
      <c r="AB158" s="3"/>
      <c r="AC158" s="3"/>
      <c r="AD158" s="3"/>
    </row>
    <row r="159" spans="1:30" x14ac:dyDescent="0.25">
      <c r="A159" t="s">
        <v>168</v>
      </c>
      <c r="B159" t="s">
        <v>284</v>
      </c>
      <c r="C159" t="s">
        <v>360</v>
      </c>
      <c r="D159" s="2">
        <v>38702</v>
      </c>
      <c r="E159">
        <v>8.9097229999999996</v>
      </c>
      <c r="F159" s="2">
        <v>39283</v>
      </c>
      <c r="G159">
        <v>13.72959</v>
      </c>
      <c r="H159" s="3">
        <v>0.54100000000000004</v>
      </c>
      <c r="I159">
        <v>11225.52</v>
      </c>
      <c r="J159" s="3">
        <v>0.53839999999999999</v>
      </c>
      <c r="K159">
        <v>2340</v>
      </c>
      <c r="P159" s="2"/>
      <c r="R159" s="2"/>
      <c r="T159" s="3"/>
      <c r="V159" s="3"/>
      <c r="AA159" s="3"/>
      <c r="AB159" s="3"/>
      <c r="AC159" s="3"/>
      <c r="AD159" s="3"/>
    </row>
    <row r="160" spans="1:30" x14ac:dyDescent="0.25">
      <c r="A160" t="s">
        <v>336</v>
      </c>
      <c r="B160" t="s">
        <v>285</v>
      </c>
      <c r="C160" t="s">
        <v>360</v>
      </c>
      <c r="D160" s="2">
        <v>38513</v>
      </c>
      <c r="E160">
        <v>2.2765909999999998</v>
      </c>
      <c r="F160" s="2">
        <v>39035</v>
      </c>
      <c r="G160">
        <v>2.99</v>
      </c>
      <c r="H160" s="3">
        <v>0.31340000000000001</v>
      </c>
      <c r="I160">
        <v>5847.13</v>
      </c>
      <c r="J160" s="3">
        <v>0.31109999999999999</v>
      </c>
      <c r="K160">
        <v>8257</v>
      </c>
      <c r="P160" s="2"/>
      <c r="R160" s="2"/>
      <c r="T160" s="3"/>
      <c r="V160" s="3"/>
      <c r="AA160" s="3"/>
      <c r="AB160" s="3"/>
      <c r="AC160" s="3"/>
      <c r="AD160" s="3"/>
    </row>
    <row r="161" spans="1:30" x14ac:dyDescent="0.25">
      <c r="A161" t="s">
        <v>337</v>
      </c>
      <c r="B161" t="s">
        <v>286</v>
      </c>
      <c r="C161" t="s">
        <v>360</v>
      </c>
      <c r="D161" s="2">
        <v>38688</v>
      </c>
      <c r="E161">
        <v>2.9386320000000001</v>
      </c>
      <c r="F161" s="2">
        <v>38947</v>
      </c>
      <c r="G161">
        <v>2.6869930000000002</v>
      </c>
      <c r="H161" s="3">
        <v>-8.5599999999999996E-2</v>
      </c>
      <c r="I161">
        <v>-1835.33</v>
      </c>
      <c r="J161" s="3">
        <v>-8.7499999999999994E-2</v>
      </c>
      <c r="K161">
        <v>7134</v>
      </c>
      <c r="P161" s="2"/>
      <c r="R161" s="2"/>
      <c r="T161" s="3"/>
      <c r="V161" s="3"/>
      <c r="AA161" s="3"/>
      <c r="AB161" s="3"/>
      <c r="AC161" s="3"/>
      <c r="AD161" s="3"/>
    </row>
    <row r="162" spans="1:30" x14ac:dyDescent="0.25">
      <c r="A162" t="s">
        <v>338</v>
      </c>
      <c r="B162" t="s">
        <v>287</v>
      </c>
      <c r="C162" t="s">
        <v>360</v>
      </c>
      <c r="D162" s="2">
        <v>38121</v>
      </c>
      <c r="E162">
        <v>1.5925769999999999</v>
      </c>
      <c r="F162" s="2">
        <v>38891</v>
      </c>
      <c r="G162">
        <v>5.15</v>
      </c>
      <c r="H162" s="3">
        <v>2.2338</v>
      </c>
      <c r="I162">
        <v>26757.93</v>
      </c>
      <c r="J162" s="3">
        <v>2.2294999999999998</v>
      </c>
      <c r="K162">
        <v>7536</v>
      </c>
      <c r="P162" s="2"/>
      <c r="R162" s="2"/>
      <c r="T162" s="3"/>
      <c r="V162" s="3"/>
      <c r="AA162" s="3"/>
      <c r="AB162" s="3"/>
      <c r="AC162" s="3"/>
      <c r="AD162" s="3"/>
    </row>
    <row r="163" spans="1:30" x14ac:dyDescent="0.25">
      <c r="A163" t="s">
        <v>124</v>
      </c>
      <c r="B163" t="s">
        <v>288</v>
      </c>
      <c r="C163" t="s">
        <v>360</v>
      </c>
      <c r="D163" s="2">
        <v>38513</v>
      </c>
      <c r="E163">
        <v>2.3713320000000002</v>
      </c>
      <c r="F163" s="2">
        <v>38884</v>
      </c>
      <c r="G163">
        <v>3.6</v>
      </c>
      <c r="H163" s="3">
        <v>0.5181</v>
      </c>
      <c r="I163">
        <v>9693.5400000000009</v>
      </c>
      <c r="J163" s="3">
        <v>0.51559999999999995</v>
      </c>
      <c r="K163">
        <v>7928</v>
      </c>
      <c r="P163" s="2"/>
      <c r="R163" s="2"/>
      <c r="T163" s="3"/>
      <c r="V163" s="3"/>
      <c r="AA163" s="3"/>
      <c r="AB163" s="3"/>
      <c r="AC163" s="3"/>
      <c r="AD163" s="3"/>
    </row>
    <row r="164" spans="1:30" x14ac:dyDescent="0.25">
      <c r="A164" t="s">
        <v>339</v>
      </c>
      <c r="B164" t="s">
        <v>289</v>
      </c>
      <c r="C164" t="s">
        <v>360</v>
      </c>
      <c r="D164" s="2">
        <v>38226</v>
      </c>
      <c r="E164">
        <v>3.7480329999999999</v>
      </c>
      <c r="F164" s="2">
        <v>38660</v>
      </c>
      <c r="G164">
        <v>6.0434570000000001</v>
      </c>
      <c r="H164" s="3">
        <v>0.61240000000000006</v>
      </c>
      <c r="I164">
        <v>8276.2800000000007</v>
      </c>
      <c r="J164" s="3">
        <v>0.60980000000000001</v>
      </c>
      <c r="K164">
        <v>3621</v>
      </c>
      <c r="P164" s="2"/>
      <c r="R164" s="2"/>
      <c r="T164" s="3"/>
      <c r="V164" s="3"/>
      <c r="AA164" s="3"/>
      <c r="AB164" s="3"/>
      <c r="AC164" s="3"/>
      <c r="AD164" s="3"/>
    </row>
    <row r="165" spans="1:30" x14ac:dyDescent="0.25">
      <c r="A165" t="s">
        <v>164</v>
      </c>
      <c r="B165" t="s">
        <v>259</v>
      </c>
      <c r="C165" t="s">
        <v>360</v>
      </c>
      <c r="D165" s="2">
        <v>38170</v>
      </c>
      <c r="E165">
        <v>0.90352699999999997</v>
      </c>
      <c r="F165" s="2">
        <v>38646</v>
      </c>
      <c r="G165">
        <v>1.5401720000000001</v>
      </c>
      <c r="H165" s="3">
        <v>0.7046</v>
      </c>
      <c r="I165">
        <v>8977.75</v>
      </c>
      <c r="J165" s="3">
        <v>0.70189999999999997</v>
      </c>
      <c r="K165">
        <v>14156</v>
      </c>
      <c r="P165" s="2"/>
      <c r="R165" s="2"/>
      <c r="T165" s="3"/>
      <c r="V165" s="3"/>
      <c r="AA165" s="3"/>
      <c r="AB165" s="3"/>
      <c r="AC165" s="3"/>
      <c r="AD165" s="3"/>
    </row>
    <row r="166" spans="1:30" x14ac:dyDescent="0.25">
      <c r="A166" t="s">
        <v>340</v>
      </c>
      <c r="B166" t="s">
        <v>290</v>
      </c>
      <c r="C166" t="s">
        <v>360</v>
      </c>
      <c r="D166" s="2">
        <v>38415</v>
      </c>
      <c r="E166">
        <v>24.4602</v>
      </c>
      <c r="F166" s="2">
        <v>38646</v>
      </c>
      <c r="G166">
        <v>29.19267</v>
      </c>
      <c r="H166" s="3">
        <v>0.19350000000000001</v>
      </c>
      <c r="I166">
        <v>3387.46</v>
      </c>
      <c r="J166" s="3">
        <v>0.1913</v>
      </c>
      <c r="K166">
        <v>724</v>
      </c>
      <c r="P166" s="2"/>
      <c r="R166" s="2"/>
      <c r="T166" s="3"/>
      <c r="V166" s="3"/>
      <c r="AA166" s="3"/>
      <c r="AB166" s="3"/>
      <c r="AC166" s="3"/>
      <c r="AD166" s="3"/>
    </row>
    <row r="167" spans="1:30" x14ac:dyDescent="0.25">
      <c r="A167" t="s">
        <v>341</v>
      </c>
      <c r="B167" t="s">
        <v>291</v>
      </c>
      <c r="C167" t="s">
        <v>360</v>
      </c>
      <c r="D167" s="2">
        <v>37624</v>
      </c>
      <c r="E167">
        <v>4.5925940000000001</v>
      </c>
      <c r="F167" s="2">
        <v>38485</v>
      </c>
      <c r="G167">
        <v>10.55</v>
      </c>
      <c r="H167" s="3">
        <v>1.2971999999999999</v>
      </c>
      <c r="I167">
        <v>14118.82</v>
      </c>
      <c r="J167" s="3">
        <v>1.2939000000000001</v>
      </c>
      <c r="K167">
        <v>2376</v>
      </c>
      <c r="P167" s="2"/>
      <c r="R167" s="2"/>
      <c r="T167" s="3"/>
      <c r="V167" s="3"/>
      <c r="AA167" s="3"/>
      <c r="AB167" s="3"/>
      <c r="AC167" s="3"/>
      <c r="AD167" s="3"/>
    </row>
    <row r="168" spans="1:30" x14ac:dyDescent="0.25">
      <c r="A168" t="s">
        <v>42</v>
      </c>
      <c r="B168" t="s">
        <v>41</v>
      </c>
      <c r="C168" t="s">
        <v>360</v>
      </c>
      <c r="D168" s="2">
        <v>36588</v>
      </c>
      <c r="E168">
        <v>0.68075850000000004</v>
      </c>
      <c r="F168" s="2">
        <v>38485</v>
      </c>
      <c r="G168">
        <v>1.141033</v>
      </c>
      <c r="H168" s="3">
        <v>0.67610000000000003</v>
      </c>
      <c r="I168">
        <v>5102.58</v>
      </c>
      <c r="J168" s="3">
        <v>0.6734</v>
      </c>
      <c r="K168">
        <v>11130</v>
      </c>
      <c r="P168" s="2"/>
      <c r="R168" s="2"/>
      <c r="T168" s="3"/>
      <c r="V168" s="3"/>
      <c r="AA168" s="3"/>
      <c r="AB168" s="3"/>
      <c r="AC168" s="3"/>
      <c r="AD168" s="3"/>
    </row>
    <row r="169" spans="1:30" x14ac:dyDescent="0.25">
      <c r="A169" t="s">
        <v>342</v>
      </c>
      <c r="B169" t="s">
        <v>292</v>
      </c>
      <c r="C169" t="s">
        <v>360</v>
      </c>
      <c r="D169" s="2">
        <v>38170</v>
      </c>
      <c r="E169">
        <v>1.351931</v>
      </c>
      <c r="F169" s="2">
        <v>38397</v>
      </c>
      <c r="G169">
        <v>2.04</v>
      </c>
      <c r="H169" s="3">
        <v>0.50900000000000001</v>
      </c>
      <c r="I169">
        <v>6476.36</v>
      </c>
      <c r="J169" s="3">
        <v>0.50639999999999996</v>
      </c>
      <c r="K169">
        <v>9459</v>
      </c>
      <c r="P169" s="2"/>
      <c r="R169" s="2"/>
      <c r="T169" s="3"/>
      <c r="V169" s="3"/>
      <c r="AA169" s="3"/>
      <c r="AB169" s="3"/>
      <c r="AC169" s="3"/>
      <c r="AD169" s="3"/>
    </row>
    <row r="170" spans="1:30" x14ac:dyDescent="0.25">
      <c r="A170" t="s">
        <v>343</v>
      </c>
      <c r="B170" t="s">
        <v>293</v>
      </c>
      <c r="C170" t="s">
        <v>360</v>
      </c>
      <c r="D170" s="2">
        <v>37979</v>
      </c>
      <c r="E170">
        <v>2.673457</v>
      </c>
      <c r="F170" s="2">
        <v>38350</v>
      </c>
      <c r="G170">
        <v>3.42</v>
      </c>
      <c r="H170" s="3">
        <v>0.2792</v>
      </c>
      <c r="I170">
        <v>3256.5</v>
      </c>
      <c r="J170" s="3">
        <v>0.27700000000000002</v>
      </c>
      <c r="K170">
        <v>4398</v>
      </c>
      <c r="P170" s="2"/>
      <c r="R170" s="2"/>
      <c r="T170" s="3"/>
      <c r="V170" s="3"/>
      <c r="AA170" s="3"/>
      <c r="AB170" s="3"/>
      <c r="AC170" s="3"/>
      <c r="AD170" s="3"/>
    </row>
    <row r="171" spans="1:30" x14ac:dyDescent="0.25">
      <c r="A171" t="s">
        <v>344</v>
      </c>
      <c r="B171" t="s">
        <v>294</v>
      </c>
      <c r="C171" t="s">
        <v>360</v>
      </c>
      <c r="D171" s="2">
        <v>37631</v>
      </c>
      <c r="E171">
        <v>1.1241300000000001</v>
      </c>
      <c r="F171" s="2">
        <v>38219</v>
      </c>
      <c r="G171">
        <v>1.17</v>
      </c>
      <c r="H171" s="3">
        <v>4.0800000000000003E-2</v>
      </c>
      <c r="I171">
        <v>428.09</v>
      </c>
      <c r="J171" s="3">
        <v>3.8800000000000001E-2</v>
      </c>
      <c r="K171">
        <v>9824</v>
      </c>
      <c r="M171" s="3"/>
      <c r="P171" s="2"/>
      <c r="R171" s="2"/>
      <c r="T171" s="3"/>
      <c r="V171" s="3"/>
      <c r="AA171" s="3"/>
      <c r="AB171" s="3"/>
      <c r="AC171" s="3"/>
      <c r="AD171" s="3"/>
    </row>
    <row r="172" spans="1:30" x14ac:dyDescent="0.25">
      <c r="A172" t="s">
        <v>345</v>
      </c>
      <c r="B172" t="s">
        <v>295</v>
      </c>
      <c r="C172" t="s">
        <v>360</v>
      </c>
      <c r="D172" s="2">
        <v>38016</v>
      </c>
      <c r="E172">
        <v>1.8072029999999999</v>
      </c>
      <c r="F172" s="2">
        <v>38170</v>
      </c>
      <c r="G172">
        <v>2.2662089999999999</v>
      </c>
      <c r="H172" s="3">
        <v>0.254</v>
      </c>
      <c r="I172">
        <v>3023.94</v>
      </c>
      <c r="J172" s="3">
        <v>0.25169999999999998</v>
      </c>
      <c r="K172">
        <v>6647</v>
      </c>
      <c r="P172" s="2"/>
      <c r="R172" s="2"/>
      <c r="T172" s="3"/>
      <c r="V172" s="3"/>
      <c r="AA172" s="3"/>
      <c r="AB172" s="3"/>
      <c r="AC172" s="3"/>
      <c r="AD172" s="3"/>
    </row>
    <row r="173" spans="1:30" x14ac:dyDescent="0.25">
      <c r="A173" t="s">
        <v>346</v>
      </c>
      <c r="B173" t="s">
        <v>296</v>
      </c>
      <c r="C173" t="s">
        <v>360</v>
      </c>
      <c r="D173" s="2">
        <v>36588</v>
      </c>
      <c r="E173">
        <v>2.2084920000000001</v>
      </c>
      <c r="F173" s="2">
        <v>38170</v>
      </c>
      <c r="G173">
        <v>4.2376699999999996</v>
      </c>
      <c r="H173" s="3">
        <v>0.91879999999999995</v>
      </c>
      <c r="I173">
        <v>6937.97</v>
      </c>
      <c r="J173" s="3">
        <v>0.91590000000000005</v>
      </c>
      <c r="K173">
        <v>3430</v>
      </c>
      <c r="P173" s="2"/>
      <c r="R173" s="2"/>
      <c r="T173" s="3"/>
      <c r="V173" s="3"/>
      <c r="AA173" s="3"/>
      <c r="AB173" s="3"/>
      <c r="AC173" s="3"/>
      <c r="AD173" s="3"/>
    </row>
    <row r="174" spans="1:30" x14ac:dyDescent="0.25">
      <c r="A174" t="s">
        <v>339</v>
      </c>
      <c r="B174" t="s">
        <v>289</v>
      </c>
      <c r="C174" t="s">
        <v>360</v>
      </c>
      <c r="D174" s="2">
        <v>38044</v>
      </c>
      <c r="E174">
        <v>3.9092380000000002</v>
      </c>
      <c r="F174" s="2">
        <v>38114</v>
      </c>
      <c r="G174">
        <v>2.6679539999999999</v>
      </c>
      <c r="H174" s="3">
        <v>-0.3175</v>
      </c>
      <c r="I174">
        <v>-3795.99</v>
      </c>
      <c r="J174" s="3">
        <v>-0.31919999999999998</v>
      </c>
      <c r="K174">
        <v>3042</v>
      </c>
      <c r="P174" s="2"/>
      <c r="R174" s="2"/>
      <c r="T174" s="3"/>
      <c r="V174" s="3"/>
      <c r="AA174" s="3"/>
      <c r="AB174" s="3"/>
      <c r="AC174" s="3"/>
      <c r="AD174" s="3"/>
    </row>
    <row r="175" spans="1:30" x14ac:dyDescent="0.25">
      <c r="A175" t="s">
        <v>347</v>
      </c>
      <c r="B175" t="s">
        <v>297</v>
      </c>
      <c r="C175" t="s">
        <v>360</v>
      </c>
      <c r="D175" s="2">
        <v>37827</v>
      </c>
      <c r="E175">
        <v>0.93000720000000003</v>
      </c>
      <c r="F175" s="2">
        <v>38023</v>
      </c>
      <c r="G175">
        <v>0.74327920000000003</v>
      </c>
      <c r="H175" s="3">
        <v>-0.20080000000000001</v>
      </c>
      <c r="I175">
        <v>-2457.88</v>
      </c>
      <c r="J175" s="3">
        <v>-0.2026</v>
      </c>
      <c r="K175">
        <v>13046</v>
      </c>
      <c r="P175" s="2"/>
      <c r="R175" s="2"/>
      <c r="T175" s="3"/>
      <c r="V175" s="3"/>
      <c r="AA175" s="3"/>
      <c r="AB175" s="3"/>
      <c r="AC175" s="3"/>
      <c r="AD175" s="3"/>
    </row>
    <row r="176" spans="1:30" x14ac:dyDescent="0.25">
      <c r="A176" t="s">
        <v>336</v>
      </c>
      <c r="B176" t="s">
        <v>285</v>
      </c>
      <c r="C176" t="s">
        <v>360</v>
      </c>
      <c r="D176" s="2">
        <v>37722</v>
      </c>
      <c r="E176">
        <v>1.6765410000000001</v>
      </c>
      <c r="F176" s="2">
        <v>37939</v>
      </c>
      <c r="G176">
        <v>1.6165069999999999</v>
      </c>
      <c r="H176" s="3">
        <v>-3.5799999999999998E-2</v>
      </c>
      <c r="I176">
        <v>-431.89</v>
      </c>
      <c r="J176" s="3">
        <v>-3.78E-2</v>
      </c>
      <c r="K176">
        <v>6820</v>
      </c>
      <c r="P176" s="2"/>
      <c r="R176" s="2"/>
      <c r="T176" s="3"/>
      <c r="V176" s="3"/>
      <c r="AA176" s="3"/>
      <c r="AB176" s="3"/>
      <c r="AC176" s="3"/>
      <c r="AD176" s="3"/>
    </row>
    <row r="177" spans="1:30" x14ac:dyDescent="0.25">
      <c r="A177" t="s">
        <v>348</v>
      </c>
      <c r="B177" t="s">
        <v>298</v>
      </c>
      <c r="C177" t="s">
        <v>360</v>
      </c>
      <c r="D177" s="2">
        <v>37624</v>
      </c>
      <c r="E177">
        <v>0.72575909999999999</v>
      </c>
      <c r="F177" s="2">
        <v>37939</v>
      </c>
      <c r="G177">
        <v>0.74360020000000004</v>
      </c>
      <c r="H177" s="3">
        <v>2.46E-2</v>
      </c>
      <c r="I177">
        <v>246.28</v>
      </c>
      <c r="J177" s="3">
        <v>2.2599999999999999E-2</v>
      </c>
      <c r="K177">
        <v>15043</v>
      </c>
      <c r="P177" s="2"/>
      <c r="R177" s="2"/>
      <c r="T177" s="3"/>
      <c r="V177" s="3"/>
      <c r="AA177" s="3"/>
      <c r="AB177" s="3"/>
      <c r="AC177" s="3"/>
      <c r="AD177" s="3"/>
    </row>
    <row r="178" spans="1:30" x14ac:dyDescent="0.25">
      <c r="A178" t="s">
        <v>345</v>
      </c>
      <c r="B178" t="s">
        <v>295</v>
      </c>
      <c r="C178" t="s">
        <v>360</v>
      </c>
      <c r="D178" s="2">
        <v>36588</v>
      </c>
      <c r="E178">
        <v>1.0621849999999999</v>
      </c>
      <c r="F178" s="2">
        <v>37939</v>
      </c>
      <c r="G178">
        <v>1.687338</v>
      </c>
      <c r="H178" s="3">
        <v>0.58860000000000001</v>
      </c>
      <c r="I178">
        <v>4440.2299999999996</v>
      </c>
      <c r="J178" s="3">
        <v>0.58599999999999997</v>
      </c>
      <c r="K178">
        <v>7134</v>
      </c>
      <c r="M178" s="3"/>
      <c r="P178" s="2"/>
      <c r="R178" s="2"/>
      <c r="T178" s="3"/>
      <c r="V178" s="3"/>
      <c r="AA178" s="3"/>
      <c r="AB178" s="3"/>
      <c r="AC178" s="3"/>
      <c r="AD178" s="3"/>
    </row>
    <row r="179" spans="1:30" x14ac:dyDescent="0.25">
      <c r="A179" t="s">
        <v>135</v>
      </c>
      <c r="B179" t="s">
        <v>299</v>
      </c>
      <c r="C179" t="s">
        <v>360</v>
      </c>
      <c r="D179" s="2">
        <v>37197</v>
      </c>
      <c r="E179">
        <v>0.3335573</v>
      </c>
      <c r="F179" s="2">
        <v>37932</v>
      </c>
      <c r="G179">
        <v>0.4419942</v>
      </c>
      <c r="H179" s="3">
        <v>0.3251</v>
      </c>
      <c r="I179">
        <v>3025.93</v>
      </c>
      <c r="J179" s="3">
        <v>0.32279999999999998</v>
      </c>
      <c r="K179">
        <v>28106</v>
      </c>
      <c r="M179" s="3"/>
      <c r="P179" s="2"/>
      <c r="R179" s="2"/>
      <c r="T179" s="3"/>
      <c r="V179" s="3"/>
      <c r="AA179" s="3"/>
      <c r="AB179" s="3"/>
      <c r="AC179" s="3"/>
      <c r="AD179" s="3"/>
    </row>
    <row r="180" spans="1:30" x14ac:dyDescent="0.25">
      <c r="A180" t="s">
        <v>349</v>
      </c>
      <c r="B180" t="s">
        <v>300</v>
      </c>
      <c r="C180" t="s">
        <v>360</v>
      </c>
      <c r="D180" s="2">
        <v>37197</v>
      </c>
      <c r="E180">
        <v>2.3385310000000001</v>
      </c>
      <c r="F180" s="2">
        <v>37846</v>
      </c>
      <c r="G180">
        <v>3.65</v>
      </c>
      <c r="H180" s="3">
        <v>0.56079999999999997</v>
      </c>
      <c r="I180">
        <v>5231.0600000000004</v>
      </c>
      <c r="J180" s="3">
        <v>0.55820000000000003</v>
      </c>
      <c r="K180">
        <v>4007</v>
      </c>
      <c r="M180" s="3"/>
      <c r="P180" s="2"/>
      <c r="R180" s="2"/>
      <c r="T180" s="3"/>
      <c r="V180" s="3"/>
      <c r="AA180" s="3"/>
      <c r="AB180" s="3"/>
      <c r="AC180" s="3"/>
      <c r="AD180" s="3"/>
    </row>
    <row r="181" spans="1:30" x14ac:dyDescent="0.25">
      <c r="A181" t="s">
        <v>350</v>
      </c>
      <c r="B181" t="s">
        <v>301</v>
      </c>
      <c r="C181" t="s">
        <v>360</v>
      </c>
      <c r="D181" s="2">
        <v>36588</v>
      </c>
      <c r="E181">
        <v>1.819369</v>
      </c>
      <c r="F181" s="2">
        <v>37825</v>
      </c>
      <c r="G181">
        <v>3.05</v>
      </c>
      <c r="H181" s="3">
        <v>0.6764</v>
      </c>
      <c r="I181">
        <v>5106.5200000000004</v>
      </c>
      <c r="J181" s="3">
        <v>0.67369999999999997</v>
      </c>
      <c r="K181">
        <v>4166</v>
      </c>
      <c r="P181" s="2"/>
      <c r="R181" s="2"/>
      <c r="T181" s="3"/>
      <c r="V181" s="3"/>
      <c r="AA181" s="3"/>
      <c r="AB181" s="3"/>
      <c r="AC181" s="3"/>
      <c r="AD181" s="3"/>
    </row>
    <row r="182" spans="1:30" x14ac:dyDescent="0.25">
      <c r="A182" t="s">
        <v>351</v>
      </c>
      <c r="B182" t="s">
        <v>302</v>
      </c>
      <c r="C182" t="s">
        <v>360</v>
      </c>
      <c r="D182" s="2">
        <v>37197</v>
      </c>
      <c r="E182">
        <v>1.186496</v>
      </c>
      <c r="F182" s="2">
        <v>37722</v>
      </c>
      <c r="G182">
        <v>1.63</v>
      </c>
      <c r="H182" s="3">
        <v>0.37380000000000002</v>
      </c>
      <c r="I182">
        <v>3481.43</v>
      </c>
      <c r="J182" s="3">
        <v>0.37140000000000001</v>
      </c>
      <c r="K182">
        <v>7900</v>
      </c>
      <c r="M182" s="3"/>
      <c r="P182" s="2"/>
      <c r="R182" s="2"/>
      <c r="T182" s="3"/>
      <c r="V182" s="3"/>
      <c r="AA182" s="3"/>
      <c r="AB182" s="3"/>
      <c r="AC182" s="3"/>
      <c r="AD182" s="3"/>
    </row>
    <row r="183" spans="1:30" x14ac:dyDescent="0.25">
      <c r="A183" t="s">
        <v>352</v>
      </c>
      <c r="B183" t="s">
        <v>303</v>
      </c>
      <c r="C183" t="s">
        <v>360</v>
      </c>
      <c r="D183" s="2">
        <v>37197</v>
      </c>
      <c r="E183">
        <v>0.77863990000000005</v>
      </c>
      <c r="F183" s="2">
        <v>37533</v>
      </c>
      <c r="G183">
        <v>0.92984979999999995</v>
      </c>
      <c r="H183" s="3">
        <v>0.19420000000000001</v>
      </c>
      <c r="I183">
        <v>1799.1</v>
      </c>
      <c r="J183" s="3">
        <v>0.192</v>
      </c>
      <c r="K183">
        <v>12034</v>
      </c>
      <c r="M183" s="3"/>
      <c r="P183" s="2"/>
      <c r="R183" s="2"/>
      <c r="T183" s="3"/>
      <c r="V183" s="3"/>
      <c r="AA183" s="3"/>
      <c r="AB183" s="3"/>
      <c r="AC183" s="3"/>
      <c r="AD183" s="3"/>
    </row>
    <row r="184" spans="1:30" x14ac:dyDescent="0.25">
      <c r="A184" t="s">
        <v>353</v>
      </c>
      <c r="B184" t="s">
        <v>304</v>
      </c>
      <c r="C184" t="s">
        <v>360</v>
      </c>
      <c r="D184" s="2">
        <v>36686</v>
      </c>
      <c r="E184">
        <v>1.764858</v>
      </c>
      <c r="F184" s="2">
        <v>37531</v>
      </c>
      <c r="G184">
        <v>2.42</v>
      </c>
      <c r="H184" s="3">
        <v>0.37119999999999997</v>
      </c>
      <c r="I184">
        <v>2806.93</v>
      </c>
      <c r="J184" s="3">
        <v>0.36880000000000002</v>
      </c>
      <c r="K184">
        <v>4312</v>
      </c>
      <c r="P184" s="2"/>
      <c r="R184" s="2"/>
      <c r="T184" s="3"/>
      <c r="V184" s="3"/>
      <c r="AA184" s="3"/>
      <c r="AB184" s="3"/>
      <c r="AC184" s="3"/>
      <c r="AD184" s="3"/>
    </row>
    <row r="185" spans="1:30" x14ac:dyDescent="0.25">
      <c r="A185" t="s">
        <v>341</v>
      </c>
      <c r="B185" t="s">
        <v>291</v>
      </c>
      <c r="C185" t="s">
        <v>360</v>
      </c>
      <c r="D185" s="2">
        <v>36574</v>
      </c>
      <c r="E185">
        <v>2.8286560000000001</v>
      </c>
      <c r="F185" s="2">
        <v>37449</v>
      </c>
      <c r="G185">
        <v>4.047059</v>
      </c>
      <c r="H185" s="3">
        <v>0.43070000000000003</v>
      </c>
      <c r="I185">
        <v>3267.49</v>
      </c>
      <c r="J185" s="3">
        <v>0.42830000000000001</v>
      </c>
      <c r="K185">
        <v>2697</v>
      </c>
      <c r="P185" s="2"/>
      <c r="R185" s="2"/>
      <c r="T185" s="3"/>
      <c r="V185" s="3"/>
      <c r="AA185" s="3"/>
      <c r="AB185" s="3"/>
      <c r="AC185" s="3"/>
      <c r="AD185" s="3"/>
    </row>
    <row r="186" spans="1:30" x14ac:dyDescent="0.25">
      <c r="A186" t="s">
        <v>354</v>
      </c>
      <c r="B186" t="s">
        <v>305</v>
      </c>
      <c r="C186" t="s">
        <v>360</v>
      </c>
      <c r="D186" s="2">
        <v>36616</v>
      </c>
      <c r="E186">
        <v>0.66407740000000004</v>
      </c>
      <c r="F186" s="2">
        <v>37162</v>
      </c>
      <c r="G186">
        <v>0.85037759999999996</v>
      </c>
      <c r="H186" s="3">
        <v>0.28050000000000003</v>
      </c>
      <c r="I186">
        <v>2207.64</v>
      </c>
      <c r="J186" s="3">
        <v>0.27829999999999999</v>
      </c>
      <c r="K186">
        <v>11947</v>
      </c>
      <c r="M186" s="3"/>
      <c r="P186" s="2"/>
      <c r="R186" s="2"/>
      <c r="T186" s="3"/>
      <c r="V186" s="3"/>
      <c r="AA186" s="3"/>
      <c r="AB186" s="3"/>
      <c r="AC186" s="3"/>
      <c r="AD186" s="3"/>
    </row>
    <row r="187" spans="1:30" x14ac:dyDescent="0.25">
      <c r="A187" t="s">
        <v>355</v>
      </c>
      <c r="B187" t="s">
        <v>306</v>
      </c>
      <c r="C187" t="s">
        <v>360</v>
      </c>
      <c r="D187" s="2">
        <v>36553</v>
      </c>
      <c r="E187">
        <v>0.81915649999999995</v>
      </c>
      <c r="F187" s="2">
        <v>37162</v>
      </c>
      <c r="G187">
        <v>0.54053620000000002</v>
      </c>
      <c r="H187" s="3">
        <v>-0.34010000000000001</v>
      </c>
      <c r="I187">
        <v>-2615.29</v>
      </c>
      <c r="J187" s="3">
        <v>-0.34179999999999999</v>
      </c>
      <c r="K187">
        <v>9341</v>
      </c>
      <c r="M187" s="3"/>
      <c r="P187" s="2"/>
      <c r="R187" s="2"/>
      <c r="T187" s="3"/>
      <c r="V187" s="3"/>
      <c r="AA187" s="3"/>
      <c r="AB187" s="3"/>
      <c r="AC187" s="3"/>
      <c r="AD187" s="3"/>
    </row>
    <row r="188" spans="1:30" x14ac:dyDescent="0.25">
      <c r="A188" t="s">
        <v>352</v>
      </c>
      <c r="B188" t="s">
        <v>303</v>
      </c>
      <c r="C188" t="s">
        <v>360</v>
      </c>
      <c r="D188" s="2">
        <v>36903</v>
      </c>
      <c r="E188">
        <v>0.45213510000000001</v>
      </c>
      <c r="F188" s="2">
        <v>37162</v>
      </c>
      <c r="G188">
        <v>0.6376792</v>
      </c>
      <c r="H188" s="3">
        <v>0.41039999999999999</v>
      </c>
      <c r="I188">
        <v>3472.54</v>
      </c>
      <c r="J188" s="3">
        <v>0.40799999999999997</v>
      </c>
      <c r="K188">
        <v>18826</v>
      </c>
      <c r="M188" s="3"/>
      <c r="P188" s="2"/>
      <c r="R188" s="2"/>
      <c r="T188" s="3"/>
      <c r="V188" s="3"/>
      <c r="AA188" s="3"/>
      <c r="AB188" s="3"/>
      <c r="AC188" s="3"/>
      <c r="AD188" s="3"/>
    </row>
    <row r="189" spans="1:30" x14ac:dyDescent="0.25">
      <c r="A189" t="s">
        <v>111</v>
      </c>
      <c r="B189" t="s">
        <v>194</v>
      </c>
      <c r="C189" t="s">
        <v>360</v>
      </c>
      <c r="D189" s="2">
        <v>36686</v>
      </c>
      <c r="E189">
        <v>6.1297439999999996</v>
      </c>
      <c r="F189" s="2">
        <v>37148</v>
      </c>
      <c r="G189">
        <v>7.154909</v>
      </c>
      <c r="H189" s="3">
        <v>0.16719999999999999</v>
      </c>
      <c r="I189">
        <v>1255.74</v>
      </c>
      <c r="J189" s="3">
        <v>0.1651</v>
      </c>
      <c r="K189">
        <v>1241</v>
      </c>
      <c r="M189" s="3"/>
      <c r="P189" s="2"/>
      <c r="R189" s="2"/>
      <c r="T189" s="3"/>
      <c r="V189" s="3"/>
      <c r="AA189" s="3"/>
      <c r="AB189" s="3"/>
      <c r="AC189" s="3"/>
      <c r="AD189" s="3"/>
    </row>
    <row r="190" spans="1:30" x14ac:dyDescent="0.25">
      <c r="A190" t="s">
        <v>356</v>
      </c>
      <c r="B190" t="s">
        <v>307</v>
      </c>
      <c r="C190" t="s">
        <v>360</v>
      </c>
      <c r="D190" s="2">
        <v>36574</v>
      </c>
      <c r="E190">
        <v>8.3062470000000008</v>
      </c>
      <c r="F190" s="2">
        <v>36882</v>
      </c>
      <c r="G190">
        <v>9.0827170000000006</v>
      </c>
      <c r="H190" s="3">
        <v>9.35E-2</v>
      </c>
      <c r="I190">
        <v>696.84</v>
      </c>
      <c r="J190" s="3">
        <v>9.1399999999999995E-2</v>
      </c>
      <c r="K190">
        <v>918</v>
      </c>
      <c r="M190" s="3"/>
      <c r="P190" s="2"/>
      <c r="R190" s="2"/>
      <c r="T190" s="3"/>
      <c r="V190" s="3"/>
      <c r="AA190" s="3"/>
      <c r="AB190" s="3"/>
      <c r="AC190" s="3"/>
      <c r="AD190" s="3"/>
    </row>
    <row r="191" spans="1:30" x14ac:dyDescent="0.25">
      <c r="A191" t="s">
        <v>166</v>
      </c>
      <c r="B191" t="s">
        <v>278</v>
      </c>
      <c r="C191" t="s">
        <v>360</v>
      </c>
      <c r="D191" s="2">
        <v>36616</v>
      </c>
      <c r="E191">
        <v>1.006834E-2</v>
      </c>
      <c r="F191" s="2">
        <v>36679</v>
      </c>
      <c r="G191">
        <v>8.4293070000000005E-3</v>
      </c>
      <c r="H191" s="3">
        <v>-0.1628</v>
      </c>
      <c r="I191">
        <v>-1306.33</v>
      </c>
      <c r="J191" s="3">
        <v>-0.1646</v>
      </c>
      <c r="K191">
        <v>788122</v>
      </c>
      <c r="M191" s="3"/>
      <c r="P191" s="2"/>
      <c r="R191" s="2"/>
      <c r="T191" s="3"/>
      <c r="V191" s="3"/>
      <c r="AA191" s="3"/>
      <c r="AB191" s="3"/>
      <c r="AC191" s="3"/>
      <c r="AD191" s="3"/>
    </row>
    <row r="192" spans="1:30" x14ac:dyDescent="0.25">
      <c r="A192" t="s">
        <v>357</v>
      </c>
      <c r="B192" t="s">
        <v>308</v>
      </c>
      <c r="C192" t="s">
        <v>360</v>
      </c>
      <c r="D192" s="2">
        <v>36581</v>
      </c>
      <c r="E192">
        <v>1.8506229999999999</v>
      </c>
      <c r="F192" s="2">
        <v>36679</v>
      </c>
      <c r="G192">
        <v>2.2577530000000001</v>
      </c>
      <c r="H192" s="3">
        <v>0.22</v>
      </c>
      <c r="I192">
        <v>1643.52</v>
      </c>
      <c r="J192" s="3">
        <v>0.21779999999999999</v>
      </c>
      <c r="K192">
        <v>4078</v>
      </c>
      <c r="M192" s="3"/>
      <c r="P192" s="2"/>
      <c r="R192" s="2"/>
      <c r="T192" s="3"/>
      <c r="V192" s="3"/>
      <c r="AA192" s="3"/>
      <c r="AB192" s="3"/>
      <c r="AC192" s="3"/>
      <c r="AD192" s="3"/>
    </row>
    <row r="193" spans="1:30" x14ac:dyDescent="0.25">
      <c r="A193" t="s">
        <v>358</v>
      </c>
      <c r="B193" t="s">
        <v>309</v>
      </c>
      <c r="C193" t="s">
        <v>360</v>
      </c>
      <c r="D193" s="2">
        <v>36532</v>
      </c>
      <c r="E193">
        <v>4.580076</v>
      </c>
      <c r="F193" s="2">
        <v>36636</v>
      </c>
      <c r="G193">
        <v>3.8500839999999998</v>
      </c>
      <c r="H193" s="3">
        <v>-0.15939999999999999</v>
      </c>
      <c r="I193">
        <v>-1239.81</v>
      </c>
      <c r="J193" s="3">
        <v>-0.16120000000000001</v>
      </c>
      <c r="K193">
        <v>1679</v>
      </c>
      <c r="M193" s="3"/>
      <c r="P193" s="2"/>
      <c r="R193" s="2"/>
      <c r="T193" s="3"/>
      <c r="V193" s="3"/>
      <c r="AA193" s="3"/>
      <c r="AB193" s="3"/>
      <c r="AC193" s="3"/>
      <c r="AD193" s="3"/>
    </row>
    <row r="194" spans="1:30" x14ac:dyDescent="0.25">
      <c r="A194" t="s">
        <v>113</v>
      </c>
      <c r="B194" t="s">
        <v>241</v>
      </c>
      <c r="C194" t="s">
        <v>360</v>
      </c>
      <c r="D194" s="2">
        <v>36609</v>
      </c>
      <c r="E194">
        <v>2.3377949999999998</v>
      </c>
      <c r="F194" s="2">
        <v>36623</v>
      </c>
      <c r="G194">
        <v>2.0525669999999998</v>
      </c>
      <c r="H194" s="3">
        <v>-0.122</v>
      </c>
      <c r="I194">
        <v>-982.96</v>
      </c>
      <c r="J194" s="3">
        <v>-0.1239</v>
      </c>
      <c r="K194">
        <v>3394</v>
      </c>
      <c r="M194" s="3"/>
      <c r="P194" s="2"/>
      <c r="R194" s="2"/>
      <c r="T194" s="3"/>
      <c r="V194" s="3"/>
      <c r="AA194" s="3"/>
      <c r="AB194" s="3"/>
      <c r="AC194" s="3"/>
      <c r="AD194" s="3"/>
    </row>
    <row r="195" spans="1:30" x14ac:dyDescent="0.25">
      <c r="D195" s="2"/>
      <c r="F195" s="2"/>
      <c r="H195" s="3"/>
      <c r="J195" s="3"/>
      <c r="Q195" s="2"/>
      <c r="S195" s="2"/>
      <c r="U195" s="3"/>
      <c r="W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sheetData>
  <sortState xmlns:xlrd2="http://schemas.microsoft.com/office/spreadsheetml/2017/richdata2" ref="M2:W194">
    <sortCondition ref="P2:P194"/>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T8" sqref="T8"/>
    </sheetView>
  </sheetViews>
  <sheetFormatPr defaultRowHeight="15" x14ac:dyDescent="0.25"/>
  <cols>
    <col min="9" max="9" width="9.28515625" customWidth="1"/>
    <col min="14" max="14" width="9.28515625" customWidth="1"/>
    <col min="28" max="28" width="10.5703125" customWidth="1"/>
  </cols>
  <sheetData>
    <row r="1" spans="1:29" x14ac:dyDescent="0.25">
      <c r="A1" t="s">
        <v>374</v>
      </c>
      <c r="B1" t="s">
        <v>375</v>
      </c>
      <c r="C1" t="s">
        <v>376</v>
      </c>
      <c r="D1" t="s">
        <v>377</v>
      </c>
      <c r="E1" t="s">
        <v>378</v>
      </c>
      <c r="F1" t="s">
        <v>379</v>
      </c>
      <c r="G1" t="s">
        <v>380</v>
      </c>
      <c r="H1" t="s">
        <v>381</v>
      </c>
      <c r="I1" t="s">
        <v>382</v>
      </c>
      <c r="J1" t="s">
        <v>383</v>
      </c>
      <c r="K1" t="s">
        <v>384</v>
      </c>
      <c r="L1" t="s">
        <v>385</v>
      </c>
      <c r="M1" t="s">
        <v>386</v>
      </c>
      <c r="N1" t="s">
        <v>387</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t="s">
        <v>388</v>
      </c>
      <c r="J27" t="s">
        <v>388</v>
      </c>
      <c r="K27" t="s">
        <v>388</v>
      </c>
      <c r="L27" t="s">
        <v>388</v>
      </c>
      <c r="M27" t="s">
        <v>388</v>
      </c>
      <c r="N27" s="3">
        <v>2.8507253831378199E-2</v>
      </c>
      <c r="O27" s="3"/>
      <c r="AB27" s="3"/>
      <c r="AC27" s="11"/>
    </row>
    <row r="28" spans="1:29" x14ac:dyDescent="0.25">
      <c r="A28" t="s">
        <v>389</v>
      </c>
      <c r="B28" s="3">
        <v>4.8846153846153857E-3</v>
      </c>
      <c r="C28" s="3">
        <v>3.5384615384615394E-3</v>
      </c>
      <c r="D28" s="3">
        <v>1.2461538461538467E-2</v>
      </c>
      <c r="E28" s="3">
        <v>9.0000000000000011E-3</v>
      </c>
      <c r="F28" s="3">
        <v>4.4615384615384621E-3</v>
      </c>
      <c r="G28" s="3">
        <v>9.5769230769230766E-3</v>
      </c>
      <c r="H28" s="3">
        <v>1.7884615384615388E-2</v>
      </c>
      <c r="I28" s="3">
        <v>9.7600000000000013E-3</v>
      </c>
      <c r="J28" s="3">
        <v>2.7999999999999991E-3</v>
      </c>
      <c r="K28" s="3">
        <v>8.8400000000000006E-3</v>
      </c>
      <c r="L28" s="3">
        <v>5.7600000000000004E-3</v>
      </c>
      <c r="M28" s="3">
        <v>2.4800000000000003E-2</v>
      </c>
    </row>
    <row r="30" spans="1:29" x14ac:dyDescent="0.25">
      <c r="B30" s="3"/>
      <c r="C30" s="3"/>
      <c r="D30" s="3"/>
      <c r="E30" s="3"/>
      <c r="F30" s="3"/>
      <c r="G30" s="3"/>
      <c r="H30" s="3"/>
      <c r="I30" s="12"/>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42"/>
  <sheetViews>
    <sheetView topLeftCell="A1294" workbookViewId="0">
      <selection activeCell="O1314" sqref="O1314"/>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394</v>
      </c>
      <c r="B1" s="7" t="s">
        <v>359</v>
      </c>
      <c r="C1" s="7" t="s">
        <v>395</v>
      </c>
      <c r="D1" s="7" t="s">
        <v>396</v>
      </c>
      <c r="E1" s="7" t="s">
        <v>397</v>
      </c>
      <c r="F1" s="7" t="s">
        <v>398</v>
      </c>
      <c r="G1" s="7" t="s">
        <v>399</v>
      </c>
      <c r="H1" s="7" t="s">
        <v>453</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H1340" si="22">H1338*(E1339/E1338)</f>
        <v>292544.81709333905</v>
      </c>
    </row>
    <row r="1340" spans="1:8" x14ac:dyDescent="0.25">
      <c r="A1340" s="6">
        <v>45884</v>
      </c>
      <c r="B1340" s="7">
        <v>8807.1</v>
      </c>
      <c r="C1340" s="7">
        <v>8938.6</v>
      </c>
      <c r="D1340" s="7">
        <v>8807.1</v>
      </c>
      <c r="E1340" s="7">
        <v>8938.6</v>
      </c>
      <c r="F1340" s="8">
        <v>3312270000</v>
      </c>
      <c r="G1340" s="8">
        <v>34582770000</v>
      </c>
      <c r="H1340">
        <f t="shared" si="22"/>
        <v>295647.28451412363</v>
      </c>
    </row>
    <row r="1341" spans="1:8" x14ac:dyDescent="0.25">
      <c r="A1341" s="7"/>
      <c r="B1341" s="6"/>
      <c r="C1341" s="7"/>
      <c r="D1341" s="7"/>
      <c r="E1341" s="7"/>
      <c r="F1341" s="7"/>
      <c r="G1341" s="8"/>
      <c r="H1341" s="8"/>
    </row>
    <row r="1342" spans="1:8" x14ac:dyDescent="0.25">
      <c r="A1342" s="7"/>
      <c r="B1342" s="6"/>
      <c r="C1342" s="7"/>
      <c r="D1342" s="7"/>
      <c r="E1342" s="7"/>
      <c r="F1342" s="7"/>
      <c r="G1342" s="8"/>
      <c r="H1342"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2025-08-16T07:16:29Z</dcterms:modified>
</cp:coreProperties>
</file>