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1411D294-FD8F-4E7E-ACCA-456C2079D6EF}"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8" i="5" l="1"/>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<sst xmlns="http://schemas.openxmlformats.org/spreadsheetml/2006/main" count="1032" uniqueCount="513">
  <si>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</si>
  <si>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</si>
  <si>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</si>
  <si>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</si>
  <si>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</si>
  <si>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</si>
  <si>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</si>
  <si>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</si>
  <si>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</si>
  <si>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</si>
  <si>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</si>
  <si>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</si>
  <si>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</si>
  <si>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</si>
  <si>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</si>
  <si>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</si>
  <si>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</si>
  <si>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</si>
  <si>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</si>
  <si>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</si>
  <si>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</si>
  <si>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</si>
  <si>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</si>
  <si>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</si>
  <si>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</si>
  <si>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</si>
  <si>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</si>
  <si>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</si>
  <si>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</si>
  <si>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</si>
  <si>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</si>
  <si>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</si>
  <si>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</si>
  <si>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</si>
  <si>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</si>
  <si>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</si>
  <si>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</si>
  <si>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</si>
  <si>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</si>
  <si>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</si>
  <si>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</si>
  <si>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</si>
  <si>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</si>
  <si>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</si>
  <si>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</si>
  <si>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</si>
  <si>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</si>
  <si>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</si>
  <si>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</si>
  <si>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</si>
  <si>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</si>
  <si>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</si>
  <si>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</si>
  <si>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</si>
  <si>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</si>
  <si>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</si>
  <si>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</si>
  <si>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</si>
  <si>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</si>
  <si>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</si>
  <si>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</si>
  <si>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</si>
  <si>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</si>
  <si>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</si>
  <si>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</si>
  <si>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</si>
  <si>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</si>
  <si>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</si>
  <si>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</si>
  <si>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</si>
  <si>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</si>
  <si>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</si>
  <si>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</si>
  <si>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</si>
  <si>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</si>
  <si>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</si>
  <si>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</si>
  <si>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</si>
  <si>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</si>
  <si>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</si>
  <si>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</si>
  <si>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</si>
  <si>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</si>
  <si>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</si>
  <si>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</si>
  <si>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</si>
  <si>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</si>
  <si>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</si>
  <si>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</si>
  <si>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</si>
  <si>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</si>
  <si>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</si>
  <si>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</si>
  <si>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</si>
  <si>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</si>
  <si>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</si>
  <si>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</si>
  <si>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</si>
  <si>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</si>
  <si>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</si>
  <si>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</si>
  <si>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</si>
  <si>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</si>
  <si>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</si>
  <si>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</si>
  <si>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</si>
  <si>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</si>
  <si>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</si>
  <si>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</si>
  <si>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</si>
  <si>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</si>
  <si>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</si>
  <si>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</si>
  <si>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</si>
  <si>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</si>
  <si>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</si>
  <si>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</si>
  <si>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</si>
  <si>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</si>
  <si>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</si>
  <si>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</si>
  <si>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</si>
  <si>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</si>
  <si>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</si>
  <si>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</si>
  <si>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</si>
  <si>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</si>
  <si>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</si>
  <si>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</si>
  <si>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</si>
  <si>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</si>
  <si>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</si>
  <si>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</si>
  <si>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</si>
  <si>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</si>
  <si>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</si>
  <si>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</si>
  <si>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</si>
  <si>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</si>
  <si>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</si>
  <si>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</si>
  <si>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</si>
  <si>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</si>
  <si>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</si>
  <si>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</si>
  <si>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</si>
  <si>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</si>
  <si>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</si>
  <si>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</si>
  <si>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</si>
  <si>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</si>
  <si>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</si>
  <si>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</si>
  <si>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</si>
  <si>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</si>
  <si>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</si>
  <si>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</si>
  <si>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</si>
  <si>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</si>
  <si>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</si>
  <si>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</si>
  <si>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</si>
  <si>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</si>
  <si>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</si>
  <si>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</si>
  <si>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</si>
  <si>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</si>
  <si>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</si>
  <si>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</si>
  <si>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</si>
  <si>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</si>
  <si>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</si>
  <si>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</si>
  <si>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</si>
  <si>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</si>
  <si>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</si>
  <si>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</si>
  <si>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</si>
  <si>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</si>
  <si>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</si>
  <si>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</si>
  <si>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</si>
  <si>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</si>
  <si>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</si>
  <si>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</si>
  <si>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</si>
  <si>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</si>
  <si>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</si>
  <si>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</si>
  <si>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</si>
  <si>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</si>
  <si>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</si>
  <si>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</si>
  <si>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</si>
  <si>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</si>
  <si>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</si>
  <si>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</si>
  <si>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</si>
  <si>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</si>
  <si>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</si>
  <si>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</si>
  <si>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</si>
  <si>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</si>
  <si>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</si>
  <si>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</si>
  <si>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</si>
  <si>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</si>
  <si>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</si>
  <si>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</si>
  <si>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</si>
  <si>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</si>
  <si>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</si>
  <si>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</si>
  <si>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</si>
  <si>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</si>
  <si>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</si>
  <si>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</si>
  <si>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</si>
  <si>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</si>
  <si>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</si>
  <si>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</si>
  <si>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</si>
  <si>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</si>
  <si>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</si>
  <si>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</si>
  <si>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</si>
  <si>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</si>
  <si>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</si>
  <si>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</si>
  <si>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</si>
  <si>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</si>
  <si>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</si>
  <si>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</si>
  <si>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</si>
  <si>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</si>
  <si>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</si>
  <si>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</si>
  <si>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</si>
  <si>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</si>
  <si>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</si>
  <si>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</si>
  <si>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</si>
  <si>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</si>
  <si>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</si>
  <si>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</si>
  <si>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</si>
  <si>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</si>
  <si>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</si>
  <si>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</si>
  <si>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</si>
  <si>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</si>
  <si>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</si>
  <si>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</si>
  <si>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</si>
  <si>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</si>
  <si>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</si>
  <si>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</si>
  <si>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</si>
  <si>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</si>
  <si>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</si>
  <si>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</si>
  <si>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</si>
  <si>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</si>
  <si>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</si>
  <si>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</si>
  <si>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</si>
  <si>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</si>
  <si>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</si>
  <si>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</si>
  <si>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</si>
  <si>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</si>
  <si>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</si>
  <si>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</si>
  <si>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</si>
  <si>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</si>
  <si>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</si>
  <si>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</si>
  <si>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</si>
  <si>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</si>
  <si>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</si>
  <si>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</si>
  <si>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</si>
  <si>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</si>
  <si>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</si>
  <si>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</si>
  <si>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</si>
  <si>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</si>
  <si>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</si>
  <si>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</si>
  <si>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</si>
  <si>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</si>
  <si>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</si>
  <si>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</si>
  <si>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</si>
  <si>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</si>
  <si>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</si>
  <si>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</si>
  <si>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</si>
  <si>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</si>
  <si>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</si>
  <si>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</si>
  <si>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</si>
  <si>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</si>
  <si>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</si>
  <si>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</si>
  <si>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</si>
  <si>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</si>
  <si>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</si>
  <si>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</si>
  <si>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</si>
  <si>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</si>
  <si>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</si>
  <si>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</si>
  <si>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</si>
  <si>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</si>
  <si>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</si>
  <si>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</si>
  <si>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</si>
  <si>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</si>
  <si>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</si>
  <si>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</si>
  <si>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</si>
  <si>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</si>
  <si>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</si>
  <si>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</si>
  <si>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</si>
  <si>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</si>
  <si>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</si>
  <si>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</si>
  <si>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</si>
  <si>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</si>
  <si>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</si>
  <si>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</si>
  <si>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</si>
  <si>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</si>
  <si>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</si>
  <si>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</si>
  <si>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</si>
  <si>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</si>
  <si>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</si>
  <si>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</si>
  <si>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</si>
  <si>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</si>
  <si>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</si>
  <si>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</si>
  <si>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</si>
  <si>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</si>
  <si>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</si>
  <si>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</si>
  <si>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</si>
  <si>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</si>
  <si>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</si>
  <si>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</si>
  <si>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</si>
  <si>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</si>
  <si>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</si>
  <si>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</si>
  <si>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</si>
  <si>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</si>
  <si>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</si>
  <si>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</si>
  <si>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</si>
  <si>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</si>
  <si>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</si>
  <si>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</si>
  <si>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</si>
  <si>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</si>
  <si>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</si>
  <si>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</si>
  <si>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</si>
  <si>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</si>
  <si>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</si>
  <si>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</si>
  <si>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</si>
  <si>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</si>
  <si>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</si>
  <si>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</si>
  <si>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</si>
  <si>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</si>
  <si>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</si>
  <si>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</si>
  <si>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</si>
  <si>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</si>
  <si>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</si>
  <si>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</si>
  <si>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</si>
  <si>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</si>
  <si>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</si>
  <si>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</si>
  <si>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</si>
  <si>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</si>
  <si>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</si>
  <si>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</si>
  <si>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</si>
  <si>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</si>
  <si>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</si>
  <si>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</si>
  <si>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</si>
  <si>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</si>
  <si>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</si>
  <si>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</si>
  <si>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</si>
  <si>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</si>
  <si>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</si>
  <si>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</si>
  <si>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</si>
  <si>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</si>
  <si>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</si>
  <si>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</si>
  <si>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</si>
  <si>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</si>
  <si>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</si>
  <si>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</si>
  <si>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</si>
  <si>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</si>
  <si>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</si>
  <si>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</si>
  <si>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</si>
  <si>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</si>
  <si>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</si>
  <si>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</si>
  <si>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</si>
  <si>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</si>
  <si>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</si>
  <si>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</si>
  <si>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</si>
  <si>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</si>
  <si>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</si>
  <si>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</si>
  <si>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</si>
  <si>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</si>
  <si>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</si>
  <si>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</si>
  <si>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</si>
  <si>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</si>
  <si>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</si>
  <si>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</si>
  <si>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</si>
  <si>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</si>
  <si>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</si>
  <si>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</si>
  <si>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</si>
  <si>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</si>
  <si>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</si>
  <si>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</si>
  <si>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</si>
  <si>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</si>
  <si>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</si>
  <si>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</si>
  <si>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</si>
  <si>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</si>
  <si>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</si>
  <si>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</si>
  <si>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</si>
  <si>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</si>
  <si>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</si>
  <si>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</si>
  <si>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</si>
  <si>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</si>
  <si>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</si>
  <si>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</si>
  <si>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</si>
  <si>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</si>
  <si>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</si>
  <si>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</si>
  <si>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</si>
  <si>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</si>
  <si>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</si>
  <si>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</si>
  <si>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</si>
  <si>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</si>
  <si>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</si>
  <si>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3.7x</t>
  </si>
  <si>
    <t>27.7x</t>
  </si>
  <si>
    <t>$-439.6M</t>
  </si>
  <si>
    <t>$-162.6M</t>
  </si>
  <si>
    <t>$2.2B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</si>
  <si>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</si>
  <si>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</si>
  <si>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</si>
  <si>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</si>
  <si>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</si>
  <si>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</si>
  <si>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$2.8B</t>
  </si>
  <si>
    <t>$4.5B</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</si>
  <si>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</si>
  <si>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2.7x</t>
  </si>
  <si>
    <t>2.3x</t>
  </si>
  <si>
    <t>$3.2B</t>
  </si>
  <si>
    <t>3.9x</t>
  </si>
  <si>
    <t>$4.8B</t>
  </si>
  <si>
    <t>0.8x</t>
  </si>
  <si>
    <t>37.1x</t>
  </si>
  <si>
    <t>1.7x</t>
  </si>
  <si>
    <t>$12.4B</t>
  </si>
  <si>
    <t>9.6x</t>
  </si>
  <si>
    <t>13.9x</t>
  </si>
  <si>
    <t>$7.4B</t>
  </si>
  <si>
    <t>50.7x</t>
  </si>
  <si>
    <t>$1.7B</t>
  </si>
  <si>
    <t>5.2x</t>
  </si>
  <si>
    <t>39.8x</t>
  </si>
  <si>
    <t>$9.2B</t>
  </si>
  <si>
    <t>69.1x</t>
  </si>
  <si>
    <t>$13.8B</t>
  </si>
  <si>
    <t>$2.7B</t>
  </si>
  <si>
    <t>1.2x</t>
  </si>
  <si>
    <t>443.5x</t>
  </si>
  <si>
    <t>$57.7B</t>
  </si>
  <si>
    <t>2.5x</t>
  </si>
  <si>
    <t>44.0x</t>
  </si>
  <si>
    <t>8.2x</t>
  </si>
  <si>
    <t>29.4x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</si>
</sst>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workbookViewId="0">
      <selection activeCell="E2" activeCellId="1" sqref="B2:B13 E2:E13"/>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470</v>
      </c>
      <c r="E1" s="1" t="s">
        <v>3</v>
      </c>
      <c r="F1" s="1" t="s">
        <v>471</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9.3699999999999992</v>
      </c>
      <c r="F2">
        <f t="shared" ref="F2:F13" si="0">(E2/D2-1)*100</f>
        <v>8.7006960556844639</v>
      </c>
      <c r="G2">
        <v>8.5230000000000015</v>
      </c>
      <c r="H2" s="4">
        <v>9.4700000000000006</v>
      </c>
      <c r="I2" s="4">
        <v>6.26</v>
      </c>
      <c r="J2" t="s">
        <v>494</v>
      </c>
      <c r="K2" s="3">
        <v>0.216</v>
      </c>
      <c r="L2" t="s">
        <v>478</v>
      </c>
      <c r="M2" t="s">
        <v>450</v>
      </c>
      <c r="N2" s="3">
        <v>6.0999999999999999E-2</v>
      </c>
      <c r="O2" t="s">
        <v>489</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3.47</v>
      </c>
      <c r="F3">
        <f t="shared" si="0"/>
        <v>13.029315960912058</v>
      </c>
      <c r="G3">
        <v>3.2130000000000001</v>
      </c>
      <c r="H3" s="4">
        <v>3.59</v>
      </c>
      <c r="I3" s="4">
        <v>2.67</v>
      </c>
      <c r="J3" t="s">
        <v>476</v>
      </c>
      <c r="K3" s="3">
        <v>0</v>
      </c>
      <c r="L3" t="s">
        <v>482</v>
      </c>
      <c r="M3" t="s">
        <v>439</v>
      </c>
      <c r="N3" s="3">
        <v>4.7E-2</v>
      </c>
      <c r="O3" t="s">
        <v>495</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3.79</v>
      </c>
      <c r="F4">
        <f t="shared" si="0"/>
        <v>4.1208791208791284</v>
      </c>
      <c r="G4">
        <v>3.5370000000000004</v>
      </c>
      <c r="H4" s="4">
        <v>3.94</v>
      </c>
      <c r="I4" s="4">
        <v>3.1</v>
      </c>
      <c r="J4" t="s">
        <v>483</v>
      </c>
      <c r="K4" s="3">
        <v>0</v>
      </c>
      <c r="L4" t="s">
        <v>133</v>
      </c>
      <c r="M4" t="s">
        <v>442</v>
      </c>
      <c r="N4" s="3">
        <v>4.9000000000000002E-2</v>
      </c>
      <c r="O4" t="s">
        <v>496</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5</v>
      </c>
      <c r="F5">
        <f t="shared" si="0"/>
        <v>-3.474903474903468</v>
      </c>
      <c r="G5">
        <v>4.6440000000000001</v>
      </c>
      <c r="H5" s="4">
        <v>5.33</v>
      </c>
      <c r="I5" s="4">
        <v>4.17</v>
      </c>
      <c r="J5" t="s">
        <v>497</v>
      </c>
      <c r="K5" s="3">
        <v>0</v>
      </c>
      <c r="L5" t="s">
        <v>46</v>
      </c>
      <c r="M5" t="s">
        <v>468</v>
      </c>
      <c r="N5" s="3">
        <v>0.08</v>
      </c>
      <c r="O5" t="s">
        <v>498</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9.27</v>
      </c>
      <c r="F6">
        <f t="shared" si="0"/>
        <v>-16.108597285067884</v>
      </c>
      <c r="G6">
        <v>8.8469999999999995</v>
      </c>
      <c r="H6" s="4">
        <v>11.74</v>
      </c>
      <c r="I6" s="4">
        <v>6.02</v>
      </c>
      <c r="J6" t="s">
        <v>499</v>
      </c>
      <c r="K6" s="3">
        <v>1</v>
      </c>
      <c r="L6" t="s">
        <v>398</v>
      </c>
      <c r="M6" t="s">
        <v>421</v>
      </c>
      <c r="N6" s="3">
        <v>5.5E-2</v>
      </c>
      <c r="O6" t="s">
        <v>500</v>
      </c>
      <c r="P6" t="s">
        <v>501</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2.2400000000000002</v>
      </c>
      <c r="F7">
        <f t="shared" si="0"/>
        <v>-2.608695652173898</v>
      </c>
      <c r="G7">
        <v>2.1150000000000002</v>
      </c>
      <c r="H7" s="4">
        <v>2.46</v>
      </c>
      <c r="I7" s="4">
        <v>1.7749999999999999</v>
      </c>
      <c r="J7" t="s">
        <v>502</v>
      </c>
      <c r="K7" s="3">
        <v>0</v>
      </c>
      <c r="L7" t="s">
        <v>37</v>
      </c>
      <c r="M7" t="s">
        <v>456</v>
      </c>
      <c r="N7" s="3">
        <v>0.04</v>
      </c>
      <c r="O7" t="s">
        <v>472</v>
      </c>
      <c r="P7" t="s">
        <v>503</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5.79</v>
      </c>
      <c r="F8">
        <f t="shared" si="0"/>
        <v>33.103448275862092</v>
      </c>
      <c r="G8">
        <v>5.2649999999999997</v>
      </c>
      <c r="H8" s="4">
        <v>5.85</v>
      </c>
      <c r="I8" s="4">
        <v>2.94</v>
      </c>
      <c r="J8" t="s">
        <v>490</v>
      </c>
      <c r="K8" s="3">
        <v>0.9</v>
      </c>
      <c r="L8" t="s">
        <v>477</v>
      </c>
      <c r="M8" t="s">
        <v>459</v>
      </c>
      <c r="N8" s="3">
        <v>3.6999999999999998E-2</v>
      </c>
      <c r="O8" t="s">
        <v>491</v>
      </c>
      <c r="P8" t="s">
        <v>492</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4.8600000000000003</v>
      </c>
      <c r="F9">
        <f t="shared" si="0"/>
        <v>24.296675191815865</v>
      </c>
      <c r="G9">
        <v>4.5539999999999994</v>
      </c>
      <c r="H9" s="4">
        <v>5.2</v>
      </c>
      <c r="I9" s="4">
        <v>3.56</v>
      </c>
      <c r="J9" t="s">
        <v>504</v>
      </c>
      <c r="K9" s="3">
        <v>1</v>
      </c>
      <c r="L9" t="s">
        <v>27</v>
      </c>
      <c r="M9" t="s">
        <v>473</v>
      </c>
      <c r="N9" s="3">
        <v>3.6999999999999998E-2</v>
      </c>
      <c r="O9" t="s">
        <v>493</v>
      </c>
      <c r="Q9" t="s">
        <v>474</v>
      </c>
      <c r="R9" s="3">
        <v>8.8999999999999996E-2</v>
      </c>
      <c r="T9" t="s">
        <v>475</v>
      </c>
      <c r="U9" s="3">
        <v>6.2E-2</v>
      </c>
      <c r="V9" s="3">
        <v>4.7E-2</v>
      </c>
      <c r="W9" s="3">
        <v>8.3000000000000004E-2</v>
      </c>
      <c r="X9" s="3">
        <v>0.216</v>
      </c>
    </row>
    <row r="10" spans="1:24" x14ac:dyDescent="0.25">
      <c r="A10" t="s">
        <v>160</v>
      </c>
      <c r="B10" t="s">
        <v>345</v>
      </c>
      <c r="C10" t="s">
        <v>22</v>
      </c>
      <c r="D10" s="5">
        <v>13.56</v>
      </c>
      <c r="E10" s="4">
        <v>26.97</v>
      </c>
      <c r="F10">
        <f t="shared" si="0"/>
        <v>98.893805309734503</v>
      </c>
      <c r="G10">
        <v>24.462</v>
      </c>
      <c r="H10" s="4">
        <v>27.18</v>
      </c>
      <c r="I10" s="4">
        <v>11.84</v>
      </c>
      <c r="J10" t="s">
        <v>505</v>
      </c>
      <c r="K10" s="3">
        <v>1</v>
      </c>
      <c r="L10" t="s">
        <v>374</v>
      </c>
      <c r="M10" t="s">
        <v>461</v>
      </c>
      <c r="N10" s="3">
        <v>2.7E-2</v>
      </c>
      <c r="O10" t="s">
        <v>506</v>
      </c>
      <c r="P10" t="s">
        <v>507</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4.9400000000000004</v>
      </c>
      <c r="F11">
        <f t="shared" si="0"/>
        <v>27.319587628865992</v>
      </c>
      <c r="G11">
        <v>4.6259999999999994</v>
      </c>
      <c r="H11" s="4">
        <v>5.14</v>
      </c>
      <c r="I11" s="4">
        <v>3.66</v>
      </c>
      <c r="J11" t="s">
        <v>508</v>
      </c>
      <c r="K11" s="3">
        <v>1</v>
      </c>
      <c r="L11" t="s">
        <v>162</v>
      </c>
      <c r="M11" t="s">
        <v>464</v>
      </c>
      <c r="N11" s="3">
        <v>3.9E-2</v>
      </c>
      <c r="O11" t="s">
        <v>509</v>
      </c>
      <c r="P11" t="s">
        <v>510</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6.63</v>
      </c>
      <c r="F12">
        <f t="shared" si="0"/>
        <v>9.4059405940594143</v>
      </c>
      <c r="G12">
        <v>6.2820000000000009</v>
      </c>
      <c r="H12" s="4">
        <v>7.93</v>
      </c>
      <c r="I12" s="4">
        <v>5.88</v>
      </c>
      <c r="J12" t="s">
        <v>484</v>
      </c>
      <c r="K12" s="3">
        <v>1</v>
      </c>
      <c r="L12" t="s">
        <v>375</v>
      </c>
      <c r="M12" t="s">
        <v>479</v>
      </c>
      <c r="N12" s="3">
        <v>5.7000000000000002E-2</v>
      </c>
      <c r="O12" t="s">
        <v>486</v>
      </c>
      <c r="P12" t="s">
        <v>487</v>
      </c>
      <c r="Q12" t="s">
        <v>480</v>
      </c>
      <c r="R12" s="3">
        <v>2.82</v>
      </c>
      <c r="T12" t="s">
        <v>481</v>
      </c>
      <c r="U12" s="3">
        <v>7.9000000000000001E-2</v>
      </c>
      <c r="V12" s="3">
        <v>0.30199999999999999</v>
      </c>
      <c r="W12" s="3">
        <v>-0.28799999999999998</v>
      </c>
      <c r="X12" s="3">
        <v>2.1999999999999999E-2</v>
      </c>
    </row>
    <row r="13" spans="1:24" x14ac:dyDescent="0.25">
      <c r="A13" t="s">
        <v>164</v>
      </c>
      <c r="B13" t="s">
        <v>348</v>
      </c>
      <c r="C13" t="s">
        <v>34</v>
      </c>
      <c r="D13">
        <v>2.36</v>
      </c>
      <c r="E13" s="4">
        <v>2.25</v>
      </c>
      <c r="F13">
        <f t="shared" si="0"/>
        <v>-4.6610169491525415</v>
      </c>
      <c r="G13">
        <v>2.0925000000000002</v>
      </c>
      <c r="H13" s="4">
        <v>2.5299999999999998</v>
      </c>
      <c r="I13" s="4">
        <v>2</v>
      </c>
      <c r="J13" t="s">
        <v>488</v>
      </c>
      <c r="K13" s="3">
        <v>0</v>
      </c>
      <c r="L13" t="s">
        <v>485</v>
      </c>
      <c r="M13" t="s">
        <v>465</v>
      </c>
      <c r="N13" s="3">
        <v>4.9000000000000002E-2</v>
      </c>
      <c r="O13" t="s">
        <v>511</v>
      </c>
      <c r="P13" t="s">
        <v>512</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1:12" x14ac:dyDescent="0.25">
      <c r="B17" s="3"/>
      <c r="C17" s="2"/>
    </row>
    <row r="18" spans="1:12" x14ac:dyDescent="0.25">
      <c r="B18" s="3"/>
      <c r="C18" s="2"/>
    </row>
    <row r="19" spans="1:12" x14ac:dyDescent="0.25">
      <c r="B19" s="3"/>
      <c r="C19" s="2"/>
    </row>
    <row r="20" spans="1:12" x14ac:dyDescent="0.25">
      <c r="B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3"/>
    </row>
    <row r="23" spans="1:12" x14ac:dyDescent="0.25">
      <c r="A23" s="3"/>
      <c r="B23" s="3"/>
      <c r="C23" s="3"/>
      <c r="D23" s="3"/>
      <c r="E23" s="3"/>
      <c r="F23" s="3"/>
      <c r="G23" s="3"/>
      <c r="H23" s="3"/>
      <c r="I23" s="3"/>
      <c r="J23" s="3"/>
      <c r="K23" s="3"/>
      <c r="L23" s="3"/>
    </row>
    <row r="24" spans="1:12" x14ac:dyDescent="0.25">
      <c r="A24" s="3"/>
      <c r="B24" s="3"/>
      <c r="C24" s="3"/>
      <c r="D24" s="3"/>
      <c r="E24" s="3"/>
      <c r="F24" s="3"/>
      <c r="G24" s="3"/>
      <c r="H24" s="3"/>
      <c r="I24" s="3"/>
      <c r="J24" s="3"/>
      <c r="K24" s="3"/>
      <c r="L24" s="3"/>
    </row>
    <row r="25" spans="1:12" x14ac:dyDescent="0.25">
      <c r="A25" s="3"/>
      <c r="B25" s="3"/>
      <c r="C25" s="3"/>
      <c r="D25" s="3"/>
      <c r="E25" s="3"/>
      <c r="F25" s="3"/>
      <c r="G25" s="3"/>
      <c r="H25" s="3"/>
      <c r="I25" s="3"/>
      <c r="J25" s="3"/>
      <c r="K25" s="3"/>
      <c r="L25" s="3"/>
    </row>
    <row r="26" spans="1:12" x14ac:dyDescent="0.25">
      <c r="A26" s="3"/>
      <c r="B26" s="3"/>
      <c r="C26" s="3"/>
      <c r="D26" s="3"/>
      <c r="E26" s="3"/>
      <c r="F26" s="3"/>
      <c r="G26" s="3"/>
      <c r="H26" s="3"/>
      <c r="I26" s="3"/>
      <c r="J26" s="3"/>
      <c r="K26" s="3"/>
      <c r="L26" s="3"/>
    </row>
    <row r="27" spans="1:12" x14ac:dyDescent="0.25">
      <c r="A27" s="3"/>
      <c r="B27" s="3"/>
      <c r="C27" s="3"/>
      <c r="D27" s="3"/>
      <c r="E27" s="3"/>
      <c r="F27" s="3"/>
      <c r="G27" s="3"/>
      <c r="H27" s="3"/>
      <c r="I27" s="3"/>
      <c r="J27" s="3"/>
      <c r="K27" s="3"/>
      <c r="L27" s="3"/>
    </row>
    <row r="28" spans="1:12" x14ac:dyDescent="0.25">
      <c r="A28" s="3"/>
      <c r="B28" s="3"/>
      <c r="C28" s="3"/>
      <c r="D28" s="3"/>
      <c r="E28" s="3"/>
      <c r="F28" s="3"/>
      <c r="G28" s="3"/>
      <c r="H28" s="3"/>
      <c r="I28" s="3"/>
      <c r="J28" s="3"/>
      <c r="K28" s="3"/>
      <c r="L28" s="3"/>
    </row>
    <row r="29" spans="1:12" x14ac:dyDescent="0.25">
      <c r="A29" s="3"/>
      <c r="B29" s="3"/>
      <c r="C29" s="3"/>
      <c r="D29" s="3"/>
      <c r="E29" s="3"/>
      <c r="F29" s="3"/>
      <c r="G29" s="3"/>
      <c r="H29" s="3"/>
      <c r="I29" s="3"/>
      <c r="J29" s="3"/>
      <c r="K29" s="3"/>
      <c r="L29" s="3"/>
    </row>
    <row r="30" spans="1:12" x14ac:dyDescent="0.25">
      <c r="A30" s="3"/>
      <c r="B30" s="3"/>
      <c r="C30" s="3"/>
      <c r="D30" s="3"/>
      <c r="E30" s="3"/>
      <c r="F30" s="3"/>
      <c r="G30" s="3"/>
      <c r="H30" s="3"/>
      <c r="I30" s="3"/>
      <c r="J30" s="3"/>
      <c r="K30" s="3"/>
      <c r="L30" s="3"/>
    </row>
    <row r="31" spans="1:12" x14ac:dyDescent="0.25">
      <c r="A31" s="3"/>
      <c r="B31" s="3"/>
      <c r="C31" s="3"/>
      <c r="D31" s="3"/>
      <c r="E31" s="3"/>
      <c r="F31" s="3"/>
      <c r="G31" s="3"/>
      <c r="H31" s="3"/>
      <c r="I31" s="3"/>
      <c r="J31" s="3"/>
      <c r="K31" s="3"/>
      <c r="L31" s="3"/>
    </row>
    <row r="32" spans="1:12" x14ac:dyDescent="0.25">
      <c r="A32" s="3"/>
      <c r="B32" s="3"/>
      <c r="C32" s="3"/>
      <c r="D32" s="3"/>
      <c r="E32" s="3"/>
      <c r="F32" s="3"/>
      <c r="G32" s="3"/>
      <c r="H32" s="3"/>
      <c r="I32" s="3"/>
      <c r="J32" s="3"/>
      <c r="K32" s="3"/>
      <c r="L32" s="3"/>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M25" sqref="M25"/>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9.27</v>
      </c>
      <c r="K2" s="5">
        <f>(J2/C2-1)*100</f>
        <v>-16.108597285067884</v>
      </c>
      <c r="L2" s="4">
        <v>11.74</v>
      </c>
      <c r="M2" s="4">
        <v>6.02</v>
      </c>
      <c r="N2" t="s">
        <v>499</v>
      </c>
      <c r="O2" s="3">
        <v>1</v>
      </c>
      <c r="P2" t="s">
        <v>398</v>
      </c>
      <c r="Q2" t="s">
        <v>421</v>
      </c>
      <c r="R2" s="3">
        <v>5.5E-2</v>
      </c>
      <c r="S2" t="s">
        <v>500</v>
      </c>
      <c r="T2" t="s">
        <v>501</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9.3699999999999992</v>
      </c>
      <c r="K4" s="5">
        <f t="shared" si="0"/>
        <v>8.7006960556844639</v>
      </c>
      <c r="L4" s="4">
        <v>9.4700000000000006</v>
      </c>
      <c r="M4" s="4">
        <v>6.26</v>
      </c>
      <c r="N4" t="s">
        <v>494</v>
      </c>
      <c r="O4" s="3">
        <v>0.216</v>
      </c>
      <c r="P4" t="s">
        <v>478</v>
      </c>
      <c r="Q4" t="s">
        <v>450</v>
      </c>
      <c r="R4" s="3">
        <v>6.0999999999999999E-2</v>
      </c>
      <c r="S4" t="s">
        <v>489</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3.47</v>
      </c>
      <c r="K5" s="5">
        <f t="shared" si="0"/>
        <v>13.029315960912058</v>
      </c>
      <c r="L5" s="4">
        <v>3.59</v>
      </c>
      <c r="M5" s="4">
        <v>2.67</v>
      </c>
      <c r="N5" t="s">
        <v>476</v>
      </c>
      <c r="O5" s="3">
        <v>0</v>
      </c>
      <c r="P5" t="s">
        <v>482</v>
      </c>
      <c r="Q5" t="s">
        <v>439</v>
      </c>
      <c r="R5" s="3">
        <v>4.7E-2</v>
      </c>
      <c r="S5" t="s">
        <v>495</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3.79</v>
      </c>
      <c r="K6" s="5">
        <f t="shared" si="0"/>
        <v>4.1208791208791284</v>
      </c>
      <c r="L6" s="4">
        <v>3.94</v>
      </c>
      <c r="M6" s="4">
        <v>3.1</v>
      </c>
      <c r="N6" t="s">
        <v>483</v>
      </c>
      <c r="O6" s="3">
        <v>0</v>
      </c>
      <c r="P6" t="s">
        <v>133</v>
      </c>
      <c r="Q6" t="s">
        <v>442</v>
      </c>
      <c r="R6" s="3">
        <v>4.9000000000000002E-2</v>
      </c>
      <c r="S6" t="s">
        <v>496</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5</v>
      </c>
      <c r="K7" s="5">
        <f t="shared" si="0"/>
        <v>-3.474903474903468</v>
      </c>
      <c r="L7" s="4">
        <v>5.33</v>
      </c>
      <c r="M7" s="4">
        <v>4.17</v>
      </c>
      <c r="N7" t="s">
        <v>497</v>
      </c>
      <c r="O7" s="3">
        <v>0</v>
      </c>
      <c r="P7" t="s">
        <v>46</v>
      </c>
      <c r="Q7" t="s">
        <v>468</v>
      </c>
      <c r="R7" s="3">
        <v>0.08</v>
      </c>
      <c r="S7" t="s">
        <v>498</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2.2400000000000002</v>
      </c>
      <c r="K9" s="5">
        <f t="shared" si="0"/>
        <v>-2.608695652173898</v>
      </c>
      <c r="L9" s="4">
        <v>2.46</v>
      </c>
      <c r="M9" s="4">
        <v>1.7749999999999999</v>
      </c>
      <c r="N9" t="s">
        <v>502</v>
      </c>
      <c r="O9" s="3">
        <v>0</v>
      </c>
      <c r="P9" t="s">
        <v>37</v>
      </c>
      <c r="Q9" t="s">
        <v>456</v>
      </c>
      <c r="R9" s="3">
        <v>0.04</v>
      </c>
      <c r="S9" t="s">
        <v>472</v>
      </c>
      <c r="T9" t="s">
        <v>503</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5.79</v>
      </c>
      <c r="K10" s="5">
        <f t="shared" si="0"/>
        <v>33.103448275862092</v>
      </c>
      <c r="L10" s="4">
        <v>5.85</v>
      </c>
      <c r="M10" s="4">
        <v>2.94</v>
      </c>
      <c r="N10" t="s">
        <v>490</v>
      </c>
      <c r="O10" s="3">
        <v>0.9</v>
      </c>
      <c r="P10" t="s">
        <v>477</v>
      </c>
      <c r="Q10" t="s">
        <v>459</v>
      </c>
      <c r="R10" s="3">
        <v>3.6999999999999998E-2</v>
      </c>
      <c r="S10" t="s">
        <v>491</v>
      </c>
      <c r="T10" t="s">
        <v>492</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4.8600000000000003</v>
      </c>
      <c r="K11" s="5">
        <f t="shared" si="0"/>
        <v>24.296675191815865</v>
      </c>
      <c r="L11" s="4">
        <v>5.2</v>
      </c>
      <c r="M11" s="4">
        <v>3.56</v>
      </c>
      <c r="N11" t="s">
        <v>504</v>
      </c>
      <c r="O11" s="3">
        <v>1</v>
      </c>
      <c r="P11" t="s">
        <v>27</v>
      </c>
      <c r="Q11" t="s">
        <v>473</v>
      </c>
      <c r="R11" s="3">
        <v>3.6999999999999998E-2</v>
      </c>
      <c r="S11" t="s">
        <v>493</v>
      </c>
      <c r="U11" t="s">
        <v>474</v>
      </c>
      <c r="V11" s="3">
        <v>8.8999999999999996E-2</v>
      </c>
      <c r="X11" t="s">
        <v>475</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L2" sqref="L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11.40522079791031</v>
      </c>
      <c r="B2">
        <v>1525.0838000000001</v>
      </c>
      <c r="C2">
        <f>COUNTA(Trades!$A$2:A1048576)</f>
        <v>194</v>
      </c>
      <c r="D2">
        <f>COUNTIF(Trades!$J$2:J894,"&gt;0")</f>
        <v>118</v>
      </c>
      <c r="E2">
        <f>AVERAGEIF(Trades!$J$2:J894,"&gt;0")*100</f>
        <v>49.354662110080206</v>
      </c>
      <c r="F2">
        <f>C2-D2</f>
        <v>76</v>
      </c>
      <c r="G2">
        <f>AVERAGEIF(Trades!$J$2:J894,"&lt;0")*100</f>
        <v>-14.036664252948858</v>
      </c>
      <c r="H2">
        <v>-21.65</v>
      </c>
      <c r="I2">
        <v>6.6222038063470157</v>
      </c>
      <c r="J2">
        <v>7.2743029376131974</v>
      </c>
      <c r="K2">
        <v>1.3231371143099802</v>
      </c>
      <c r="L2" s="5">
        <v>4.7422743000000001</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8"/>
  <sheetViews>
    <sheetView topLeftCell="A1327" workbookViewId="0">
      <selection activeCell="G1367" sqref="G136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tabSelected="1" workbookViewId="0">
      <selection activeCell="P9" sqref="P9"/>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45975</v>
      </c>
      <c r="G2" s="4">
        <v>9.27</v>
      </c>
      <c r="H2" s="3">
        <f>G2/E2-1</f>
        <v>-0.12547169811320757</v>
      </c>
      <c r="I2" s="15">
        <f t="shared" ref="I2:I3" si="0">K2*E2*J2</f>
        <v>-16933.238400000002</v>
      </c>
      <c r="J2" s="17">
        <f t="shared" ref="J2:J3" si="1">H2-0.002</f>
        <v>-0.12747169811320758</v>
      </c>
      <c r="K2" s="15">
        <v>12532</v>
      </c>
      <c r="N2" s="4"/>
    </row>
    <row r="3" spans="1:30" x14ac:dyDescent="0.25">
      <c r="A3" s="3" t="s">
        <v>135</v>
      </c>
      <c r="B3" t="s">
        <v>158</v>
      </c>
      <c r="C3" t="s">
        <v>335</v>
      </c>
      <c r="D3" s="2">
        <v>45793</v>
      </c>
      <c r="E3">
        <v>8.6199999999999992</v>
      </c>
      <c r="F3" s="14">
        <v>45975</v>
      </c>
      <c r="G3" s="4">
        <v>9.3699999999999992</v>
      </c>
      <c r="H3" s="3">
        <f t="shared" ref="H3" si="2">G3/E3-1</f>
        <v>8.7006960556844648E-2</v>
      </c>
      <c r="I3">
        <f t="shared" si="0"/>
        <v>10552.476760000012</v>
      </c>
      <c r="J3" s="3">
        <f t="shared" si="1"/>
        <v>8.5006960556844646E-2</v>
      </c>
      <c r="K3">
        <v>14401</v>
      </c>
      <c r="N3" s="4"/>
      <c r="P3" s="11"/>
      <c r="Q3" s="13"/>
      <c r="R3" s="2"/>
      <c r="T3" s="3"/>
      <c r="V3" s="3"/>
      <c r="AA3" s="3"/>
      <c r="AB3" s="3"/>
      <c r="AC3" s="3"/>
      <c r="AD3" s="3"/>
    </row>
    <row r="4" spans="1:30" x14ac:dyDescent="0.25">
      <c r="A4" s="3" t="s">
        <v>80</v>
      </c>
      <c r="B4" t="s">
        <v>131</v>
      </c>
      <c r="C4" t="s">
        <v>335</v>
      </c>
      <c r="D4" s="2">
        <v>45786</v>
      </c>
      <c r="E4">
        <v>3.07</v>
      </c>
      <c r="F4" s="14">
        <v>45975</v>
      </c>
      <c r="G4" s="4">
        <v>3.47</v>
      </c>
      <c r="H4" s="3">
        <f t="shared" ref="H4:H13" si="3">G4/E4-1</f>
        <v>0.13029315960912058</v>
      </c>
      <c r="I4">
        <f t="shared" ref="I4:I13" si="4">K4*E4*J4</f>
        <v>15174.638080000006</v>
      </c>
      <c r="J4" s="3">
        <f t="shared" ref="J4:J13" si="5">H4-0.002</f>
        <v>0.12829315960912058</v>
      </c>
      <c r="K4">
        <v>38528</v>
      </c>
      <c r="N4" s="4"/>
      <c r="P4" s="11"/>
      <c r="Q4" s="12"/>
      <c r="R4" s="2"/>
      <c r="T4" s="3"/>
      <c r="V4" s="3"/>
      <c r="AA4" s="3"/>
      <c r="AB4" s="3"/>
      <c r="AC4" s="3"/>
      <c r="AD4" s="3"/>
    </row>
    <row r="5" spans="1:30" x14ac:dyDescent="0.25">
      <c r="A5" s="3" t="s">
        <v>81</v>
      </c>
      <c r="B5" t="s">
        <v>132</v>
      </c>
      <c r="C5" t="s">
        <v>335</v>
      </c>
      <c r="D5" s="2">
        <v>45786</v>
      </c>
      <c r="E5">
        <v>3.64</v>
      </c>
      <c r="F5" s="14">
        <v>45975</v>
      </c>
      <c r="G5" s="4">
        <v>3.79</v>
      </c>
      <c r="H5" s="3">
        <f t="shared" si="3"/>
        <v>4.1208791208791284E-2</v>
      </c>
      <c r="I5">
        <f t="shared" si="4"/>
        <v>4702.6240000000089</v>
      </c>
      <c r="J5" s="3">
        <f t="shared" si="5"/>
        <v>3.9208791208791283E-2</v>
      </c>
      <c r="K5">
        <v>32950</v>
      </c>
      <c r="N5" s="4"/>
      <c r="P5" s="11"/>
      <c r="Q5" s="12"/>
      <c r="R5" s="2"/>
      <c r="T5" s="3"/>
      <c r="V5" s="3"/>
      <c r="AA5" s="3"/>
      <c r="AB5" s="3"/>
      <c r="AC5" s="3"/>
      <c r="AD5" s="3"/>
    </row>
    <row r="6" spans="1:30" x14ac:dyDescent="0.25">
      <c r="A6" s="3" t="s">
        <v>45</v>
      </c>
      <c r="B6" t="s">
        <v>134</v>
      </c>
      <c r="C6" t="s">
        <v>335</v>
      </c>
      <c r="D6" s="2">
        <v>45786</v>
      </c>
      <c r="E6">
        <v>5.18</v>
      </c>
      <c r="F6" s="14">
        <v>45975</v>
      </c>
      <c r="G6" s="4">
        <v>5</v>
      </c>
      <c r="H6" s="3">
        <f t="shared" si="3"/>
        <v>-3.474903474903468E-2</v>
      </c>
      <c r="I6">
        <f t="shared" si="4"/>
        <v>-4292.2372799999921</v>
      </c>
      <c r="J6" s="3">
        <f t="shared" si="5"/>
        <v>-3.6749034749034681E-2</v>
      </c>
      <c r="K6">
        <v>22548</v>
      </c>
      <c r="N6" s="4"/>
      <c r="P6" s="11"/>
      <c r="Q6" s="12"/>
      <c r="R6" s="2"/>
      <c r="T6" s="3"/>
      <c r="V6" s="3"/>
      <c r="AA6" s="3"/>
      <c r="AB6" s="3"/>
      <c r="AC6" s="3"/>
      <c r="AD6" s="3"/>
    </row>
    <row r="7" spans="1:30" x14ac:dyDescent="0.25">
      <c r="A7" s="3" t="s">
        <v>36</v>
      </c>
      <c r="B7" t="s">
        <v>35</v>
      </c>
      <c r="C7" t="s">
        <v>335</v>
      </c>
      <c r="D7" s="2">
        <v>45786</v>
      </c>
      <c r="E7">
        <v>2.2999999999999998</v>
      </c>
      <c r="F7" s="14">
        <v>45975</v>
      </c>
      <c r="G7" s="4">
        <v>2.2400000000000002</v>
      </c>
      <c r="H7" s="3">
        <f t="shared" si="3"/>
        <v>-2.608695652173898E-2</v>
      </c>
      <c r="I7">
        <f t="shared" si="4"/>
        <v>-3349.122399999982</v>
      </c>
      <c r="J7" s="3">
        <f t="shared" si="5"/>
        <v>-2.8086956521738982E-2</v>
      </c>
      <c r="K7">
        <v>51844</v>
      </c>
      <c r="N7" s="4"/>
      <c r="P7" s="18"/>
      <c r="Q7" s="12"/>
      <c r="R7" s="2"/>
      <c r="T7" s="3"/>
      <c r="V7" s="3"/>
      <c r="AA7" s="3"/>
      <c r="AB7" s="3"/>
      <c r="AC7" s="3"/>
      <c r="AD7" s="3"/>
    </row>
    <row r="8" spans="1:30" x14ac:dyDescent="0.25">
      <c r="A8" s="3" t="s">
        <v>31</v>
      </c>
      <c r="B8" t="s">
        <v>30</v>
      </c>
      <c r="C8" t="s">
        <v>335</v>
      </c>
      <c r="D8" s="2">
        <v>45786</v>
      </c>
      <c r="E8">
        <v>4.3499999999999996</v>
      </c>
      <c r="F8" s="14">
        <v>45975</v>
      </c>
      <c r="G8" s="4">
        <v>5.79</v>
      </c>
      <c r="H8" s="3">
        <f t="shared" si="3"/>
        <v>0.33103448275862091</v>
      </c>
      <c r="I8">
        <f t="shared" si="4"/>
        <v>38447.580600000023</v>
      </c>
      <c r="J8" s="3">
        <f t="shared" si="5"/>
        <v>0.32903448275862091</v>
      </c>
      <c r="K8">
        <v>26862</v>
      </c>
      <c r="N8" s="4"/>
      <c r="P8" s="11"/>
      <c r="Q8" s="12"/>
      <c r="R8" s="2"/>
      <c r="T8" s="3"/>
      <c r="V8" s="3"/>
      <c r="AA8" s="3"/>
      <c r="AB8" s="3"/>
      <c r="AC8" s="3"/>
      <c r="AD8" s="3"/>
    </row>
    <row r="9" spans="1:30" x14ac:dyDescent="0.25">
      <c r="A9" s="3" t="s">
        <v>25</v>
      </c>
      <c r="B9" t="s">
        <v>24</v>
      </c>
      <c r="C9" t="s">
        <v>335</v>
      </c>
      <c r="D9" s="2">
        <v>45695</v>
      </c>
      <c r="E9">
        <v>3.8413110000000001</v>
      </c>
      <c r="F9" s="14">
        <v>45975</v>
      </c>
      <c r="G9" s="4">
        <v>4.8600000000000003</v>
      </c>
      <c r="H9" s="3">
        <f t="shared" si="3"/>
        <v>0.26519305518350378</v>
      </c>
      <c r="I9">
        <f t="shared" si="4"/>
        <v>31434.210304776003</v>
      </c>
      <c r="J9" s="3">
        <f t="shared" si="5"/>
        <v>0.26319305518350378</v>
      </c>
      <c r="K9">
        <v>31092</v>
      </c>
      <c r="N9" s="4"/>
      <c r="P9" s="11"/>
      <c r="Q9" s="12"/>
      <c r="R9" s="2"/>
      <c r="T9" s="3"/>
      <c r="V9" s="3"/>
      <c r="AA9" s="3"/>
      <c r="AB9" s="3"/>
      <c r="AC9" s="3"/>
      <c r="AD9" s="3"/>
    </row>
    <row r="10" spans="1:30" x14ac:dyDescent="0.25">
      <c r="A10" s="3" t="s">
        <v>118</v>
      </c>
      <c r="B10" t="s">
        <v>160</v>
      </c>
      <c r="C10" t="s">
        <v>335</v>
      </c>
      <c r="D10" s="2">
        <v>45639</v>
      </c>
      <c r="E10">
        <v>13.27768</v>
      </c>
      <c r="F10" s="14">
        <v>45975</v>
      </c>
      <c r="G10" s="4">
        <v>26.97</v>
      </c>
      <c r="H10" s="3">
        <f t="shared" si="3"/>
        <v>1.0312283471208823</v>
      </c>
      <c r="I10">
        <f t="shared" si="4"/>
        <v>119302.12530719997</v>
      </c>
      <c r="J10" s="3">
        <f t="shared" si="5"/>
        <v>1.0292283471208823</v>
      </c>
      <c r="K10">
        <v>8730</v>
      </c>
      <c r="N10" s="4"/>
      <c r="P10" s="11"/>
      <c r="Q10" s="12"/>
      <c r="R10" s="2"/>
      <c r="T10" s="3"/>
      <c r="V10" s="3"/>
      <c r="AA10" s="3"/>
      <c r="AB10" s="3"/>
      <c r="AC10" s="3"/>
      <c r="AD10" s="3"/>
    </row>
    <row r="11" spans="1:30" x14ac:dyDescent="0.25">
      <c r="A11" s="3" t="s">
        <v>136</v>
      </c>
      <c r="B11" t="s">
        <v>161</v>
      </c>
      <c r="C11" t="s">
        <v>335</v>
      </c>
      <c r="D11" s="2">
        <v>45499</v>
      </c>
      <c r="E11">
        <v>3.696536</v>
      </c>
      <c r="F11" s="14">
        <v>45975</v>
      </c>
      <c r="G11" s="4">
        <v>4.9400000000000004</v>
      </c>
      <c r="H11" s="3">
        <f t="shared" si="3"/>
        <v>0.33638628164313844</v>
      </c>
      <c r="I11">
        <f t="shared" si="4"/>
        <v>37216.85957115201</v>
      </c>
      <c r="J11" s="3">
        <f t="shared" si="5"/>
        <v>0.33438628164313844</v>
      </c>
      <c r="K11">
        <v>30109</v>
      </c>
      <c r="N11" s="4"/>
      <c r="P11" s="11"/>
      <c r="Q11" s="12"/>
      <c r="R11" s="2"/>
      <c r="T11" s="3"/>
      <c r="V11" s="3"/>
      <c r="AA11" s="3"/>
      <c r="AB11" s="3"/>
      <c r="AC11" s="3"/>
      <c r="AD11" s="3"/>
    </row>
    <row r="12" spans="1:30" x14ac:dyDescent="0.25">
      <c r="A12" s="3" t="s">
        <v>115</v>
      </c>
      <c r="B12" t="s">
        <v>163</v>
      </c>
      <c r="C12" t="s">
        <v>335</v>
      </c>
      <c r="D12" s="2">
        <v>45282</v>
      </c>
      <c r="E12">
        <v>5.588908</v>
      </c>
      <c r="F12" s="14">
        <v>45975</v>
      </c>
      <c r="G12" s="4">
        <v>6.63</v>
      </c>
      <c r="H12" s="3">
        <f t="shared" si="3"/>
        <v>0.18627824970459339</v>
      </c>
      <c r="I12">
        <f t="shared" si="4"/>
        <v>20184.258178031992</v>
      </c>
      <c r="J12" s="3">
        <f t="shared" si="5"/>
        <v>0.18427824970459339</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45975</v>
      </c>
      <c r="G13" s="4">
        <v>2.25</v>
      </c>
      <c r="H13" s="3">
        <f t="shared" si="3"/>
        <v>1.857196210912293E-2</v>
      </c>
      <c r="I13">
        <f t="shared" si="4"/>
        <v>1810.4016577499913</v>
      </c>
      <c r="J13" s="3">
        <f t="shared" si="5"/>
        <v>1.6571962109122929E-2</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33" sqref="J33"/>
    </sheetView>
  </sheetViews>
  <sheetFormatPr defaultRowHeight="15" x14ac:dyDescent="0.25"/>
  <cols>
    <col min="9" max="9" width="9.28515625" customWidth="1"/>
    <col min="14" max="14" width="9.28515625"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t="s">
        <v>363</v>
      </c>
      <c r="M27" t="s">
        <v>363</v>
      </c>
      <c r="N27" s="3">
        <v>4.2115815030191683E-2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67"/>
  <sheetViews>
    <sheetView topLeftCell="A1334" workbookViewId="0">
      <selection activeCell="T1363" sqref="T136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67"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2025-11-14T06:32:26Z</dcterms:modified>
</cp:coreProperties>
</file>