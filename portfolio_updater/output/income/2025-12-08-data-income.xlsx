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779A3AAD-41E8-49A6-A951-EDF0EA485F04}"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5" i="5" l="1"/>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<sst xmlns="http://schemas.openxmlformats.org/spreadsheetml/2006/main" count="1039" uniqueCount="508">
  <si>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</si>
  <si>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</si>
  <si>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</si>
  <si>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</si>
  <si>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</si>
  <si>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</si>
  <si>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</si>
  <si>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</si>
  <si>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</si>
  <si>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</si>
  <si>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</si>
  <si>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</si>
  <si>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</si>
  <si>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</si>
  <si>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</si>
  <si>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</si>
  <si>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</si>
  <si>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</si>
  <si>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</si>
  <si>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</si>
  <si>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</si>
  <si>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</si>
  <si>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</si>
  <si>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</si>
  <si>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</si>
  <si>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</si>
  <si>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</si>
  <si>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</si>
  <si>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</si>
  <si>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</si>
  <si>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</si>
  <si>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</si>
  <si>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</si>
  <si>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</si>
  <si>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</si>
  <si>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</si>
  <si>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</si>
  <si>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</si>
  <si>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</si>
  <si>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</si>
  <si>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</si>
  <si>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</si>
  <si>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</si>
  <si>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</si>
  <si>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</si>
  <si>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</si>
  <si>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</si>
  <si>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</si>
  <si>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</si>
  <si>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</si>
  <si>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</si>
  <si>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</si>
  <si>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</si>
  <si>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</si>
  <si>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</si>
  <si>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</si>
  <si>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</si>
  <si>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</si>
  <si>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</si>
  <si>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</si>
  <si>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</si>
  <si>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</si>
  <si>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</si>
  <si>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</si>
  <si>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</si>
  <si>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</si>
  <si>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</si>
  <si>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</si>
  <si>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</si>
  <si>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</si>
  <si>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</si>
  <si>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</si>
  <si>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</si>
  <si>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</si>
  <si>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</si>
  <si>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</si>
  <si>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</si>
  <si>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</si>
  <si>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</si>
  <si>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</si>
  <si>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</si>
  <si>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</si>
  <si>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</si>
  <si>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</si>
  <si>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</si>
  <si>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</si>
  <si>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</si>
  <si>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</si>
  <si>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</si>
  <si>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</si>
  <si>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</si>
  <si>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</si>
  <si>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</si>
  <si>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</si>
  <si>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</si>
  <si>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</si>
  <si>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</si>
  <si>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</si>
  <si>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</si>
  <si>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</si>
  <si>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</si>
  <si>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</si>
  <si>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</si>
  <si>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</si>
  <si>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</si>
  <si>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</si>
  <si>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</si>
  <si>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</si>
  <si>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</si>
  <si>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</si>
  <si>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</si>
  <si>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</si>
  <si>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</si>
  <si>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</si>
  <si>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</si>
  <si>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</si>
  <si>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</si>
  <si>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</si>
  <si>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</si>
  <si>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</si>
  <si>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</si>
  <si>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</si>
  <si>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</si>
  <si>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</si>
  <si>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</si>
  <si>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</si>
  <si>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</si>
  <si>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</si>
  <si>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</si>
  <si>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</si>
  <si>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</si>
  <si>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</si>
  <si>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</si>
  <si>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</si>
  <si>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</si>
  <si>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</si>
  <si>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</si>
  <si>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</si>
  <si>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</si>
  <si>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</si>
  <si>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</si>
  <si>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</si>
  <si>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</si>
  <si>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</si>
  <si>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</si>
  <si>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</si>
  <si>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</si>
  <si>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</si>
  <si>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</si>
  <si>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</si>
  <si>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</si>
  <si>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</si>
  <si>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</si>
  <si>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</si>
  <si>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</si>
  <si>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</si>
  <si>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</si>
  <si>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</si>
  <si>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</si>
  <si>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</si>
  <si>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</si>
  <si>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</si>
  <si>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</si>
  <si>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</si>
  <si>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</si>
  <si>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</si>
  <si>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</si>
  <si>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</si>
  <si>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</si>
  <si>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</si>
  <si>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</si>
  <si>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</si>
  <si>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</si>
  <si>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</si>
  <si>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</si>
  <si>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</si>
  <si>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</si>
  <si>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</si>
  <si>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</si>
  <si>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</si>
  <si>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</si>
  <si>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</si>
  <si>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</si>
  <si>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</si>
  <si>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</si>
  <si>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</si>
  <si>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</si>
  <si>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</si>
  <si>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</si>
  <si>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</si>
  <si>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</si>
  <si>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</si>
  <si>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</si>
  <si>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</si>
  <si>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</si>
  <si>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</si>
  <si>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</si>
  <si>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</si>
  <si>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</si>
  <si>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</si>
  <si>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</si>
  <si>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</si>
  <si>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</si>
  <si>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</si>
  <si>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</si>
  <si>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</si>
  <si>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</si>
  <si>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</si>
  <si>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</si>
  <si>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</si>
  <si>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</si>
  <si>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</si>
  <si>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</si>
  <si>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</si>
  <si>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</si>
  <si>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</si>
  <si>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</si>
  <si>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</si>
  <si>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</si>
  <si>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</si>
  <si>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</si>
  <si>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</si>
  <si>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</si>
  <si>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</si>
  <si>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</si>
  <si>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</si>
  <si>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</si>
  <si>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</si>
  <si>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</si>
  <si>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</si>
  <si>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</si>
  <si>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</si>
  <si>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</si>
  <si>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</si>
  <si>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</si>
  <si>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</si>
  <si>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</si>
  <si>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</si>
  <si>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</si>
  <si>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</si>
  <si>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</si>
  <si>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</si>
  <si>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</si>
  <si>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</si>
  <si>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</si>
  <si>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</si>
  <si>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</si>
  <si>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</si>
  <si>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</si>
  <si>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</si>
  <si>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</si>
  <si>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</si>
  <si>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</si>
  <si>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</si>
  <si>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</si>
  <si>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</si>
  <si>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</si>
  <si>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</si>
  <si>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</si>
  <si>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</si>
  <si>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</si>
  <si>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</si>
  <si>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</si>
  <si>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</si>
  <si>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</si>
  <si>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</si>
  <si>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</si>
  <si>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</si>
  <si>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</si>
  <si>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</si>
  <si>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</si>
  <si>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</si>
  <si>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</si>
  <si>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</si>
  <si>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</si>
  <si>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</si>
  <si>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</si>
  <si>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</si>
  <si>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</si>
  <si>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</si>
  <si>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</si>
  <si>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</si>
  <si>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</si>
  <si>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</si>
  <si>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</si>
  <si>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</si>
  <si>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</si>
  <si>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</si>
  <si>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</si>
  <si>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</si>
  <si>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</si>
  <si>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</si>
  <si>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</si>
  <si>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</si>
  <si>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</si>
  <si>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</si>
  <si>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</si>
  <si>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</si>
  <si>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</si>
  <si>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</si>
  <si>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</si>
  <si>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</si>
  <si>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</si>
  <si>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</si>
  <si>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</si>
  <si>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</si>
  <si>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</si>
  <si>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</si>
  <si>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</si>
  <si>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</si>
  <si>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</si>
  <si>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</si>
  <si>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</si>
  <si>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</si>
  <si>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</si>
  <si>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</si>
  <si>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</si>
  <si>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</si>
  <si>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</si>
  <si>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</si>
  <si>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</si>
  <si>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</si>
  <si>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</si>
  <si>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</si>
  <si>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</si>
  <si>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</si>
  <si>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</si>
  <si>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</si>
  <si>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</si>
  <si>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</si>
  <si>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</si>
  <si>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</si>
  <si>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</si>
  <si>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</si>
  <si>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</si>
  <si>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</si>
  <si>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</si>
  <si>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</si>
  <si>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</si>
  <si>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</si>
  <si>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</si>
  <si>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</si>
  <si>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</si>
  <si>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</si>
  <si>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</si>
  <si>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</si>
  <si>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</si>
  <si>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</si>
  <si>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</si>
  <si>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</si>
  <si>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</si>
  <si>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</si>
  <si>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</si>
  <si>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</si>
  <si>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</si>
  <si>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</si>
  <si>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</si>
  <si>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</si>
  <si>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</si>
  <si>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</si>
  <si>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</si>
  <si>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</si>
  <si>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</si>
  <si>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</si>
  <si>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</si>
  <si>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</si>
  <si>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</si>
  <si>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</si>
  <si>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</si>
  <si>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</si>
  <si>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</si>
  <si>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</si>
  <si>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</si>
  <si>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</si>
  <si>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</si>
  <si>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</si>
  <si>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</si>
  <si>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</si>
  <si>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</si>
  <si>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</si>
  <si>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</si>
  <si>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</si>
  <si>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</si>
  <si>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</si>
  <si>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</si>
  <si>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</si>
  <si>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</si>
  <si>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</si>
  <si>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</si>
  <si>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</si>
  <si>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</si>
  <si>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</si>
  <si>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</si>
  <si>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</si>
  <si>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</si>
  <si>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</si>
  <si>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</si>
  <si>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</si>
  <si>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</si>
  <si>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</si>
  <si>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</si>
  <si>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</si>
  <si>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</si>
  <si>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</si>
  <si>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</si>
  <si>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</si>
  <si>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</si>
  <si>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</si>
  <si>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</si>
  <si>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</si>
  <si>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</si>
  <si>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</si>
  <si>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</si>
  <si>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</si>
  <si>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</si>
  <si>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</si>
  <si>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</si>
  <si>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</si>
  <si>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</si>
  <si>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</si>
  <si>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</si>
  <si>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</si>
  <si>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</si>
  <si>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</si>
  <si>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</si>
  <si>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</si>
  <si>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</si>
  <si>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</si>
  <si>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</si>
  <si>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</si>
  <si>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</si>
  <si>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</si>
  <si>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</si>
  <si>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</si>
  <si>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</si>
  <si>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</si>
  <si>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</si>
  <si>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</si>
  <si>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</si>
  <si>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</si>
  <si>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</si>
  <si>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</si>
  <si>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</si>
  <si>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</si>
  <si>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</si>
  <si>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</si>
  <si>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</si>
  <si>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</si>
  <si>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</si>
  <si>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</si>
  <si>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</si>
  <si>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</si>
  <si>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</si>
  <si>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</si>
  <si>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</si>
  <si>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</si>
  <si>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</si>
  <si>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</si>
  <si>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</si>
  <si>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</si>
  <si>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</si>
  <si>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</si>
  <si>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</si>
  <si>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</si>
  <si>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</si>
  <si>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</si>
  <si>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</si>
  <si>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</si>
  <si>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</si>
  <si>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</si>
  <si>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</si>
  <si>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</si>
  <si>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</si>
  <si>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</si>
  <si>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</si>
  <si>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</si>
  <si>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</si>
  <si>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</si>
  <si>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</si>
  <si>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</si>
  <si>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</si>
  <si>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2.5x</t>
  </si>
  <si>
    <t>2.4x</t>
  </si>
  <si>
    <t>$2.8B</t>
  </si>
  <si>
    <t>$4.9B</t>
  </si>
  <si>
    <t>38.1x</t>
  </si>
  <si>
    <t>$3.8B</t>
  </si>
  <si>
    <t>$8.0B</t>
  </si>
  <si>
    <t>3.2x</t>
  </si>
  <si>
    <t>60.2x</t>
  </si>
  <si>
    <t>$12.4B</t>
  </si>
  <si>
    <t>1.5x</t>
  </si>
  <si>
    <t>$12.3B</t>
  </si>
  <si>
    <t>3.9x</t>
  </si>
  <si>
    <t>$2.1B</t>
  </si>
  <si>
    <t>13.7x</t>
  </si>
  <si>
    <t>$7.1B</t>
  </si>
  <si>
    <t>48.4x</t>
  </si>
  <si>
    <t>5.1x</t>
  </si>
  <si>
    <t>39.0x</t>
  </si>
  <si>
    <t>1.2x</t>
  </si>
  <si>
    <t>429.9x</t>
  </si>
  <si>
    <t>$55.2B</t>
  </si>
  <si>
    <t>42.0x</t>
  </si>
  <si>
    <t>$4.2B</t>
  </si>
  <si>
    <t>2.1x</t>
  </si>
  <si>
    <t>9.8x</t>
  </si>
  <si>
    <t>35.0x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</si>
</sst>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B17" sqref="B17"/>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9.32</v>
      </c>
      <c r="F2">
        <f t="shared" ref="F2:F11" si="0">(E2/D2-1)*100</f>
        <v>8.1206496519721671</v>
      </c>
      <c r="G2">
        <v>8.4284999999999997</v>
      </c>
      <c r="H2" s="4">
        <v>9.49</v>
      </c>
      <c r="I2" s="4">
        <v>6.26</v>
      </c>
      <c r="J2" t="s">
        <v>492</v>
      </c>
      <c r="K2" s="3">
        <v>0.216</v>
      </c>
      <c r="L2" t="s">
        <v>474</v>
      </c>
      <c r="M2" t="s">
        <v>448</v>
      </c>
      <c r="N2" s="3">
        <v>6.0999999999999999E-2</v>
      </c>
      <c r="O2" t="s">
        <v>493</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3.39</v>
      </c>
      <c r="F3">
        <f t="shared" si="0"/>
        <v>10.423452768729646</v>
      </c>
      <c r="G3">
        <v>3.15</v>
      </c>
      <c r="H3" s="4">
        <v>3.59</v>
      </c>
      <c r="I3" s="4">
        <v>2.67</v>
      </c>
      <c r="J3" t="s">
        <v>494</v>
      </c>
      <c r="K3" s="3">
        <v>0</v>
      </c>
      <c r="L3" t="s">
        <v>478</v>
      </c>
      <c r="M3" t="s">
        <v>437</v>
      </c>
      <c r="N3" s="3">
        <v>4.8000000000000001E-2</v>
      </c>
      <c r="O3" t="s">
        <v>419</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3.85</v>
      </c>
      <c r="F4">
        <f t="shared" si="0"/>
        <v>5.7692307692307709</v>
      </c>
      <c r="G4">
        <v>3.5459999999999998</v>
      </c>
      <c r="H4" s="4">
        <v>3.94</v>
      </c>
      <c r="I4" s="4">
        <v>3.1</v>
      </c>
      <c r="J4" t="s">
        <v>483</v>
      </c>
      <c r="K4" s="3">
        <v>0</v>
      </c>
      <c r="L4" t="s">
        <v>133</v>
      </c>
      <c r="M4" t="s">
        <v>440</v>
      </c>
      <c r="N4" s="3">
        <v>4.8000000000000001E-2</v>
      </c>
      <c r="O4" t="s">
        <v>495</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4.87</v>
      </c>
      <c r="F5">
        <f t="shared" si="0"/>
        <v>-5.984555984555973</v>
      </c>
      <c r="G5">
        <v>4.4865000000000004</v>
      </c>
      <c r="H5" s="4">
        <v>5.33</v>
      </c>
      <c r="I5" s="4">
        <v>4.17</v>
      </c>
      <c r="J5" t="s">
        <v>496</v>
      </c>
      <c r="K5" s="3">
        <v>0</v>
      </c>
      <c r="L5" t="s">
        <v>46</v>
      </c>
      <c r="M5" t="s">
        <v>466</v>
      </c>
      <c r="N5" s="3">
        <v>8.2000000000000003E-2</v>
      </c>
      <c r="O5" t="s">
        <v>497</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9.58</v>
      </c>
      <c r="F6">
        <f t="shared" si="0"/>
        <v>-13.303167420814487</v>
      </c>
      <c r="G6">
        <v>8.8829999999999991</v>
      </c>
      <c r="H6" s="4">
        <v>11.74</v>
      </c>
      <c r="I6" s="4">
        <v>6.02</v>
      </c>
      <c r="J6" t="s">
        <v>395</v>
      </c>
      <c r="K6" s="3">
        <v>1</v>
      </c>
      <c r="L6" t="s">
        <v>396</v>
      </c>
      <c r="M6" t="s">
        <v>419</v>
      </c>
      <c r="N6" s="3">
        <v>5.3999999999999999E-2</v>
      </c>
      <c r="O6" t="s">
        <v>498</v>
      </c>
      <c r="P6" t="s">
        <v>499</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5.89</v>
      </c>
      <c r="F7">
        <f t="shared" si="0"/>
        <v>35.402298850574709</v>
      </c>
      <c r="G7">
        <v>5.3550000000000004</v>
      </c>
      <c r="H7" s="4">
        <v>5.95</v>
      </c>
      <c r="I7" s="4">
        <v>2.94</v>
      </c>
      <c r="J7" t="s">
        <v>484</v>
      </c>
      <c r="K7" s="3">
        <v>0.9</v>
      </c>
      <c r="L7" t="s">
        <v>473</v>
      </c>
      <c r="M7" t="s">
        <v>457</v>
      </c>
      <c r="N7" s="3">
        <v>3.5999999999999997E-2</v>
      </c>
      <c r="O7" t="s">
        <v>480</v>
      </c>
      <c r="P7" t="s">
        <v>485</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25.95</v>
      </c>
      <c r="F8">
        <f t="shared" si="0"/>
        <v>91.371681415929203</v>
      </c>
      <c r="G8">
        <v>24.291</v>
      </c>
      <c r="H8" s="4">
        <v>27.83</v>
      </c>
      <c r="I8" s="4">
        <v>12.47</v>
      </c>
      <c r="J8" t="s">
        <v>371</v>
      </c>
      <c r="K8" s="3">
        <v>1</v>
      </c>
      <c r="L8" t="s">
        <v>372</v>
      </c>
      <c r="M8" t="s">
        <v>459</v>
      </c>
      <c r="N8" s="3">
        <v>2.8000000000000001E-2</v>
      </c>
      <c r="O8" t="s">
        <v>500</v>
      </c>
      <c r="P8" t="s">
        <v>501</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4.8899999999999997</v>
      </c>
      <c r="F9">
        <f t="shared" si="0"/>
        <v>26.030927835051543</v>
      </c>
      <c r="G9">
        <v>4.4640000000000004</v>
      </c>
      <c r="H9" s="4">
        <v>5.14</v>
      </c>
      <c r="I9" s="4">
        <v>3.68</v>
      </c>
      <c r="J9" t="s">
        <v>502</v>
      </c>
      <c r="K9" s="3">
        <v>1</v>
      </c>
      <c r="L9" t="s">
        <v>162</v>
      </c>
      <c r="M9" t="s">
        <v>462</v>
      </c>
      <c r="N9" s="3">
        <v>3.9E-2</v>
      </c>
      <c r="O9" t="s">
        <v>482</v>
      </c>
      <c r="P9" t="s">
        <v>503</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6.42</v>
      </c>
      <c r="F10">
        <f t="shared" si="0"/>
        <v>5.9405940594059459</v>
      </c>
      <c r="G10">
        <v>5.8410000000000002</v>
      </c>
      <c r="H10" s="4">
        <v>7.93</v>
      </c>
      <c r="I10" s="4">
        <v>5.88</v>
      </c>
      <c r="J10" t="s">
        <v>504</v>
      </c>
      <c r="K10" s="3">
        <v>1</v>
      </c>
      <c r="L10" t="s">
        <v>373</v>
      </c>
      <c r="M10" t="s">
        <v>475</v>
      </c>
      <c r="N10" s="3">
        <v>5.8999999999999997E-2</v>
      </c>
      <c r="O10" t="s">
        <v>481</v>
      </c>
      <c r="P10" t="s">
        <v>505</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2.73</v>
      </c>
      <c r="F11">
        <f t="shared" si="0"/>
        <v>15.677966101694917</v>
      </c>
      <c r="G11">
        <v>2.4569999999999999</v>
      </c>
      <c r="H11" s="4">
        <v>2.73</v>
      </c>
      <c r="I11" s="4">
        <v>2</v>
      </c>
      <c r="J11" t="s">
        <v>486</v>
      </c>
      <c r="K11" s="3">
        <v>0</v>
      </c>
      <c r="L11" t="s">
        <v>479</v>
      </c>
      <c r="M11" t="s">
        <v>463</v>
      </c>
      <c r="N11" s="3">
        <v>4.1000000000000002E-2</v>
      </c>
      <c r="O11" t="s">
        <v>506</v>
      </c>
      <c r="P11" t="s">
        <v>507</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topLeftCell="D1" zoomScale="90" zoomScaleNormal="90" workbookViewId="0">
      <selection activeCell="H28" sqref="H28"/>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487</v>
      </c>
      <c r="O2" s="3">
        <v>0</v>
      </c>
      <c r="P2" t="s">
        <v>37</v>
      </c>
      <c r="Q2" t="s">
        <v>454</v>
      </c>
      <c r="R2" s="3">
        <v>4.3999999999999997E-2</v>
      </c>
      <c r="S2" t="s">
        <v>488</v>
      </c>
      <c r="T2" t="s">
        <v>489</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490</v>
      </c>
      <c r="O3" s="3">
        <v>1</v>
      </c>
      <c r="P3" t="s">
        <v>27</v>
      </c>
      <c r="Q3" t="s">
        <v>470</v>
      </c>
      <c r="R3" s="3">
        <v>0.04</v>
      </c>
      <c r="S3" t="s">
        <v>491</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9.58</v>
      </c>
      <c r="K4" s="5">
        <f>(J4/C4-1)*100</f>
        <v>-13.303167420814487</v>
      </c>
      <c r="L4" s="4">
        <v>11.74</v>
      </c>
      <c r="M4" s="4">
        <v>6.02</v>
      </c>
      <c r="N4" t="s">
        <v>395</v>
      </c>
      <c r="O4" s="3">
        <v>1</v>
      </c>
      <c r="P4" t="s">
        <v>396</v>
      </c>
      <c r="Q4" t="s">
        <v>419</v>
      </c>
      <c r="R4" s="3">
        <v>5.3999999999999999E-2</v>
      </c>
      <c r="S4" t="s">
        <v>498</v>
      </c>
      <c r="T4" t="s">
        <v>499</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9.32</v>
      </c>
      <c r="K6" s="5">
        <f t="shared" si="1"/>
        <v>8.1206496519721671</v>
      </c>
      <c r="L6" s="4">
        <v>9.49</v>
      </c>
      <c r="M6" s="4">
        <v>6.26</v>
      </c>
      <c r="N6" t="s">
        <v>492</v>
      </c>
      <c r="O6" s="3">
        <v>0.216</v>
      </c>
      <c r="P6" t="s">
        <v>474</v>
      </c>
      <c r="Q6" t="s">
        <v>448</v>
      </c>
      <c r="R6" s="3">
        <v>6.0999999999999999E-2</v>
      </c>
      <c r="S6" t="s">
        <v>493</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3.39</v>
      </c>
      <c r="K7" s="5">
        <f t="shared" si="1"/>
        <v>10.423452768729646</v>
      </c>
      <c r="L7" s="4">
        <v>3.59</v>
      </c>
      <c r="M7" s="4">
        <v>2.67</v>
      </c>
      <c r="N7" t="s">
        <v>494</v>
      </c>
      <c r="O7" s="3">
        <v>0</v>
      </c>
      <c r="P7" t="s">
        <v>478</v>
      </c>
      <c r="Q7" t="s">
        <v>437</v>
      </c>
      <c r="R7" s="3">
        <v>4.8000000000000001E-2</v>
      </c>
      <c r="S7" t="s">
        <v>419</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3.85</v>
      </c>
      <c r="K8" s="5">
        <f t="shared" si="1"/>
        <v>5.7692307692307709</v>
      </c>
      <c r="L8" s="4">
        <v>3.94</v>
      </c>
      <c r="M8" s="4">
        <v>3.1</v>
      </c>
      <c r="N8" t="s">
        <v>483</v>
      </c>
      <c r="O8" s="3">
        <v>0</v>
      </c>
      <c r="P8" t="s">
        <v>133</v>
      </c>
      <c r="Q8" t="s">
        <v>440</v>
      </c>
      <c r="R8" s="3">
        <v>4.8000000000000001E-2</v>
      </c>
      <c r="S8" t="s">
        <v>495</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4.87</v>
      </c>
      <c r="K9" s="5">
        <f t="shared" si="1"/>
        <v>-5.984555984555973</v>
      </c>
      <c r="L9" s="4">
        <v>5.33</v>
      </c>
      <c r="M9" s="4">
        <v>4.17</v>
      </c>
      <c r="N9" t="s">
        <v>496</v>
      </c>
      <c r="O9" s="3">
        <v>0</v>
      </c>
      <c r="P9" t="s">
        <v>46</v>
      </c>
      <c r="Q9" t="s">
        <v>466</v>
      </c>
      <c r="R9" s="3">
        <v>8.2000000000000003E-2</v>
      </c>
      <c r="S9" t="s">
        <v>497</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487</v>
      </c>
      <c r="O11" s="3">
        <v>0</v>
      </c>
      <c r="P11" t="s">
        <v>37</v>
      </c>
      <c r="Q11" t="s">
        <v>454</v>
      </c>
      <c r="R11" s="3">
        <v>4.3999999999999997E-2</v>
      </c>
      <c r="S11" t="s">
        <v>488</v>
      </c>
      <c r="T11" t="s">
        <v>489</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5.89</v>
      </c>
      <c r="K12" s="5">
        <f t="shared" si="1"/>
        <v>35.402298850574709</v>
      </c>
      <c r="L12" s="4">
        <v>5.95</v>
      </c>
      <c r="M12" s="4">
        <v>2.94</v>
      </c>
      <c r="N12" t="s">
        <v>484</v>
      </c>
      <c r="O12" s="3">
        <v>0.9</v>
      </c>
      <c r="P12" t="s">
        <v>473</v>
      </c>
      <c r="Q12" t="s">
        <v>457</v>
      </c>
      <c r="R12" s="3">
        <v>3.5999999999999997E-2</v>
      </c>
      <c r="S12" t="s">
        <v>480</v>
      </c>
      <c r="T12" t="s">
        <v>485</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4.5</v>
      </c>
      <c r="K13" s="5">
        <f t="shared" si="1"/>
        <v>15.089514066496168</v>
      </c>
      <c r="L13" s="4">
        <v>5.2</v>
      </c>
      <c r="M13" s="4">
        <v>3.57</v>
      </c>
      <c r="N13" t="s">
        <v>490</v>
      </c>
      <c r="O13" s="3">
        <v>1</v>
      </c>
      <c r="P13" t="s">
        <v>27</v>
      </c>
      <c r="Q13" t="s">
        <v>470</v>
      </c>
      <c r="R13" s="3">
        <v>0.04</v>
      </c>
      <c r="S13" t="s">
        <v>491</v>
      </c>
      <c r="U13" t="s">
        <v>471</v>
      </c>
      <c r="V13" s="3">
        <v>8.8999999999999996E-2</v>
      </c>
      <c r="X13" t="s">
        <v>472</v>
      </c>
      <c r="Y13" s="3">
        <v>6.2E-2</v>
      </c>
      <c r="Z13" s="3">
        <v>4.7E-2</v>
      </c>
      <c r="AA13" s="3">
        <v>8.3000000000000004E-2</v>
      </c>
      <c r="AB13" s="3">
        <v>0.216</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49.355226301334667</v>
      </c>
      <c r="F2">
        <f>C2-D2</f>
        <v>76</v>
      </c>
      <c r="G2">
        <f>AVERAGEIF(Trades!$J$2:J894,"&lt;0")*100</f>
        <v>-14.151342660716937</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5"/>
  <sheetViews>
    <sheetView tabSelected="1" topLeftCell="A1338" workbookViewId="0">
      <selection activeCell="K1369" sqref="K136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13" sqref="M1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45996</v>
      </c>
      <c r="G2" s="4">
        <v>9.58</v>
      </c>
      <c r="H2" s="3">
        <f>G2/E2-1</f>
        <v>-9.6226415094339601E-2</v>
      </c>
      <c r="I2" s="15">
        <f t="shared" ref="I2:I3" si="0">K2*E2*J2</f>
        <v>-13048.318399999996</v>
      </c>
      <c r="J2" s="17">
        <f t="shared" ref="J2:J3" si="1">H2-0.002</f>
        <v>-9.8226415094339603E-2</v>
      </c>
      <c r="K2" s="15">
        <v>12532</v>
      </c>
      <c r="N2" s="4"/>
    </row>
    <row r="3" spans="1:30" x14ac:dyDescent="0.25">
      <c r="A3" s="3" t="s">
        <v>135</v>
      </c>
      <c r="B3" t="s">
        <v>158</v>
      </c>
      <c r="C3" t="s">
        <v>335</v>
      </c>
      <c r="D3" s="2">
        <v>45793</v>
      </c>
      <c r="E3">
        <v>8.6199999999999992</v>
      </c>
      <c r="F3" s="14">
        <v>45996</v>
      </c>
      <c r="G3" s="4">
        <v>9.32</v>
      </c>
      <c r="H3" s="3">
        <f t="shared" ref="H3" si="2">G3/E3-1</f>
        <v>8.1206496519721671E-2</v>
      </c>
      <c r="I3">
        <f t="shared" si="0"/>
        <v>9832.4267600000112</v>
      </c>
      <c r="J3" s="3">
        <f t="shared" si="1"/>
        <v>7.920649651972167E-2</v>
      </c>
      <c r="K3">
        <v>14401</v>
      </c>
      <c r="N3" s="4"/>
      <c r="P3" s="11"/>
      <c r="Q3" s="13"/>
      <c r="R3" s="2"/>
      <c r="T3" s="3"/>
      <c r="V3" s="3"/>
      <c r="AA3" s="3"/>
      <c r="AB3" s="3"/>
      <c r="AC3" s="3"/>
      <c r="AD3" s="3"/>
    </row>
    <row r="4" spans="1:30" x14ac:dyDescent="0.25">
      <c r="A4" s="3" t="s">
        <v>80</v>
      </c>
      <c r="B4" t="s">
        <v>131</v>
      </c>
      <c r="C4" t="s">
        <v>335</v>
      </c>
      <c r="D4" s="2">
        <v>45786</v>
      </c>
      <c r="E4">
        <v>3.07</v>
      </c>
      <c r="F4" s="14">
        <v>45996</v>
      </c>
      <c r="G4" s="4">
        <v>3.39</v>
      </c>
      <c r="H4" s="3">
        <f t="shared" ref="H4:H11" si="3">G4/E4-1</f>
        <v>0.10423452768729646</v>
      </c>
      <c r="I4">
        <f t="shared" ref="I4:I11" si="4">K4*E4*J4</f>
        <v>12092.398080000004</v>
      </c>
      <c r="J4" s="3">
        <f t="shared" ref="J4:J11" si="5">H4-0.002</f>
        <v>0.10223452768729646</v>
      </c>
      <c r="K4">
        <v>38528</v>
      </c>
      <c r="N4" s="4"/>
      <c r="P4" s="11"/>
      <c r="Q4" s="12"/>
      <c r="R4" s="2"/>
      <c r="T4" s="3"/>
      <c r="V4" s="3"/>
      <c r="AA4" s="3"/>
      <c r="AB4" s="3"/>
      <c r="AC4" s="3"/>
      <c r="AD4" s="3"/>
    </row>
    <row r="5" spans="1:30" x14ac:dyDescent="0.25">
      <c r="A5" s="3" t="s">
        <v>81</v>
      </c>
      <c r="B5" t="s">
        <v>132</v>
      </c>
      <c r="C5" t="s">
        <v>335</v>
      </c>
      <c r="D5" s="2">
        <v>45786</v>
      </c>
      <c r="E5">
        <v>3.64</v>
      </c>
      <c r="F5" s="14">
        <v>45996</v>
      </c>
      <c r="G5" s="4">
        <v>3.85</v>
      </c>
      <c r="H5" s="3">
        <f t="shared" si="3"/>
        <v>5.7692307692307709E-2</v>
      </c>
      <c r="I5">
        <f t="shared" si="4"/>
        <v>6679.6240000000016</v>
      </c>
      <c r="J5" s="3">
        <f t="shared" si="5"/>
        <v>5.5692307692307708E-2</v>
      </c>
      <c r="K5">
        <v>32950</v>
      </c>
      <c r="N5" s="4"/>
      <c r="P5" s="11"/>
      <c r="Q5" s="12"/>
      <c r="R5" s="2"/>
      <c r="T5" s="3"/>
      <c r="V5" s="3"/>
      <c r="AA5" s="3"/>
      <c r="AB5" s="3"/>
      <c r="AC5" s="3"/>
      <c r="AD5" s="3"/>
    </row>
    <row r="6" spans="1:30" x14ac:dyDescent="0.25">
      <c r="A6" s="3" t="s">
        <v>45</v>
      </c>
      <c r="B6" t="s">
        <v>134</v>
      </c>
      <c r="C6" t="s">
        <v>335</v>
      </c>
      <c r="D6" s="2">
        <v>45786</v>
      </c>
      <c r="E6">
        <v>5.18</v>
      </c>
      <c r="F6" s="14">
        <v>45996</v>
      </c>
      <c r="G6" s="4">
        <v>4.87</v>
      </c>
      <c r="H6" s="3">
        <f t="shared" si="3"/>
        <v>-5.9845559845559726E-2</v>
      </c>
      <c r="I6">
        <f t="shared" si="4"/>
        <v>-7223.4772799999864</v>
      </c>
      <c r="J6" s="3">
        <f t="shared" si="5"/>
        <v>-6.1845559845559728E-2</v>
      </c>
      <c r="K6">
        <v>22548</v>
      </c>
      <c r="N6" s="4"/>
      <c r="P6" s="11"/>
      <c r="Q6" s="12"/>
      <c r="R6" s="2"/>
      <c r="T6" s="3"/>
      <c r="V6" s="3"/>
      <c r="AA6" s="3"/>
      <c r="AB6" s="3"/>
      <c r="AC6" s="3"/>
      <c r="AD6" s="3"/>
    </row>
    <row r="7" spans="1:30" x14ac:dyDescent="0.25">
      <c r="A7" s="3" t="s">
        <v>31</v>
      </c>
      <c r="B7" t="s">
        <v>30</v>
      </c>
      <c r="C7" t="s">
        <v>335</v>
      </c>
      <c r="D7" s="2">
        <v>45786</v>
      </c>
      <c r="E7">
        <v>4.3499999999999996</v>
      </c>
      <c r="F7" s="14">
        <v>45996</v>
      </c>
      <c r="G7" s="4">
        <v>5.89</v>
      </c>
      <c r="H7" s="3">
        <f t="shared" si="3"/>
        <v>0.35402298850574709</v>
      </c>
      <c r="I7">
        <f t="shared" si="4"/>
        <v>41133.780599999998</v>
      </c>
      <c r="J7" s="3">
        <f t="shared" si="5"/>
        <v>0.35202298850574709</v>
      </c>
      <c r="K7">
        <v>26862</v>
      </c>
      <c r="N7" s="4"/>
      <c r="P7" s="11"/>
      <c r="Q7" s="12"/>
      <c r="R7" s="2"/>
      <c r="T7" s="3"/>
      <c r="V7" s="3"/>
      <c r="AA7" s="3"/>
      <c r="AB7" s="3"/>
      <c r="AC7" s="3"/>
      <c r="AD7" s="3"/>
    </row>
    <row r="8" spans="1:30" x14ac:dyDescent="0.25">
      <c r="A8" s="3" t="s">
        <v>118</v>
      </c>
      <c r="B8" t="s">
        <v>160</v>
      </c>
      <c r="C8" t="s">
        <v>335</v>
      </c>
      <c r="D8" s="2">
        <v>45639</v>
      </c>
      <c r="E8">
        <v>13.27768</v>
      </c>
      <c r="F8" s="14">
        <v>45996</v>
      </c>
      <c r="G8" s="4">
        <v>25.95</v>
      </c>
      <c r="H8" s="3">
        <f t="shared" si="3"/>
        <v>0.95440769773032641</v>
      </c>
      <c r="I8">
        <f t="shared" si="4"/>
        <v>110397.52530720001</v>
      </c>
      <c r="J8" s="3">
        <f t="shared" si="5"/>
        <v>0.95240769773032641</v>
      </c>
      <c r="K8">
        <v>8730</v>
      </c>
      <c r="N8" s="4"/>
      <c r="P8" s="11"/>
      <c r="Q8" s="12"/>
      <c r="R8" s="2"/>
      <c r="T8" s="3"/>
      <c r="V8" s="3"/>
      <c r="AA8" s="3"/>
      <c r="AB8" s="3"/>
      <c r="AC8" s="3"/>
      <c r="AD8" s="3"/>
    </row>
    <row r="9" spans="1:30" x14ac:dyDescent="0.25">
      <c r="A9" s="3" t="s">
        <v>136</v>
      </c>
      <c r="B9" t="s">
        <v>161</v>
      </c>
      <c r="C9" t="s">
        <v>335</v>
      </c>
      <c r="D9" s="2">
        <v>45499</v>
      </c>
      <c r="E9">
        <v>3.696536</v>
      </c>
      <c r="F9" s="14">
        <v>45996</v>
      </c>
      <c r="G9" s="4">
        <v>4.8899999999999997</v>
      </c>
      <c r="H9" s="3">
        <f t="shared" si="3"/>
        <v>0.3228601047034303</v>
      </c>
      <c r="I9">
        <f t="shared" si="4"/>
        <v>35711.409571151984</v>
      </c>
      <c r="J9" s="3">
        <f t="shared" si="5"/>
        <v>0.32086010470343029</v>
      </c>
      <c r="K9">
        <v>30109</v>
      </c>
      <c r="N9" s="4"/>
      <c r="P9" s="11"/>
      <c r="Q9" s="12"/>
      <c r="R9" s="2"/>
      <c r="T9" s="3"/>
      <c r="V9" s="3"/>
      <c r="AA9" s="3"/>
      <c r="AB9" s="3"/>
      <c r="AC9" s="3"/>
      <c r="AD9" s="3"/>
    </row>
    <row r="10" spans="1:30" x14ac:dyDescent="0.25">
      <c r="A10" s="3" t="s">
        <v>115</v>
      </c>
      <c r="B10" t="s">
        <v>163</v>
      </c>
      <c r="C10" t="s">
        <v>335</v>
      </c>
      <c r="D10" s="2">
        <v>45282</v>
      </c>
      <c r="E10">
        <v>5.588908</v>
      </c>
      <c r="F10" s="14">
        <v>45996</v>
      </c>
      <c r="G10" s="4">
        <v>6.42</v>
      </c>
      <c r="H10" s="3">
        <f t="shared" si="3"/>
        <v>0.14870382550580552</v>
      </c>
      <c r="I10">
        <f t="shared" si="4"/>
        <v>16068.678178032011</v>
      </c>
      <c r="J10" s="3">
        <f t="shared" si="5"/>
        <v>0.14670382550580552</v>
      </c>
      <c r="K10">
        <v>19598</v>
      </c>
      <c r="N10" s="4"/>
      <c r="P10" s="11"/>
      <c r="Q10" s="12"/>
      <c r="R10" s="2"/>
      <c r="T10" s="3"/>
      <c r="V10" s="3"/>
      <c r="AA10" s="3"/>
      <c r="AB10" s="3"/>
      <c r="AC10" s="3"/>
      <c r="AD10" s="3"/>
    </row>
    <row r="11" spans="1:30" x14ac:dyDescent="0.25">
      <c r="A11" s="3" t="s">
        <v>137</v>
      </c>
      <c r="B11" t="s">
        <v>164</v>
      </c>
      <c r="C11" t="s">
        <v>335</v>
      </c>
      <c r="D11" s="2">
        <v>45275</v>
      </c>
      <c r="E11">
        <v>2.2089750000000001</v>
      </c>
      <c r="F11" s="14">
        <v>45996</v>
      </c>
      <c r="G11" s="4">
        <v>2.73</v>
      </c>
      <c r="H11" s="3">
        <f t="shared" si="3"/>
        <v>0.23586731402573591</v>
      </c>
      <c r="I11">
        <f t="shared" si="4"/>
        <v>25548.801657750002</v>
      </c>
      <c r="J11" s="3">
        <f t="shared" si="5"/>
        <v>0.23386731402573591</v>
      </c>
      <c r="K11">
        <v>49455</v>
      </c>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M12" s="4"/>
      <c r="N12" s="4"/>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4"/>
  <sheetViews>
    <sheetView topLeftCell="A1334" workbookViewId="0">
      <selection activeCell="H1374" sqref="H137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4"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2025-12-12T00:21:17Z</dcterms:modified>
</cp:coreProperties>
</file>