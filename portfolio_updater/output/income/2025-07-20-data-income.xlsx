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8E5FB8B9-B88B-437A-BF86-FE3B2C4165F5}"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4" i="5" l="1"/>
  <c r="D1334" i="5"/>
  <c r="E1333" i="5"/>
  <c r="E1331" i="5"/>
  <c r="E1332" i="5"/>
  <c r="D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<sst xmlns="http://schemas.openxmlformats.org/spreadsheetml/2006/main" count="990" uniqueCount="482">
  <si>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</si>
  <si>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</si>
  <si>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</si>
  <si>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</si>
  <si>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</si>
  <si>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</si>
  <si>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</si>
  <si>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</si>
  <si>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</si>
  <si>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</si>
  <si>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</si>
  <si>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</si>
  <si>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</si>
  <si>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</si>
  <si>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</si>
  <si>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</si>
  <si>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</si>
  <si>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</si>
  <si>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</si>
  <si>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</si>
  <si>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</si>
  <si>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</si>
  <si>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</si>
  <si>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</si>
  <si>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</si>
  <si>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</si>
  <si>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</si>
  <si>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</si>
  <si>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</si>
  <si>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</si>
  <si>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</si>
  <si>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</si>
  <si>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</si>
  <si>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</si>
  <si>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</si>
  <si>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</si>
  <si>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</si>
  <si>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</si>
  <si>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</si>
  <si>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</si>
  <si>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</si>
  <si>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</si>
  <si>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</si>
  <si>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</si>
  <si>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</si>
  <si>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</si>
  <si>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</si>
  <si>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</si>
  <si>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</si>
  <si>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</si>
  <si>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</si>
  <si>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</si>
  <si>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</si>
  <si>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</si>
  <si>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</si>
  <si>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</si>
  <si>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</si>
  <si>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</si>
  <si>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</si>
  <si>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</si>
  <si>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</si>
  <si>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</si>
  <si>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</si>
  <si>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</si>
  <si>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</si>
  <si>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</si>
  <si>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</si>
  <si>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</si>
  <si>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</si>
  <si>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</si>
  <si>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</si>
  <si>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</si>
  <si>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</si>
  <si>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</si>
  <si>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</si>
  <si>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</si>
  <si>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</si>
  <si>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</si>
  <si>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</si>
  <si>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</si>
  <si>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</si>
  <si>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</si>
  <si>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</si>
  <si>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</si>
  <si>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</si>
  <si>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</si>
  <si>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</si>
  <si>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</si>
  <si>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</si>
  <si>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</si>
  <si>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</si>
  <si>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</si>
  <si>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</si>
  <si>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</si>
  <si>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</si>
  <si>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</si>
  <si>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</si>
  <si>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</si>
  <si>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</si>
  <si>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</si>
  <si>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</si>
  <si>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</si>
  <si>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</si>
  <si>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</si>
  <si>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</si>
  <si>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</si>
  <si>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</si>
  <si>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</si>
  <si>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</si>
  <si>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</si>
  <si>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</si>
  <si>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</si>
  <si>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</si>
  <si>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</si>
  <si>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</si>
  <si>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</si>
  <si>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</si>
  <si>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</si>
  <si>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</si>
  <si>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</si>
  <si>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</si>
  <si>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</si>
  <si>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</si>
  <si>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</si>
  <si>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</si>
  <si>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</si>
  <si>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</si>
  <si>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</si>
  <si>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</si>
  <si>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</si>
  <si>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</si>
  <si>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</si>
  <si>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</si>
  <si>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</si>
  <si>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</si>
  <si>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</si>
  <si>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</si>
  <si>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</si>
  <si>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</si>
  <si>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</si>
  <si>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</si>
  <si>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</si>
  <si>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</si>
  <si>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</si>
  <si>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</si>
  <si>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</si>
  <si>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</si>
  <si>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</si>
  <si>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</si>
  <si>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</si>
  <si>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</si>
  <si>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</si>
  <si>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</si>
  <si>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</si>
  <si>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</si>
  <si>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</si>
  <si>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</si>
  <si>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</si>
  <si>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</si>
  <si>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</si>
  <si>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</si>
  <si>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</si>
  <si>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</si>
  <si>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</si>
  <si>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</si>
  <si>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</si>
  <si>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</si>
  <si>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</si>
  <si>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</si>
  <si>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</si>
  <si>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</si>
  <si>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</si>
  <si>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</si>
  <si>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</si>
  <si>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</si>
  <si>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</si>
  <si>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</si>
  <si>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</si>
  <si>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</si>
  <si>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</si>
  <si>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</si>
  <si>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</si>
  <si>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</si>
  <si>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</si>
  <si>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</si>
  <si>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</si>
  <si>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</si>
  <si>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</si>
  <si>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</si>
  <si>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</si>
  <si>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</si>
  <si>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</si>
  <si>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</si>
  <si>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</si>
  <si>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</si>
  <si>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</si>
  <si>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</si>
  <si>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</si>
  <si>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</si>
  <si>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</si>
  <si>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</si>
  <si>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</si>
  <si>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</si>
  <si>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</si>
  <si>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</si>
  <si>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</si>
  <si>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</si>
  <si>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</si>
  <si>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</si>
  <si>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</si>
  <si>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</si>
  <si>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</si>
  <si>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</si>
  <si>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</si>
  <si>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</si>
  <si>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</si>
  <si>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</si>
  <si>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</si>
  <si>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</si>
  <si>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</si>
  <si>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</si>
  <si>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</si>
  <si>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</si>
  <si>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</si>
  <si>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</si>
  <si>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</si>
  <si>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</si>
  <si>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</si>
  <si>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</si>
  <si>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</si>
  <si>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</si>
  <si>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</si>
  <si>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</si>
  <si>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</si>
  <si>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</si>
  <si>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</si>
  <si>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</si>
  <si>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</si>
  <si>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</si>
  <si>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</si>
  <si>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</si>
  <si>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</si>
  <si>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</si>
  <si>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</si>
  <si>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</si>
  <si>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</si>
  <si>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</si>
  <si>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</si>
  <si>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</si>
  <si>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</si>
  <si>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</si>
  <si>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</si>
  <si>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</si>
  <si>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</si>
  <si>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</si>
  <si>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</si>
  <si>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</si>
  <si>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</si>
  <si>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</si>
  <si>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</si>
  <si>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</si>
  <si>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</si>
  <si>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</si>
  <si>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</si>
  <si>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</si>
  <si>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</si>
  <si>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</si>
  <si>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</si>
  <si>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</si>
  <si>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</si>
  <si>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</si>
  <si>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</si>
  <si>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</si>
  <si>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</si>
  <si>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</si>
  <si>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</si>
  <si>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</si>
  <si>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</si>
  <si>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</si>
  <si>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</si>
  <si>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</si>
  <si>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</si>
  <si>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</si>
  <si>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</si>
  <si>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</si>
  <si>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</si>
  <si>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</si>
  <si>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</si>
  <si>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</si>
  <si>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</si>
  <si>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</si>
  <si>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</si>
  <si>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</si>
  <si>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</si>
  <si>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</si>
  <si>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</si>
  <si>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</si>
  <si>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</si>
  <si>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</si>
  <si>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</si>
  <si>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</si>
  <si>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</si>
  <si>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</si>
  <si>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</si>
  <si>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</si>
  <si>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</si>
  <si>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</si>
  <si>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</si>
  <si>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</si>
  <si>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</si>
  <si>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</si>
  <si>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</si>
  <si>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</si>
  <si>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</si>
  <si>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</si>
  <si>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</si>
  <si>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</si>
  <si>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</si>
  <si>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</si>
  <si>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</si>
  <si>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</si>
  <si>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</si>
  <si>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</si>
  <si>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</si>
  <si>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</si>
  <si>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</si>
  <si>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</si>
  <si>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</si>
  <si>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</si>
  <si>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</si>
  <si>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</si>
  <si>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</si>
  <si>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</si>
  <si>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</si>
  <si>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</si>
  <si>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</si>
  <si>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</si>
  <si>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</si>
  <si>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</si>
  <si>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</si>
  <si>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</si>
  <si>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</si>
  <si>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</si>
  <si>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</si>
  <si>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</si>
  <si>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</si>
  <si>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</si>
  <si>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</si>
  <si>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</si>
  <si>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</si>
  <si>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</si>
  <si>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</si>
  <si>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</si>
  <si>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</si>
  <si>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</si>
  <si>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</si>
  <si>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</si>
  <si>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</si>
  <si>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</si>
  <si>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</si>
  <si>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</si>
  <si>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</si>
  <si>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</si>
  <si>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</si>
  <si>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</si>
  <si>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</si>
  <si>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</si>
  <si>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</si>
  <si>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</si>
  <si>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</si>
  <si>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</si>
  <si>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</si>
  <si>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</si>
  <si>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</si>
  <si>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</si>
  <si>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</si>
  <si>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</si>
  <si>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</si>
  <si>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</si>
  <si>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</si>
  <si>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</si>
  <si>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</si>
  <si>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</si>
  <si>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</si>
  <si>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</si>
  <si>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</si>
  <si>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</si>
  <si>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</si>
  <si>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</si>
  <si>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</si>
  <si>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</si>
  <si>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</si>
  <si>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</si>
  <si>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</si>
  <si>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</si>
  <si>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</si>
  <si>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</si>
  <si>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</si>
  <si>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</si>
  <si>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</si>
  <si>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</si>
  <si>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</si>
  <si>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</si>
  <si>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</si>
  <si>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3.2x</t>
  </si>
  <si>
    <t>Date</t>
  </si>
  <si>
    <t>High</t>
  </si>
  <si>
    <t>Low</t>
  </si>
  <si>
    <t>Close</t>
  </si>
  <si>
    <t>Volume</t>
  </si>
  <si>
    <t>Turnover</t>
  </si>
  <si>
    <t>9.0x</t>
  </si>
  <si>
    <t>1.8x</t>
  </si>
  <si>
    <t>3.6x</t>
  </si>
  <si>
    <t>$2.6B</t>
  </si>
  <si>
    <t>$13.8B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</si>
  <si>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</si>
  <si>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$5.2B</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</si>
  <si>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</si>
  <si>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</si>
  <si>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</si>
  <si>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</si>
  <si>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Not applicable</t>
  </si>
  <si>
    <t>20 Week High</t>
  </si>
  <si>
    <t>The momentum filter is off, indicating the market is continuing to trend.</t>
  </si>
  <si>
    <t>$2.5B</t>
  </si>
  <si>
    <t>36.0x</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</si>
  <si>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</si>
  <si>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</si>
  <si>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</si>
  <si>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</si>
  <si>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</si>
  <si>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</si>
  <si>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</si>
  <si>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</si>
  <si>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</si>
  <si>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</si>
  <si>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</si>
  <si>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</si>
  <si>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</si>
  <si>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</si>
  <si>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</si>
  <si>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</si>
  <si>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</si>
  <si>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</si>
  <si>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</si>
  <si>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</si>
  <si>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</si>
  <si>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</si>
  <si>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</si>
  <si>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</si>
  <si>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</si>
  <si>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</si>
  <si>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</si>
  <si>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</si>
  <si>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</si>
  <si>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</si>
  <si>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</si>
  <si>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</si>
  <si>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</si>
  <si>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</si>
  <si>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</si>
  <si>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</si>
  <si>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$4.4B</t>
  </si>
  <si>
    <t>$10.8B</t>
  </si>
  <si>
    <t>14.4x</t>
  </si>
  <si>
    <t>223.5x</t>
  </si>
  <si>
    <t>$7.5B</t>
  </si>
  <si>
    <t>51.2x</t>
  </si>
  <si>
    <t>7.7x</t>
  </si>
  <si>
    <t>$8.9B</t>
  </si>
  <si>
    <t>58.0x</t>
  </si>
  <si>
    <t>34.3x</t>
  </si>
  <si>
    <t>$1.8B</t>
  </si>
  <si>
    <t>33.8x</t>
  </si>
  <si>
    <t>$56.5B</t>
  </si>
  <si>
    <t>2.5x</t>
  </si>
  <si>
    <t>9.2x</t>
  </si>
  <si>
    <t>40.5x</t>
  </si>
  <si>
    <t>Alert Price:</t>
  </si>
  <si>
    <t>30wk Low</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</si>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</sst>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J30" sqref="J30"/>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175</v>
      </c>
      <c r="B2" t="s">
        <v>371</v>
      </c>
      <c r="C2" t="s">
        <v>176</v>
      </c>
      <c r="D2" s="4">
        <v>8.2799999999999994</v>
      </c>
      <c r="E2" s="4">
        <v>8.4700000000000006</v>
      </c>
      <c r="F2" s="4">
        <v>6.15</v>
      </c>
      <c r="G2" t="s">
        <v>464</v>
      </c>
      <c r="H2" s="3">
        <v>0</v>
      </c>
      <c r="I2" t="s">
        <v>177</v>
      </c>
      <c r="K2" s="3">
        <v>6.9000000000000006E-2</v>
      </c>
      <c r="L2" t="s">
        <v>413</v>
      </c>
      <c r="N2" t="s">
        <v>178</v>
      </c>
      <c r="O2" s="3">
        <v>5.1680000000000001</v>
      </c>
      <c r="P2" s="3">
        <v>1.0999999999999999E-2</v>
      </c>
      <c r="Q2" t="s">
        <v>179</v>
      </c>
      <c r="R2" s="3">
        <v>-5.0000000000000001E-3</v>
      </c>
      <c r="S2" s="3">
        <v>5.7000000000000002E-2</v>
      </c>
      <c r="T2" s="3">
        <v>9.7550000000000008</v>
      </c>
      <c r="U2" s="3">
        <v>-1.4E-2</v>
      </c>
    </row>
    <row r="3" spans="1:21" x14ac:dyDescent="0.25">
      <c r="A3" t="s">
        <v>142</v>
      </c>
      <c r="B3" t="s">
        <v>372</v>
      </c>
      <c r="C3" t="s">
        <v>40</v>
      </c>
      <c r="D3" s="4">
        <v>3.15</v>
      </c>
      <c r="E3" s="4">
        <v>3.21</v>
      </c>
      <c r="F3" s="4">
        <v>2.71</v>
      </c>
      <c r="G3" t="s">
        <v>399</v>
      </c>
      <c r="H3" s="3">
        <v>0</v>
      </c>
      <c r="I3" t="s">
        <v>143</v>
      </c>
      <c r="J3" t="s">
        <v>144</v>
      </c>
      <c r="K3" s="3">
        <v>5.1999999999999998E-2</v>
      </c>
      <c r="L3" t="s">
        <v>411</v>
      </c>
      <c r="N3" t="s">
        <v>145</v>
      </c>
      <c r="O3" s="3">
        <v>0.52100000000000002</v>
      </c>
      <c r="P3" s="3">
        <v>1E-3</v>
      </c>
      <c r="Q3" t="s">
        <v>146</v>
      </c>
      <c r="R3" s="3">
        <v>0.42599999999999999</v>
      </c>
      <c r="S3" s="3">
        <v>0.113</v>
      </c>
      <c r="T3" s="3">
        <v>-0.59899999999999998</v>
      </c>
      <c r="U3" s="3">
        <v>0.04</v>
      </c>
    </row>
    <row r="4" spans="1:21" x14ac:dyDescent="0.25">
      <c r="A4" t="s">
        <v>147</v>
      </c>
      <c r="B4" t="s">
        <v>373</v>
      </c>
      <c r="C4" t="s">
        <v>40</v>
      </c>
      <c r="D4" s="4">
        <v>3.53</v>
      </c>
      <c r="E4" s="4">
        <v>3.64</v>
      </c>
      <c r="F4" s="4">
        <v>3.1</v>
      </c>
      <c r="G4" t="s">
        <v>425</v>
      </c>
      <c r="H4" s="3">
        <v>0</v>
      </c>
      <c r="I4" t="s">
        <v>148</v>
      </c>
      <c r="J4" t="s">
        <v>51</v>
      </c>
      <c r="K4" s="3">
        <v>5.2999999999999999E-2</v>
      </c>
      <c r="L4" t="s">
        <v>465</v>
      </c>
      <c r="M4" t="s">
        <v>466</v>
      </c>
      <c r="N4" t="s">
        <v>149</v>
      </c>
      <c r="O4" s="3">
        <v>0.28100000000000003</v>
      </c>
      <c r="P4" s="3">
        <v>5.0000000000000001E-3</v>
      </c>
      <c r="Q4" t="s">
        <v>150</v>
      </c>
      <c r="R4" s="3">
        <v>1.474</v>
      </c>
      <c r="S4" s="3">
        <v>4.4999999999999998E-2</v>
      </c>
      <c r="T4" s="3">
        <v>-0.127</v>
      </c>
      <c r="U4" s="3">
        <v>0.109</v>
      </c>
    </row>
    <row r="5" spans="1:21" x14ac:dyDescent="0.25">
      <c r="A5" t="s">
        <v>151</v>
      </c>
      <c r="B5" t="s">
        <v>374</v>
      </c>
      <c r="C5" t="s">
        <v>22</v>
      </c>
      <c r="D5" s="4">
        <v>5.15</v>
      </c>
      <c r="E5" s="4">
        <v>5.42</v>
      </c>
      <c r="F5" s="4">
        <v>4.26</v>
      </c>
      <c r="G5" t="s">
        <v>467</v>
      </c>
      <c r="H5" s="3">
        <v>0</v>
      </c>
      <c r="I5" t="s">
        <v>55</v>
      </c>
      <c r="J5" t="s">
        <v>56</v>
      </c>
      <c r="K5" s="3">
        <v>7.8E-2</v>
      </c>
      <c r="L5" t="s">
        <v>468</v>
      </c>
      <c r="N5" t="s">
        <v>57</v>
      </c>
      <c r="O5" s="3">
        <v>0.28799999999999998</v>
      </c>
      <c r="P5" s="3">
        <v>2.7E-2</v>
      </c>
      <c r="Q5" t="s">
        <v>58</v>
      </c>
      <c r="R5" s="3">
        <v>1.887</v>
      </c>
      <c r="S5" s="3">
        <v>0.13200000000000001</v>
      </c>
      <c r="T5" s="3">
        <v>0.06</v>
      </c>
      <c r="U5" s="3">
        <v>4.3999999999999997E-2</v>
      </c>
    </row>
    <row r="6" spans="1:21" x14ac:dyDescent="0.25">
      <c r="A6" t="s">
        <v>47</v>
      </c>
      <c r="B6" t="s">
        <v>375</v>
      </c>
      <c r="C6" t="s">
        <v>46</v>
      </c>
      <c r="D6" s="4">
        <v>3.61</v>
      </c>
      <c r="E6" s="4">
        <v>3.9</v>
      </c>
      <c r="F6" s="4">
        <v>2.72</v>
      </c>
      <c r="G6" t="s">
        <v>402</v>
      </c>
      <c r="H6" s="3">
        <v>1</v>
      </c>
      <c r="I6" t="s">
        <v>49</v>
      </c>
      <c r="J6" t="s">
        <v>50</v>
      </c>
      <c r="K6" s="3">
        <v>5.2999999999999999E-2</v>
      </c>
      <c r="L6" t="s">
        <v>23</v>
      </c>
      <c r="M6" t="s">
        <v>469</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376</v>
      </c>
      <c r="C7" t="s">
        <v>40</v>
      </c>
      <c r="D7" s="4">
        <v>2.25</v>
      </c>
      <c r="E7" s="4">
        <v>2.37</v>
      </c>
      <c r="F7" s="4">
        <v>1.76</v>
      </c>
      <c r="G7" t="s">
        <v>470</v>
      </c>
      <c r="H7" s="3">
        <v>0</v>
      </c>
      <c r="I7" t="s">
        <v>43</v>
      </c>
      <c r="K7" s="3">
        <v>0.04</v>
      </c>
      <c r="L7" t="s">
        <v>403</v>
      </c>
      <c r="M7" t="s">
        <v>471</v>
      </c>
      <c r="N7" t="s">
        <v>44</v>
      </c>
      <c r="O7" s="3">
        <v>0.5</v>
      </c>
      <c r="P7" s="3">
        <v>1.2999999999999999E-2</v>
      </c>
      <c r="Q7" t="s">
        <v>45</v>
      </c>
      <c r="R7" s="3">
        <v>-0.20699999999999999</v>
      </c>
      <c r="S7" s="3">
        <v>0.188</v>
      </c>
      <c r="U7" s="3">
        <v>-6.2E-2</v>
      </c>
    </row>
    <row r="8" spans="1:21" x14ac:dyDescent="0.25">
      <c r="A8" t="s">
        <v>33</v>
      </c>
      <c r="B8" t="s">
        <v>377</v>
      </c>
      <c r="C8" t="s">
        <v>22</v>
      </c>
      <c r="D8" s="4">
        <v>5.28</v>
      </c>
      <c r="E8" s="4">
        <v>5.29</v>
      </c>
      <c r="F8" s="4">
        <v>3</v>
      </c>
      <c r="G8" t="s">
        <v>463</v>
      </c>
      <c r="H8" s="3">
        <v>0.8</v>
      </c>
      <c r="I8" t="s">
        <v>35</v>
      </c>
      <c r="J8" t="s">
        <v>36</v>
      </c>
      <c r="K8" s="3">
        <v>3.7999999999999999E-2</v>
      </c>
      <c r="L8" t="s">
        <v>400</v>
      </c>
      <c r="M8" t="s">
        <v>472</v>
      </c>
      <c r="N8" t="s">
        <v>37</v>
      </c>
      <c r="O8" s="3">
        <v>1.407</v>
      </c>
      <c r="P8" s="3">
        <v>1.0999999999999999E-2</v>
      </c>
      <c r="Q8" t="s">
        <v>38</v>
      </c>
      <c r="R8" s="3">
        <v>3.5999999999999997E-2</v>
      </c>
      <c r="S8" s="3">
        <v>0.10299999999999999</v>
      </c>
      <c r="U8" s="3">
        <v>0.36699999999999999</v>
      </c>
    </row>
    <row r="9" spans="1:21" x14ac:dyDescent="0.25">
      <c r="A9" t="s">
        <v>24</v>
      </c>
      <c r="B9" t="s">
        <v>378</v>
      </c>
      <c r="C9" t="s">
        <v>26</v>
      </c>
      <c r="D9" s="4">
        <v>5.0199999999999996</v>
      </c>
      <c r="E9" s="4">
        <v>5.31</v>
      </c>
      <c r="F9" s="4">
        <v>3.47</v>
      </c>
      <c r="G9" t="s">
        <v>415</v>
      </c>
      <c r="H9" s="3">
        <v>1</v>
      </c>
      <c r="I9" t="s">
        <v>27</v>
      </c>
      <c r="J9" t="s">
        <v>28</v>
      </c>
      <c r="K9" s="3">
        <v>3.4000000000000002E-2</v>
      </c>
      <c r="L9" t="s">
        <v>412</v>
      </c>
      <c r="M9" t="s">
        <v>426</v>
      </c>
      <c r="N9" t="s">
        <v>29</v>
      </c>
      <c r="O9" s="3">
        <v>8.7999999999999995E-2</v>
      </c>
      <c r="Q9" t="s">
        <v>30</v>
      </c>
      <c r="R9" s="3">
        <v>6.2E-2</v>
      </c>
      <c r="S9" s="3">
        <v>3.5000000000000003E-2</v>
      </c>
      <c r="T9" s="3">
        <v>3.6999999999999998E-2</v>
      </c>
      <c r="U9" s="3">
        <v>0.20699999999999999</v>
      </c>
    </row>
    <row r="10" spans="1:21" x14ac:dyDescent="0.25">
      <c r="A10" t="s">
        <v>180</v>
      </c>
      <c r="B10" t="s">
        <v>379</v>
      </c>
      <c r="C10" t="s">
        <v>22</v>
      </c>
      <c r="D10" s="4">
        <v>18.63</v>
      </c>
      <c r="E10" s="4">
        <v>18.72</v>
      </c>
      <c r="F10" s="4">
        <v>10.85</v>
      </c>
      <c r="G10" t="s">
        <v>473</v>
      </c>
      <c r="H10" s="3">
        <v>1</v>
      </c>
      <c r="I10" t="s">
        <v>416</v>
      </c>
      <c r="J10" t="s">
        <v>181</v>
      </c>
      <c r="K10" s="3">
        <v>3.5000000000000003E-2</v>
      </c>
      <c r="L10" t="s">
        <v>401</v>
      </c>
      <c r="M10" t="s">
        <v>474</v>
      </c>
      <c r="N10" t="s">
        <v>182</v>
      </c>
      <c r="O10" s="3">
        <v>0.17399999999999999</v>
      </c>
      <c r="P10" s="3">
        <v>1.7999999999999999E-2</v>
      </c>
      <c r="Q10" t="s">
        <v>183</v>
      </c>
      <c r="R10" s="3">
        <v>3.6999999999999998E-2</v>
      </c>
      <c r="S10" s="3">
        <v>4.7E-2</v>
      </c>
      <c r="T10" s="3">
        <v>8.5000000000000006E-2</v>
      </c>
      <c r="U10" s="3">
        <v>0.159</v>
      </c>
    </row>
    <row r="11" spans="1:21" x14ac:dyDescent="0.25">
      <c r="A11" t="s">
        <v>184</v>
      </c>
      <c r="B11" t="s">
        <v>380</v>
      </c>
      <c r="C11" t="s">
        <v>32</v>
      </c>
      <c r="D11" s="4">
        <v>4.96</v>
      </c>
      <c r="E11" s="4">
        <v>4.99</v>
      </c>
      <c r="F11" s="4">
        <v>3.59</v>
      </c>
      <c r="G11" t="s">
        <v>475</v>
      </c>
      <c r="H11" s="3">
        <v>1</v>
      </c>
      <c r="I11" t="s">
        <v>185</v>
      </c>
      <c r="J11" t="s">
        <v>186</v>
      </c>
      <c r="K11" s="3">
        <v>3.6999999999999998E-2</v>
      </c>
      <c r="L11" t="s">
        <v>476</v>
      </c>
      <c r="N11" t="s">
        <v>187</v>
      </c>
      <c r="O11" s="3">
        <v>1.2150000000000001</v>
      </c>
      <c r="P11" s="3">
        <v>7.0000000000000001E-3</v>
      </c>
      <c r="Q11" t="s">
        <v>188</v>
      </c>
      <c r="R11" s="3">
        <v>8.1000000000000003E-2</v>
      </c>
      <c r="S11" s="3">
        <v>2.1000000000000001E-2</v>
      </c>
      <c r="T11" s="3">
        <v>-3.5000000000000003E-2</v>
      </c>
      <c r="U11" s="3">
        <v>0.112</v>
      </c>
    </row>
    <row r="12" spans="1:21" x14ac:dyDescent="0.25">
      <c r="A12" t="s">
        <v>189</v>
      </c>
      <c r="B12" t="s">
        <v>381</v>
      </c>
      <c r="C12" t="s">
        <v>26</v>
      </c>
      <c r="D12" s="4">
        <v>7.89</v>
      </c>
      <c r="E12" s="4">
        <v>8.16</v>
      </c>
      <c r="F12" s="4">
        <v>5.64</v>
      </c>
      <c r="G12" t="s">
        <v>417</v>
      </c>
      <c r="H12" s="3">
        <v>1</v>
      </c>
      <c r="I12" t="s">
        <v>418</v>
      </c>
      <c r="J12" t="s">
        <v>190</v>
      </c>
      <c r="K12" s="3">
        <v>4.3999999999999997E-2</v>
      </c>
      <c r="L12" t="s">
        <v>404</v>
      </c>
      <c r="N12" t="s">
        <v>191</v>
      </c>
      <c r="O12" s="3">
        <v>2.81</v>
      </c>
      <c r="Q12" t="s">
        <v>192</v>
      </c>
      <c r="R12" s="3">
        <v>0.188</v>
      </c>
      <c r="S12" s="3">
        <v>0.432</v>
      </c>
      <c r="T12" s="3">
        <v>-0.17100000000000001</v>
      </c>
      <c r="U12" s="3">
        <v>0.05</v>
      </c>
    </row>
    <row r="13" spans="1:21" x14ac:dyDescent="0.25">
      <c r="A13" t="s">
        <v>193</v>
      </c>
      <c r="B13" t="s">
        <v>382</v>
      </c>
      <c r="C13" t="s">
        <v>40</v>
      </c>
      <c r="D13" s="4">
        <v>2.35</v>
      </c>
      <c r="E13" s="4">
        <v>2.4700000000000002</v>
      </c>
      <c r="F13" s="4">
        <v>2</v>
      </c>
      <c r="G13" t="s">
        <v>419</v>
      </c>
      <c r="H13" s="3">
        <v>0</v>
      </c>
      <c r="I13" t="s">
        <v>194</v>
      </c>
      <c r="J13" t="s">
        <v>195</v>
      </c>
      <c r="K13" s="3">
        <v>4.7E-2</v>
      </c>
      <c r="L13" t="s">
        <v>477</v>
      </c>
      <c r="M13" t="s">
        <v>478</v>
      </c>
      <c r="N13" t="s">
        <v>196</v>
      </c>
      <c r="O13" s="3">
        <v>0.47499999999999998</v>
      </c>
      <c r="P13" s="3">
        <v>2E-3</v>
      </c>
      <c r="Q13" t="s">
        <v>197</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5"/>
  <sheetViews>
    <sheetView tabSelected="1" workbookViewId="0">
      <selection activeCell="G20" sqref="G20"/>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21" max="21" width="11.28515625" bestFit="1" customWidth="1"/>
    <col min="22" max="22" width="20" bestFit="1" customWidth="1"/>
  </cols>
  <sheetData>
    <row r="1" spans="1:28" x14ac:dyDescent="0.25">
      <c r="A1" s="1" t="s">
        <v>71</v>
      </c>
      <c r="B1" s="1" t="s">
        <v>1</v>
      </c>
      <c r="C1" s="1" t="s">
        <v>479</v>
      </c>
      <c r="D1" s="1" t="s">
        <v>59</v>
      </c>
      <c r="E1" s="1" t="s">
        <v>60</v>
      </c>
      <c r="F1" s="1" t="s">
        <v>61</v>
      </c>
      <c r="G1" s="1" t="s">
        <v>62</v>
      </c>
      <c r="H1" s="1" t="s">
        <v>63</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s="3" t="s">
        <v>152</v>
      </c>
      <c r="C2">
        <v>8.6199999999999992</v>
      </c>
      <c r="D2" t="s">
        <v>421</v>
      </c>
      <c r="E2" t="s">
        <v>480</v>
      </c>
      <c r="F2" t="s">
        <v>422</v>
      </c>
      <c r="G2" t="s">
        <v>423</v>
      </c>
      <c r="H2" t="s">
        <v>424</v>
      </c>
      <c r="I2" t="s">
        <v>175</v>
      </c>
      <c r="J2" t="s">
        <v>176</v>
      </c>
      <c r="K2" s="4">
        <v>8.2799999999999994</v>
      </c>
      <c r="L2" s="4">
        <v>8.4700000000000006</v>
      </c>
      <c r="M2" s="4">
        <v>6.15</v>
      </c>
      <c r="N2" t="s">
        <v>464</v>
      </c>
      <c r="O2" s="3">
        <v>0</v>
      </c>
      <c r="P2" t="s">
        <v>177</v>
      </c>
      <c r="R2" s="3">
        <v>6.9000000000000006E-2</v>
      </c>
      <c r="S2" t="s">
        <v>413</v>
      </c>
      <c r="U2" t="s">
        <v>178</v>
      </c>
      <c r="V2" s="3">
        <v>5.1680000000000001</v>
      </c>
      <c r="W2" s="3">
        <v>1.0999999999999999E-2</v>
      </c>
      <c r="X2" t="s">
        <v>179</v>
      </c>
      <c r="Y2" s="3">
        <v>-5.0000000000000001E-3</v>
      </c>
      <c r="Z2" s="3">
        <v>5.7000000000000002E-2</v>
      </c>
      <c r="AA2" s="3">
        <v>9.7550000000000008</v>
      </c>
      <c r="AB2" s="3">
        <v>-1.4E-2</v>
      </c>
    </row>
    <row r="3" spans="1:28" x14ac:dyDescent="0.25">
      <c r="A3" s="2">
        <v>45786</v>
      </c>
      <c r="B3" s="3" t="s">
        <v>91</v>
      </c>
      <c r="C3">
        <v>3.07</v>
      </c>
      <c r="D3" t="s">
        <v>421</v>
      </c>
      <c r="E3" t="s">
        <v>480</v>
      </c>
      <c r="F3" t="s">
        <v>422</v>
      </c>
      <c r="G3" t="s">
        <v>423</v>
      </c>
      <c r="H3" t="s">
        <v>424</v>
      </c>
      <c r="I3" t="s">
        <v>142</v>
      </c>
      <c r="J3" t="s">
        <v>40</v>
      </c>
      <c r="K3" s="4">
        <v>3.15</v>
      </c>
      <c r="L3" s="4">
        <v>3.21</v>
      </c>
      <c r="M3" s="4">
        <v>2.71</v>
      </c>
      <c r="N3" t="s">
        <v>399</v>
      </c>
      <c r="O3" s="3">
        <v>0</v>
      </c>
      <c r="P3" t="s">
        <v>143</v>
      </c>
      <c r="Q3" t="s">
        <v>144</v>
      </c>
      <c r="R3" s="3">
        <v>5.1999999999999998E-2</v>
      </c>
      <c r="S3" t="s">
        <v>411</v>
      </c>
      <c r="U3" t="s">
        <v>145</v>
      </c>
      <c r="V3" s="3">
        <v>0.52100000000000002</v>
      </c>
      <c r="W3" s="3">
        <v>1E-3</v>
      </c>
      <c r="X3" t="s">
        <v>146</v>
      </c>
      <c r="Y3" s="3">
        <v>0.42599999999999999</v>
      </c>
      <c r="Z3" s="3">
        <v>0.113</v>
      </c>
      <c r="AA3" s="3">
        <v>-0.59899999999999998</v>
      </c>
      <c r="AB3" s="3">
        <v>0.04</v>
      </c>
    </row>
    <row r="4" spans="1:28" x14ac:dyDescent="0.25">
      <c r="A4" s="2">
        <v>45786</v>
      </c>
      <c r="B4" s="3" t="s">
        <v>92</v>
      </c>
      <c r="C4">
        <v>3.64</v>
      </c>
      <c r="D4" t="s">
        <v>421</v>
      </c>
      <c r="E4" t="s">
        <v>480</v>
      </c>
      <c r="F4" t="s">
        <v>422</v>
      </c>
      <c r="G4" t="s">
        <v>423</v>
      </c>
      <c r="H4" t="s">
        <v>424</v>
      </c>
      <c r="I4" t="s">
        <v>147</v>
      </c>
      <c r="J4" t="s">
        <v>40</v>
      </c>
      <c r="K4" s="4">
        <v>3.53</v>
      </c>
      <c r="L4" s="4">
        <v>3.64</v>
      </c>
      <c r="M4" s="4">
        <v>3.1</v>
      </c>
      <c r="N4" t="s">
        <v>425</v>
      </c>
      <c r="O4" s="3">
        <v>0</v>
      </c>
      <c r="P4" t="s">
        <v>148</v>
      </c>
      <c r="Q4" t="s">
        <v>51</v>
      </c>
      <c r="R4" s="3">
        <v>5.2999999999999999E-2</v>
      </c>
      <c r="S4" t="s">
        <v>465</v>
      </c>
      <c r="T4" t="s">
        <v>466</v>
      </c>
      <c r="U4" t="s">
        <v>149</v>
      </c>
      <c r="V4" s="3">
        <v>0.28100000000000003</v>
      </c>
      <c r="W4" s="3">
        <v>5.0000000000000001E-3</v>
      </c>
      <c r="X4" t="s">
        <v>150</v>
      </c>
      <c r="Y4" s="3">
        <v>1.474</v>
      </c>
      <c r="Z4" s="3">
        <v>4.4999999999999998E-2</v>
      </c>
      <c r="AA4" s="3">
        <v>-0.127</v>
      </c>
      <c r="AB4" s="3">
        <v>0.109</v>
      </c>
    </row>
    <row r="5" spans="1:28" x14ac:dyDescent="0.25">
      <c r="A5" s="2">
        <v>45786</v>
      </c>
      <c r="B5" s="3" t="s">
        <v>54</v>
      </c>
      <c r="C5">
        <v>5.18</v>
      </c>
      <c r="D5" t="s">
        <v>421</v>
      </c>
      <c r="E5" t="s">
        <v>480</v>
      </c>
      <c r="F5" t="s">
        <v>422</v>
      </c>
      <c r="G5" t="s">
        <v>423</v>
      </c>
      <c r="H5" t="s">
        <v>424</v>
      </c>
      <c r="I5" t="s">
        <v>151</v>
      </c>
      <c r="J5" t="s">
        <v>22</v>
      </c>
      <c r="K5" s="4">
        <v>5.15</v>
      </c>
      <c r="L5" s="4">
        <v>5.42</v>
      </c>
      <c r="M5" s="4">
        <v>4.26</v>
      </c>
      <c r="N5" t="s">
        <v>467</v>
      </c>
      <c r="O5" s="3">
        <v>0</v>
      </c>
      <c r="P5" t="s">
        <v>55</v>
      </c>
      <c r="Q5" t="s">
        <v>56</v>
      </c>
      <c r="R5" s="3">
        <v>7.8E-2</v>
      </c>
      <c r="S5" t="s">
        <v>468</v>
      </c>
      <c r="U5" t="s">
        <v>57</v>
      </c>
      <c r="V5" s="3">
        <v>0.28799999999999998</v>
      </c>
      <c r="W5" s="3">
        <v>2.7E-2</v>
      </c>
      <c r="X5" t="s">
        <v>58</v>
      </c>
      <c r="Y5" s="3">
        <v>1.887</v>
      </c>
      <c r="Z5" s="3">
        <v>0.13200000000000001</v>
      </c>
      <c r="AA5" s="3">
        <v>0.06</v>
      </c>
      <c r="AB5" s="3">
        <v>4.3999999999999997E-2</v>
      </c>
    </row>
    <row r="6" spans="1:28" x14ac:dyDescent="0.25">
      <c r="A6" s="2">
        <v>45786</v>
      </c>
      <c r="B6" s="3" t="s">
        <v>48</v>
      </c>
      <c r="C6">
        <v>3.5</v>
      </c>
      <c r="D6" t="s">
        <v>421</v>
      </c>
      <c r="E6" t="s">
        <v>480</v>
      </c>
      <c r="F6" t="s">
        <v>422</v>
      </c>
      <c r="G6" t="s">
        <v>423</v>
      </c>
      <c r="H6" t="s">
        <v>424</v>
      </c>
      <c r="I6" t="s">
        <v>47</v>
      </c>
      <c r="J6" t="s">
        <v>46</v>
      </c>
      <c r="K6" s="4">
        <v>3.61</v>
      </c>
      <c r="L6" s="4">
        <v>3.9</v>
      </c>
      <c r="M6" s="4">
        <v>2.72</v>
      </c>
      <c r="N6" t="s">
        <v>402</v>
      </c>
      <c r="O6" s="3">
        <v>1</v>
      </c>
      <c r="P6" t="s">
        <v>49</v>
      </c>
      <c r="Q6" t="s">
        <v>50</v>
      </c>
      <c r="R6" s="3">
        <v>5.2999999999999999E-2</v>
      </c>
      <c r="S6" t="s">
        <v>23</v>
      </c>
      <c r="T6" t="s">
        <v>469</v>
      </c>
      <c r="U6" t="s">
        <v>52</v>
      </c>
      <c r="V6" s="3">
        <v>6.4219999999999997</v>
      </c>
      <c r="W6" s="3">
        <v>1.2999999999999999E-2</v>
      </c>
      <c r="X6" t="s">
        <v>53</v>
      </c>
      <c r="Y6" s="3">
        <v>2.8000000000000001E-2</v>
      </c>
      <c r="Z6" s="3">
        <v>6.9000000000000006E-2</v>
      </c>
      <c r="AA6" s="3">
        <v>6.7000000000000004E-2</v>
      </c>
      <c r="AB6" s="3">
        <v>0.38600000000000001</v>
      </c>
    </row>
    <row r="7" spans="1:28" x14ac:dyDescent="0.25">
      <c r="A7" s="2">
        <v>45786</v>
      </c>
      <c r="B7" s="3" t="s">
        <v>42</v>
      </c>
      <c r="C7">
        <v>2.2999999999999998</v>
      </c>
      <c r="D7" t="s">
        <v>421</v>
      </c>
      <c r="E7" t="s">
        <v>480</v>
      </c>
      <c r="F7" t="s">
        <v>422</v>
      </c>
      <c r="G7" t="s">
        <v>423</v>
      </c>
      <c r="H7" t="s">
        <v>424</v>
      </c>
      <c r="I7" t="s">
        <v>41</v>
      </c>
      <c r="J7" t="s">
        <v>40</v>
      </c>
      <c r="K7" s="4">
        <v>2.25</v>
      </c>
      <c r="L7" s="4">
        <v>2.37</v>
      </c>
      <c r="M7" s="4">
        <v>1.76</v>
      </c>
      <c r="N7" t="s">
        <v>470</v>
      </c>
      <c r="O7" s="3">
        <v>0</v>
      </c>
      <c r="P7" t="s">
        <v>43</v>
      </c>
      <c r="R7" s="3">
        <v>0.04</v>
      </c>
      <c r="S7" t="s">
        <v>403</v>
      </c>
      <c r="T7" t="s">
        <v>471</v>
      </c>
      <c r="U7" t="s">
        <v>44</v>
      </c>
      <c r="V7" s="3">
        <v>0.5</v>
      </c>
      <c r="W7" s="3">
        <v>1.2999999999999999E-2</v>
      </c>
      <c r="X7" t="s">
        <v>45</v>
      </c>
      <c r="Y7" s="3">
        <v>-0.20699999999999999</v>
      </c>
      <c r="Z7" s="3">
        <v>0.188</v>
      </c>
      <c r="AB7" s="3">
        <v>-6.2E-2</v>
      </c>
    </row>
    <row r="8" spans="1:28" x14ac:dyDescent="0.25">
      <c r="A8" s="2">
        <v>45786</v>
      </c>
      <c r="B8" s="3" t="s">
        <v>34</v>
      </c>
      <c r="C8">
        <v>4.3499999999999996</v>
      </c>
      <c r="D8" t="s">
        <v>421</v>
      </c>
      <c r="E8" t="s">
        <v>480</v>
      </c>
      <c r="F8" t="s">
        <v>422</v>
      </c>
      <c r="G8" t="s">
        <v>423</v>
      </c>
      <c r="H8" t="s">
        <v>424</v>
      </c>
      <c r="I8" t="s">
        <v>33</v>
      </c>
      <c r="J8" t="s">
        <v>22</v>
      </c>
      <c r="K8" s="4">
        <v>5.28</v>
      </c>
      <c r="L8" s="4">
        <v>5.29</v>
      </c>
      <c r="M8" s="4">
        <v>3</v>
      </c>
      <c r="N8" t="s">
        <v>463</v>
      </c>
      <c r="O8" s="3">
        <v>0.8</v>
      </c>
      <c r="P8" t="s">
        <v>35</v>
      </c>
      <c r="Q8" t="s">
        <v>36</v>
      </c>
      <c r="R8" s="3">
        <v>3.7999999999999999E-2</v>
      </c>
      <c r="S8" t="s">
        <v>400</v>
      </c>
      <c r="T8" t="s">
        <v>472</v>
      </c>
      <c r="U8" t="s">
        <v>37</v>
      </c>
      <c r="V8" s="3">
        <v>1.407</v>
      </c>
      <c r="W8" s="3">
        <v>1.0999999999999999E-2</v>
      </c>
      <c r="X8" t="s">
        <v>38</v>
      </c>
      <c r="Y8" s="3">
        <v>3.5999999999999997E-2</v>
      </c>
      <c r="Z8" s="3">
        <v>0.10299999999999999</v>
      </c>
      <c r="AB8" s="3">
        <v>0.36699999999999999</v>
      </c>
    </row>
    <row r="9" spans="1:28" x14ac:dyDescent="0.25">
      <c r="A9" s="2">
        <v>45695</v>
      </c>
      <c r="B9" s="3" t="s">
        <v>25</v>
      </c>
      <c r="C9" s="6">
        <v>3.91</v>
      </c>
      <c r="D9" t="s">
        <v>421</v>
      </c>
      <c r="E9" t="s">
        <v>480</v>
      </c>
      <c r="F9" t="s">
        <v>422</v>
      </c>
      <c r="G9" t="s">
        <v>423</v>
      </c>
      <c r="H9" t="s">
        <v>424</v>
      </c>
      <c r="I9" t="s">
        <v>24</v>
      </c>
      <c r="J9" t="s">
        <v>26</v>
      </c>
      <c r="K9" s="4">
        <v>5.0199999999999996</v>
      </c>
      <c r="L9" s="4">
        <v>5.31</v>
      </c>
      <c r="M9" s="4">
        <v>3.47</v>
      </c>
      <c r="N9" t="s">
        <v>415</v>
      </c>
      <c r="O9" s="3">
        <v>1</v>
      </c>
      <c r="P9" t="s">
        <v>27</v>
      </c>
      <c r="Q9" t="s">
        <v>28</v>
      </c>
      <c r="R9" s="3">
        <v>3.4000000000000002E-2</v>
      </c>
      <c r="S9" t="s">
        <v>412</v>
      </c>
      <c r="T9" t="s">
        <v>426</v>
      </c>
      <c r="U9" t="s">
        <v>29</v>
      </c>
      <c r="V9" s="3">
        <v>8.7999999999999995E-2</v>
      </c>
      <c r="X9" t="s">
        <v>30</v>
      </c>
      <c r="Y9" s="3">
        <v>6.2E-2</v>
      </c>
      <c r="Z9" s="3">
        <v>3.5000000000000003E-2</v>
      </c>
      <c r="AA9" s="3">
        <v>3.6999999999999998E-2</v>
      </c>
      <c r="AB9" s="3">
        <v>0.20699999999999999</v>
      </c>
    </row>
    <row r="10" spans="1:28" x14ac:dyDescent="0.25">
      <c r="A10" s="2">
        <v>45758</v>
      </c>
      <c r="B10" s="3" t="s">
        <v>83</v>
      </c>
      <c r="C10">
        <v>3.93</v>
      </c>
      <c r="D10" t="s">
        <v>420</v>
      </c>
      <c r="E10" t="s">
        <v>461</v>
      </c>
      <c r="F10">
        <v>3.6</v>
      </c>
      <c r="G10" t="s">
        <v>481</v>
      </c>
      <c r="H10" t="s">
        <v>462</v>
      </c>
      <c r="I10" t="s">
        <v>198</v>
      </c>
      <c r="J10" t="s">
        <v>26</v>
      </c>
      <c r="K10" s="4">
        <v>3.94</v>
      </c>
      <c r="L10" s="4">
        <v>4.84</v>
      </c>
      <c r="M10" s="4">
        <v>2.2200000000000002</v>
      </c>
      <c r="N10" t="s">
        <v>414</v>
      </c>
      <c r="O10" s="3">
        <v>0</v>
      </c>
      <c r="P10" t="s">
        <v>427</v>
      </c>
      <c r="R10" s="3">
        <v>0</v>
      </c>
      <c r="S10" t="s">
        <v>428</v>
      </c>
      <c r="U10" t="s">
        <v>429</v>
      </c>
      <c r="V10" s="3">
        <v>0.57899999999999996</v>
      </c>
      <c r="X10" t="s">
        <v>430</v>
      </c>
      <c r="Y10" s="3">
        <v>-8.6999999999999994E-2</v>
      </c>
      <c r="Z10" s="3">
        <v>0.14199999999999999</v>
      </c>
      <c r="AB10" s="3">
        <v>-7.0999999999999994E-2</v>
      </c>
    </row>
    <row r="11" spans="1:28" x14ac:dyDescent="0.25">
      <c r="A11" s="2">
        <v>45737</v>
      </c>
      <c r="B11" s="3" t="s">
        <v>90</v>
      </c>
      <c r="C11">
        <v>142.36000000000001</v>
      </c>
      <c r="D11" t="s">
        <v>420</v>
      </c>
      <c r="E11" t="s">
        <v>461</v>
      </c>
      <c r="F11">
        <v>143.88999999999999</v>
      </c>
      <c r="G11" t="s">
        <v>481</v>
      </c>
      <c r="H11" t="s">
        <v>462</v>
      </c>
      <c r="I11" t="s">
        <v>199</v>
      </c>
      <c r="J11" t="s">
        <v>26</v>
      </c>
      <c r="K11" s="4">
        <v>180.89</v>
      </c>
      <c r="L11" s="4">
        <v>192</v>
      </c>
      <c r="M11" s="4">
        <v>120.96</v>
      </c>
      <c r="N11" t="s">
        <v>431</v>
      </c>
      <c r="O11" s="3">
        <v>1</v>
      </c>
      <c r="P11" t="s">
        <v>432</v>
      </c>
      <c r="Q11" t="s">
        <v>433</v>
      </c>
      <c r="R11" s="3">
        <v>2.7E-2</v>
      </c>
      <c r="S11" t="s">
        <v>434</v>
      </c>
      <c r="U11" t="s">
        <v>435</v>
      </c>
      <c r="V11" s="3">
        <v>2.782</v>
      </c>
      <c r="X11" t="s">
        <v>436</v>
      </c>
      <c r="Y11" s="3">
        <v>0.35199999999999998</v>
      </c>
      <c r="Z11" s="3">
        <v>0.35299999999999998</v>
      </c>
      <c r="AA11" s="3">
        <v>4.1000000000000002E-2</v>
      </c>
      <c r="AB11" s="3">
        <v>0.13200000000000001</v>
      </c>
    </row>
    <row r="12" spans="1:28" x14ac:dyDescent="0.25">
      <c r="A12" s="2">
        <v>45730</v>
      </c>
      <c r="B12" s="3" t="s">
        <v>128</v>
      </c>
      <c r="C12">
        <v>2.81</v>
      </c>
      <c r="D12" t="s">
        <v>420</v>
      </c>
      <c r="E12" t="s">
        <v>461</v>
      </c>
      <c r="F12">
        <v>2.7319439999999999</v>
      </c>
      <c r="G12" t="s">
        <v>481</v>
      </c>
      <c r="H12" t="s">
        <v>462</v>
      </c>
      <c r="I12" t="s">
        <v>200</v>
      </c>
      <c r="J12" t="s">
        <v>22</v>
      </c>
      <c r="K12" s="4">
        <v>3.04</v>
      </c>
      <c r="L12" s="4">
        <v>3.93</v>
      </c>
      <c r="M12" s="4">
        <v>2.21</v>
      </c>
      <c r="N12" t="s">
        <v>437</v>
      </c>
      <c r="O12" s="3">
        <v>1</v>
      </c>
      <c r="P12" t="s">
        <v>438</v>
      </c>
      <c r="Q12" t="s">
        <v>439</v>
      </c>
      <c r="R12" s="3">
        <v>5.2999999999999999E-2</v>
      </c>
      <c r="S12" t="s">
        <v>440</v>
      </c>
      <c r="U12" t="s">
        <v>441</v>
      </c>
      <c r="V12" s="3">
        <v>0.66600000000000004</v>
      </c>
      <c r="W12" s="3">
        <v>1.0999999999999999E-2</v>
      </c>
      <c r="X12" t="s">
        <v>442</v>
      </c>
      <c r="Y12" s="3">
        <v>3.6999999999999998E-2</v>
      </c>
      <c r="Z12" s="3">
        <v>9.5000000000000001E-2</v>
      </c>
      <c r="AA12" s="3">
        <v>0.222</v>
      </c>
      <c r="AB12" s="3">
        <v>0.17899999999999999</v>
      </c>
    </row>
    <row r="13" spans="1:28" x14ac:dyDescent="0.25">
      <c r="A13" s="2">
        <v>45716</v>
      </c>
      <c r="B13" t="s">
        <v>116</v>
      </c>
      <c r="C13">
        <v>8.9600000000000009</v>
      </c>
      <c r="D13" t="s">
        <v>420</v>
      </c>
      <c r="E13" t="s">
        <v>461</v>
      </c>
      <c r="F13">
        <v>8.6627080000000003</v>
      </c>
      <c r="G13" t="s">
        <v>481</v>
      </c>
      <c r="H13" t="s">
        <v>462</v>
      </c>
      <c r="I13" t="s">
        <v>201</v>
      </c>
      <c r="J13" t="s">
        <v>26</v>
      </c>
      <c r="K13" s="4">
        <v>9.67</v>
      </c>
      <c r="L13" s="4">
        <v>12.26</v>
      </c>
      <c r="M13" s="4">
        <v>6.29</v>
      </c>
      <c r="N13" t="s">
        <v>443</v>
      </c>
      <c r="O13" s="3">
        <v>0.85</v>
      </c>
      <c r="P13" t="s">
        <v>444</v>
      </c>
      <c r="Q13" t="s">
        <v>445</v>
      </c>
      <c r="R13" s="3">
        <v>6.5000000000000002E-2</v>
      </c>
      <c r="S13" t="s">
        <v>446</v>
      </c>
      <c r="U13" t="s">
        <v>447</v>
      </c>
      <c r="V13" s="3">
        <v>6.0000000000000001E-3</v>
      </c>
      <c r="W13" s="3">
        <v>4.9000000000000002E-2</v>
      </c>
      <c r="X13" t="s">
        <v>448</v>
      </c>
      <c r="Y13" s="3">
        <v>0.59</v>
      </c>
      <c r="Z13" s="3">
        <v>-0.191</v>
      </c>
      <c r="AA13" s="3">
        <v>-0.03</v>
      </c>
      <c r="AB13" s="3">
        <v>0.23200000000000001</v>
      </c>
    </row>
    <row r="14" spans="1:28" x14ac:dyDescent="0.25">
      <c r="A14" s="2">
        <v>45716</v>
      </c>
      <c r="B14" t="s">
        <v>86</v>
      </c>
      <c r="C14">
        <v>14</v>
      </c>
      <c r="D14" t="s">
        <v>420</v>
      </c>
      <c r="E14" t="s">
        <v>461</v>
      </c>
      <c r="F14">
        <v>13.58675</v>
      </c>
      <c r="G14" t="s">
        <v>481</v>
      </c>
      <c r="H14" t="s">
        <v>462</v>
      </c>
      <c r="I14" t="s">
        <v>202</v>
      </c>
      <c r="J14" t="s">
        <v>449</v>
      </c>
      <c r="K14" s="4">
        <v>15.23</v>
      </c>
      <c r="L14" s="4">
        <v>17.97</v>
      </c>
      <c r="M14" s="4">
        <v>12.06</v>
      </c>
      <c r="N14" t="s">
        <v>419</v>
      </c>
      <c r="O14" s="3">
        <v>1</v>
      </c>
      <c r="P14" t="s">
        <v>450</v>
      </c>
      <c r="Q14" t="s">
        <v>451</v>
      </c>
      <c r="R14" s="3">
        <v>4.4999999999999998E-2</v>
      </c>
      <c r="S14" t="s">
        <v>401</v>
      </c>
      <c r="T14" t="s">
        <v>452</v>
      </c>
      <c r="U14" t="s">
        <v>453</v>
      </c>
      <c r="V14" s="3">
        <v>0.85599999999999998</v>
      </c>
      <c r="W14" s="3">
        <v>1.0999999999999999E-2</v>
      </c>
      <c r="X14" t="s">
        <v>454</v>
      </c>
      <c r="Y14" s="3">
        <v>5.7000000000000002E-2</v>
      </c>
      <c r="Z14" s="3">
        <v>0.04</v>
      </c>
      <c r="AA14" s="3">
        <v>-7.1999999999999995E-2</v>
      </c>
      <c r="AB14" s="3">
        <v>0.17100000000000001</v>
      </c>
    </row>
    <row r="15" spans="1:28" x14ac:dyDescent="0.25">
      <c r="A15" s="2">
        <v>45716</v>
      </c>
      <c r="B15" t="s">
        <v>112</v>
      </c>
      <c r="C15">
        <v>35.08</v>
      </c>
      <c r="D15" t="s">
        <v>420</v>
      </c>
      <c r="E15" t="s">
        <v>461</v>
      </c>
      <c r="F15">
        <v>34.185600000000001</v>
      </c>
      <c r="G15" t="s">
        <v>481</v>
      </c>
      <c r="H15" t="s">
        <v>462</v>
      </c>
      <c r="I15" t="s">
        <v>203</v>
      </c>
      <c r="J15" t="s">
        <v>26</v>
      </c>
      <c r="K15" s="4">
        <v>39.79</v>
      </c>
      <c r="L15" s="4">
        <v>40.71</v>
      </c>
      <c r="M15" s="4">
        <v>30.41</v>
      </c>
      <c r="N15" t="s">
        <v>455</v>
      </c>
      <c r="O15" s="3">
        <v>1</v>
      </c>
      <c r="P15" t="s">
        <v>456</v>
      </c>
      <c r="Q15" t="s">
        <v>457</v>
      </c>
      <c r="R15" s="3">
        <v>4.2999999999999997E-2</v>
      </c>
      <c r="S15" t="s">
        <v>458</v>
      </c>
      <c r="U15" t="s">
        <v>459</v>
      </c>
      <c r="V15" s="3">
        <v>2.9950000000000001</v>
      </c>
      <c r="X15" t="s">
        <v>460</v>
      </c>
      <c r="Y15" s="3">
        <v>0.32900000000000001</v>
      </c>
      <c r="Z15" s="3">
        <v>0.47899999999999998</v>
      </c>
      <c r="AA15" s="3">
        <v>6.3E-2</v>
      </c>
      <c r="AB15" s="3">
        <v>0.113</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11.39</v>
      </c>
      <c r="B2">
        <v>1475.53</v>
      </c>
      <c r="C2">
        <v>193</v>
      </c>
      <c r="D2">
        <v>116</v>
      </c>
      <c r="E2">
        <v>49.52</v>
      </c>
      <c r="F2">
        <v>77</v>
      </c>
      <c r="G2">
        <v>-13.57</v>
      </c>
      <c r="H2">
        <v>-21.65</v>
      </c>
      <c r="I2" s="6">
        <v>8.1198299006541408</v>
      </c>
      <c r="J2" s="6">
        <v>1.63590043225883</v>
      </c>
      <c r="K2" s="6">
        <v>6.0132076416767877</v>
      </c>
      <c r="L2" s="6">
        <v>4.719225926113257</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4"/>
  <sheetViews>
    <sheetView topLeftCell="A1282" workbookViewId="0">
      <selection activeCell="I1306" sqref="I130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row r="1332" spans="1:11" x14ac:dyDescent="0.25">
      <c r="A1332" s="2">
        <v>45842</v>
      </c>
      <c r="B1332" s="6">
        <v>1585378.13</v>
      </c>
      <c r="C1332">
        <v>14541.17</v>
      </c>
      <c r="D1332" s="6">
        <f>B1332-MAX(B2:B1332)</f>
        <v>-50450.620000000112</v>
      </c>
      <c r="E1332">
        <f>D1332/MAX($B$2:B1332,100000)</f>
        <v>-3.0841015601419226E-2</v>
      </c>
    </row>
    <row r="1333" spans="1:11" x14ac:dyDescent="0.25">
      <c r="A1333" s="2">
        <v>45849</v>
      </c>
      <c r="B1333" s="6">
        <v>1588522</v>
      </c>
      <c r="C1333">
        <v>14541.17</v>
      </c>
      <c r="D1333">
        <v>-47306.75</v>
      </c>
      <c r="E1333">
        <f>D1333/MAX($B$2:B1333,100000)</f>
        <v>-2.8919133497317492E-2</v>
      </c>
    </row>
    <row r="1334" spans="1:11" x14ac:dyDescent="0.25">
      <c r="A1334" s="2">
        <v>45856</v>
      </c>
      <c r="B1334" s="6">
        <v>1575530</v>
      </c>
      <c r="C1334">
        <v>14541.17</v>
      </c>
      <c r="D1334" s="6">
        <f>B1334-MAX(B4:B1334)</f>
        <v>-60298.75</v>
      </c>
      <c r="E1334">
        <f>D1334/MAX($B$2:B1334,100000)</f>
        <v>-3.6861285143692454E-2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E2" sqref="E2:E9"/>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370</v>
      </c>
      <c r="C1" s="1" t="s">
        <v>75</v>
      </c>
      <c r="D1" s="1" t="s">
        <v>71</v>
      </c>
      <c r="E1" s="1" t="s">
        <v>76</v>
      </c>
      <c r="F1" s="1" t="s">
        <v>77</v>
      </c>
      <c r="G1" s="1" t="s">
        <v>78</v>
      </c>
      <c r="H1" s="1" t="s">
        <v>79</v>
      </c>
      <c r="I1" s="1" t="s">
        <v>80</v>
      </c>
      <c r="J1" s="1" t="s">
        <v>81</v>
      </c>
      <c r="K1" s="1" t="s">
        <v>82</v>
      </c>
      <c r="N1" s="5"/>
      <c r="O1" s="5"/>
      <c r="P1" s="5"/>
    </row>
    <row r="2" spans="1:30" x14ac:dyDescent="0.25">
      <c r="A2" s="3" t="s">
        <v>152</v>
      </c>
      <c r="B2" t="s">
        <v>175</v>
      </c>
      <c r="C2" t="s">
        <v>368</v>
      </c>
      <c r="D2" s="2">
        <v>45793</v>
      </c>
      <c r="E2">
        <v>8.6199999999999992</v>
      </c>
      <c r="F2" s="2">
        <v>45856</v>
      </c>
      <c r="G2">
        <v>8.2899999999999991</v>
      </c>
      <c r="H2" s="3">
        <v>-3.0000000000000001E-3</v>
      </c>
      <c r="I2">
        <v>-599.87</v>
      </c>
      <c r="J2" s="3">
        <v>-5.0000000000000001E-3</v>
      </c>
      <c r="K2">
        <v>14401</v>
      </c>
      <c r="M2" s="3"/>
      <c r="N2" s="3"/>
      <c r="O2" s="7"/>
      <c r="P2" s="2"/>
      <c r="Q2" s="2"/>
      <c r="S2" s="3"/>
      <c r="U2" s="3"/>
      <c r="W2" s="3"/>
      <c r="AA2" s="3"/>
      <c r="AB2" s="3"/>
      <c r="AC2" s="3"/>
      <c r="AD2" s="3"/>
    </row>
    <row r="3" spans="1:30" x14ac:dyDescent="0.25">
      <c r="A3" s="3" t="s">
        <v>91</v>
      </c>
      <c r="B3" t="s">
        <v>142</v>
      </c>
      <c r="C3" t="s">
        <v>368</v>
      </c>
      <c r="D3" s="2">
        <v>45786</v>
      </c>
      <c r="E3">
        <v>3.07</v>
      </c>
      <c r="F3" s="2">
        <v>45856</v>
      </c>
      <c r="G3">
        <v>3.11</v>
      </c>
      <c r="H3" s="3">
        <v>2.6200000000000001E-2</v>
      </c>
      <c r="I3">
        <v>2825.04</v>
      </c>
      <c r="J3" s="3">
        <v>2.4199999999999999E-2</v>
      </c>
      <c r="K3">
        <v>38528</v>
      </c>
      <c r="M3" s="3"/>
      <c r="N3" s="3"/>
      <c r="O3" s="7"/>
      <c r="P3" s="2"/>
      <c r="Q3" s="2"/>
      <c r="S3" s="3"/>
      <c r="U3" s="3"/>
      <c r="W3" s="3"/>
      <c r="AA3" s="3"/>
      <c r="AB3" s="3"/>
      <c r="AC3" s="3"/>
      <c r="AD3" s="3"/>
    </row>
    <row r="4" spans="1:30" x14ac:dyDescent="0.25">
      <c r="A4" s="3" t="s">
        <v>92</v>
      </c>
      <c r="B4" t="s">
        <v>147</v>
      </c>
      <c r="C4" t="s">
        <v>368</v>
      </c>
      <c r="D4" s="2">
        <v>45786</v>
      </c>
      <c r="E4">
        <v>3.64</v>
      </c>
      <c r="F4" s="2">
        <v>45856</v>
      </c>
      <c r="G4">
        <v>3.49</v>
      </c>
      <c r="H4" s="3">
        <v>-1.5299999999999999E-2</v>
      </c>
      <c r="I4">
        <v>-2017.14</v>
      </c>
      <c r="J4" s="3">
        <v>-1.7299999999999999E-2</v>
      </c>
      <c r="K4">
        <v>32950</v>
      </c>
      <c r="M4" s="3"/>
      <c r="N4" s="3"/>
      <c r="O4" s="7"/>
      <c r="P4" s="2"/>
      <c r="Q4" s="2"/>
      <c r="S4" s="3"/>
      <c r="U4" s="3"/>
      <c r="W4" s="3"/>
      <c r="AA4" s="3"/>
      <c r="AB4" s="3"/>
      <c r="AC4" s="3"/>
      <c r="AD4" s="3"/>
    </row>
    <row r="5" spans="1:30" x14ac:dyDescent="0.25">
      <c r="A5" s="3" t="s">
        <v>54</v>
      </c>
      <c r="B5" t="s">
        <v>151</v>
      </c>
      <c r="C5" t="s">
        <v>368</v>
      </c>
      <c r="D5" s="2">
        <v>45786</v>
      </c>
      <c r="E5">
        <v>5.18</v>
      </c>
      <c r="F5" s="2">
        <v>45856</v>
      </c>
      <c r="G5">
        <v>5.04</v>
      </c>
      <c r="H5" s="3">
        <v>-2.7E-2</v>
      </c>
      <c r="I5">
        <v>-3387.16</v>
      </c>
      <c r="J5" s="3">
        <v>-2.9000000000000001E-2</v>
      </c>
      <c r="K5">
        <v>22548</v>
      </c>
      <c r="M5" s="3"/>
      <c r="N5" s="3"/>
      <c r="O5" s="7"/>
      <c r="P5" s="2"/>
      <c r="Q5" s="2"/>
      <c r="S5" s="3"/>
      <c r="U5" s="3"/>
      <c r="W5" s="3"/>
      <c r="AA5" s="3"/>
      <c r="AB5" s="3"/>
      <c r="AC5" s="3"/>
      <c r="AD5" s="3"/>
    </row>
    <row r="6" spans="1:30" x14ac:dyDescent="0.25">
      <c r="A6" s="3" t="s">
        <v>48</v>
      </c>
      <c r="B6" t="s">
        <v>47</v>
      </c>
      <c r="C6" t="s">
        <v>368</v>
      </c>
      <c r="D6" s="2">
        <v>45786</v>
      </c>
      <c r="E6">
        <v>3.5</v>
      </c>
      <c r="F6" s="2">
        <v>45856</v>
      </c>
      <c r="G6">
        <v>3.56</v>
      </c>
      <c r="H6" s="3">
        <v>1.7100000000000001E-2</v>
      </c>
      <c r="I6">
        <v>1766.93</v>
      </c>
      <c r="J6" s="3">
        <v>1.5100000000000001E-2</v>
      </c>
      <c r="K6">
        <v>33376</v>
      </c>
      <c r="M6" s="3"/>
      <c r="N6" s="3"/>
      <c r="O6" s="7"/>
      <c r="P6" s="2"/>
      <c r="Q6" s="2"/>
      <c r="S6" s="3"/>
      <c r="U6" s="3"/>
      <c r="W6" s="3"/>
      <c r="AA6" s="3"/>
      <c r="AB6" s="3"/>
      <c r="AC6" s="3"/>
      <c r="AD6" s="3"/>
    </row>
    <row r="7" spans="1:30" x14ac:dyDescent="0.25">
      <c r="A7" s="3" t="s">
        <v>42</v>
      </c>
      <c r="B7" t="s">
        <v>41</v>
      </c>
      <c r="C7" t="s">
        <v>368</v>
      </c>
      <c r="D7" s="2">
        <v>45786</v>
      </c>
      <c r="E7">
        <v>2.2999999999999998</v>
      </c>
      <c r="F7" s="2">
        <v>45856</v>
      </c>
      <c r="G7">
        <v>2.16</v>
      </c>
      <c r="H7" s="3">
        <v>-4.1500000000000002E-2</v>
      </c>
      <c r="I7">
        <v>-5080.74</v>
      </c>
      <c r="J7" s="3">
        <v>-4.3499999999999997E-2</v>
      </c>
      <c r="K7">
        <v>51844</v>
      </c>
      <c r="M7" s="3"/>
      <c r="N7" s="3"/>
      <c r="O7" s="7"/>
      <c r="P7" s="2"/>
      <c r="Q7" s="2"/>
      <c r="S7" s="3"/>
      <c r="U7" s="3"/>
      <c r="W7" s="3"/>
      <c r="AA7" s="3"/>
      <c r="AB7" s="3"/>
      <c r="AC7" s="3"/>
      <c r="AD7" s="3"/>
    </row>
    <row r="8" spans="1:30" x14ac:dyDescent="0.25">
      <c r="A8" s="3" t="s">
        <v>34</v>
      </c>
      <c r="B8" t="s">
        <v>33</v>
      </c>
      <c r="C8" t="s">
        <v>368</v>
      </c>
      <c r="D8" s="2">
        <v>45786</v>
      </c>
      <c r="E8">
        <v>4.3499999999999996</v>
      </c>
      <c r="F8" s="2">
        <v>45856</v>
      </c>
      <c r="G8">
        <v>5.13</v>
      </c>
      <c r="H8" s="3">
        <v>0.17929999999999999</v>
      </c>
      <c r="I8">
        <v>20697.71</v>
      </c>
      <c r="J8" s="3">
        <v>0.17710000000000001</v>
      </c>
      <c r="K8">
        <v>26862</v>
      </c>
      <c r="M8" s="3"/>
      <c r="N8" s="3"/>
      <c r="O8" s="7"/>
      <c r="P8" s="2"/>
      <c r="Q8" s="2"/>
      <c r="S8" s="3"/>
      <c r="U8" s="3"/>
      <c r="W8" s="3"/>
      <c r="AA8" s="3"/>
      <c r="AB8" s="3"/>
      <c r="AC8" s="3"/>
      <c r="AD8" s="3"/>
    </row>
    <row r="9" spans="1:30" x14ac:dyDescent="0.25">
      <c r="A9" s="3" t="s">
        <v>25</v>
      </c>
      <c r="B9" t="s">
        <v>24</v>
      </c>
      <c r="C9" t="s">
        <v>368</v>
      </c>
      <c r="D9" s="2">
        <v>45695</v>
      </c>
      <c r="E9">
        <v>3.8413110000000001</v>
      </c>
      <c r="F9" s="2">
        <v>45856</v>
      </c>
      <c r="G9">
        <v>5.0199999999999996</v>
      </c>
      <c r="H9" s="3">
        <v>0.30680000000000002</v>
      </c>
      <c r="I9">
        <v>36372.28</v>
      </c>
      <c r="J9" s="3">
        <v>0.30449999999999999</v>
      </c>
      <c r="K9">
        <v>31092</v>
      </c>
      <c r="M9" s="3"/>
      <c r="N9" s="3"/>
      <c r="O9" s="7"/>
      <c r="P9" s="2"/>
      <c r="Q9" s="2"/>
      <c r="S9" s="3"/>
      <c r="U9" s="3"/>
      <c r="W9" s="3"/>
      <c r="AA9" s="3"/>
      <c r="AB9" s="3"/>
      <c r="AC9" s="3"/>
      <c r="AD9" s="3"/>
    </row>
    <row r="10" spans="1:30" x14ac:dyDescent="0.25">
      <c r="A10" s="3" t="s">
        <v>129</v>
      </c>
      <c r="B10" t="s">
        <v>180</v>
      </c>
      <c r="C10" t="s">
        <v>368</v>
      </c>
      <c r="D10" s="2">
        <v>45639</v>
      </c>
      <c r="E10">
        <v>13.27768</v>
      </c>
      <c r="F10" s="2">
        <v>45856</v>
      </c>
      <c r="G10">
        <v>17.690000000000001</v>
      </c>
      <c r="H10" s="3">
        <v>0.33229999999999998</v>
      </c>
      <c r="I10">
        <v>38249.21</v>
      </c>
      <c r="J10" s="3">
        <v>0.33</v>
      </c>
      <c r="K10">
        <v>8730</v>
      </c>
      <c r="M10" s="3"/>
      <c r="N10" s="3"/>
      <c r="O10" s="7"/>
      <c r="P10" s="2"/>
      <c r="Q10" s="2"/>
      <c r="S10" s="3"/>
      <c r="U10" s="3"/>
      <c r="W10" s="3"/>
      <c r="AA10" s="3"/>
      <c r="AB10" s="3"/>
      <c r="AC10" s="3"/>
      <c r="AD10" s="3"/>
    </row>
    <row r="11" spans="1:30" x14ac:dyDescent="0.25">
      <c r="A11" s="3" t="s">
        <v>153</v>
      </c>
      <c r="B11" t="s">
        <v>184</v>
      </c>
      <c r="C11" t="s">
        <v>368</v>
      </c>
      <c r="D11" s="2">
        <v>45499</v>
      </c>
      <c r="E11">
        <v>3.696536</v>
      </c>
      <c r="F11" s="2">
        <v>45856</v>
      </c>
      <c r="G11">
        <v>4.8499999999999996</v>
      </c>
      <c r="H11" s="3">
        <v>0.312</v>
      </c>
      <c r="I11">
        <v>34472.32</v>
      </c>
      <c r="J11" s="3">
        <v>0.30969999999999998</v>
      </c>
      <c r="K11">
        <v>30109</v>
      </c>
      <c r="M11" s="3"/>
      <c r="N11" s="3"/>
      <c r="O11" s="7"/>
      <c r="P11" s="2"/>
      <c r="Q11" s="2"/>
      <c r="S11" s="3"/>
      <c r="U11" s="3"/>
      <c r="W11" s="3"/>
      <c r="AA11" s="3"/>
      <c r="AB11" s="3"/>
      <c r="AC11" s="3"/>
      <c r="AD11" s="3"/>
    </row>
    <row r="12" spans="1:30" x14ac:dyDescent="0.25">
      <c r="A12" s="3" t="s">
        <v>126</v>
      </c>
      <c r="B12" t="s">
        <v>189</v>
      </c>
      <c r="C12" t="s">
        <v>368</v>
      </c>
      <c r="D12" s="2">
        <v>45282</v>
      </c>
      <c r="E12">
        <v>5.588908</v>
      </c>
      <c r="F12" s="2">
        <v>45856</v>
      </c>
      <c r="G12">
        <v>7.9</v>
      </c>
      <c r="H12" s="3">
        <v>0.41349999999999998</v>
      </c>
      <c r="I12">
        <v>45028.43</v>
      </c>
      <c r="J12" s="3">
        <v>0.41110000000000002</v>
      </c>
      <c r="K12">
        <v>19598</v>
      </c>
      <c r="M12" s="3"/>
      <c r="N12" s="3"/>
      <c r="O12" s="7"/>
      <c r="P12" s="2"/>
      <c r="Q12" s="2"/>
      <c r="S12" s="3"/>
      <c r="U12" s="3"/>
      <c r="W12" s="3"/>
      <c r="AA12" s="3"/>
      <c r="AB12" s="3"/>
      <c r="AC12" s="3"/>
      <c r="AD12" s="3"/>
    </row>
    <row r="13" spans="1:30" x14ac:dyDescent="0.25">
      <c r="A13" s="3" t="s">
        <v>154</v>
      </c>
      <c r="B13" t="s">
        <v>193</v>
      </c>
      <c r="C13" t="s">
        <v>368</v>
      </c>
      <c r="D13" s="2">
        <v>45275</v>
      </c>
      <c r="E13">
        <v>2.2089750000000001</v>
      </c>
      <c r="F13" s="2">
        <v>45856</v>
      </c>
      <c r="G13">
        <v>2.3199999999999998</v>
      </c>
      <c r="H13" s="3">
        <v>7.5700000000000003E-2</v>
      </c>
      <c r="I13">
        <v>7850.65</v>
      </c>
      <c r="J13" s="3">
        <v>7.3599999999999999E-2</v>
      </c>
      <c r="K13">
        <v>49455</v>
      </c>
      <c r="M13" s="3"/>
      <c r="N13" s="3"/>
      <c r="O13" s="7"/>
      <c r="P13" s="2"/>
      <c r="Q13" s="2"/>
      <c r="S13" s="3"/>
      <c r="U13" s="3"/>
      <c r="W13" s="3"/>
      <c r="AA13" s="3"/>
      <c r="AB13" s="3"/>
      <c r="AC13" s="3"/>
      <c r="AD13" s="3"/>
    </row>
    <row r="14" spans="1:30" x14ac:dyDescent="0.25">
      <c r="A14" s="3" t="s">
        <v>83</v>
      </c>
      <c r="B14" t="s">
        <v>198</v>
      </c>
      <c r="C14" t="s">
        <v>369</v>
      </c>
      <c r="D14" s="2">
        <v>45506</v>
      </c>
      <c r="E14">
        <v>2.7</v>
      </c>
      <c r="F14" s="2">
        <v>45758</v>
      </c>
      <c r="G14">
        <v>3.6</v>
      </c>
      <c r="H14" s="3">
        <v>0.33329999999999999</v>
      </c>
      <c r="I14">
        <v>37486.25</v>
      </c>
      <c r="J14" s="3">
        <v>0.33100000000000002</v>
      </c>
      <c r="K14">
        <v>41945</v>
      </c>
      <c r="M14" s="3"/>
      <c r="N14" s="3"/>
      <c r="O14" s="7"/>
      <c r="P14" s="2"/>
      <c r="Q14" s="2"/>
      <c r="R14" s="2"/>
      <c r="S14" s="3"/>
      <c r="T14" s="3"/>
      <c r="U14" s="3"/>
      <c r="V14" s="3"/>
      <c r="W14" s="3"/>
      <c r="AA14" s="3"/>
      <c r="AB14" s="3"/>
      <c r="AC14" s="3"/>
      <c r="AD14" s="3"/>
    </row>
    <row r="15" spans="1:30" x14ac:dyDescent="0.25">
      <c r="A15" s="3" t="s">
        <v>90</v>
      </c>
      <c r="B15" t="s">
        <v>199</v>
      </c>
      <c r="C15" t="s">
        <v>369</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200</v>
      </c>
      <c r="C16" t="s">
        <v>369</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201</v>
      </c>
      <c r="C17" t="s">
        <v>369</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202</v>
      </c>
      <c r="C18" t="s">
        <v>369</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203</v>
      </c>
      <c r="C19" t="s">
        <v>369</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369</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204</v>
      </c>
      <c r="C21" t="s">
        <v>369</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205</v>
      </c>
      <c r="C22" t="s">
        <v>369</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155</v>
      </c>
      <c r="B23" t="s">
        <v>206</v>
      </c>
      <c r="C23" t="s">
        <v>369</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207</v>
      </c>
      <c r="C24" t="s">
        <v>369</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156</v>
      </c>
      <c r="B25" t="s">
        <v>208</v>
      </c>
      <c r="C25" t="s">
        <v>369</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209</v>
      </c>
      <c r="C26" t="s">
        <v>369</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210</v>
      </c>
      <c r="C27" t="s">
        <v>369</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211</v>
      </c>
      <c r="C28" t="s">
        <v>369</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319</v>
      </c>
      <c r="B29" t="s">
        <v>212</v>
      </c>
      <c r="C29" t="s">
        <v>369</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213</v>
      </c>
      <c r="C30" t="s">
        <v>369</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200</v>
      </c>
      <c r="C31" t="s">
        <v>369</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157</v>
      </c>
      <c r="B32" t="s">
        <v>214</v>
      </c>
      <c r="C32" t="s">
        <v>369</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158</v>
      </c>
      <c r="B33" t="s">
        <v>215</v>
      </c>
      <c r="C33" t="s">
        <v>369</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152</v>
      </c>
      <c r="B34" t="s">
        <v>175</v>
      </c>
      <c r="C34" t="s">
        <v>369</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216</v>
      </c>
      <c r="C35" t="s">
        <v>369</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217</v>
      </c>
      <c r="C36" t="s">
        <v>369</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218</v>
      </c>
      <c r="C37" t="s">
        <v>369</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211</v>
      </c>
      <c r="C38" t="s">
        <v>369</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159</v>
      </c>
      <c r="B39" t="s">
        <v>219</v>
      </c>
      <c r="C39" t="s">
        <v>369</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220</v>
      </c>
      <c r="C40" t="s">
        <v>369</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205</v>
      </c>
      <c r="C41" t="s">
        <v>369</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221</v>
      </c>
      <c r="C42" t="s">
        <v>369</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369</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160</v>
      </c>
      <c r="B44" t="s">
        <v>222</v>
      </c>
      <c r="C44" t="s">
        <v>369</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223</v>
      </c>
      <c r="C45" t="s">
        <v>369</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161</v>
      </c>
      <c r="B46" t="s">
        <v>224</v>
      </c>
      <c r="C46" t="s">
        <v>369</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225</v>
      </c>
      <c r="C47" t="s">
        <v>369</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226</v>
      </c>
      <c r="C48" t="s">
        <v>369</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203</v>
      </c>
      <c r="C49" t="s">
        <v>369</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162</v>
      </c>
      <c r="B50" t="s">
        <v>227</v>
      </c>
      <c r="C50" t="s">
        <v>369</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228</v>
      </c>
      <c r="C51" t="s">
        <v>369</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229</v>
      </c>
      <c r="C52" t="s">
        <v>369</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225</v>
      </c>
      <c r="C53" t="s">
        <v>369</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230</v>
      </c>
      <c r="C54" t="s">
        <v>369</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320</v>
      </c>
      <c r="B55" t="s">
        <v>231</v>
      </c>
      <c r="C55" t="s">
        <v>369</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321</v>
      </c>
      <c r="B56" t="s">
        <v>232</v>
      </c>
      <c r="C56" t="s">
        <v>369</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369</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207</v>
      </c>
      <c r="C58" t="s">
        <v>369</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155</v>
      </c>
      <c r="B59" t="s">
        <v>206</v>
      </c>
      <c r="C59" t="s">
        <v>369</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233</v>
      </c>
      <c r="C60" t="s">
        <v>369</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163</v>
      </c>
      <c r="B61" t="s">
        <v>234</v>
      </c>
      <c r="C61" t="s">
        <v>369</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322</v>
      </c>
      <c r="B62" t="s">
        <v>235</v>
      </c>
      <c r="C62" t="s">
        <v>369</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236</v>
      </c>
      <c r="C63" t="s">
        <v>369</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209</v>
      </c>
      <c r="C64" t="s">
        <v>369</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237</v>
      </c>
      <c r="C65" t="s">
        <v>369</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238</v>
      </c>
      <c r="C66" t="s">
        <v>369</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239</v>
      </c>
      <c r="C67" t="s">
        <v>369</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161</v>
      </c>
      <c r="B68" t="s">
        <v>224</v>
      </c>
      <c r="C68" t="s">
        <v>369</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369</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230</v>
      </c>
      <c r="C70" t="s">
        <v>369</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152</v>
      </c>
      <c r="B71" t="s">
        <v>175</v>
      </c>
      <c r="C71" t="s">
        <v>369</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240</v>
      </c>
      <c r="C72" t="s">
        <v>369</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323</v>
      </c>
      <c r="B73" t="s">
        <v>241</v>
      </c>
      <c r="C73" t="s">
        <v>369</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242</v>
      </c>
      <c r="C74" t="s">
        <v>369</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209</v>
      </c>
      <c r="C75" t="s">
        <v>369</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243</v>
      </c>
      <c r="C76" t="s">
        <v>369</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320</v>
      </c>
      <c r="B77" t="s">
        <v>231</v>
      </c>
      <c r="C77" t="s">
        <v>369</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244</v>
      </c>
      <c r="C78" t="s">
        <v>369</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245</v>
      </c>
      <c r="C79" t="s">
        <v>369</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203</v>
      </c>
      <c r="C80" t="s">
        <v>369</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159</v>
      </c>
      <c r="B81" t="s">
        <v>219</v>
      </c>
      <c r="C81" t="s">
        <v>369</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246</v>
      </c>
      <c r="C82" t="s">
        <v>369</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247</v>
      </c>
      <c r="C83" t="s">
        <v>369</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248</v>
      </c>
      <c r="C84" t="s">
        <v>369</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237</v>
      </c>
      <c r="C85" t="s">
        <v>369</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249</v>
      </c>
      <c r="C86" t="s">
        <v>369</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250</v>
      </c>
      <c r="C87" t="s">
        <v>369</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324</v>
      </c>
      <c r="B88" t="s">
        <v>251</v>
      </c>
      <c r="C88" t="s">
        <v>369</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369</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223</v>
      </c>
      <c r="C90" t="s">
        <v>369</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164</v>
      </c>
      <c r="B91" t="s">
        <v>252</v>
      </c>
      <c r="C91" t="s">
        <v>369</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253</v>
      </c>
      <c r="C92" t="s">
        <v>369</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325</v>
      </c>
      <c r="B93" t="s">
        <v>254</v>
      </c>
      <c r="C93" t="s">
        <v>369</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165</v>
      </c>
      <c r="B94" t="s">
        <v>255</v>
      </c>
      <c r="C94" t="s">
        <v>369</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166</v>
      </c>
      <c r="B95" t="s">
        <v>256</v>
      </c>
      <c r="C95" t="s">
        <v>369</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257</v>
      </c>
      <c r="C96" t="s">
        <v>369</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236</v>
      </c>
      <c r="C97" t="s">
        <v>369</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228</v>
      </c>
      <c r="C98" t="s">
        <v>369</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258</v>
      </c>
      <c r="C99" t="s">
        <v>369</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259</v>
      </c>
      <c r="C100" t="s">
        <v>369</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324</v>
      </c>
      <c r="B101" t="s">
        <v>251</v>
      </c>
      <c r="C101" t="s">
        <v>369</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167</v>
      </c>
      <c r="B102" t="s">
        <v>260</v>
      </c>
      <c r="C102" t="s">
        <v>369</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168</v>
      </c>
      <c r="B103" t="s">
        <v>261</v>
      </c>
      <c r="C103" t="s">
        <v>369</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326</v>
      </c>
      <c r="B104" t="s">
        <v>262</v>
      </c>
      <c r="C104" t="s">
        <v>369</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263</v>
      </c>
      <c r="C105" t="s">
        <v>369</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169</v>
      </c>
      <c r="B106" t="s">
        <v>264</v>
      </c>
      <c r="C106" t="s">
        <v>369</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265</v>
      </c>
      <c r="C107" t="s">
        <v>369</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168</v>
      </c>
      <c r="B108" t="s">
        <v>261</v>
      </c>
      <c r="C108" t="s">
        <v>369</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327</v>
      </c>
      <c r="B109" t="s">
        <v>266</v>
      </c>
      <c r="C109" t="s">
        <v>369</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328</v>
      </c>
      <c r="B110" t="s">
        <v>267</v>
      </c>
      <c r="C110" t="s">
        <v>369</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170</v>
      </c>
      <c r="B111" t="s">
        <v>268</v>
      </c>
      <c r="C111" t="s">
        <v>369</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226</v>
      </c>
      <c r="C112" t="s">
        <v>369</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203</v>
      </c>
      <c r="C113" t="s">
        <v>369</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329</v>
      </c>
      <c r="B114" t="s">
        <v>269</v>
      </c>
      <c r="C114" t="s">
        <v>369</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270</v>
      </c>
      <c r="C115" t="s">
        <v>369</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157</v>
      </c>
      <c r="B116" t="s">
        <v>214</v>
      </c>
      <c r="C116" t="s">
        <v>369</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257</v>
      </c>
      <c r="C117" t="s">
        <v>369</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330</v>
      </c>
      <c r="B118" t="s">
        <v>271</v>
      </c>
      <c r="C118" t="s">
        <v>369</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163</v>
      </c>
      <c r="B119" t="s">
        <v>234</v>
      </c>
      <c r="C119" t="s">
        <v>369</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324</v>
      </c>
      <c r="B120" t="s">
        <v>251</v>
      </c>
      <c r="C120" t="s">
        <v>369</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331</v>
      </c>
      <c r="B121" t="s">
        <v>272</v>
      </c>
      <c r="C121" t="s">
        <v>369</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273</v>
      </c>
      <c r="C122" t="s">
        <v>369</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322</v>
      </c>
      <c r="B123" t="s">
        <v>235</v>
      </c>
      <c r="C123" t="s">
        <v>369</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323</v>
      </c>
      <c r="B124" t="s">
        <v>241</v>
      </c>
      <c r="C124" t="s">
        <v>369</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257</v>
      </c>
      <c r="C125" t="s">
        <v>369</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332</v>
      </c>
      <c r="B126" t="s">
        <v>274</v>
      </c>
      <c r="C126" t="s">
        <v>369</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333</v>
      </c>
      <c r="B127" t="s">
        <v>275</v>
      </c>
      <c r="C127" t="s">
        <v>369</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248</v>
      </c>
      <c r="C128" t="s">
        <v>369</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171</v>
      </c>
      <c r="B129" t="s">
        <v>276</v>
      </c>
      <c r="C129" t="s">
        <v>369</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203</v>
      </c>
      <c r="C130" t="s">
        <v>369</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258</v>
      </c>
      <c r="C131" t="s">
        <v>369</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277</v>
      </c>
      <c r="C132" t="s">
        <v>369</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334</v>
      </c>
      <c r="B133" t="s">
        <v>278</v>
      </c>
      <c r="C133" t="s">
        <v>369</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253</v>
      </c>
      <c r="C134" t="s">
        <v>369</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335</v>
      </c>
      <c r="B135" t="s">
        <v>279</v>
      </c>
      <c r="C135" t="s">
        <v>369</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336</v>
      </c>
      <c r="B136" t="s">
        <v>280</v>
      </c>
      <c r="C136" t="s">
        <v>369</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337</v>
      </c>
      <c r="B137" t="s">
        <v>281</v>
      </c>
      <c r="C137" t="s">
        <v>369</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200</v>
      </c>
      <c r="C138" t="s">
        <v>369</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180</v>
      </c>
      <c r="C139" t="s">
        <v>369</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338</v>
      </c>
      <c r="B140" t="s">
        <v>282</v>
      </c>
      <c r="C140" t="s">
        <v>369</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153</v>
      </c>
      <c r="B141" t="s">
        <v>184</v>
      </c>
      <c r="C141" t="s">
        <v>369</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250</v>
      </c>
      <c r="C142" t="s">
        <v>369</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283</v>
      </c>
      <c r="C143" t="s">
        <v>369</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284</v>
      </c>
      <c r="C144" t="s">
        <v>369</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339</v>
      </c>
      <c r="B145" t="s">
        <v>285</v>
      </c>
      <c r="C145" t="s">
        <v>369</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337</v>
      </c>
      <c r="B146" t="s">
        <v>281</v>
      </c>
      <c r="C146" t="s">
        <v>369</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321</v>
      </c>
      <c r="B147" t="s">
        <v>232</v>
      </c>
      <c r="C147" t="s">
        <v>369</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340</v>
      </c>
      <c r="B148" t="s">
        <v>286</v>
      </c>
      <c r="C148" t="s">
        <v>369</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172</v>
      </c>
      <c r="B149" t="s">
        <v>287</v>
      </c>
      <c r="C149" t="s">
        <v>369</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250</v>
      </c>
      <c r="C150" t="s">
        <v>369</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240</v>
      </c>
      <c r="C151" t="s">
        <v>369</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250</v>
      </c>
      <c r="C152" t="s">
        <v>369</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273</v>
      </c>
      <c r="C153" t="s">
        <v>369</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173</v>
      </c>
      <c r="B154" t="s">
        <v>288</v>
      </c>
      <c r="C154" t="s">
        <v>369</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341</v>
      </c>
      <c r="B155" t="s">
        <v>289</v>
      </c>
      <c r="C155" t="s">
        <v>369</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342</v>
      </c>
      <c r="B156" t="s">
        <v>290</v>
      </c>
      <c r="C156" t="s">
        <v>369</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343</v>
      </c>
      <c r="B157" t="s">
        <v>291</v>
      </c>
      <c r="C157" t="s">
        <v>369</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344</v>
      </c>
      <c r="B158" t="s">
        <v>292</v>
      </c>
      <c r="C158" t="s">
        <v>369</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174</v>
      </c>
      <c r="B159" t="s">
        <v>293</v>
      </c>
      <c r="C159" t="s">
        <v>369</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345</v>
      </c>
      <c r="B160" t="s">
        <v>294</v>
      </c>
      <c r="C160" t="s">
        <v>369</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346</v>
      </c>
      <c r="B161" t="s">
        <v>295</v>
      </c>
      <c r="C161" t="s">
        <v>369</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347</v>
      </c>
      <c r="B162" t="s">
        <v>296</v>
      </c>
      <c r="C162" t="s">
        <v>369</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297</v>
      </c>
      <c r="C163" t="s">
        <v>369</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348</v>
      </c>
      <c r="B164" t="s">
        <v>298</v>
      </c>
      <c r="C164" t="s">
        <v>369</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170</v>
      </c>
      <c r="B165" t="s">
        <v>268</v>
      </c>
      <c r="C165" t="s">
        <v>369</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349</v>
      </c>
      <c r="B166" t="s">
        <v>299</v>
      </c>
      <c r="C166" t="s">
        <v>369</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350</v>
      </c>
      <c r="B167" t="s">
        <v>300</v>
      </c>
      <c r="C167" t="s">
        <v>369</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369</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351</v>
      </c>
      <c r="B169" t="s">
        <v>301</v>
      </c>
      <c r="C169" t="s">
        <v>369</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352</v>
      </c>
      <c r="B170" t="s">
        <v>302</v>
      </c>
      <c r="C170" t="s">
        <v>369</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353</v>
      </c>
      <c r="B171" t="s">
        <v>303</v>
      </c>
      <c r="C171" t="s">
        <v>369</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354</v>
      </c>
      <c r="B172" t="s">
        <v>304</v>
      </c>
      <c r="C172" t="s">
        <v>369</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355</v>
      </c>
      <c r="B173" t="s">
        <v>305</v>
      </c>
      <c r="C173" t="s">
        <v>369</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348</v>
      </c>
      <c r="B174" t="s">
        <v>298</v>
      </c>
      <c r="C174" t="s">
        <v>369</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356</v>
      </c>
      <c r="B175" t="s">
        <v>306</v>
      </c>
      <c r="C175" t="s">
        <v>369</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345</v>
      </c>
      <c r="B176" t="s">
        <v>294</v>
      </c>
      <c r="C176" t="s">
        <v>369</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357</v>
      </c>
      <c r="B177" t="s">
        <v>307</v>
      </c>
      <c r="C177" t="s">
        <v>369</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354</v>
      </c>
      <c r="B178" t="s">
        <v>304</v>
      </c>
      <c r="C178" t="s">
        <v>369</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308</v>
      </c>
      <c r="C179" t="s">
        <v>369</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358</v>
      </c>
      <c r="B180" t="s">
        <v>309</v>
      </c>
      <c r="C180" t="s">
        <v>369</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359</v>
      </c>
      <c r="B181" t="s">
        <v>310</v>
      </c>
      <c r="C181" t="s">
        <v>369</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360</v>
      </c>
      <c r="B182" t="s">
        <v>311</v>
      </c>
      <c r="C182" t="s">
        <v>369</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361</v>
      </c>
      <c r="B183" t="s">
        <v>312</v>
      </c>
      <c r="C183" t="s">
        <v>369</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362</v>
      </c>
      <c r="B184" t="s">
        <v>313</v>
      </c>
      <c r="C184" t="s">
        <v>369</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350</v>
      </c>
      <c r="B185" t="s">
        <v>300</v>
      </c>
      <c r="C185" t="s">
        <v>369</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363</v>
      </c>
      <c r="B186" t="s">
        <v>314</v>
      </c>
      <c r="C186" t="s">
        <v>369</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364</v>
      </c>
      <c r="B187" t="s">
        <v>315</v>
      </c>
      <c r="C187" t="s">
        <v>369</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361</v>
      </c>
      <c r="B188" t="s">
        <v>312</v>
      </c>
      <c r="C188" t="s">
        <v>369</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203</v>
      </c>
      <c r="C189" t="s">
        <v>369</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365</v>
      </c>
      <c r="B190" t="s">
        <v>316</v>
      </c>
      <c r="C190" t="s">
        <v>369</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172</v>
      </c>
      <c r="B191" t="s">
        <v>287</v>
      </c>
      <c r="C191" t="s">
        <v>369</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366</v>
      </c>
      <c r="B192" t="s">
        <v>317</v>
      </c>
      <c r="C192" t="s">
        <v>369</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367</v>
      </c>
      <c r="B193" t="s">
        <v>318</v>
      </c>
      <c r="C193" t="s">
        <v>369</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250</v>
      </c>
      <c r="C194" t="s">
        <v>369</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G28" sqref="G28"/>
    </sheetView>
  </sheetViews>
  <sheetFormatPr defaultRowHeight="15" x14ac:dyDescent="0.25"/>
  <sheetData>
    <row r="1" spans="1:14" x14ac:dyDescent="0.25">
      <c r="A1" t="s">
        <v>383</v>
      </c>
      <c r="B1" t="s">
        <v>384</v>
      </c>
      <c r="C1" t="s">
        <v>385</v>
      </c>
      <c r="D1" t="s">
        <v>386</v>
      </c>
      <c r="E1" t="s">
        <v>387</v>
      </c>
      <c r="F1" t="s">
        <v>388</v>
      </c>
      <c r="G1" t="s">
        <v>389</v>
      </c>
      <c r="H1" t="s">
        <v>390</v>
      </c>
      <c r="I1" t="s">
        <v>391</v>
      </c>
      <c r="J1" t="s">
        <v>392</v>
      </c>
      <c r="K1" t="s">
        <v>393</v>
      </c>
      <c r="L1" t="s">
        <v>394</v>
      </c>
      <c r="M1" t="s">
        <v>395</v>
      </c>
      <c r="N1" t="s">
        <v>396</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s="3">
        <v>0.01</v>
      </c>
      <c r="H27" t="s">
        <v>397</v>
      </c>
      <c r="I27" t="s">
        <v>397</v>
      </c>
      <c r="J27" t="s">
        <v>397</v>
      </c>
      <c r="K27" t="s">
        <v>397</v>
      </c>
      <c r="L27" t="s">
        <v>397</v>
      </c>
      <c r="M27" t="s">
        <v>397</v>
      </c>
      <c r="N27" s="3">
        <v>3.1E-2</v>
      </c>
    </row>
    <row r="28" spans="1:14" x14ac:dyDescent="0.25">
      <c r="A28" t="s">
        <v>398</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4"/>
  <sheetViews>
    <sheetView topLeftCell="A1281" workbookViewId="0">
      <selection activeCell="H1335" sqref="H1335"/>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405</v>
      </c>
      <c r="B1" s="9" t="s">
        <v>368</v>
      </c>
      <c r="C1" s="9" t="s">
        <v>406</v>
      </c>
      <c r="D1" s="9" t="s">
        <v>407</v>
      </c>
      <c r="E1" s="9" t="s">
        <v>408</v>
      </c>
      <c r="F1" s="9" t="s">
        <v>409</v>
      </c>
      <c r="G1" s="9" t="s">
        <v>410</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row r="1332" spans="1:7" x14ac:dyDescent="0.25">
      <c r="A1332" s="8">
        <v>45842</v>
      </c>
      <c r="B1332" s="9">
        <v>8514.2000000000007</v>
      </c>
      <c r="C1332" s="9">
        <v>8623.6</v>
      </c>
      <c r="D1332" s="9">
        <v>8514.2000000000007</v>
      </c>
      <c r="E1332" s="9">
        <v>8603</v>
      </c>
      <c r="F1332" s="10">
        <v>3486018000</v>
      </c>
      <c r="G1332" s="10">
        <v>34942890000</v>
      </c>
    </row>
    <row r="1333" spans="1:7" x14ac:dyDescent="0.25">
      <c r="A1333" s="8">
        <v>45849</v>
      </c>
      <c r="B1333" s="9">
        <v>8603</v>
      </c>
      <c r="C1333" s="9">
        <v>8619.7999999999993</v>
      </c>
      <c r="D1333" s="9">
        <v>8531.4</v>
      </c>
      <c r="E1333" s="9">
        <v>8580.1</v>
      </c>
      <c r="F1333" s="10">
        <v>2870128000</v>
      </c>
      <c r="G1333" s="10">
        <v>25343070000</v>
      </c>
    </row>
    <row r="1334" spans="1:7" x14ac:dyDescent="0.25">
      <c r="A1334" s="8">
        <v>45856</v>
      </c>
      <c r="B1334" s="9">
        <v>8580.1</v>
      </c>
      <c r="C1334" s="9">
        <v>8776.4</v>
      </c>
      <c r="D1334" s="9">
        <v>8544.7000000000007</v>
      </c>
      <c r="E1334" s="9">
        <v>8757.2000000000007</v>
      </c>
      <c r="F1334" s="10">
        <v>3070040000</v>
      </c>
      <c r="G1334" s="10">
        <v>28758670000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2025-07-22T23:20:39Z</dcterms:modified>
</cp:coreProperties>
</file>