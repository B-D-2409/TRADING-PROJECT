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7C06D9C4-FFBC-47CA-A6F7-F379F5C18005}" xr6:coauthVersionLast="47" xr6:coauthVersionMax="47" xr10:uidLastSave="{00000000-0000-0000-0000-000000000000}"/>
  <bookViews>
    <workbookView xWindow="38280" yWindow="-120" windowWidth="38640" windowHeight="21120"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6" i="5" l="1"/>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c r="I14" i="6" s="1"/>
  <c r="H2" i="6"/>
  <c r="J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D2" i="4"/>
  <c r="F2" i="4" s="1"/>
  <c r="G2" i="4"/>
  <c r="E2" i="4"/>
  <c r="I3" i="6"/>
</calcChain>
</file>

<file path=xl/sharedStrings.xml><?xml version="1.0" encoding="utf-8"?>
<sst xmlns="http://schemas.openxmlformats.org/spreadsheetml/2006/main" count="1032" uniqueCount="510">
  <si>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</si>
  <si>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</si>
  <si>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</si>
  <si>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</si>
  <si>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</si>
  <si>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</si>
  <si>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</si>
  <si>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</si>
  <si>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</si>
  <si>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</si>
  <si>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</si>
  <si>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</si>
  <si>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</si>
  <si>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</si>
  <si>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</si>
  <si>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</si>
  <si>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</si>
  <si>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</si>
  <si>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</si>
  <si>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</si>
  <si>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</si>
  <si>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</si>
  <si>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</si>
  <si>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</si>
  <si>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</si>
  <si>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</si>
  <si>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</si>
  <si>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</si>
  <si>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</si>
  <si>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</si>
  <si>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</si>
  <si>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</si>
  <si>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</si>
  <si>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</si>
  <si>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</si>
  <si>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</si>
  <si>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</si>
  <si>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</si>
  <si>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</si>
  <si>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</si>
  <si>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</si>
  <si>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</si>
  <si>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</si>
  <si>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</si>
  <si>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</si>
  <si>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</si>
  <si>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</si>
  <si>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</si>
  <si>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</si>
  <si>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</si>
  <si>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</si>
  <si>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</si>
  <si>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</si>
  <si>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</si>
  <si>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</si>
  <si>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</si>
  <si>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</si>
  <si>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</si>
  <si>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</si>
  <si>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</si>
  <si>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</si>
  <si>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</si>
  <si>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</si>
  <si>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</si>
  <si>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</si>
  <si>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</si>
  <si>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</si>
  <si>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</si>
  <si>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</si>
  <si>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</si>
  <si>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</si>
  <si>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</si>
  <si>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</si>
  <si>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</si>
  <si>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</si>
  <si>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</si>
  <si>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</si>
  <si>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</si>
  <si>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</si>
  <si>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</si>
  <si>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</si>
  <si>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</si>
  <si>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</si>
  <si>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</si>
  <si>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</si>
  <si>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</si>
  <si>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</si>
  <si>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</si>
  <si>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</si>
  <si>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</si>
  <si>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</si>
  <si>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</si>
  <si>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</si>
  <si>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</si>
  <si>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</si>
  <si>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</si>
  <si>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</si>
  <si>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</si>
  <si>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</si>
  <si>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</si>
  <si>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</si>
  <si>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</si>
  <si>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</si>
  <si>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</si>
  <si>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</si>
  <si>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</si>
  <si>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</si>
  <si>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</si>
  <si>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</si>
  <si>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</si>
  <si>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</si>
  <si>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</si>
  <si>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</si>
  <si>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</si>
  <si>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</si>
  <si>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</si>
  <si>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</si>
  <si>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</si>
  <si>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</si>
  <si>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</si>
  <si>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</si>
  <si>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</si>
  <si>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</si>
  <si>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</si>
  <si>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</si>
  <si>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</si>
  <si>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</si>
  <si>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</si>
  <si>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</si>
  <si>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</si>
  <si>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</si>
  <si>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</si>
  <si>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</si>
  <si>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</si>
  <si>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</si>
  <si>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</si>
  <si>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</si>
  <si>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</si>
  <si>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</si>
  <si>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</si>
  <si>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</si>
  <si>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</si>
  <si>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</si>
  <si>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</si>
  <si>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</si>
  <si>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</si>
  <si>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</si>
  <si>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</si>
  <si>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</si>
  <si>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</si>
  <si>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</si>
  <si>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</si>
  <si>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</si>
  <si>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</si>
  <si>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</si>
  <si>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</si>
  <si>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</si>
  <si>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</si>
  <si>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</si>
  <si>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</si>
  <si>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</si>
  <si>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</si>
  <si>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</si>
  <si>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</si>
  <si>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</si>
  <si>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</si>
  <si>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</si>
  <si>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</si>
  <si>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</si>
  <si>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</si>
  <si>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</si>
  <si>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</si>
  <si>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</si>
  <si>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</si>
  <si>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</si>
  <si>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</si>
  <si>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</si>
  <si>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</si>
  <si>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</si>
  <si>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</si>
  <si>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</si>
  <si>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</si>
  <si>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</si>
  <si>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</si>
  <si>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</si>
  <si>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</si>
  <si>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</si>
  <si>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</si>
  <si>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</si>
  <si>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</si>
  <si>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</si>
  <si>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</si>
  <si>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</si>
  <si>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</si>
  <si>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</si>
  <si>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</si>
  <si>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</si>
  <si>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</si>
  <si>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</si>
  <si>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</si>
  <si>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</si>
  <si>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</si>
  <si>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</si>
  <si>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</si>
  <si>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</si>
  <si>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</si>
  <si>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</si>
  <si>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</si>
  <si>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</si>
  <si>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</si>
  <si>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</si>
  <si>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</si>
  <si>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</si>
  <si>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</si>
  <si>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</si>
  <si>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</si>
  <si>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</si>
  <si>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</si>
  <si>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</si>
  <si>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</si>
  <si>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</si>
  <si>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</si>
  <si>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</si>
  <si>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</si>
  <si>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</si>
  <si>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</si>
  <si>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</si>
  <si>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</si>
  <si>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</si>
  <si>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</si>
  <si>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</si>
  <si>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</si>
  <si>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</si>
  <si>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</si>
  <si>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</si>
  <si>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</si>
  <si>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</si>
  <si>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</si>
  <si>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</si>
  <si>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</si>
  <si>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</si>
  <si>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</si>
  <si>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</si>
  <si>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</si>
  <si>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</si>
  <si>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</si>
  <si>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</si>
  <si>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</si>
  <si>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</si>
  <si>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</si>
  <si>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</si>
  <si>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</si>
  <si>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</si>
  <si>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</si>
  <si>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</si>
  <si>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</si>
  <si>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</si>
  <si>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</si>
  <si>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</si>
  <si>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</si>
  <si>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</si>
  <si>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</si>
  <si>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</si>
  <si>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</si>
  <si>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</si>
  <si>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</si>
  <si>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</si>
  <si>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</si>
  <si>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</si>
  <si>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</si>
  <si>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</si>
  <si>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</si>
  <si>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</si>
  <si>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</si>
  <si>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</si>
  <si>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</si>
  <si>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</si>
  <si>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</si>
  <si>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</si>
  <si>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</si>
  <si>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</si>
  <si>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</si>
  <si>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</si>
  <si>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</si>
  <si>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</si>
  <si>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</si>
  <si>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</si>
  <si>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</si>
  <si>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</si>
  <si>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</si>
  <si>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</si>
  <si>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</si>
  <si>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</si>
  <si>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</si>
  <si>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</si>
  <si>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</si>
  <si>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</si>
  <si>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</si>
  <si>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</si>
  <si>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</si>
  <si>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</si>
  <si>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</si>
  <si>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</si>
  <si>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</si>
  <si>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</si>
  <si>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</si>
  <si>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</si>
  <si>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</si>
  <si>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</si>
  <si>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</si>
  <si>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</si>
  <si>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</si>
  <si>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</si>
  <si>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</si>
  <si>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</si>
  <si>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</si>
  <si>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</si>
  <si>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</si>
  <si>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</si>
  <si>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</si>
  <si>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</si>
  <si>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</si>
  <si>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</si>
  <si>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</si>
  <si>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</si>
  <si>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</si>
  <si>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</si>
  <si>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</si>
  <si>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</si>
  <si>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</si>
  <si>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</si>
  <si>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</si>
  <si>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</si>
  <si>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</si>
  <si>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</si>
  <si>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</si>
  <si>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</si>
  <si>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</si>
  <si>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</si>
  <si>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</si>
  <si>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</si>
  <si>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</si>
  <si>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</si>
  <si>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</si>
  <si>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</si>
  <si>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</si>
  <si>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</si>
  <si>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</si>
  <si>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</si>
  <si>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</si>
  <si>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</si>
  <si>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</si>
  <si>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</si>
  <si>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</si>
  <si>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</si>
  <si>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</si>
  <si>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</si>
  <si>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</si>
  <si>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</si>
  <si>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</si>
  <si>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</si>
  <si>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</si>
  <si>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</si>
  <si>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</si>
  <si>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</si>
  <si>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</si>
  <si>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</si>
  <si>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</si>
  <si>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</si>
  <si>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</si>
  <si>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</si>
  <si>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</si>
  <si>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</si>
  <si>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</si>
  <si>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</si>
  <si>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</si>
  <si>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</si>
  <si>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</si>
  <si>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</si>
  <si>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</si>
  <si>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</si>
  <si>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</si>
  <si>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</si>
  <si>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</si>
  <si>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</si>
  <si>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</si>
  <si>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</si>
  <si>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</si>
  <si>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</si>
  <si>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</si>
  <si>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</si>
  <si>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</si>
  <si>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</si>
  <si>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</si>
  <si>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</si>
  <si>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</si>
  <si>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</si>
  <si>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</si>
  <si>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</si>
  <si>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</si>
  <si>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</si>
  <si>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</si>
  <si>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</si>
  <si>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</si>
  <si>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</si>
  <si>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</si>
  <si>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</si>
  <si>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</si>
  <si>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</si>
  <si>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</si>
  <si>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</si>
  <si>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</si>
  <si>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</si>
  <si>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</si>
  <si>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</si>
  <si>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</si>
  <si>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</si>
  <si>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</si>
  <si>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</si>
  <si>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</si>
  <si>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</si>
  <si>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</si>
  <si>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</si>
  <si>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</si>
  <si>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</si>
  <si>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</si>
  <si>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</si>
  <si>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</si>
  <si>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</si>
  <si>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</si>
  <si>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</si>
  <si>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</si>
  <si>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</si>
  <si>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</si>
  <si>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</si>
  <si>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</si>
  <si>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</si>
  <si>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</si>
  <si>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</si>
  <si>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</si>
  <si>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</si>
  <si>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</si>
  <si>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</si>
  <si>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</si>
  <si>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</si>
  <si>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</si>
  <si>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</si>
  <si>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</si>
  <si>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</si>
  <si>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</si>
  <si>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</si>
  <si>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</si>
  <si>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</si>
  <si>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</si>
  <si>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</si>
  <si>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</si>
  <si>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</si>
  <si>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</si>
  <si>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</si>
  <si>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</si>
  <si>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</si>
  <si>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</si>
  <si>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</si>
  <si>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</si>
  <si>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</si>
  <si>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</si>
  <si>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</si>
  <si>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</si>
  <si>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</si>
  <si>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</si>
  <si>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</si>
  <si>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</si>
  <si>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</si>
  <si>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</si>
  <si>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</si>
  <si>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</si>
  <si>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</si>
  <si>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</si>
  <si>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</si>
  <si>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</si>
  <si>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</si>
  <si>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</si>
  <si>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</si>
  <si>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</si>
  <si>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</si>
  <si>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</si>
  <si>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</si>
  <si>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</si>
  <si>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$9.0B</t>
  </si>
  <si>
    <t>67.9x</t>
  </si>
  <si>
    <t>$11.8B</t>
  </si>
  <si>
    <t>9.4x</t>
  </si>
  <si>
    <t>13.3x</t>
  </si>
  <si>
    <t>$7.1B</t>
  </si>
  <si>
    <t>48.4x</t>
  </si>
  <si>
    <t>$1.7B</t>
  </si>
  <si>
    <t>5.3x</t>
  </si>
  <si>
    <t>40.8x</t>
  </si>
  <si>
    <t>$4.3B</t>
  </si>
  <si>
    <t>33.5x</t>
  </si>
  <si>
    <t>$13.4B</t>
  </si>
  <si>
    <t>$2.3B</t>
  </si>
  <si>
    <t>1.1x</t>
  </si>
  <si>
    <t>378.6x</t>
  </si>
  <si>
    <t>$55.6B</t>
  </si>
  <si>
    <t>42.3x</t>
  </si>
  <si>
    <t>$4.9B</t>
  </si>
  <si>
    <t>3.0x</t>
  </si>
  <si>
    <t>8.5x</t>
  </si>
  <si>
    <t>30.4x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</si>
</sst>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429</v>
      </c>
    </row>
    <row r="2" spans="1:2" x14ac:dyDescent="0.25">
      <c r="A2" t="s">
        <v>430</v>
      </c>
      <c r="B2" s="9" t="s">
        <v>438</v>
      </c>
    </row>
    <row r="3" spans="1:2" x14ac:dyDescent="0.25">
      <c r="A3" t="s">
        <v>431</v>
      </c>
      <c r="B3" s="9">
        <v>12</v>
      </c>
    </row>
    <row r="4" spans="1:2" x14ac:dyDescent="0.25">
      <c r="A4" t="s">
        <v>432</v>
      </c>
      <c r="B4" s="9" t="s">
        <v>439</v>
      </c>
    </row>
    <row r="5" spans="1:2" x14ac:dyDescent="0.25">
      <c r="A5" t="s">
        <v>433</v>
      </c>
      <c r="B5" s="9" t="s">
        <v>440</v>
      </c>
    </row>
    <row r="6" spans="1:2" x14ac:dyDescent="0.25">
      <c r="A6" t="s">
        <v>434</v>
      </c>
      <c r="B6" s="9" t="s">
        <v>441</v>
      </c>
    </row>
    <row r="7" spans="1:2" x14ac:dyDescent="0.25">
      <c r="A7" t="s">
        <v>435</v>
      </c>
      <c r="B7" s="9">
        <v>1.26</v>
      </c>
    </row>
    <row r="8" spans="1:2" x14ac:dyDescent="0.25">
      <c r="A8" t="s">
        <v>436</v>
      </c>
      <c r="B8" s="9" t="s">
        <v>442</v>
      </c>
    </row>
    <row r="9" spans="1:2" x14ac:dyDescent="0.25">
      <c r="A9" t="s">
        <v>437</v>
      </c>
      <c r="B9" s="9" t="s">
        <v>443</v>
      </c>
    </row>
    <row r="10" spans="1:2" x14ac:dyDescent="0.25">
      <c r="A10" t="s">
        <v>450</v>
      </c>
      <c r="B10" s="9" t="s">
        <v>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30" sqref="C3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476</v>
      </c>
      <c r="E1" s="1" t="s">
        <v>3</v>
      </c>
      <c r="F1" s="1" t="s">
        <v>477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343</v>
      </c>
      <c r="C2" t="s">
        <v>160</v>
      </c>
      <c r="D2">
        <v>8.6199999999999992</v>
      </c>
      <c r="E2" s="4">
        <v>8.9700000000000006</v>
      </c>
      <c r="F2">
        <f t="shared" ref="F2:F13" si="0">(E2/D2-1)*100</f>
        <v>4.0603248259861058</v>
      </c>
      <c r="G2">
        <v>7.05139112472534</v>
      </c>
      <c r="H2" s="4">
        <v>9.09</v>
      </c>
      <c r="I2" s="4">
        <v>6.15</v>
      </c>
      <c r="J2" t="s">
        <v>490</v>
      </c>
      <c r="K2" s="3">
        <v>0.216</v>
      </c>
      <c r="L2" t="s">
        <v>487</v>
      </c>
      <c r="M2" t="s">
        <v>455</v>
      </c>
      <c r="N2" s="3">
        <v>6.3E-2</v>
      </c>
      <c r="O2" t="s">
        <v>478</v>
      </c>
      <c r="Q2" t="s">
        <v>456</v>
      </c>
      <c r="R2" s="3">
        <v>5.2539999999999996</v>
      </c>
      <c r="S2" s="3">
        <v>1.6E-2</v>
      </c>
      <c r="T2" t="s">
        <v>457</v>
      </c>
      <c r="U2" s="3">
        <v>4.1000000000000002E-2</v>
      </c>
      <c r="V2" s="3">
        <v>5.5E-2</v>
      </c>
      <c r="W2" s="3">
        <v>-0.26900000000000002</v>
      </c>
      <c r="X2" s="3">
        <v>3.3000000000000002E-2</v>
      </c>
    </row>
    <row r="3" spans="1:24" x14ac:dyDescent="0.25">
      <c r="A3" t="s">
        <v>131</v>
      </c>
      <c r="B3" t="s">
        <v>344</v>
      </c>
      <c r="C3" t="s">
        <v>34</v>
      </c>
      <c r="D3">
        <v>3.07</v>
      </c>
      <c r="E3" s="4">
        <v>3.48</v>
      </c>
      <c r="F3">
        <f t="shared" si="0"/>
        <v>13.355048859934859</v>
      </c>
      <c r="G3">
        <v>2.7118873596191402</v>
      </c>
      <c r="H3" s="4">
        <v>3.55</v>
      </c>
      <c r="I3" s="4">
        <v>2.67</v>
      </c>
      <c r="J3" t="s">
        <v>483</v>
      </c>
      <c r="K3" s="3">
        <v>0</v>
      </c>
      <c r="L3" t="s">
        <v>132</v>
      </c>
      <c r="M3" t="s">
        <v>444</v>
      </c>
      <c r="N3" s="3">
        <v>4.7E-2</v>
      </c>
      <c r="O3" t="s">
        <v>491</v>
      </c>
      <c r="Q3" t="s">
        <v>445</v>
      </c>
      <c r="R3" s="3">
        <v>0.54600000000000004</v>
      </c>
      <c r="S3" s="3">
        <v>2E-3</v>
      </c>
      <c r="T3" t="s">
        <v>446</v>
      </c>
      <c r="U3" s="3">
        <v>0.56999999999999995</v>
      </c>
      <c r="V3" s="3">
        <v>4.7E-2</v>
      </c>
      <c r="W3" s="3">
        <v>-0.29499999999999998</v>
      </c>
      <c r="X3" s="3">
        <v>5.3999999999999999E-2</v>
      </c>
    </row>
    <row r="4" spans="1:24" x14ac:dyDescent="0.25">
      <c r="A4" t="s">
        <v>427</v>
      </c>
      <c r="B4" t="s">
        <v>345</v>
      </c>
      <c r="C4" t="s">
        <v>34</v>
      </c>
      <c r="D4">
        <v>3.64</v>
      </c>
      <c r="E4" s="4">
        <v>3.75</v>
      </c>
      <c r="F4">
        <f t="shared" si="0"/>
        <v>3.0219780219780112</v>
      </c>
      <c r="G4">
        <v>3.2423439025878902</v>
      </c>
      <c r="H4" s="4">
        <v>3.76</v>
      </c>
      <c r="I4" s="4">
        <v>3.1</v>
      </c>
      <c r="J4" t="s">
        <v>485</v>
      </c>
      <c r="K4" s="3">
        <v>0</v>
      </c>
      <c r="L4" t="s">
        <v>134</v>
      </c>
      <c r="M4" t="s">
        <v>447</v>
      </c>
      <c r="N4" s="3">
        <v>0.05</v>
      </c>
      <c r="O4" t="s">
        <v>492</v>
      </c>
      <c r="Q4" t="s">
        <v>448</v>
      </c>
      <c r="R4" s="3">
        <v>0.28499999999999998</v>
      </c>
      <c r="S4" s="3">
        <v>3.0000000000000001E-3</v>
      </c>
      <c r="T4" t="s">
        <v>449</v>
      </c>
      <c r="U4" s="3">
        <v>1.306</v>
      </c>
      <c r="V4" s="3">
        <v>9.8000000000000004E-2</v>
      </c>
      <c r="W4" s="3">
        <v>-0.21099999999999999</v>
      </c>
      <c r="X4" s="3">
        <v>9.6000000000000002E-2</v>
      </c>
    </row>
    <row r="5" spans="1:24" x14ac:dyDescent="0.25">
      <c r="A5" t="s">
        <v>135</v>
      </c>
      <c r="B5" t="s">
        <v>346</v>
      </c>
      <c r="C5" t="s">
        <v>22</v>
      </c>
      <c r="D5">
        <v>5.18</v>
      </c>
      <c r="E5" s="4">
        <v>4.87</v>
      </c>
      <c r="F5">
        <f t="shared" si="0"/>
        <v>-5.984555984555973</v>
      </c>
      <c r="G5">
        <v>4.4533996582031197</v>
      </c>
      <c r="H5" s="4">
        <v>5.33</v>
      </c>
      <c r="I5" s="4">
        <v>4.17</v>
      </c>
      <c r="J5" t="s">
        <v>493</v>
      </c>
      <c r="K5" s="3">
        <v>0</v>
      </c>
      <c r="L5" t="s">
        <v>46</v>
      </c>
      <c r="M5" t="s">
        <v>473</v>
      </c>
      <c r="N5" s="3">
        <v>8.2000000000000003E-2</v>
      </c>
      <c r="O5" t="s">
        <v>494</v>
      </c>
      <c r="Q5" t="s">
        <v>474</v>
      </c>
      <c r="R5" s="3">
        <v>0.27800000000000002</v>
      </c>
      <c r="S5" s="3">
        <v>2.4E-2</v>
      </c>
      <c r="T5" t="s">
        <v>47</v>
      </c>
      <c r="U5" s="3">
        <v>1.524</v>
      </c>
      <c r="V5" s="3">
        <v>0.13200000000000001</v>
      </c>
      <c r="W5" s="3">
        <v>0.06</v>
      </c>
      <c r="X5" s="3">
        <v>3.7999999999999999E-2</v>
      </c>
    </row>
    <row r="6" spans="1:24" x14ac:dyDescent="0.25">
      <c r="A6" t="s">
        <v>173</v>
      </c>
      <c r="B6" t="s">
        <v>458</v>
      </c>
      <c r="C6" t="s">
        <v>26</v>
      </c>
      <c r="D6" s="15">
        <v>11.05</v>
      </c>
      <c r="E6" s="4">
        <v>10.06</v>
      </c>
      <c r="F6">
        <f t="shared" si="0"/>
        <v>-8.9592760180995494</v>
      </c>
      <c r="G6">
        <v>6.0230307579040501</v>
      </c>
      <c r="H6" s="4">
        <v>11.74</v>
      </c>
      <c r="I6" s="4">
        <v>6.02</v>
      </c>
      <c r="J6" t="s">
        <v>495</v>
      </c>
      <c r="K6" s="3">
        <v>1</v>
      </c>
      <c r="L6" t="s">
        <v>403</v>
      </c>
      <c r="M6" t="s">
        <v>426</v>
      </c>
      <c r="N6" s="3">
        <v>5.0999999999999997E-2</v>
      </c>
      <c r="O6" t="s">
        <v>496</v>
      </c>
      <c r="P6" t="s">
        <v>497</v>
      </c>
      <c r="Q6" t="s">
        <v>459</v>
      </c>
      <c r="R6" s="3">
        <v>5.0000000000000001E-3</v>
      </c>
      <c r="S6" s="3">
        <v>0.03</v>
      </c>
      <c r="T6" t="s">
        <v>460</v>
      </c>
      <c r="U6" s="3">
        <v>0.51700000000000002</v>
      </c>
      <c r="V6" s="3">
        <v>-0.16800000000000001</v>
      </c>
      <c r="W6" s="3">
        <v>-0.23499999999999999</v>
      </c>
      <c r="X6" s="3">
        <v>0.16300000000000001</v>
      </c>
    </row>
    <row r="7" spans="1:24" x14ac:dyDescent="0.25">
      <c r="A7" t="s">
        <v>35</v>
      </c>
      <c r="B7" t="s">
        <v>347</v>
      </c>
      <c r="C7" t="s">
        <v>34</v>
      </c>
      <c r="D7">
        <v>2.2999999999999998</v>
      </c>
      <c r="E7" s="4">
        <v>2.31</v>
      </c>
      <c r="F7">
        <f t="shared" si="0"/>
        <v>0.43478260869567187</v>
      </c>
      <c r="G7">
        <v>1.97433865070343</v>
      </c>
      <c r="H7" s="4">
        <v>2.42</v>
      </c>
      <c r="I7" s="4">
        <v>1.7749999999999999</v>
      </c>
      <c r="J7" t="s">
        <v>488</v>
      </c>
      <c r="K7" s="3">
        <v>0</v>
      </c>
      <c r="L7" t="s">
        <v>37</v>
      </c>
      <c r="M7" t="s">
        <v>461</v>
      </c>
      <c r="N7" s="3">
        <v>3.9E-2</v>
      </c>
      <c r="O7" t="s">
        <v>478</v>
      </c>
      <c r="P7" t="s">
        <v>489</v>
      </c>
      <c r="Q7" t="s">
        <v>462</v>
      </c>
      <c r="R7" s="3">
        <v>0.502</v>
      </c>
      <c r="S7" s="3">
        <v>0.01</v>
      </c>
      <c r="T7" t="s">
        <v>463</v>
      </c>
      <c r="U7" s="3">
        <v>2.8000000000000001E-2</v>
      </c>
      <c r="V7" s="3">
        <v>2.3E-2</v>
      </c>
      <c r="W7" s="3">
        <v>-0.57799999999999996</v>
      </c>
      <c r="X7" s="3">
        <v>7.0000000000000001E-3</v>
      </c>
    </row>
    <row r="8" spans="1:24" x14ac:dyDescent="0.25">
      <c r="A8" t="s">
        <v>30</v>
      </c>
      <c r="B8" t="s">
        <v>348</v>
      </c>
      <c r="C8" t="s">
        <v>22</v>
      </c>
      <c r="D8">
        <v>4.3499999999999996</v>
      </c>
      <c r="E8" s="4">
        <v>5.24</v>
      </c>
      <c r="F8">
        <f t="shared" si="0"/>
        <v>20.459770114942533</v>
      </c>
      <c r="G8">
        <v>3.7949135303497301</v>
      </c>
      <c r="H8" s="4">
        <v>5.51</v>
      </c>
      <c r="I8" s="4">
        <v>2.94</v>
      </c>
      <c r="J8" t="s">
        <v>498</v>
      </c>
      <c r="K8" s="3">
        <v>0.9</v>
      </c>
      <c r="L8" t="s">
        <v>486</v>
      </c>
      <c r="M8" t="s">
        <v>464</v>
      </c>
      <c r="N8" s="3">
        <v>4.1000000000000002E-2</v>
      </c>
      <c r="O8" t="s">
        <v>479</v>
      </c>
      <c r="P8" t="s">
        <v>499</v>
      </c>
      <c r="Q8" t="s">
        <v>465</v>
      </c>
      <c r="R8" s="3">
        <v>1.5249999999999999</v>
      </c>
      <c r="S8" s="3">
        <v>0.01</v>
      </c>
      <c r="T8" t="s">
        <v>32</v>
      </c>
      <c r="U8" s="3">
        <v>4.2000000000000003E-2</v>
      </c>
      <c r="V8" s="3">
        <v>0.10299999999999999</v>
      </c>
      <c r="X8" s="3">
        <v>0.42899999999999999</v>
      </c>
    </row>
    <row r="9" spans="1:24" x14ac:dyDescent="0.25">
      <c r="A9" t="s">
        <v>24</v>
      </c>
      <c r="B9" t="s">
        <v>349</v>
      </c>
      <c r="C9" t="s">
        <v>26</v>
      </c>
      <c r="D9" s="5">
        <v>3.91</v>
      </c>
      <c r="E9" s="4">
        <v>4.82</v>
      </c>
      <c r="F9">
        <f t="shared" si="0"/>
        <v>23.273657289002571</v>
      </c>
      <c r="G9">
        <v>4.1038346290588299</v>
      </c>
      <c r="H9" s="4">
        <v>5.2</v>
      </c>
      <c r="I9" s="4">
        <v>3.4</v>
      </c>
      <c r="J9" t="s">
        <v>500</v>
      </c>
      <c r="K9" s="3">
        <v>1</v>
      </c>
      <c r="L9" t="s">
        <v>27</v>
      </c>
      <c r="M9" t="s">
        <v>480</v>
      </c>
      <c r="N9" s="3">
        <v>3.6999999999999998E-2</v>
      </c>
      <c r="O9" t="s">
        <v>484</v>
      </c>
      <c r="Q9" t="s">
        <v>481</v>
      </c>
      <c r="R9" s="3">
        <v>8.8999999999999996E-2</v>
      </c>
      <c r="T9" t="s">
        <v>482</v>
      </c>
      <c r="U9" s="3">
        <v>6.2E-2</v>
      </c>
      <c r="V9" s="3">
        <v>4.7E-2</v>
      </c>
      <c r="W9" s="3">
        <v>8.3000000000000004E-2</v>
      </c>
      <c r="X9" s="3">
        <v>0.216</v>
      </c>
    </row>
    <row r="10" spans="1:24" x14ac:dyDescent="0.25">
      <c r="A10" t="s">
        <v>161</v>
      </c>
      <c r="B10" t="s">
        <v>350</v>
      </c>
      <c r="C10" t="s">
        <v>22</v>
      </c>
      <c r="D10" s="5">
        <v>13.56</v>
      </c>
      <c r="E10" s="4">
        <v>23.05</v>
      </c>
      <c r="F10">
        <f t="shared" si="0"/>
        <v>69.985250737463133</v>
      </c>
      <c r="G10">
        <v>13.1129446029663</v>
      </c>
      <c r="H10" s="4">
        <v>23.09</v>
      </c>
      <c r="I10" s="4">
        <v>11.78</v>
      </c>
      <c r="J10" t="s">
        <v>501</v>
      </c>
      <c r="K10" s="3">
        <v>1</v>
      </c>
      <c r="L10" t="s">
        <v>379</v>
      </c>
      <c r="M10" t="s">
        <v>466</v>
      </c>
      <c r="N10" s="3">
        <v>3.1E-2</v>
      </c>
      <c r="O10" t="s">
        <v>502</v>
      </c>
      <c r="P10" t="s">
        <v>503</v>
      </c>
      <c r="Q10" t="s">
        <v>467</v>
      </c>
      <c r="R10" s="3">
        <v>0.161</v>
      </c>
      <c r="S10" s="3">
        <v>1.6E-2</v>
      </c>
      <c r="T10" t="s">
        <v>468</v>
      </c>
      <c r="U10" s="3">
        <v>3.9E-2</v>
      </c>
      <c r="V10" s="3">
        <v>6.0999999999999999E-2</v>
      </c>
      <c r="W10" s="3">
        <v>0.155</v>
      </c>
      <c r="X10" s="3">
        <v>0.17399999999999999</v>
      </c>
    </row>
    <row r="11" spans="1:24" x14ac:dyDescent="0.25">
      <c r="A11" t="s">
        <v>162</v>
      </c>
      <c r="B11" t="s">
        <v>351</v>
      </c>
      <c r="C11" t="s">
        <v>29</v>
      </c>
      <c r="D11">
        <v>3.88</v>
      </c>
      <c r="E11" s="4">
        <v>4.8499999999999996</v>
      </c>
      <c r="F11">
        <f t="shared" si="0"/>
        <v>25</v>
      </c>
      <c r="G11">
        <v>3.97764539718627</v>
      </c>
      <c r="H11" s="4">
        <v>4.99</v>
      </c>
      <c r="I11" s="4">
        <v>3.62</v>
      </c>
      <c r="J11" t="s">
        <v>504</v>
      </c>
      <c r="K11" s="3">
        <v>1</v>
      </c>
      <c r="L11" t="s">
        <v>163</v>
      </c>
      <c r="M11" t="s">
        <v>469</v>
      </c>
      <c r="N11" s="3">
        <v>3.9E-2</v>
      </c>
      <c r="O11" t="s">
        <v>475</v>
      </c>
      <c r="P11" t="s">
        <v>505</v>
      </c>
      <c r="Q11" t="s">
        <v>453</v>
      </c>
      <c r="R11" s="3">
        <v>1.2949999999999999</v>
      </c>
      <c r="S11" s="3">
        <v>6.0000000000000001E-3</v>
      </c>
      <c r="T11" t="s">
        <v>454</v>
      </c>
      <c r="U11" s="3">
        <v>0.10100000000000001</v>
      </c>
      <c r="V11" s="3">
        <v>2.8000000000000001E-2</v>
      </c>
      <c r="W11" s="3">
        <v>9.5000000000000001E-2</v>
      </c>
      <c r="X11" s="3">
        <v>0.151</v>
      </c>
    </row>
    <row r="12" spans="1:24" x14ac:dyDescent="0.25">
      <c r="A12" t="s">
        <v>164</v>
      </c>
      <c r="B12" t="s">
        <v>352</v>
      </c>
      <c r="C12" t="s">
        <v>26</v>
      </c>
      <c r="D12">
        <v>6.06</v>
      </c>
      <c r="E12" s="4">
        <v>7.31</v>
      </c>
      <c r="F12">
        <f t="shared" si="0"/>
        <v>20.627062706270639</v>
      </c>
      <c r="G12">
        <v>6.0461215972900302</v>
      </c>
      <c r="H12" s="4">
        <v>8.16</v>
      </c>
      <c r="I12" s="4">
        <v>5.76</v>
      </c>
      <c r="J12" t="s">
        <v>506</v>
      </c>
      <c r="K12" s="3">
        <v>1</v>
      </c>
      <c r="L12" t="s">
        <v>380</v>
      </c>
      <c r="M12" t="s">
        <v>165</v>
      </c>
      <c r="N12" s="3">
        <v>4.8000000000000001E-2</v>
      </c>
      <c r="O12" t="s">
        <v>507</v>
      </c>
      <c r="Q12" t="s">
        <v>166</v>
      </c>
      <c r="R12" s="3">
        <v>2.81</v>
      </c>
      <c r="T12" t="s">
        <v>167</v>
      </c>
      <c r="U12" s="3">
        <v>0.188</v>
      </c>
      <c r="V12" s="3">
        <v>0.432</v>
      </c>
      <c r="W12" s="3">
        <v>-0.17100000000000001</v>
      </c>
      <c r="X12" s="3">
        <v>0.05</v>
      </c>
    </row>
    <row r="13" spans="1:24" x14ac:dyDescent="0.25">
      <c r="A13" t="s">
        <v>168</v>
      </c>
      <c r="B13" t="s">
        <v>353</v>
      </c>
      <c r="C13" t="s">
        <v>34</v>
      </c>
      <c r="D13">
        <v>2.36</v>
      </c>
      <c r="E13" s="4">
        <v>2.34</v>
      </c>
      <c r="F13">
        <f t="shared" si="0"/>
        <v>-0.84745762711864181</v>
      </c>
      <c r="G13">
        <v>2.0015611648559499</v>
      </c>
      <c r="H13" s="4">
        <v>2.5299999999999998</v>
      </c>
      <c r="I13" s="4">
        <v>2</v>
      </c>
      <c r="J13" t="s">
        <v>381</v>
      </c>
      <c r="K13" s="3">
        <v>0</v>
      </c>
      <c r="L13" t="s">
        <v>169</v>
      </c>
      <c r="M13" t="s">
        <v>470</v>
      </c>
      <c r="N13" s="3">
        <v>4.7E-2</v>
      </c>
      <c r="O13" t="s">
        <v>508</v>
      </c>
      <c r="P13" t="s">
        <v>509</v>
      </c>
      <c r="Q13" t="s">
        <v>471</v>
      </c>
      <c r="R13" s="3">
        <v>5.8579999999999997</v>
      </c>
      <c r="S13" s="3">
        <v>5.0000000000000001E-3</v>
      </c>
      <c r="T13" t="s">
        <v>472</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tabSelected="1" workbookViewId="0">
      <selection activeCell="F24" sqref="F24"/>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383</v>
      </c>
      <c r="E2" t="s">
        <v>423</v>
      </c>
      <c r="F2" t="s">
        <v>384</v>
      </c>
      <c r="G2" t="s">
        <v>385</v>
      </c>
      <c r="H2" t="s">
        <v>173</v>
      </c>
      <c r="I2" t="s">
        <v>26</v>
      </c>
      <c r="J2" s="4">
        <v>10.06</v>
      </c>
      <c r="K2" s="5">
        <f>(J2/C2-1)*100</f>
        <v>-8.9592760180995494</v>
      </c>
      <c r="L2" s="4">
        <v>11.74</v>
      </c>
      <c r="M2" s="4">
        <v>6.02</v>
      </c>
      <c r="N2" t="s">
        <v>495</v>
      </c>
      <c r="O2" s="3">
        <v>1</v>
      </c>
      <c r="P2" t="s">
        <v>403</v>
      </c>
      <c r="Q2" t="s">
        <v>426</v>
      </c>
      <c r="R2" s="3">
        <v>5.0999999999999997E-2</v>
      </c>
      <c r="S2" t="s">
        <v>496</v>
      </c>
      <c r="T2" t="s">
        <v>497</v>
      </c>
      <c r="U2" t="s">
        <v>459</v>
      </c>
      <c r="V2" s="3">
        <v>5.0000000000000001E-3</v>
      </c>
      <c r="W2" s="3">
        <v>0.03</v>
      </c>
      <c r="X2" t="s">
        <v>460</v>
      </c>
      <c r="Y2" s="3">
        <v>0.51700000000000002</v>
      </c>
      <c r="Z2" s="3">
        <v>-0.16800000000000001</v>
      </c>
      <c r="AA2" s="3">
        <v>-0.23499999999999999</v>
      </c>
      <c r="AB2" s="3">
        <v>0.16300000000000001</v>
      </c>
    </row>
    <row r="3" spans="1:28" x14ac:dyDescent="0.2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452</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383</v>
      </c>
      <c r="E4" t="s">
        <v>423</v>
      </c>
      <c r="F4" t="s">
        <v>384</v>
      </c>
      <c r="G4" t="s">
        <v>385</v>
      </c>
      <c r="H4" t="s">
        <v>159</v>
      </c>
      <c r="I4" t="s">
        <v>160</v>
      </c>
      <c r="J4" s="4">
        <v>8.9700000000000006</v>
      </c>
      <c r="K4" s="5">
        <f t="shared" si="0"/>
        <v>4.0603248259861058</v>
      </c>
      <c r="L4" s="4">
        <v>9.09</v>
      </c>
      <c r="M4" s="4">
        <v>6.15</v>
      </c>
      <c r="N4" t="s">
        <v>490</v>
      </c>
      <c r="O4" s="3">
        <v>0.216</v>
      </c>
      <c r="P4" t="s">
        <v>487</v>
      </c>
      <c r="Q4" t="s">
        <v>455</v>
      </c>
      <c r="R4" s="3">
        <v>6.3E-2</v>
      </c>
      <c r="S4" t="s">
        <v>478</v>
      </c>
      <c r="U4" t="s">
        <v>456</v>
      </c>
      <c r="V4" s="3">
        <v>5.2539999999999996</v>
      </c>
      <c r="W4" s="3">
        <v>1.6E-2</v>
      </c>
      <c r="X4" t="s">
        <v>457</v>
      </c>
      <c r="Y4" s="3">
        <v>4.1000000000000002E-2</v>
      </c>
      <c r="Z4" s="3">
        <v>5.5E-2</v>
      </c>
      <c r="AA4" s="3">
        <v>-0.26900000000000002</v>
      </c>
      <c r="AB4" s="3">
        <v>3.3000000000000002E-2</v>
      </c>
    </row>
    <row r="5" spans="1:28" x14ac:dyDescent="0.25">
      <c r="A5" s="2">
        <v>45786</v>
      </c>
      <c r="B5" s="3" t="s">
        <v>80</v>
      </c>
      <c r="C5">
        <v>3.07</v>
      </c>
      <c r="D5" t="s">
        <v>383</v>
      </c>
      <c r="E5" t="s">
        <v>423</v>
      </c>
      <c r="F5" t="s">
        <v>384</v>
      </c>
      <c r="G5" t="s">
        <v>385</v>
      </c>
      <c r="H5" t="s">
        <v>131</v>
      </c>
      <c r="I5" t="s">
        <v>34</v>
      </c>
      <c r="J5" s="4">
        <v>3.48</v>
      </c>
      <c r="K5" s="5">
        <f t="shared" si="0"/>
        <v>13.355048859934859</v>
      </c>
      <c r="L5" s="4">
        <v>3.55</v>
      </c>
      <c r="M5" s="4">
        <v>2.67</v>
      </c>
      <c r="N5" t="s">
        <v>483</v>
      </c>
      <c r="O5" s="3">
        <v>0</v>
      </c>
      <c r="P5" t="s">
        <v>132</v>
      </c>
      <c r="Q5" t="s">
        <v>444</v>
      </c>
      <c r="R5" s="3">
        <v>4.7E-2</v>
      </c>
      <c r="S5" t="s">
        <v>491</v>
      </c>
      <c r="U5" t="s">
        <v>445</v>
      </c>
      <c r="V5" s="3">
        <v>0.54600000000000004</v>
      </c>
      <c r="W5" s="3">
        <v>2E-3</v>
      </c>
      <c r="X5" t="s">
        <v>446</v>
      </c>
      <c r="Y5" s="3">
        <v>0.56999999999999995</v>
      </c>
      <c r="Z5" s="3">
        <v>4.7E-2</v>
      </c>
      <c r="AA5" s="3">
        <v>-0.29499999999999998</v>
      </c>
      <c r="AB5" s="3">
        <v>5.3999999999999999E-2</v>
      </c>
    </row>
    <row r="6" spans="1:28" x14ac:dyDescent="0.25">
      <c r="A6" s="2">
        <v>45786</v>
      </c>
      <c r="B6" s="3" t="s">
        <v>81</v>
      </c>
      <c r="C6">
        <v>3.64</v>
      </c>
      <c r="D6" t="s">
        <v>383</v>
      </c>
      <c r="E6" t="s">
        <v>423</v>
      </c>
      <c r="F6" t="s">
        <v>384</v>
      </c>
      <c r="G6" t="s">
        <v>385</v>
      </c>
      <c r="H6" t="s">
        <v>133</v>
      </c>
      <c r="I6" t="s">
        <v>34</v>
      </c>
      <c r="J6" s="4">
        <v>3.75</v>
      </c>
      <c r="K6" s="5">
        <f t="shared" si="0"/>
        <v>3.0219780219780112</v>
      </c>
      <c r="L6" s="4">
        <v>3.76</v>
      </c>
      <c r="M6" s="4">
        <v>3.1</v>
      </c>
      <c r="N6" t="s">
        <v>485</v>
      </c>
      <c r="O6" s="3">
        <v>0</v>
      </c>
      <c r="P6" t="s">
        <v>134</v>
      </c>
      <c r="Q6" t="s">
        <v>447</v>
      </c>
      <c r="R6" s="3">
        <v>0.05</v>
      </c>
      <c r="S6" t="s">
        <v>492</v>
      </c>
      <c r="U6" t="s">
        <v>448</v>
      </c>
      <c r="V6" s="3">
        <v>0.28499999999999998</v>
      </c>
      <c r="W6" s="3">
        <v>3.0000000000000001E-3</v>
      </c>
      <c r="X6" t="s">
        <v>449</v>
      </c>
      <c r="Y6" s="3">
        <v>1.306</v>
      </c>
      <c r="Z6" s="3">
        <v>9.8000000000000004E-2</v>
      </c>
      <c r="AA6" s="3">
        <v>-0.21099999999999999</v>
      </c>
      <c r="AB6" s="3">
        <v>9.6000000000000002E-2</v>
      </c>
    </row>
    <row r="7" spans="1:28" x14ac:dyDescent="0.25">
      <c r="A7" s="2">
        <v>45786</v>
      </c>
      <c r="B7" s="3" t="s">
        <v>45</v>
      </c>
      <c r="C7">
        <v>5.18</v>
      </c>
      <c r="D7" t="s">
        <v>383</v>
      </c>
      <c r="E7" t="s">
        <v>423</v>
      </c>
      <c r="F7" t="s">
        <v>384</v>
      </c>
      <c r="G7" t="s">
        <v>385</v>
      </c>
      <c r="H7" t="s">
        <v>135</v>
      </c>
      <c r="I7" t="s">
        <v>22</v>
      </c>
      <c r="J7" s="4">
        <v>4.87</v>
      </c>
      <c r="K7" s="5">
        <f t="shared" si="0"/>
        <v>-5.984555984555973</v>
      </c>
      <c r="L7" s="4">
        <v>5.33</v>
      </c>
      <c r="M7" s="4">
        <v>4.17</v>
      </c>
      <c r="N7" t="s">
        <v>493</v>
      </c>
      <c r="O7" s="3">
        <v>0</v>
      </c>
      <c r="P7" t="s">
        <v>46</v>
      </c>
      <c r="Q7" t="s">
        <v>473</v>
      </c>
      <c r="R7" s="3">
        <v>8.2000000000000003E-2</v>
      </c>
      <c r="S7" t="s">
        <v>494</v>
      </c>
      <c r="U7" t="s">
        <v>474</v>
      </c>
      <c r="V7" s="3">
        <v>0.27800000000000002</v>
      </c>
      <c r="W7" s="3">
        <v>2.4E-2</v>
      </c>
      <c r="X7" t="s">
        <v>47</v>
      </c>
      <c r="Y7" s="3">
        <v>1.524</v>
      </c>
      <c r="Z7" s="3">
        <v>0.13200000000000001</v>
      </c>
      <c r="AA7" s="3">
        <v>0.06</v>
      </c>
      <c r="AB7" s="3">
        <v>3.7999999999999999E-2</v>
      </c>
    </row>
    <row r="8" spans="1:28" x14ac:dyDescent="0.2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452</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383</v>
      </c>
      <c r="E9" t="s">
        <v>423</v>
      </c>
      <c r="F9" t="s">
        <v>384</v>
      </c>
      <c r="G9" t="s">
        <v>385</v>
      </c>
      <c r="H9" t="s">
        <v>35</v>
      </c>
      <c r="I9" t="s">
        <v>34</v>
      </c>
      <c r="J9" s="4">
        <v>2.31</v>
      </c>
      <c r="K9" s="5">
        <f t="shared" si="0"/>
        <v>0.43478260869567187</v>
      </c>
      <c r="L9" s="4">
        <v>2.42</v>
      </c>
      <c r="M9" s="4">
        <v>1.7749999999999999</v>
      </c>
      <c r="N9" t="s">
        <v>488</v>
      </c>
      <c r="O9" s="3">
        <v>0</v>
      </c>
      <c r="P9" t="s">
        <v>37</v>
      </c>
      <c r="Q9" t="s">
        <v>461</v>
      </c>
      <c r="R9" s="3">
        <v>3.9E-2</v>
      </c>
      <c r="S9" t="s">
        <v>478</v>
      </c>
      <c r="T9" t="s">
        <v>489</v>
      </c>
      <c r="U9" t="s">
        <v>462</v>
      </c>
      <c r="V9" s="3">
        <v>0.502</v>
      </c>
      <c r="W9" s="3">
        <v>0.01</v>
      </c>
      <c r="X9" t="s">
        <v>463</v>
      </c>
      <c r="Y9" s="3">
        <v>2.8000000000000001E-2</v>
      </c>
      <c r="Z9" s="3">
        <v>2.3E-2</v>
      </c>
      <c r="AA9" s="3">
        <v>-0.57799999999999996</v>
      </c>
      <c r="AB9" s="3">
        <v>7.0000000000000001E-3</v>
      </c>
    </row>
    <row r="10" spans="1:28" x14ac:dyDescent="0.25">
      <c r="A10" s="2">
        <v>45786</v>
      </c>
      <c r="B10" s="3" t="s">
        <v>31</v>
      </c>
      <c r="C10">
        <v>4.3499999999999996</v>
      </c>
      <c r="D10" t="s">
        <v>383</v>
      </c>
      <c r="E10" t="s">
        <v>423</v>
      </c>
      <c r="F10" t="s">
        <v>384</v>
      </c>
      <c r="G10" t="s">
        <v>385</v>
      </c>
      <c r="H10" t="s">
        <v>30</v>
      </c>
      <c r="I10" t="s">
        <v>22</v>
      </c>
      <c r="J10" s="4">
        <v>5.24</v>
      </c>
      <c r="K10" s="5">
        <f t="shared" si="0"/>
        <v>20.459770114942533</v>
      </c>
      <c r="L10" s="4">
        <v>5.51</v>
      </c>
      <c r="M10" s="4">
        <v>2.94</v>
      </c>
      <c r="N10" t="s">
        <v>498</v>
      </c>
      <c r="O10" s="3">
        <v>0.9</v>
      </c>
      <c r="P10" t="s">
        <v>486</v>
      </c>
      <c r="Q10" t="s">
        <v>464</v>
      </c>
      <c r="R10" s="3">
        <v>4.1000000000000002E-2</v>
      </c>
      <c r="S10" t="s">
        <v>479</v>
      </c>
      <c r="T10" t="s">
        <v>499</v>
      </c>
      <c r="U10" t="s">
        <v>465</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383</v>
      </c>
      <c r="E11" t="s">
        <v>423</v>
      </c>
      <c r="F11" t="s">
        <v>384</v>
      </c>
      <c r="G11" t="s">
        <v>385</v>
      </c>
      <c r="H11" t="s">
        <v>24</v>
      </c>
      <c r="I11" t="s">
        <v>26</v>
      </c>
      <c r="J11" s="4">
        <v>4.82</v>
      </c>
      <c r="K11" s="5">
        <f t="shared" si="0"/>
        <v>23.273657289002571</v>
      </c>
      <c r="L11" s="4">
        <v>5.2</v>
      </c>
      <c r="M11" s="4">
        <v>3.4</v>
      </c>
      <c r="N11" t="s">
        <v>500</v>
      </c>
      <c r="O11" s="3">
        <v>1</v>
      </c>
      <c r="P11" t="s">
        <v>27</v>
      </c>
      <c r="Q11" t="s">
        <v>480</v>
      </c>
      <c r="R11" s="3">
        <v>3.6999999999999998E-2</v>
      </c>
      <c r="S11" t="s">
        <v>484</v>
      </c>
      <c r="U11" t="s">
        <v>481</v>
      </c>
      <c r="V11" s="3">
        <v>8.8999999999999996E-2</v>
      </c>
      <c r="X11" t="s">
        <v>482</v>
      </c>
      <c r="Y11" s="3">
        <v>6.2E-2</v>
      </c>
      <c r="Z11" s="3">
        <v>4.7E-2</v>
      </c>
      <c r="AA11" s="3">
        <v>8.3000000000000004E-2</v>
      </c>
      <c r="AB11" s="3">
        <v>0.216</v>
      </c>
    </row>
    <row r="12" spans="1:28" x14ac:dyDescent="0.2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2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2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2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2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2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119</v>
      </c>
      <c r="E2">
        <f>AVERAGEIF(Trades!$J$2:J894,"&gt;0")*100</f>
        <v>48.649325086519234</v>
      </c>
      <c r="F2">
        <f>C2-D2</f>
        <v>75</v>
      </c>
      <c r="G2">
        <f>AVERAGEIF(Trades!$J$2:J894,"&lt;0")*100</f>
        <v>-14.120461465238831</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6"/>
  <sheetViews>
    <sheetView topLeftCell="A1335" workbookViewId="0">
      <selection activeCell="E1360" sqref="E136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N2" sqref="N2"/>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342</v>
      </c>
      <c r="C1" s="1" t="s">
        <v>64</v>
      </c>
      <c r="D1" s="1" t="s">
        <v>60</v>
      </c>
      <c r="E1" s="1" t="s">
        <v>65</v>
      </c>
      <c r="F1" s="1" t="s">
        <v>66</v>
      </c>
      <c r="G1" s="1" t="s">
        <v>67</v>
      </c>
      <c r="H1" s="1" t="s">
        <v>68</v>
      </c>
      <c r="I1" s="1" t="s">
        <v>69</v>
      </c>
      <c r="J1" s="1" t="s">
        <v>70</v>
      </c>
      <c r="K1" s="1" t="s">
        <v>71</v>
      </c>
      <c r="N1" s="19"/>
      <c r="O1" s="19"/>
    </row>
    <row r="2" spans="1:30" x14ac:dyDescent="0.25">
      <c r="A2" s="15" t="s">
        <v>105</v>
      </c>
      <c r="B2" t="s">
        <v>173</v>
      </c>
      <c r="C2" s="15" t="s">
        <v>340</v>
      </c>
      <c r="D2" s="14">
        <v>45894</v>
      </c>
      <c r="E2" s="15">
        <v>10.6</v>
      </c>
      <c r="F2" s="14">
        <v>45933</v>
      </c>
      <c r="G2" s="4">
        <v>10.06</v>
      </c>
      <c r="H2" s="3">
        <f>G2/E2-1</f>
        <v>-5.0943396226414972E-2</v>
      </c>
      <c r="I2" s="15">
        <f t="shared" ref="I2:I3" si="0">K2*E2*J2</f>
        <v>-7032.9583999999832</v>
      </c>
      <c r="J2" s="17">
        <f t="shared" ref="J2:J3" si="1">H2-0.002</f>
        <v>-5.2943396226414974E-2</v>
      </c>
      <c r="K2" s="15">
        <v>12532</v>
      </c>
      <c r="N2" s="4"/>
    </row>
    <row r="3" spans="1:30" x14ac:dyDescent="0.25">
      <c r="A3" s="3" t="s">
        <v>136</v>
      </c>
      <c r="B3" t="s">
        <v>159</v>
      </c>
      <c r="C3" t="s">
        <v>340</v>
      </c>
      <c r="D3" s="2">
        <v>45793</v>
      </c>
      <c r="E3">
        <v>8.6199999999999992</v>
      </c>
      <c r="F3" s="14">
        <v>45933</v>
      </c>
      <c r="G3" s="4">
        <v>8.9700000000000006</v>
      </c>
      <c r="H3" s="3">
        <f t="shared" ref="H3" si="2">G3/E3-1</f>
        <v>4.0603248259861058E-2</v>
      </c>
      <c r="I3">
        <f t="shared" si="0"/>
        <v>4792.0767600000327</v>
      </c>
      <c r="J3" s="3">
        <f t="shared" si="1"/>
        <v>3.8603248259861056E-2</v>
      </c>
      <c r="K3">
        <v>14401</v>
      </c>
      <c r="N3" s="4"/>
      <c r="P3" s="11"/>
      <c r="Q3" s="13"/>
      <c r="R3" s="2"/>
      <c r="T3" s="3"/>
      <c r="V3" s="3"/>
      <c r="AA3" s="3"/>
      <c r="AB3" s="3"/>
      <c r="AC3" s="3"/>
      <c r="AD3" s="3"/>
    </row>
    <row r="4" spans="1:30" x14ac:dyDescent="0.25">
      <c r="A4" s="3" t="s">
        <v>80</v>
      </c>
      <c r="B4" t="s">
        <v>131</v>
      </c>
      <c r="C4" t="s">
        <v>340</v>
      </c>
      <c r="D4" s="2">
        <v>45786</v>
      </c>
      <c r="E4">
        <v>3.07</v>
      </c>
      <c r="F4" s="14">
        <v>45933</v>
      </c>
      <c r="G4" s="4">
        <v>3.48</v>
      </c>
      <c r="H4" s="3">
        <f t="shared" ref="H4:H13" si="3">G4/E4-1</f>
        <v>0.13355048859934859</v>
      </c>
      <c r="I4">
        <f t="shared" ref="I4:I13" si="4">K4*E4*J4</f>
        <v>15559.918080000005</v>
      </c>
      <c r="J4" s="3">
        <f t="shared" ref="J4:J13" si="5">H4-0.002</f>
        <v>0.13155048859934859</v>
      </c>
      <c r="K4">
        <v>38528</v>
      </c>
      <c r="N4" s="4"/>
      <c r="P4" s="11"/>
      <c r="Q4" s="12"/>
      <c r="R4" s="2"/>
      <c r="T4" s="3"/>
      <c r="V4" s="3"/>
      <c r="AA4" s="3"/>
      <c r="AB4" s="3"/>
      <c r="AC4" s="3"/>
      <c r="AD4" s="3"/>
    </row>
    <row r="5" spans="1:30" x14ac:dyDescent="0.25">
      <c r="A5" s="3" t="s">
        <v>81</v>
      </c>
      <c r="B5" t="s">
        <v>133</v>
      </c>
      <c r="C5" t="s">
        <v>340</v>
      </c>
      <c r="D5" s="2">
        <v>45786</v>
      </c>
      <c r="E5">
        <v>3.64</v>
      </c>
      <c r="F5" s="14">
        <v>45933</v>
      </c>
      <c r="G5" s="4">
        <v>3.75</v>
      </c>
      <c r="H5" s="3">
        <f t="shared" si="3"/>
        <v>3.0219780219780112E-2</v>
      </c>
      <c r="I5">
        <f t="shared" si="4"/>
        <v>3384.6239999999871</v>
      </c>
      <c r="J5" s="3">
        <f t="shared" si="5"/>
        <v>2.8219780219780111E-2</v>
      </c>
      <c r="K5">
        <v>32950</v>
      </c>
      <c r="N5" s="4"/>
      <c r="P5" s="11"/>
      <c r="Q5" s="12"/>
      <c r="R5" s="2"/>
      <c r="T5" s="3"/>
      <c r="V5" s="3"/>
      <c r="AA5" s="3"/>
      <c r="AB5" s="3"/>
      <c r="AC5" s="3"/>
      <c r="AD5" s="3"/>
    </row>
    <row r="6" spans="1:30" x14ac:dyDescent="0.25">
      <c r="A6" s="3" t="s">
        <v>45</v>
      </c>
      <c r="B6" t="s">
        <v>135</v>
      </c>
      <c r="C6" t="s">
        <v>340</v>
      </c>
      <c r="D6" s="2">
        <v>45786</v>
      </c>
      <c r="E6">
        <v>5.18</v>
      </c>
      <c r="F6" s="14">
        <v>45933</v>
      </c>
      <c r="G6" s="4">
        <v>4.87</v>
      </c>
      <c r="H6" s="3">
        <f t="shared" si="3"/>
        <v>-5.9845559845559726E-2</v>
      </c>
      <c r="I6">
        <f t="shared" si="4"/>
        <v>-7223.4772799999864</v>
      </c>
      <c r="J6" s="3">
        <f t="shared" si="5"/>
        <v>-6.1845559845559728E-2</v>
      </c>
      <c r="K6">
        <v>22548</v>
      </c>
      <c r="N6" s="4"/>
      <c r="P6" s="11"/>
      <c r="Q6" s="12"/>
      <c r="R6" s="2"/>
      <c r="T6" s="3"/>
      <c r="V6" s="3"/>
      <c r="AA6" s="3"/>
      <c r="AB6" s="3"/>
      <c r="AC6" s="3"/>
      <c r="AD6" s="3"/>
    </row>
    <row r="7" spans="1:30" x14ac:dyDescent="0.25">
      <c r="A7" s="3" t="s">
        <v>36</v>
      </c>
      <c r="B7" t="s">
        <v>35</v>
      </c>
      <c r="C7" t="s">
        <v>340</v>
      </c>
      <c r="D7" s="2">
        <v>45786</v>
      </c>
      <c r="E7">
        <v>2.2999999999999998</v>
      </c>
      <c r="F7" s="14">
        <v>45933</v>
      </c>
      <c r="G7" s="4">
        <v>2.31</v>
      </c>
      <c r="H7" s="3">
        <f t="shared" si="3"/>
        <v>4.3478260869567187E-3</v>
      </c>
      <c r="I7">
        <f t="shared" si="4"/>
        <v>279.95760000002349</v>
      </c>
      <c r="J7" s="3">
        <f t="shared" si="5"/>
        <v>2.3478260869567186E-3</v>
      </c>
      <c r="K7">
        <v>51844</v>
      </c>
      <c r="N7" s="4"/>
      <c r="P7" s="18"/>
      <c r="Q7" s="12"/>
      <c r="R7" s="2"/>
      <c r="T7" s="3"/>
      <c r="V7" s="3"/>
      <c r="AA7" s="3"/>
      <c r="AB7" s="3"/>
      <c r="AC7" s="3"/>
      <c r="AD7" s="3"/>
    </row>
    <row r="8" spans="1:30" x14ac:dyDescent="0.25">
      <c r="A8" s="3" t="s">
        <v>31</v>
      </c>
      <c r="B8" t="s">
        <v>30</v>
      </c>
      <c r="C8" t="s">
        <v>340</v>
      </c>
      <c r="D8" s="2">
        <v>45786</v>
      </c>
      <c r="E8">
        <v>4.3499999999999996</v>
      </c>
      <c r="F8" s="14">
        <v>45933</v>
      </c>
      <c r="G8" s="4">
        <v>5.24</v>
      </c>
      <c r="H8" s="3">
        <f t="shared" si="3"/>
        <v>0.20459770114942533</v>
      </c>
      <c r="I8">
        <f t="shared" si="4"/>
        <v>23673.480600000003</v>
      </c>
      <c r="J8" s="3">
        <f t="shared" si="5"/>
        <v>0.20259770114942532</v>
      </c>
      <c r="K8">
        <v>26862</v>
      </c>
      <c r="N8" s="4"/>
      <c r="P8" s="11"/>
      <c r="Q8" s="12"/>
      <c r="R8" s="2"/>
      <c r="T8" s="3"/>
      <c r="V8" s="3"/>
      <c r="AA8" s="3"/>
      <c r="AB8" s="3"/>
      <c r="AC8" s="3"/>
      <c r="AD8" s="3"/>
    </row>
    <row r="9" spans="1:30" x14ac:dyDescent="0.25">
      <c r="A9" s="3" t="s">
        <v>25</v>
      </c>
      <c r="B9" t="s">
        <v>24</v>
      </c>
      <c r="C9" t="s">
        <v>340</v>
      </c>
      <c r="D9" s="2">
        <v>45695</v>
      </c>
      <c r="E9">
        <v>3.8413110000000001</v>
      </c>
      <c r="F9" s="14">
        <v>45933</v>
      </c>
      <c r="G9" s="4">
        <v>4.82</v>
      </c>
      <c r="H9" s="3">
        <f t="shared" si="3"/>
        <v>0.25477994361820744</v>
      </c>
      <c r="I9">
        <f t="shared" si="4"/>
        <v>30190.530304776003</v>
      </c>
      <c r="J9" s="3">
        <f t="shared" si="5"/>
        <v>0.25277994361820744</v>
      </c>
      <c r="K9">
        <v>31092</v>
      </c>
      <c r="N9" s="4"/>
      <c r="P9" s="11"/>
      <c r="Q9" s="12"/>
      <c r="R9" s="2"/>
      <c r="T9" s="3"/>
      <c r="V9" s="3"/>
      <c r="AA9" s="3"/>
      <c r="AB9" s="3"/>
      <c r="AC9" s="3"/>
      <c r="AD9" s="3"/>
    </row>
    <row r="10" spans="1:30" x14ac:dyDescent="0.25">
      <c r="A10" s="3" t="s">
        <v>118</v>
      </c>
      <c r="B10" t="s">
        <v>161</v>
      </c>
      <c r="C10" t="s">
        <v>340</v>
      </c>
      <c r="D10" s="2">
        <v>45639</v>
      </c>
      <c r="E10">
        <v>13.27768</v>
      </c>
      <c r="F10" s="14">
        <v>45933</v>
      </c>
      <c r="G10" s="4">
        <v>23.05</v>
      </c>
      <c r="H10" s="3">
        <f t="shared" si="3"/>
        <v>0.73599604750227443</v>
      </c>
      <c r="I10">
        <f t="shared" si="4"/>
        <v>85080.52530719999</v>
      </c>
      <c r="J10" s="3">
        <f t="shared" si="5"/>
        <v>0.73399604750227443</v>
      </c>
      <c r="K10">
        <v>8730</v>
      </c>
      <c r="N10" s="4"/>
      <c r="P10" s="11"/>
      <c r="Q10" s="12"/>
      <c r="R10" s="2"/>
      <c r="T10" s="3"/>
      <c r="V10" s="3"/>
      <c r="AA10" s="3"/>
      <c r="AB10" s="3"/>
      <c r="AC10" s="3"/>
      <c r="AD10" s="3"/>
    </row>
    <row r="11" spans="1:30" x14ac:dyDescent="0.25">
      <c r="A11" s="3" t="s">
        <v>137</v>
      </c>
      <c r="B11" t="s">
        <v>162</v>
      </c>
      <c r="C11" t="s">
        <v>340</v>
      </c>
      <c r="D11" s="2">
        <v>45499</v>
      </c>
      <c r="E11">
        <v>3.696536</v>
      </c>
      <c r="F11" s="14">
        <v>45933</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340</v>
      </c>
      <c r="D12" s="2">
        <v>45282</v>
      </c>
      <c r="E12">
        <v>5.588908</v>
      </c>
      <c r="F12" s="14">
        <v>45933</v>
      </c>
      <c r="G12" s="4">
        <v>7.31</v>
      </c>
      <c r="H12" s="3">
        <f t="shared" si="3"/>
        <v>0.30794781377685942</v>
      </c>
      <c r="I12">
        <f t="shared" si="4"/>
        <v>33510.898178031995</v>
      </c>
      <c r="J12" s="3">
        <f t="shared" si="5"/>
        <v>0.30594781377685942</v>
      </c>
      <c r="K12">
        <v>19598</v>
      </c>
      <c r="N12" s="4"/>
      <c r="P12" s="11"/>
      <c r="Q12" s="12"/>
      <c r="R12" s="2"/>
      <c r="T12" s="3"/>
      <c r="V12" s="3"/>
      <c r="AA12" s="3"/>
      <c r="AB12" s="3"/>
      <c r="AC12" s="3"/>
      <c r="AD12" s="3"/>
    </row>
    <row r="13" spans="1:30" x14ac:dyDescent="0.25">
      <c r="A13" s="3" t="s">
        <v>138</v>
      </c>
      <c r="B13" t="s">
        <v>168</v>
      </c>
      <c r="C13" t="s">
        <v>340</v>
      </c>
      <c r="D13" s="2">
        <v>45275</v>
      </c>
      <c r="E13">
        <v>2.2089750000000001</v>
      </c>
      <c r="F13" s="14">
        <v>45933</v>
      </c>
      <c r="G13" s="4">
        <v>2.34</v>
      </c>
      <c r="H13" s="3">
        <f t="shared" si="3"/>
        <v>5.9314840593487794E-2</v>
      </c>
      <c r="I13">
        <f t="shared" si="4"/>
        <v>6261.3516577499859</v>
      </c>
      <c r="J13" s="3">
        <f t="shared" si="5"/>
        <v>5.7314840593487792E-2</v>
      </c>
      <c r="K13">
        <v>49455</v>
      </c>
      <c r="N13" s="4"/>
      <c r="P13" s="11"/>
      <c r="Q13" s="12"/>
      <c r="R13" s="2"/>
      <c r="T13" s="3"/>
      <c r="V13" s="3"/>
      <c r="AA13" s="3"/>
      <c r="AB13" s="3"/>
      <c r="AC13" s="3"/>
      <c r="AD13" s="3"/>
    </row>
    <row r="14" spans="1:30" x14ac:dyDescent="0.2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368</v>
      </c>
      <c r="L27" t="s">
        <v>368</v>
      </c>
      <c r="M27" t="s">
        <v>368</v>
      </c>
      <c r="N27" s="3">
        <v>2.4529205901198781E-2</v>
      </c>
      <c r="O27" s="3"/>
      <c r="AB27" s="3"/>
      <c r="AC27" s="11"/>
    </row>
    <row r="28" spans="1:29" x14ac:dyDescent="0.2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5"/>
  <sheetViews>
    <sheetView topLeftCell="A1317" workbookViewId="0">
      <selection activeCell="H1355" sqref="H135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372</v>
      </c>
      <c r="B1" s="7" t="s">
        <v>340</v>
      </c>
      <c r="C1" s="7" t="s">
        <v>373</v>
      </c>
      <c r="D1" s="7" t="s">
        <v>374</v>
      </c>
      <c r="E1" s="7" t="s">
        <v>375</v>
      </c>
      <c r="F1" s="7" t="s">
        <v>376</v>
      </c>
      <c r="G1" s="7" t="s">
        <v>377</v>
      </c>
      <c r="H1" s="7" t="s">
        <v>428</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55"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2025-10-04T02:48:57Z</dcterms:modified>
</cp:coreProperties>
</file>