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30E83288-02E4-4172-B29F-E75675D1D0E5}" xr6:coauthVersionLast="47" xr6:coauthVersionMax="47" xr10:uidLastSave="{00000000-0000-0000-0000-000000000000}"/>
  <bookViews>
    <workbookView xWindow="-120" yWindow="-120" windowWidth="29040" windowHeight="157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91" i="8" l="1"/>
  <c r="D1394" i="5"/>
  <c r="E1394" i="5" s="1"/>
  <c r="H13" i="6"/>
  <c r="J13" i="6" s="1"/>
  <c r="I13" i="6" s="1"/>
  <c r="H12" i="6"/>
  <c r="J12" i="6" s="1"/>
  <c r="I12" i="6" s="1"/>
  <c r="H11" i="6"/>
  <c r="J11" i="6" s="1"/>
  <c r="I11" i="6" s="1"/>
  <c r="H10" i="6"/>
  <c r="J10" i="6" s="1"/>
  <c r="I10" i="6" s="1"/>
  <c r="K5" i="3"/>
  <c r="K4" i="3"/>
  <c r="K3" i="3"/>
  <c r="K2" i="3"/>
  <c r="F2" i="2"/>
  <c r="F3" i="2"/>
  <c r="F4" i="2"/>
  <c r="F5" i="2"/>
  <c r="F6" i="2"/>
  <c r="F7" i="2"/>
  <c r="F8" i="2"/>
  <c r="F9" i="2"/>
  <c r="D1393" i="5"/>
  <c r="E1393" i="5" s="1"/>
  <c r="H1390" i="8"/>
  <c r="D1392" i="5"/>
  <c r="E1392" i="5" s="1"/>
  <c r="H1389" i="8"/>
  <c r="C2" i="4"/>
  <c r="D1391" i="5"/>
  <c r="E1391" i="5" s="1"/>
  <c r="D1390" i="5"/>
  <c r="E1390" i="5" s="1"/>
  <c r="H1388" i="8"/>
  <c r="D1389" i="5"/>
  <c r="E1389" i="5" s="1"/>
  <c r="H2" i="6"/>
  <c r="J2" i="6" s="1"/>
  <c r="I2" i="6" s="1"/>
  <c r="H1387" i="8"/>
  <c r="K6" i="3"/>
  <c r="D1388" i="5" l="1"/>
  <c r="E1388" i="5" s="1"/>
  <c r="H1386" i="8"/>
  <c r="D1387" i="5"/>
  <c r="E1387" i="5" s="1"/>
  <c r="H3" i="6"/>
  <c r="J3" i="6" s="1"/>
  <c r="H1385" i="8"/>
  <c r="K8" i="3"/>
  <c r="K7" i="3"/>
  <c r="D1386" i="5"/>
  <c r="E1386" i="5" s="1"/>
  <c r="H1384" i="8"/>
  <c r="D1385" i="5"/>
  <c r="E1385" i="5" s="1"/>
  <c r="H14" i="6"/>
  <c r="J14" i="6" s="1"/>
  <c r="I14" i="6" s="1"/>
  <c r="H1383" i="8"/>
  <c r="K9"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11" i="3"/>
  <c r="K10"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3" i="6" l="1"/>
  <c r="D1347" i="5"/>
  <c r="E1347" i="5" s="1"/>
  <c r="D1346" i="5"/>
  <c r="E1346" i="5" s="1"/>
  <c r="D1345" i="5"/>
  <c r="E1345" i="5" s="1"/>
  <c r="K14" i="3"/>
  <c r="K15" i="3"/>
  <c r="K16" i="3"/>
  <c r="K17" i="3"/>
  <c r="K12" i="3"/>
  <c r="D1344" i="5"/>
  <c r="E1344" i="5" s="1"/>
  <c r="A1344" i="5"/>
  <c r="D1343" i="5"/>
  <c r="E1343" i="5" s="1"/>
  <c r="H17" i="6"/>
  <c r="J17" i="6" s="1"/>
  <c r="I17" i="6" s="1"/>
  <c r="H4" i="6"/>
  <c r="J4" i="6" s="1"/>
  <c r="K13" i="3"/>
  <c r="E1341" i="5"/>
  <c r="E1342" i="5"/>
  <c r="D1341" i="5"/>
  <c r="D1342" i="5"/>
  <c r="E1340" i="5"/>
  <c r="D1340" i="5"/>
  <c r="E1339" i="5"/>
  <c r="D1339" i="5"/>
  <c r="K18" i="3"/>
  <c r="K19" i="3"/>
  <c r="K20" i="3"/>
  <c r="K21" i="3"/>
  <c r="E1338" i="5"/>
  <c r="D1338" i="5"/>
  <c r="H5" i="6"/>
  <c r="J5" i="6" s="1"/>
  <c r="I5" i="6" s="1"/>
  <c r="H6" i="6"/>
  <c r="J6" i="6" s="1"/>
  <c r="I6" i="6" s="1"/>
  <c r="H7" i="6"/>
  <c r="J7" i="6" s="1"/>
  <c r="I7" i="6" s="1"/>
  <c r="H8" i="6"/>
  <c r="J8" i="6" s="1"/>
  <c r="I8" i="6" s="1"/>
  <c r="H9" i="6"/>
  <c r="J9" i="6" s="1"/>
  <c r="I9"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22" i="3"/>
  <c r="K23" i="3"/>
  <c r="K24" i="3"/>
  <c r="K25" i="3"/>
  <c r="K26" i="3"/>
  <c r="K2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4" i="6"/>
</calcChain>
</file>

<file path=xl/sharedStrings.xml><?xml version="1.0" encoding="utf-8"?>
<sst xmlns="http://schemas.openxmlformats.org/spreadsheetml/2006/main" count="1138" uniqueCount="532">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</sst>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418</v>
      </c>
    </row>
    <row r="2" spans="1:2" x14ac:dyDescent="0.25">
      <c r="A2" t="s">
        <v>419</v>
      </c>
      <c r="B2" s="9" t="s">
        <v>427</v>
      </c>
    </row>
    <row r="3" spans="1:2" x14ac:dyDescent="0.25">
      <c r="A3" t="s">
        <v>420</v>
      </c>
      <c r="B3" s="9">
        <v>12</v>
      </c>
    </row>
    <row r="4" spans="1:2" x14ac:dyDescent="0.25">
      <c r="A4" t="s">
        <v>421</v>
      </c>
      <c r="B4" s="9" t="s">
        <v>428</v>
      </c>
    </row>
    <row r="5" spans="1:2" x14ac:dyDescent="0.25">
      <c r="A5" t="s">
        <v>422</v>
      </c>
      <c r="B5" s="9" t="s">
        <v>429</v>
      </c>
    </row>
    <row r="6" spans="1:2" x14ac:dyDescent="0.25">
      <c r="A6" t="s">
        <v>423</v>
      </c>
      <c r="B6" s="9" t="s">
        <v>430</v>
      </c>
    </row>
    <row r="7" spans="1:2" x14ac:dyDescent="0.25">
      <c r="A7" t="s">
        <v>424</v>
      </c>
      <c r="B7" s="9">
        <v>1.26</v>
      </c>
    </row>
    <row r="8" spans="1:2" x14ac:dyDescent="0.25">
      <c r="A8" t="s">
        <v>425</v>
      </c>
      <c r="B8" s="9" t="s">
        <v>431</v>
      </c>
    </row>
    <row r="9" spans="1:2" x14ac:dyDescent="0.25">
      <c r="A9" t="s">
        <v>426</v>
      </c>
      <c r="B9" s="9" t="s">
        <v>432</v>
      </c>
    </row>
    <row r="10" spans="1:2" x14ac:dyDescent="0.25">
      <c r="A10" t="s">
        <v>439</v>
      </c>
      <c r="B10" s="9" t="s">
        <v>440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D19" sqref="D19"/>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463</v>
      </c>
      <c r="E1" s="1" t="s">
        <v>3</v>
      </c>
      <c r="F1" s="1" t="s">
        <v>464</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524</v>
      </c>
      <c r="C2" t="s">
        <v>525</v>
      </c>
      <c r="D2">
        <v>4.5599999999999996</v>
      </c>
      <c r="E2" s="4">
        <v>4.57</v>
      </c>
      <c r="F2">
        <f>(E2/D2-1)*100</f>
        <v>0.21929824561404132</v>
      </c>
      <c r="G2" s="24">
        <v>4.1130000000000004</v>
      </c>
      <c r="H2" s="4">
        <v>4.88</v>
      </c>
      <c r="I2" s="4">
        <v>3.21</v>
      </c>
      <c r="J2" t="s">
        <v>526</v>
      </c>
      <c r="K2" s="3">
        <v>1</v>
      </c>
      <c r="L2" t="s">
        <v>527</v>
      </c>
      <c r="M2" t="s">
        <v>528</v>
      </c>
      <c r="N2" s="3">
        <v>7.3999999999999996E-2</v>
      </c>
      <c r="O2" t="s">
        <v>529</v>
      </c>
      <c r="Q2" t="s">
        <v>530</v>
      </c>
      <c r="R2" s="3">
        <v>0.13700000000000001</v>
      </c>
      <c r="S2" s="3">
        <v>2.1000000000000001E-2</v>
      </c>
      <c r="T2" t="s">
        <v>531</v>
      </c>
      <c r="U2" s="3">
        <v>0.245</v>
      </c>
      <c r="V2" s="3">
        <v>-0.11</v>
      </c>
      <c r="W2" s="3">
        <v>-0.22800000000000001</v>
      </c>
      <c r="X2" s="3">
        <v>0.17</v>
      </c>
    </row>
    <row r="3" spans="1:24" x14ac:dyDescent="0.25">
      <c r="A3" t="s">
        <v>508</v>
      </c>
      <c r="B3" t="s">
        <v>509</v>
      </c>
      <c r="C3" t="s">
        <v>38</v>
      </c>
      <c r="D3" s="4">
        <v>3.94</v>
      </c>
      <c r="E3" s="4">
        <v>3.64</v>
      </c>
      <c r="F3">
        <f t="shared" ref="F3" si="0">(E3/D3-1)*100</f>
        <v>-7.6142131979695442</v>
      </c>
      <c r="G3" s="24">
        <v>3.2760000000000002</v>
      </c>
      <c r="H3" s="4">
        <v>4.3600000000000003</v>
      </c>
      <c r="I3" s="4">
        <v>3.45</v>
      </c>
      <c r="J3" t="s">
        <v>511</v>
      </c>
      <c r="K3" s="3">
        <v>1</v>
      </c>
      <c r="L3" t="s">
        <v>512</v>
      </c>
      <c r="M3" t="s">
        <v>513</v>
      </c>
      <c r="N3" s="3">
        <v>5.1999999999999998E-2</v>
      </c>
      <c r="O3" t="s">
        <v>388</v>
      </c>
      <c r="P3" t="s">
        <v>514</v>
      </c>
      <c r="Q3" t="s">
        <v>515</v>
      </c>
      <c r="R3" s="3">
        <v>1.5169999999999999</v>
      </c>
      <c r="S3" s="3">
        <v>8.9999999999999993E-3</v>
      </c>
      <c r="T3" t="s">
        <v>516</v>
      </c>
      <c r="U3" s="3">
        <v>3.5000000000000003E-2</v>
      </c>
      <c r="V3" s="3">
        <v>1.2999999999999999E-2</v>
      </c>
      <c r="W3" s="3">
        <v>-4.9000000000000002E-2</v>
      </c>
      <c r="X3" s="3">
        <v>0.112</v>
      </c>
    </row>
    <row r="4" spans="1:24" x14ac:dyDescent="0.25">
      <c r="A4" t="s">
        <v>158</v>
      </c>
      <c r="B4" t="s">
        <v>338</v>
      </c>
      <c r="C4" t="s">
        <v>159</v>
      </c>
      <c r="D4">
        <v>8.6199999999999992</v>
      </c>
      <c r="E4" s="4">
        <v>8.73</v>
      </c>
      <c r="F4">
        <f t="shared" ref="F4:F9" si="1">(E4/D4-1)*100</f>
        <v>1.2761020881670637</v>
      </c>
      <c r="G4" s="24">
        <v>7.8570000000000002</v>
      </c>
      <c r="H4" s="4">
        <v>9.2200000000000006</v>
      </c>
      <c r="I4" s="4">
        <v>6.08</v>
      </c>
      <c r="J4" t="s">
        <v>490</v>
      </c>
      <c r="K4" s="3">
        <v>0</v>
      </c>
      <c r="L4" t="s">
        <v>469</v>
      </c>
      <c r="M4" t="s">
        <v>444</v>
      </c>
      <c r="N4" s="3">
        <v>6.6000000000000003E-2</v>
      </c>
      <c r="O4" t="s">
        <v>491</v>
      </c>
      <c r="Q4" t="s">
        <v>445</v>
      </c>
      <c r="R4" s="3">
        <v>5.2539999999999996</v>
      </c>
      <c r="S4" s="3">
        <v>1.6E-2</v>
      </c>
      <c r="T4" t="s">
        <v>446</v>
      </c>
      <c r="U4" s="3">
        <v>4.1000000000000002E-2</v>
      </c>
      <c r="V4" s="3">
        <v>5.5E-2</v>
      </c>
      <c r="W4" s="3">
        <v>-0.26900000000000002</v>
      </c>
      <c r="X4" s="3">
        <v>3.3000000000000002E-2</v>
      </c>
    </row>
    <row r="5" spans="1:24" x14ac:dyDescent="0.25">
      <c r="A5" t="s">
        <v>131</v>
      </c>
      <c r="B5" t="s">
        <v>339</v>
      </c>
      <c r="C5" t="s">
        <v>34</v>
      </c>
      <c r="D5">
        <v>3.07</v>
      </c>
      <c r="E5" s="4">
        <v>3.15</v>
      </c>
      <c r="F5">
        <f t="shared" si="1"/>
        <v>2.6058631921824116</v>
      </c>
      <c r="G5" s="24">
        <v>2.835</v>
      </c>
      <c r="H5" s="4">
        <v>3.54</v>
      </c>
      <c r="I5" s="4">
        <v>2.68</v>
      </c>
      <c r="J5" t="s">
        <v>481</v>
      </c>
      <c r="K5" s="3">
        <v>0</v>
      </c>
      <c r="L5" t="s">
        <v>473</v>
      </c>
      <c r="M5" t="s">
        <v>433</v>
      </c>
      <c r="N5" s="3">
        <v>5.1999999999999998E-2</v>
      </c>
      <c r="O5" t="s">
        <v>496</v>
      </c>
      <c r="Q5" t="s">
        <v>434</v>
      </c>
      <c r="R5" s="3">
        <v>0.54600000000000004</v>
      </c>
      <c r="S5" s="3">
        <v>2E-3</v>
      </c>
      <c r="T5" t="s">
        <v>435</v>
      </c>
      <c r="U5" s="3">
        <v>0.56999999999999995</v>
      </c>
      <c r="V5" s="3">
        <v>4.7E-2</v>
      </c>
      <c r="W5" s="3">
        <v>-0.29499999999999998</v>
      </c>
      <c r="X5" s="3">
        <v>5.3999999999999999E-2</v>
      </c>
    </row>
    <row r="6" spans="1:24" x14ac:dyDescent="0.25">
      <c r="A6" t="s">
        <v>416</v>
      </c>
      <c r="B6" t="s">
        <v>340</v>
      </c>
      <c r="C6" t="s">
        <v>34</v>
      </c>
      <c r="D6">
        <v>3.64</v>
      </c>
      <c r="E6" s="4">
        <v>3.7</v>
      </c>
      <c r="F6">
        <f t="shared" si="1"/>
        <v>1.6483516483516425</v>
      </c>
      <c r="G6" s="24">
        <v>3.33</v>
      </c>
      <c r="H6" s="4">
        <v>4.03</v>
      </c>
      <c r="I6" s="4">
        <v>3.17</v>
      </c>
      <c r="J6" t="s">
        <v>492</v>
      </c>
      <c r="K6" s="3">
        <v>0</v>
      </c>
      <c r="L6" t="s">
        <v>133</v>
      </c>
      <c r="M6" t="s">
        <v>436</v>
      </c>
      <c r="N6" s="3">
        <v>5.0999999999999997E-2</v>
      </c>
      <c r="O6" t="s">
        <v>497</v>
      </c>
      <c r="Q6" t="s">
        <v>437</v>
      </c>
      <c r="R6" s="3">
        <v>0.28499999999999998</v>
      </c>
      <c r="S6" s="3">
        <v>3.0000000000000001E-3</v>
      </c>
      <c r="T6" t="s">
        <v>438</v>
      </c>
      <c r="U6" s="3">
        <v>1.306</v>
      </c>
      <c r="V6" s="3">
        <v>9.8000000000000004E-2</v>
      </c>
      <c r="W6" s="3">
        <v>-0.21099999999999999</v>
      </c>
      <c r="X6" s="3">
        <v>9.6000000000000002E-2</v>
      </c>
    </row>
    <row r="7" spans="1:24" x14ac:dyDescent="0.25">
      <c r="A7" t="s">
        <v>161</v>
      </c>
      <c r="B7" t="s">
        <v>341</v>
      </c>
      <c r="C7" t="s">
        <v>29</v>
      </c>
      <c r="D7">
        <v>3.88</v>
      </c>
      <c r="E7" s="4">
        <v>4.88</v>
      </c>
      <c r="F7">
        <f t="shared" si="1"/>
        <v>25.773195876288657</v>
      </c>
      <c r="G7" s="24">
        <v>4.3920000000000003</v>
      </c>
      <c r="H7" s="4">
        <v>5.14</v>
      </c>
      <c r="I7" s="4">
        <v>3.68</v>
      </c>
      <c r="J7" t="s">
        <v>502</v>
      </c>
      <c r="K7" s="3">
        <v>1</v>
      </c>
      <c r="L7" t="s">
        <v>162</v>
      </c>
      <c r="M7" t="s">
        <v>457</v>
      </c>
      <c r="N7" s="3">
        <v>3.9E-2</v>
      </c>
      <c r="O7" t="s">
        <v>489</v>
      </c>
      <c r="P7" t="s">
        <v>503</v>
      </c>
      <c r="Q7" t="s">
        <v>442</v>
      </c>
      <c r="R7" s="3">
        <v>1.2949999999999999</v>
      </c>
      <c r="S7" s="3">
        <v>6.0000000000000001E-3</v>
      </c>
      <c r="T7" t="s">
        <v>443</v>
      </c>
      <c r="U7" s="3">
        <v>0.10100000000000001</v>
      </c>
      <c r="V7" s="3">
        <v>2.8000000000000001E-2</v>
      </c>
      <c r="W7" s="3">
        <v>9.5000000000000001E-2</v>
      </c>
      <c r="X7" s="3">
        <v>0.151</v>
      </c>
    </row>
    <row r="8" spans="1:24" x14ac:dyDescent="0.25">
      <c r="A8" t="s">
        <v>163</v>
      </c>
      <c r="B8" t="s">
        <v>342</v>
      </c>
      <c r="C8" t="s">
        <v>26</v>
      </c>
      <c r="D8">
        <v>6.06</v>
      </c>
      <c r="E8" s="4">
        <v>6.85</v>
      </c>
      <c r="F8">
        <f t="shared" si="1"/>
        <v>13.036303630363033</v>
      </c>
      <c r="G8" s="24">
        <v>6.165</v>
      </c>
      <c r="H8" s="4">
        <v>7.93</v>
      </c>
      <c r="I8" s="4">
        <v>5.88</v>
      </c>
      <c r="J8" t="s">
        <v>493</v>
      </c>
      <c r="K8" s="3">
        <v>1</v>
      </c>
      <c r="L8" t="s">
        <v>369</v>
      </c>
      <c r="M8" t="s">
        <v>470</v>
      </c>
      <c r="N8" s="3">
        <v>5.5E-2</v>
      </c>
      <c r="O8" t="s">
        <v>483</v>
      </c>
      <c r="P8" t="s">
        <v>484</v>
      </c>
      <c r="Q8" t="s">
        <v>471</v>
      </c>
      <c r="R8" s="3">
        <v>2.82</v>
      </c>
      <c r="T8" t="s">
        <v>472</v>
      </c>
      <c r="U8" s="3">
        <v>7.9000000000000001E-2</v>
      </c>
      <c r="V8" s="3">
        <v>0.30199999999999999</v>
      </c>
      <c r="W8" s="3">
        <v>-0.28799999999999998</v>
      </c>
      <c r="X8" s="3">
        <v>2.1999999999999999E-2</v>
      </c>
    </row>
    <row r="9" spans="1:24" x14ac:dyDescent="0.25">
      <c r="A9" t="s">
        <v>164</v>
      </c>
      <c r="B9" t="s">
        <v>343</v>
      </c>
      <c r="C9" t="s">
        <v>34</v>
      </c>
      <c r="D9">
        <v>2.36</v>
      </c>
      <c r="E9" s="4">
        <v>2.75</v>
      </c>
      <c r="F9">
        <f t="shared" si="1"/>
        <v>16.525423728813561</v>
      </c>
      <c r="G9" s="24">
        <v>2.4750000000000001</v>
      </c>
      <c r="H9" s="4">
        <v>2.85</v>
      </c>
      <c r="I9" s="4">
        <v>1.96</v>
      </c>
      <c r="J9" t="s">
        <v>494</v>
      </c>
      <c r="K9" s="3">
        <v>0</v>
      </c>
      <c r="L9" t="s">
        <v>474</v>
      </c>
      <c r="M9" t="s">
        <v>458</v>
      </c>
      <c r="N9" s="3">
        <v>4.2000000000000003E-2</v>
      </c>
      <c r="O9" t="s">
        <v>495</v>
      </c>
      <c r="P9" t="s">
        <v>504</v>
      </c>
      <c r="Q9" t="s">
        <v>459</v>
      </c>
      <c r="R9" s="3">
        <v>5.8579999999999997</v>
      </c>
      <c r="S9" s="3">
        <v>5.0000000000000001E-3</v>
      </c>
      <c r="T9" t="s">
        <v>460</v>
      </c>
      <c r="U9" s="3">
        <v>0.60199999999999998</v>
      </c>
      <c r="V9" s="3">
        <v>0.121</v>
      </c>
      <c r="W9" s="3">
        <v>-0.66400000000000003</v>
      </c>
      <c r="X9"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K19" s="4"/>
    </row>
    <row r="20" spans="1:12" x14ac:dyDescent="0.25">
      <c r="L20" s="3"/>
    </row>
    <row r="21" spans="1:12" x14ac:dyDescent="0.25">
      <c r="L21" s="3"/>
    </row>
    <row r="22" spans="1:12" x14ac:dyDescent="0.25">
      <c r="L22" s="20"/>
    </row>
    <row r="23" spans="1:12" x14ac:dyDescent="0.25">
      <c r="L23" s="20"/>
    </row>
    <row r="24" spans="1:12" x14ac:dyDescent="0.25">
      <c r="L24" s="20"/>
    </row>
    <row r="25" spans="1:12" x14ac:dyDescent="0.25">
      <c r="L25" s="20"/>
    </row>
    <row r="26" spans="1:12" x14ac:dyDescent="0.25">
      <c r="L26" s="20"/>
    </row>
    <row r="27" spans="1:12" x14ac:dyDescent="0.25">
      <c r="L27" s="20"/>
    </row>
    <row r="28" spans="1:12" x14ac:dyDescent="0.25">
      <c r="L28" s="20"/>
    </row>
    <row r="29" spans="1:12" x14ac:dyDescent="0.25">
      <c r="L29" s="20"/>
    </row>
    <row r="30" spans="1:12" x14ac:dyDescent="0.25">
      <c r="L30" s="20"/>
    </row>
    <row r="31" spans="1:12" x14ac:dyDescent="0.25">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3"/>
  <sheetViews>
    <sheetView zoomScale="90" zoomScaleNormal="90" workbookViewId="0">
      <selection activeCell="H11" sqref="H11"/>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411</v>
      </c>
      <c r="D1" s="1" t="s">
        <v>48</v>
      </c>
      <c r="E1" s="1" t="s">
        <v>49</v>
      </c>
      <c r="F1" s="1" t="s">
        <v>51</v>
      </c>
      <c r="G1" s="1" t="s">
        <v>52</v>
      </c>
      <c r="H1" s="1" t="s">
        <v>0</v>
      </c>
      <c r="I1" s="1" t="s">
        <v>2</v>
      </c>
      <c r="J1" s="1" t="s">
        <v>3</v>
      </c>
      <c r="K1" s="1" t="s">
        <v>414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46062</v>
      </c>
      <c r="B2" s="15" t="s">
        <v>143</v>
      </c>
      <c r="C2" s="4">
        <v>4.1100000000000003</v>
      </c>
      <c r="D2" s="15" t="s">
        <v>371</v>
      </c>
      <c r="E2" t="s">
        <v>409</v>
      </c>
      <c r="F2" s="15" t="s">
        <v>413</v>
      </c>
      <c r="G2" t="s">
        <v>410</v>
      </c>
      <c r="H2" t="s">
        <v>189</v>
      </c>
      <c r="I2" t="s">
        <v>510</v>
      </c>
      <c r="J2" s="4">
        <v>4.1100000000000003</v>
      </c>
      <c r="K2" s="5">
        <f t="shared" ref="K2:K5" si="0">(J2/C2-1)*100</f>
        <v>0</v>
      </c>
      <c r="L2" s="4">
        <v>4.6500000000000004</v>
      </c>
      <c r="M2" s="4">
        <v>3.1</v>
      </c>
      <c r="N2" t="s">
        <v>517</v>
      </c>
      <c r="O2" s="3">
        <v>1</v>
      </c>
      <c r="P2" t="s">
        <v>518</v>
      </c>
      <c r="Q2" t="s">
        <v>519</v>
      </c>
      <c r="R2" s="3">
        <v>5.2999999999999999E-2</v>
      </c>
      <c r="S2" t="s">
        <v>520</v>
      </c>
      <c r="T2" t="s">
        <v>521</v>
      </c>
      <c r="U2" t="s">
        <v>522</v>
      </c>
      <c r="V2" s="3">
        <v>2.37</v>
      </c>
      <c r="W2" s="3">
        <v>0.30199999999999999</v>
      </c>
      <c r="X2" t="s">
        <v>523</v>
      </c>
      <c r="Y2" s="3">
        <v>0.59099999999999997</v>
      </c>
      <c r="Z2" s="3">
        <v>-2E-3</v>
      </c>
      <c r="AA2" s="3">
        <v>-4.4999999999999998E-2</v>
      </c>
      <c r="AB2" s="3">
        <v>1.5189999999999999</v>
      </c>
    </row>
    <row r="3" spans="1:28" x14ac:dyDescent="0.25">
      <c r="A3" s="14">
        <v>46062</v>
      </c>
      <c r="B3" s="15" t="s">
        <v>45</v>
      </c>
      <c r="C3" s="4">
        <v>4.58</v>
      </c>
      <c r="D3" s="15" t="s">
        <v>371</v>
      </c>
      <c r="E3" t="s">
        <v>412</v>
      </c>
      <c r="F3" s="15" t="s">
        <v>413</v>
      </c>
      <c r="G3" t="s">
        <v>410</v>
      </c>
      <c r="H3" t="s">
        <v>134</v>
      </c>
      <c r="I3" t="s">
        <v>22</v>
      </c>
      <c r="J3" s="4">
        <v>4.58</v>
      </c>
      <c r="K3" s="5">
        <f t="shared" si="0"/>
        <v>0</v>
      </c>
      <c r="L3" s="4">
        <v>5.33</v>
      </c>
      <c r="M3" s="4">
        <v>4.3499999999999996</v>
      </c>
      <c r="N3" t="s">
        <v>498</v>
      </c>
      <c r="O3" s="3">
        <v>0</v>
      </c>
      <c r="P3" t="s">
        <v>46</v>
      </c>
      <c r="Q3" t="s">
        <v>461</v>
      </c>
      <c r="R3" s="3">
        <v>8.6999999999999994E-2</v>
      </c>
      <c r="S3" t="s">
        <v>499</v>
      </c>
      <c r="U3" t="s">
        <v>462</v>
      </c>
      <c r="V3" s="3">
        <v>0.27800000000000002</v>
      </c>
      <c r="W3" s="3">
        <v>2.4E-2</v>
      </c>
      <c r="X3" t="s">
        <v>47</v>
      </c>
      <c r="Y3" s="3">
        <v>1.524</v>
      </c>
      <c r="Z3" s="3">
        <v>0.13200000000000001</v>
      </c>
      <c r="AA3" s="3">
        <v>0.06</v>
      </c>
      <c r="AB3" s="3">
        <v>3.7999999999999999E-2</v>
      </c>
    </row>
    <row r="4" spans="1:28" x14ac:dyDescent="0.25">
      <c r="A4" s="14">
        <v>46062</v>
      </c>
      <c r="B4" s="15" t="s">
        <v>31</v>
      </c>
      <c r="C4" s="4">
        <v>5.16</v>
      </c>
      <c r="D4" s="15" t="s">
        <v>371</v>
      </c>
      <c r="E4" t="s">
        <v>409</v>
      </c>
      <c r="F4" s="15" t="s">
        <v>413</v>
      </c>
      <c r="G4" t="s">
        <v>410</v>
      </c>
      <c r="H4" t="s">
        <v>30</v>
      </c>
      <c r="I4" t="s">
        <v>22</v>
      </c>
      <c r="J4" s="4">
        <v>5.16</v>
      </c>
      <c r="K4" s="5">
        <f t="shared" si="0"/>
        <v>0</v>
      </c>
      <c r="L4" s="4">
        <v>6.41</v>
      </c>
      <c r="M4" s="4">
        <v>3.58</v>
      </c>
      <c r="N4" t="s">
        <v>487</v>
      </c>
      <c r="O4" s="3">
        <v>0.9</v>
      </c>
      <c r="P4" t="s">
        <v>468</v>
      </c>
      <c r="Q4" t="s">
        <v>452</v>
      </c>
      <c r="R4" s="3">
        <v>4.1000000000000002E-2</v>
      </c>
      <c r="S4" t="s">
        <v>475</v>
      </c>
      <c r="T4" t="s">
        <v>500</v>
      </c>
      <c r="U4" t="s">
        <v>453</v>
      </c>
      <c r="V4" s="3">
        <v>1.5249999999999999</v>
      </c>
      <c r="W4" s="3">
        <v>0.01</v>
      </c>
      <c r="X4" t="s">
        <v>32</v>
      </c>
      <c r="Y4" s="3">
        <v>4.2000000000000003E-2</v>
      </c>
      <c r="Z4" s="3">
        <v>0.10299999999999999</v>
      </c>
      <c r="AB4" s="3">
        <v>0.42899999999999999</v>
      </c>
    </row>
    <row r="5" spans="1:28" x14ac:dyDescent="0.25">
      <c r="A5" s="14">
        <v>46062</v>
      </c>
      <c r="B5" s="15" t="s">
        <v>118</v>
      </c>
      <c r="C5" s="4">
        <v>28.71</v>
      </c>
      <c r="D5" s="15" t="s">
        <v>371</v>
      </c>
      <c r="E5" t="s">
        <v>409</v>
      </c>
      <c r="F5" s="15" t="s">
        <v>413</v>
      </c>
      <c r="G5" t="s">
        <v>410</v>
      </c>
      <c r="H5" t="s">
        <v>160</v>
      </c>
      <c r="I5" t="s">
        <v>22</v>
      </c>
      <c r="J5" s="4">
        <v>28.71</v>
      </c>
      <c r="K5" s="5">
        <f t="shared" si="0"/>
        <v>0</v>
      </c>
      <c r="L5" s="4">
        <v>32.07</v>
      </c>
      <c r="M5" s="4">
        <v>13.11</v>
      </c>
      <c r="N5" t="s">
        <v>488</v>
      </c>
      <c r="O5" s="3">
        <v>1</v>
      </c>
      <c r="P5" t="s">
        <v>368</v>
      </c>
      <c r="Q5" t="s">
        <v>454</v>
      </c>
      <c r="R5" s="3">
        <v>2.5000000000000001E-2</v>
      </c>
      <c r="S5" t="s">
        <v>482</v>
      </c>
      <c r="T5" t="s">
        <v>501</v>
      </c>
      <c r="U5" t="s">
        <v>455</v>
      </c>
      <c r="V5" s="3">
        <v>0.161</v>
      </c>
      <c r="W5" s="3">
        <v>1.6E-2</v>
      </c>
      <c r="X5" t="s">
        <v>456</v>
      </c>
      <c r="Y5" s="3">
        <v>3.9E-2</v>
      </c>
      <c r="Z5" s="3">
        <v>6.0999999999999999E-2</v>
      </c>
      <c r="AA5" s="3">
        <v>0.155</v>
      </c>
      <c r="AB5" s="3">
        <v>0.17399999999999999</v>
      </c>
    </row>
    <row r="6" spans="1:28" x14ac:dyDescent="0.25">
      <c r="A6" s="14">
        <v>46049</v>
      </c>
      <c r="B6" s="15" t="s">
        <v>86</v>
      </c>
      <c r="C6" s="15">
        <v>4.5599999999999996</v>
      </c>
      <c r="D6" s="15" t="s">
        <v>372</v>
      </c>
      <c r="E6" t="s">
        <v>412</v>
      </c>
      <c r="F6" t="s">
        <v>373</v>
      </c>
      <c r="G6" t="s">
        <v>374</v>
      </c>
      <c r="H6" t="s">
        <v>188</v>
      </c>
      <c r="I6" t="s">
        <v>525</v>
      </c>
      <c r="J6" s="4">
        <v>4.57</v>
      </c>
      <c r="K6" s="5">
        <f t="shared" ref="K6:K11" si="1">(J6/C6-1)*100</f>
        <v>0.21929824561404132</v>
      </c>
      <c r="L6" s="4">
        <v>4.88</v>
      </c>
      <c r="M6" s="4">
        <v>3.21</v>
      </c>
      <c r="N6" t="s">
        <v>526</v>
      </c>
      <c r="O6" s="3">
        <v>1</v>
      </c>
      <c r="P6" t="s">
        <v>527</v>
      </c>
      <c r="Q6" t="s">
        <v>528</v>
      </c>
      <c r="R6" s="3">
        <v>7.3999999999999996E-2</v>
      </c>
      <c r="S6" t="s">
        <v>529</v>
      </c>
      <c r="U6" t="s">
        <v>530</v>
      </c>
      <c r="V6" s="3">
        <v>0.13700000000000001</v>
      </c>
      <c r="W6" s="3">
        <v>2.1000000000000001E-2</v>
      </c>
      <c r="X6" t="s">
        <v>531</v>
      </c>
      <c r="Y6" s="3">
        <v>0.245</v>
      </c>
      <c r="Z6" s="3">
        <v>-0.11</v>
      </c>
      <c r="AA6" s="3">
        <v>-0.22800000000000001</v>
      </c>
      <c r="AB6" s="3">
        <v>0.17</v>
      </c>
    </row>
    <row r="7" spans="1:28" x14ac:dyDescent="0.25">
      <c r="A7" s="14">
        <v>46041</v>
      </c>
      <c r="B7" s="15" t="s">
        <v>507</v>
      </c>
      <c r="C7" s="15">
        <v>3.94</v>
      </c>
      <c r="D7" s="15" t="s">
        <v>372</v>
      </c>
      <c r="E7" t="s">
        <v>412</v>
      </c>
      <c r="F7" t="s">
        <v>373</v>
      </c>
      <c r="G7" t="s">
        <v>374</v>
      </c>
      <c r="H7" t="s">
        <v>508</v>
      </c>
      <c r="I7" t="s">
        <v>38</v>
      </c>
      <c r="J7" s="4">
        <v>3.64</v>
      </c>
      <c r="K7" s="5">
        <f t="shared" si="1"/>
        <v>-7.6142131979695442</v>
      </c>
      <c r="L7" s="4">
        <v>4.3600000000000003</v>
      </c>
      <c r="M7" s="4">
        <v>3.45</v>
      </c>
      <c r="N7" t="s">
        <v>511</v>
      </c>
      <c r="O7" s="3">
        <v>1</v>
      </c>
      <c r="P7" t="s">
        <v>512</v>
      </c>
      <c r="Q7" t="s">
        <v>513</v>
      </c>
      <c r="R7" s="3">
        <v>5.1999999999999998E-2</v>
      </c>
      <c r="S7" t="s">
        <v>388</v>
      </c>
      <c r="T7" t="s">
        <v>514</v>
      </c>
      <c r="U7" t="s">
        <v>515</v>
      </c>
      <c r="V7" s="3">
        <v>1.5169999999999999</v>
      </c>
      <c r="W7" s="3">
        <v>8.9999999999999993E-3</v>
      </c>
      <c r="X7" t="s">
        <v>516</v>
      </c>
      <c r="Y7" s="3">
        <v>3.5000000000000003E-2</v>
      </c>
      <c r="Z7" s="3">
        <v>1.2999999999999999E-2</v>
      </c>
      <c r="AA7" s="3">
        <v>-4.9000000000000002E-2</v>
      </c>
      <c r="AB7" s="3">
        <v>0.112</v>
      </c>
    </row>
    <row r="8" spans="1:28" x14ac:dyDescent="0.25">
      <c r="A8" s="14">
        <v>46041</v>
      </c>
      <c r="B8" s="15" t="s">
        <v>143</v>
      </c>
      <c r="C8" s="15">
        <v>4.46</v>
      </c>
      <c r="D8" s="15" t="s">
        <v>372</v>
      </c>
      <c r="E8" t="s">
        <v>412</v>
      </c>
      <c r="F8" t="s">
        <v>373</v>
      </c>
      <c r="G8" t="s">
        <v>374</v>
      </c>
      <c r="H8" t="s">
        <v>189</v>
      </c>
      <c r="I8" t="s">
        <v>510</v>
      </c>
      <c r="J8" s="4">
        <v>4.1100000000000003</v>
      </c>
      <c r="K8" s="5">
        <f t="shared" si="1"/>
        <v>-7.8475336322869849</v>
      </c>
      <c r="L8" s="4">
        <v>4.6500000000000004</v>
      </c>
      <c r="M8" s="4">
        <v>3.1</v>
      </c>
      <c r="N8" t="s">
        <v>517</v>
      </c>
      <c r="O8" s="3">
        <v>1</v>
      </c>
      <c r="P8" t="s">
        <v>518</v>
      </c>
      <c r="Q8" t="s">
        <v>519</v>
      </c>
      <c r="R8" s="3">
        <v>5.2999999999999999E-2</v>
      </c>
      <c r="S8" t="s">
        <v>520</v>
      </c>
      <c r="T8" t="s">
        <v>521</v>
      </c>
      <c r="U8" t="s">
        <v>522</v>
      </c>
      <c r="V8" s="3">
        <v>2.37</v>
      </c>
      <c r="W8" s="3">
        <v>0.30199999999999999</v>
      </c>
      <c r="X8" t="s">
        <v>523</v>
      </c>
      <c r="Y8" s="3">
        <v>0.59099999999999997</v>
      </c>
      <c r="Z8" s="3">
        <v>-2E-3</v>
      </c>
      <c r="AA8" s="3">
        <v>-4.4999999999999998E-2</v>
      </c>
      <c r="AB8" s="3">
        <v>1.5189999999999999</v>
      </c>
    </row>
    <row r="9" spans="1:28" x14ac:dyDescent="0.25">
      <c r="A9" s="14">
        <v>46034</v>
      </c>
      <c r="B9" s="15" t="s">
        <v>105</v>
      </c>
      <c r="C9" s="15">
        <v>9.0399999999999991</v>
      </c>
      <c r="D9" s="15" t="s">
        <v>371</v>
      </c>
      <c r="E9" t="s">
        <v>409</v>
      </c>
      <c r="F9" s="15" t="s">
        <v>413</v>
      </c>
      <c r="G9" t="s">
        <v>410</v>
      </c>
      <c r="H9" t="s">
        <v>168</v>
      </c>
      <c r="I9" t="s">
        <v>26</v>
      </c>
      <c r="J9" s="4">
        <v>9.0399999999999991</v>
      </c>
      <c r="K9" s="5">
        <f t="shared" si="1"/>
        <v>0</v>
      </c>
      <c r="L9" s="4">
        <v>11.74</v>
      </c>
      <c r="M9" s="4">
        <v>6.02</v>
      </c>
      <c r="N9" t="s">
        <v>391</v>
      </c>
      <c r="O9" s="3">
        <v>1</v>
      </c>
      <c r="P9" t="s">
        <v>392</v>
      </c>
      <c r="Q9" t="s">
        <v>415</v>
      </c>
      <c r="R9" s="3">
        <v>5.7000000000000002E-2</v>
      </c>
      <c r="S9" t="s">
        <v>505</v>
      </c>
      <c r="T9" t="s">
        <v>506</v>
      </c>
      <c r="U9" t="s">
        <v>447</v>
      </c>
      <c r="V9" s="3">
        <v>5.0000000000000001E-3</v>
      </c>
      <c r="W9" s="3">
        <v>0.03</v>
      </c>
      <c r="X9" t="s">
        <v>448</v>
      </c>
      <c r="Y9" s="3">
        <v>0.51700000000000002</v>
      </c>
      <c r="Z9" s="3">
        <v>-0.16800000000000001</v>
      </c>
      <c r="AA9" s="3">
        <v>-0.23499999999999999</v>
      </c>
      <c r="AB9" s="3">
        <v>0.16300000000000001</v>
      </c>
    </row>
    <row r="10" spans="1:28" x14ac:dyDescent="0.25">
      <c r="A10" s="14">
        <v>45999</v>
      </c>
      <c r="B10" s="15" t="s">
        <v>36</v>
      </c>
      <c r="C10" s="15">
        <v>2.0299999999999998</v>
      </c>
      <c r="D10" s="15" t="s">
        <v>371</v>
      </c>
      <c r="E10" t="s">
        <v>412</v>
      </c>
      <c r="F10" s="15" t="s">
        <v>413</v>
      </c>
      <c r="G10" t="s">
        <v>410</v>
      </c>
      <c r="H10" t="s">
        <v>35</v>
      </c>
      <c r="I10" t="s">
        <v>34</v>
      </c>
      <c r="J10" s="4">
        <v>2.0299999999999998</v>
      </c>
      <c r="K10" s="5">
        <f t="shared" si="1"/>
        <v>0</v>
      </c>
      <c r="L10" s="4">
        <v>2.46</v>
      </c>
      <c r="M10" s="4">
        <v>1.7749999999999999</v>
      </c>
      <c r="N10" t="s">
        <v>476</v>
      </c>
      <c r="O10" s="3">
        <v>0</v>
      </c>
      <c r="P10" t="s">
        <v>37</v>
      </c>
      <c r="Q10" t="s">
        <v>449</v>
      </c>
      <c r="R10" s="3">
        <v>4.3999999999999997E-2</v>
      </c>
      <c r="S10" t="s">
        <v>477</v>
      </c>
      <c r="T10" t="s">
        <v>478</v>
      </c>
      <c r="U10" t="s">
        <v>450</v>
      </c>
      <c r="V10" s="3">
        <v>0.502</v>
      </c>
      <c r="W10" s="3">
        <v>0.01</v>
      </c>
      <c r="X10" t="s">
        <v>451</v>
      </c>
      <c r="Y10" s="3">
        <v>2.8000000000000001E-2</v>
      </c>
      <c r="Z10" s="3">
        <v>2.3E-2</v>
      </c>
      <c r="AA10" s="3">
        <v>-0.57799999999999996</v>
      </c>
      <c r="AB10" s="3">
        <v>7.0000000000000001E-3</v>
      </c>
    </row>
    <row r="11" spans="1:28" x14ac:dyDescent="0.25">
      <c r="A11" s="14">
        <v>45999</v>
      </c>
      <c r="B11" s="15" t="s">
        <v>25</v>
      </c>
      <c r="C11" s="15">
        <v>4.5</v>
      </c>
      <c r="D11" s="15" t="s">
        <v>371</v>
      </c>
      <c r="E11" t="s">
        <v>412</v>
      </c>
      <c r="F11" s="15" t="s">
        <v>413</v>
      </c>
      <c r="G11" t="s">
        <v>410</v>
      </c>
      <c r="H11" t="s">
        <v>24</v>
      </c>
      <c r="I11" t="s">
        <v>26</v>
      </c>
      <c r="J11" s="4">
        <v>4.5</v>
      </c>
      <c r="K11" s="5">
        <f t="shared" si="1"/>
        <v>0</v>
      </c>
      <c r="L11" s="4">
        <v>5.2</v>
      </c>
      <c r="M11" s="4">
        <v>3.57</v>
      </c>
      <c r="N11" t="s">
        <v>479</v>
      </c>
      <c r="O11" s="3">
        <v>1</v>
      </c>
      <c r="P11" t="s">
        <v>27</v>
      </c>
      <c r="Q11" t="s">
        <v>465</v>
      </c>
      <c r="R11" s="3">
        <v>0.04</v>
      </c>
      <c r="S11" t="s">
        <v>480</v>
      </c>
      <c r="U11" t="s">
        <v>466</v>
      </c>
      <c r="V11" s="3">
        <v>8.8999999999999996E-2</v>
      </c>
      <c r="X11" t="s">
        <v>467</v>
      </c>
      <c r="Y11" s="3">
        <v>6.2E-2</v>
      </c>
      <c r="Z11" s="3">
        <v>4.7E-2</v>
      </c>
      <c r="AA11" s="3">
        <v>8.3000000000000004E-2</v>
      </c>
      <c r="AB11" s="3">
        <v>0.216</v>
      </c>
    </row>
    <row r="12" spans="1:28" x14ac:dyDescent="0.25">
      <c r="A12" s="14">
        <v>45894</v>
      </c>
      <c r="B12" s="15" t="s">
        <v>105</v>
      </c>
      <c r="C12" s="15">
        <v>11.05</v>
      </c>
      <c r="D12" s="15" t="s">
        <v>372</v>
      </c>
      <c r="E12" t="s">
        <v>412</v>
      </c>
      <c r="F12" t="s">
        <v>373</v>
      </c>
      <c r="G12" t="s">
        <v>374</v>
      </c>
      <c r="H12" t="s">
        <v>168</v>
      </c>
      <c r="I12" t="s">
        <v>26</v>
      </c>
      <c r="J12" s="4">
        <v>9.0399999999999991</v>
      </c>
      <c r="K12" s="5">
        <f>(J12/C12-1)*100</f>
        <v>-18.190045248868792</v>
      </c>
      <c r="L12" s="4">
        <v>11.74</v>
      </c>
      <c r="M12" s="4">
        <v>6.02</v>
      </c>
      <c r="N12" t="s">
        <v>391</v>
      </c>
      <c r="O12" s="3">
        <v>1</v>
      </c>
      <c r="P12" t="s">
        <v>392</v>
      </c>
      <c r="Q12" t="s">
        <v>415</v>
      </c>
      <c r="R12" s="3">
        <v>5.7000000000000002E-2</v>
      </c>
      <c r="S12" t="s">
        <v>505</v>
      </c>
      <c r="T12" t="s">
        <v>506</v>
      </c>
      <c r="U12" t="s">
        <v>447</v>
      </c>
      <c r="V12" s="3">
        <v>5.0000000000000001E-3</v>
      </c>
      <c r="W12" s="3">
        <v>0.03</v>
      </c>
      <c r="X12" t="s">
        <v>448</v>
      </c>
      <c r="Y12" s="3">
        <v>0.51700000000000002</v>
      </c>
      <c r="Z12" s="3">
        <v>-0.16800000000000001</v>
      </c>
      <c r="AA12" s="3">
        <v>-0.23499999999999999</v>
      </c>
      <c r="AB12" s="3">
        <v>0.16300000000000001</v>
      </c>
    </row>
    <row r="13" spans="1:28" x14ac:dyDescent="0.25">
      <c r="A13" s="14">
        <v>45894</v>
      </c>
      <c r="B13" s="15" t="s">
        <v>40</v>
      </c>
      <c r="C13" s="15">
        <v>2.83</v>
      </c>
      <c r="D13" s="15" t="s">
        <v>371</v>
      </c>
      <c r="E13" t="s">
        <v>412</v>
      </c>
      <c r="F13" s="15" t="s">
        <v>413</v>
      </c>
      <c r="G13" t="s">
        <v>374</v>
      </c>
      <c r="H13" t="s">
        <v>39</v>
      </c>
      <c r="I13" t="s">
        <v>38</v>
      </c>
      <c r="J13" s="15">
        <v>2.83</v>
      </c>
      <c r="K13" s="16">
        <f t="shared" ref="K13:K27" si="2">(J13/C13-1)*100</f>
        <v>0</v>
      </c>
      <c r="L13" s="4">
        <v>3.9</v>
      </c>
      <c r="M13" s="4">
        <v>2.72</v>
      </c>
      <c r="N13" t="s">
        <v>360</v>
      </c>
      <c r="O13" s="3">
        <v>1</v>
      </c>
      <c r="P13" t="s">
        <v>41</v>
      </c>
      <c r="Q13" t="s">
        <v>42</v>
      </c>
      <c r="R13" s="3">
        <v>5.3999999999999999E-2</v>
      </c>
      <c r="S13" t="s">
        <v>23</v>
      </c>
      <c r="T13" t="s">
        <v>441</v>
      </c>
      <c r="U13" t="s">
        <v>43</v>
      </c>
      <c r="V13" s="3">
        <v>6.4219999999999997</v>
      </c>
      <c r="W13" s="3">
        <v>1.2999999999999999E-2</v>
      </c>
      <c r="X13" t="s">
        <v>44</v>
      </c>
      <c r="Y13" s="3">
        <v>2.8000000000000001E-2</v>
      </c>
      <c r="Z13" s="3">
        <v>6.9000000000000006E-2</v>
      </c>
      <c r="AA13" s="3">
        <v>6.7000000000000004E-2</v>
      </c>
      <c r="AB13" s="3">
        <v>0.38600000000000001</v>
      </c>
    </row>
    <row r="14" spans="1:28" x14ac:dyDescent="0.25">
      <c r="A14" s="2">
        <v>45793</v>
      </c>
      <c r="B14" s="3" t="s">
        <v>135</v>
      </c>
      <c r="C14">
        <v>8.6199999999999992</v>
      </c>
      <c r="D14" t="s">
        <v>372</v>
      </c>
      <c r="E14" t="s">
        <v>412</v>
      </c>
      <c r="F14" t="s">
        <v>373</v>
      </c>
      <c r="G14" t="s">
        <v>374</v>
      </c>
      <c r="H14" t="s">
        <v>158</v>
      </c>
      <c r="I14" t="s">
        <v>159</v>
      </c>
      <c r="J14" s="4">
        <v>8.73</v>
      </c>
      <c r="K14" s="5">
        <f t="shared" si="2"/>
        <v>1.2761020881670637</v>
      </c>
      <c r="L14" s="4">
        <v>9.2200000000000006</v>
      </c>
      <c r="M14" s="4">
        <v>6.08</v>
      </c>
      <c r="N14" t="s">
        <v>490</v>
      </c>
      <c r="O14" s="3">
        <v>0</v>
      </c>
      <c r="P14" t="s">
        <v>469</v>
      </c>
      <c r="Q14" t="s">
        <v>444</v>
      </c>
      <c r="R14" s="3">
        <v>6.6000000000000003E-2</v>
      </c>
      <c r="S14" t="s">
        <v>491</v>
      </c>
      <c r="U14" t="s">
        <v>445</v>
      </c>
      <c r="V14" s="3">
        <v>5.2539999999999996</v>
      </c>
      <c r="W14" s="3">
        <v>1.6E-2</v>
      </c>
      <c r="X14" t="s">
        <v>446</v>
      </c>
      <c r="Y14" s="3">
        <v>4.1000000000000002E-2</v>
      </c>
      <c r="Z14" s="3">
        <v>5.5E-2</v>
      </c>
      <c r="AA14" s="3">
        <v>-0.26900000000000002</v>
      </c>
      <c r="AB14" s="3">
        <v>3.3000000000000002E-2</v>
      </c>
    </row>
    <row r="15" spans="1:28" x14ac:dyDescent="0.25">
      <c r="A15" s="2">
        <v>45786</v>
      </c>
      <c r="B15" s="3" t="s">
        <v>80</v>
      </c>
      <c r="C15">
        <v>3.07</v>
      </c>
      <c r="D15" t="s">
        <v>372</v>
      </c>
      <c r="E15" t="s">
        <v>412</v>
      </c>
      <c r="F15" t="s">
        <v>373</v>
      </c>
      <c r="G15" t="s">
        <v>374</v>
      </c>
      <c r="H15" t="s">
        <v>131</v>
      </c>
      <c r="I15" t="s">
        <v>34</v>
      </c>
      <c r="J15" s="4">
        <v>3.15</v>
      </c>
      <c r="K15" s="5">
        <f t="shared" si="2"/>
        <v>2.6058631921824116</v>
      </c>
      <c r="L15" s="4">
        <v>3.54</v>
      </c>
      <c r="M15" s="4">
        <v>2.68</v>
      </c>
      <c r="N15" t="s">
        <v>481</v>
      </c>
      <c r="O15" s="3">
        <v>0</v>
      </c>
      <c r="P15" t="s">
        <v>473</v>
      </c>
      <c r="Q15" t="s">
        <v>433</v>
      </c>
      <c r="R15" s="3">
        <v>5.1999999999999998E-2</v>
      </c>
      <c r="S15" t="s">
        <v>496</v>
      </c>
      <c r="U15" t="s">
        <v>434</v>
      </c>
      <c r="V15" s="3">
        <v>0.54600000000000004</v>
      </c>
      <c r="W15" s="3">
        <v>2E-3</v>
      </c>
      <c r="X15" t="s">
        <v>435</v>
      </c>
      <c r="Y15" s="3">
        <v>0.56999999999999995</v>
      </c>
      <c r="Z15" s="3">
        <v>4.7E-2</v>
      </c>
      <c r="AA15" s="3">
        <v>-0.29499999999999998</v>
      </c>
      <c r="AB15" s="3">
        <v>5.3999999999999999E-2</v>
      </c>
    </row>
    <row r="16" spans="1:28" x14ac:dyDescent="0.25">
      <c r="A16" s="2">
        <v>45786</v>
      </c>
      <c r="B16" s="3" t="s">
        <v>81</v>
      </c>
      <c r="C16">
        <v>3.64</v>
      </c>
      <c r="D16" t="s">
        <v>372</v>
      </c>
      <c r="E16" t="s">
        <v>412</v>
      </c>
      <c r="F16" t="s">
        <v>373</v>
      </c>
      <c r="G16" t="s">
        <v>374</v>
      </c>
      <c r="H16" t="s">
        <v>132</v>
      </c>
      <c r="I16" t="s">
        <v>34</v>
      </c>
      <c r="J16" s="4">
        <v>3.7</v>
      </c>
      <c r="K16" s="5">
        <f t="shared" si="2"/>
        <v>1.6483516483516425</v>
      </c>
      <c r="L16" s="4">
        <v>4.03</v>
      </c>
      <c r="M16" s="4">
        <v>3.17</v>
      </c>
      <c r="N16" t="s">
        <v>492</v>
      </c>
      <c r="O16" s="3">
        <v>0</v>
      </c>
      <c r="P16" t="s">
        <v>133</v>
      </c>
      <c r="Q16" t="s">
        <v>436</v>
      </c>
      <c r="R16" s="3">
        <v>5.0999999999999997E-2</v>
      </c>
      <c r="S16" t="s">
        <v>497</v>
      </c>
      <c r="U16" t="s">
        <v>437</v>
      </c>
      <c r="V16" s="3">
        <v>0.28499999999999998</v>
      </c>
      <c r="W16" s="3">
        <v>3.0000000000000001E-3</v>
      </c>
      <c r="X16" t="s">
        <v>438</v>
      </c>
      <c r="Y16" s="3">
        <v>1.306</v>
      </c>
      <c r="Z16" s="3">
        <v>9.8000000000000004E-2</v>
      </c>
      <c r="AA16" s="3">
        <v>-0.21099999999999999</v>
      </c>
      <c r="AB16" s="3">
        <v>9.6000000000000002E-2</v>
      </c>
    </row>
    <row r="17" spans="1:28" x14ac:dyDescent="0.25">
      <c r="A17" s="2">
        <v>45786</v>
      </c>
      <c r="B17" s="3" t="s">
        <v>45</v>
      </c>
      <c r="C17">
        <v>5.18</v>
      </c>
      <c r="D17" t="s">
        <v>372</v>
      </c>
      <c r="E17" t="s">
        <v>412</v>
      </c>
      <c r="F17" t="s">
        <v>373</v>
      </c>
      <c r="G17" t="s">
        <v>374</v>
      </c>
      <c r="H17" t="s">
        <v>134</v>
      </c>
      <c r="I17" t="s">
        <v>22</v>
      </c>
      <c r="J17" s="4">
        <v>4.58</v>
      </c>
      <c r="K17" s="5">
        <f t="shared" si="2"/>
        <v>-11.583011583011583</v>
      </c>
      <c r="L17" s="4">
        <v>5.33</v>
      </c>
      <c r="M17" s="4">
        <v>4.3499999999999996</v>
      </c>
      <c r="N17" t="s">
        <v>498</v>
      </c>
      <c r="O17" s="3">
        <v>0</v>
      </c>
      <c r="P17" t="s">
        <v>46</v>
      </c>
      <c r="Q17" t="s">
        <v>461</v>
      </c>
      <c r="R17" s="3">
        <v>8.6999999999999994E-2</v>
      </c>
      <c r="S17" t="s">
        <v>499</v>
      </c>
      <c r="U17" t="s">
        <v>462</v>
      </c>
      <c r="V17" s="3">
        <v>0.27800000000000002</v>
      </c>
      <c r="W17" s="3">
        <v>2.4E-2</v>
      </c>
      <c r="X17" t="s">
        <v>47</v>
      </c>
      <c r="Y17" s="3">
        <v>1.524</v>
      </c>
      <c r="Z17" s="3">
        <v>0.13200000000000001</v>
      </c>
      <c r="AA17" s="3">
        <v>0.06</v>
      </c>
      <c r="AB17" s="3">
        <v>3.7999999999999999E-2</v>
      </c>
    </row>
    <row r="18" spans="1:28" x14ac:dyDescent="0.25">
      <c r="A18" s="2">
        <v>45786</v>
      </c>
      <c r="B18" s="3" t="s">
        <v>40</v>
      </c>
      <c r="C18">
        <v>3.5</v>
      </c>
      <c r="D18" t="s">
        <v>372</v>
      </c>
      <c r="E18" t="s">
        <v>412</v>
      </c>
      <c r="F18" t="s">
        <v>373</v>
      </c>
      <c r="G18" t="s">
        <v>374</v>
      </c>
      <c r="H18" t="s">
        <v>39</v>
      </c>
      <c r="I18" t="s">
        <v>38</v>
      </c>
      <c r="J18" s="4">
        <v>3.53</v>
      </c>
      <c r="K18" s="5">
        <f t="shared" si="2"/>
        <v>0.85714285714284522</v>
      </c>
      <c r="L18" s="4">
        <v>3.9</v>
      </c>
      <c r="M18" s="4">
        <v>2.72</v>
      </c>
      <c r="N18" t="s">
        <v>360</v>
      </c>
      <c r="O18" s="3">
        <v>1</v>
      </c>
      <c r="P18" t="s">
        <v>41</v>
      </c>
      <c r="Q18" t="s">
        <v>42</v>
      </c>
      <c r="R18" s="3">
        <v>5.3999999999999999E-2</v>
      </c>
      <c r="S18" t="s">
        <v>23</v>
      </c>
      <c r="T18" t="s">
        <v>441</v>
      </c>
      <c r="U18" t="s">
        <v>43</v>
      </c>
      <c r="V18" s="3">
        <v>6.4219999999999997</v>
      </c>
      <c r="W18" s="3">
        <v>1.2999999999999999E-2</v>
      </c>
      <c r="X18" t="s">
        <v>44</v>
      </c>
      <c r="Y18" s="3">
        <v>2.8000000000000001E-2</v>
      </c>
      <c r="Z18" s="3">
        <v>6.9000000000000006E-2</v>
      </c>
      <c r="AA18" s="3">
        <v>6.7000000000000004E-2</v>
      </c>
      <c r="AB18" s="3">
        <v>0.38600000000000001</v>
      </c>
    </row>
    <row r="19" spans="1:28" x14ac:dyDescent="0.25">
      <c r="A19" s="2">
        <v>45786</v>
      </c>
      <c r="B19" s="3" t="s">
        <v>36</v>
      </c>
      <c r="C19">
        <v>2.2999999999999998</v>
      </c>
      <c r="D19" t="s">
        <v>372</v>
      </c>
      <c r="E19" t="s">
        <v>412</v>
      </c>
      <c r="F19" t="s">
        <v>373</v>
      </c>
      <c r="G19" t="s">
        <v>374</v>
      </c>
      <c r="H19" t="s">
        <v>35</v>
      </c>
      <c r="I19" t="s">
        <v>34</v>
      </c>
      <c r="J19" s="4">
        <v>2.0299999999999998</v>
      </c>
      <c r="K19" s="5">
        <f t="shared" si="2"/>
        <v>-11.739130434782608</v>
      </c>
      <c r="L19" s="4">
        <v>2.46</v>
      </c>
      <c r="M19" s="4">
        <v>1.7749999999999999</v>
      </c>
      <c r="N19" t="s">
        <v>476</v>
      </c>
      <c r="O19" s="3">
        <v>0</v>
      </c>
      <c r="P19" t="s">
        <v>37</v>
      </c>
      <c r="Q19" t="s">
        <v>449</v>
      </c>
      <c r="R19" s="3">
        <v>4.3999999999999997E-2</v>
      </c>
      <c r="S19" t="s">
        <v>477</v>
      </c>
      <c r="T19" t="s">
        <v>478</v>
      </c>
      <c r="U19" t="s">
        <v>450</v>
      </c>
      <c r="V19" s="3">
        <v>0.502</v>
      </c>
      <c r="W19" s="3">
        <v>0.01</v>
      </c>
      <c r="X19" t="s">
        <v>451</v>
      </c>
      <c r="Y19" s="3">
        <v>2.8000000000000001E-2</v>
      </c>
      <c r="Z19" s="3">
        <v>2.3E-2</v>
      </c>
      <c r="AA19" s="3">
        <v>-0.57799999999999996</v>
      </c>
      <c r="AB19" s="3">
        <v>7.0000000000000001E-3</v>
      </c>
    </row>
    <row r="20" spans="1:28" x14ac:dyDescent="0.25">
      <c r="A20" s="2">
        <v>45786</v>
      </c>
      <c r="B20" s="3" t="s">
        <v>31</v>
      </c>
      <c r="C20">
        <v>4.3499999999999996</v>
      </c>
      <c r="D20" t="s">
        <v>372</v>
      </c>
      <c r="E20" t="s">
        <v>412</v>
      </c>
      <c r="F20" t="s">
        <v>373</v>
      </c>
      <c r="G20" t="s">
        <v>374</v>
      </c>
      <c r="H20" t="s">
        <v>30</v>
      </c>
      <c r="I20" t="s">
        <v>22</v>
      </c>
      <c r="J20" s="4">
        <v>5.16</v>
      </c>
      <c r="K20" s="5">
        <f t="shared" si="2"/>
        <v>18.620689655172427</v>
      </c>
      <c r="L20" s="4">
        <v>6.41</v>
      </c>
      <c r="M20" s="4">
        <v>3.58</v>
      </c>
      <c r="N20" t="s">
        <v>487</v>
      </c>
      <c r="O20" s="3">
        <v>0.9</v>
      </c>
      <c r="P20" t="s">
        <v>468</v>
      </c>
      <c r="Q20" t="s">
        <v>452</v>
      </c>
      <c r="R20" s="3">
        <v>4.1000000000000002E-2</v>
      </c>
      <c r="S20" t="s">
        <v>475</v>
      </c>
      <c r="T20" t="s">
        <v>500</v>
      </c>
      <c r="U20" t="s">
        <v>453</v>
      </c>
      <c r="V20" s="3">
        <v>1.5249999999999999</v>
      </c>
      <c r="W20" s="3">
        <v>0.01</v>
      </c>
      <c r="X20" t="s">
        <v>32</v>
      </c>
      <c r="Y20" s="3">
        <v>4.2000000000000003E-2</v>
      </c>
      <c r="Z20" s="3">
        <v>0.10299999999999999</v>
      </c>
      <c r="AB20" s="3">
        <v>0.42899999999999999</v>
      </c>
    </row>
    <row r="21" spans="1:28" x14ac:dyDescent="0.25">
      <c r="A21" s="2">
        <v>45695</v>
      </c>
      <c r="B21" s="3" t="s">
        <v>25</v>
      </c>
      <c r="C21" s="5">
        <v>3.91</v>
      </c>
      <c r="D21" t="s">
        <v>372</v>
      </c>
      <c r="E21" t="s">
        <v>412</v>
      </c>
      <c r="F21" t="s">
        <v>373</v>
      </c>
      <c r="G21" t="s">
        <v>374</v>
      </c>
      <c r="H21" t="s">
        <v>24</v>
      </c>
      <c r="I21" t="s">
        <v>26</v>
      </c>
      <c r="J21" s="4">
        <v>5.86</v>
      </c>
      <c r="K21" s="5">
        <f t="shared" si="2"/>
        <v>49.872122762148344</v>
      </c>
      <c r="L21" s="4">
        <v>5.95</v>
      </c>
      <c r="M21" s="4">
        <v>3.38</v>
      </c>
      <c r="N21" t="s">
        <v>485</v>
      </c>
      <c r="O21" s="3">
        <v>0.9</v>
      </c>
      <c r="P21" t="s">
        <v>468</v>
      </c>
      <c r="Q21" t="s">
        <v>452</v>
      </c>
      <c r="R21" s="3">
        <v>3.5999999999999997E-2</v>
      </c>
      <c r="S21" t="s">
        <v>475</v>
      </c>
      <c r="T21" t="s">
        <v>486</v>
      </c>
      <c r="U21" t="s">
        <v>453</v>
      </c>
      <c r="V21" s="3">
        <v>1.5249999999999999</v>
      </c>
      <c r="W21" s="3">
        <v>0.01</v>
      </c>
      <c r="X21" t="s">
        <v>32</v>
      </c>
      <c r="Y21" s="3">
        <v>4.2000000000000003E-2</v>
      </c>
      <c r="Z21" s="3">
        <v>0.10299999999999999</v>
      </c>
      <c r="AB21" s="3">
        <v>0.42899999999999999</v>
      </c>
    </row>
    <row r="22" spans="1:28" x14ac:dyDescent="0.25">
      <c r="A22" s="2">
        <v>45758</v>
      </c>
      <c r="B22" s="3" t="s">
        <v>72</v>
      </c>
      <c r="C22">
        <v>3.93</v>
      </c>
      <c r="D22" t="s">
        <v>371</v>
      </c>
      <c r="E22" t="s">
        <v>409</v>
      </c>
      <c r="F22" t="s">
        <v>413</v>
      </c>
      <c r="G22" t="s">
        <v>410</v>
      </c>
      <c r="H22" t="s">
        <v>165</v>
      </c>
      <c r="I22" t="s">
        <v>26</v>
      </c>
      <c r="J22" s="4">
        <v>3.94</v>
      </c>
      <c r="K22" s="5">
        <f t="shared" si="2"/>
        <v>0.25445292620864812</v>
      </c>
      <c r="L22" s="4">
        <v>4.84</v>
      </c>
      <c r="M22" s="4">
        <v>2.2200000000000002</v>
      </c>
      <c r="N22" t="s">
        <v>367</v>
      </c>
      <c r="O22" s="3">
        <v>0</v>
      </c>
      <c r="P22" t="s">
        <v>375</v>
      </c>
      <c r="R22" s="3">
        <v>0</v>
      </c>
      <c r="S22" t="s">
        <v>376</v>
      </c>
      <c r="U22" t="s">
        <v>377</v>
      </c>
      <c r="V22" s="3">
        <v>0.57899999999999996</v>
      </c>
      <c r="X22" t="s">
        <v>378</v>
      </c>
      <c r="Y22" s="3">
        <v>-8.6999999999999994E-2</v>
      </c>
      <c r="Z22" s="3">
        <v>0.14199999999999999</v>
      </c>
      <c r="AB22" s="3">
        <v>-7.0999999999999994E-2</v>
      </c>
    </row>
    <row r="23" spans="1:28" x14ac:dyDescent="0.25">
      <c r="A23" s="2">
        <v>45737</v>
      </c>
      <c r="B23" s="3" t="s">
        <v>79</v>
      </c>
      <c r="C23">
        <v>142.36000000000001</v>
      </c>
      <c r="D23" t="s">
        <v>371</v>
      </c>
      <c r="E23" t="s">
        <v>409</v>
      </c>
      <c r="F23" t="s">
        <v>413</v>
      </c>
      <c r="G23" t="s">
        <v>410</v>
      </c>
      <c r="H23" t="s">
        <v>166</v>
      </c>
      <c r="I23" t="s">
        <v>26</v>
      </c>
      <c r="J23" s="4">
        <v>180.89</v>
      </c>
      <c r="K23" s="5">
        <f t="shared" si="2"/>
        <v>27.06518685023882</v>
      </c>
      <c r="L23" s="4">
        <v>192</v>
      </c>
      <c r="M23" s="4">
        <v>120.96</v>
      </c>
      <c r="N23" t="s">
        <v>379</v>
      </c>
      <c r="O23" s="3">
        <v>1</v>
      </c>
      <c r="P23" t="s">
        <v>380</v>
      </c>
      <c r="Q23" t="s">
        <v>381</v>
      </c>
      <c r="R23" s="3">
        <v>2.7E-2</v>
      </c>
      <c r="S23" t="s">
        <v>382</v>
      </c>
      <c r="U23" t="s">
        <v>383</v>
      </c>
      <c r="V23" s="3">
        <v>2.782</v>
      </c>
      <c r="X23" t="s">
        <v>384</v>
      </c>
      <c r="Y23" s="3">
        <v>0.35199999999999998</v>
      </c>
      <c r="Z23" s="3">
        <v>0.35299999999999998</v>
      </c>
      <c r="AA23" s="3">
        <v>4.1000000000000002E-2</v>
      </c>
      <c r="AB23" s="3">
        <v>0.13200000000000001</v>
      </c>
    </row>
    <row r="24" spans="1:28" x14ac:dyDescent="0.25">
      <c r="A24" s="2">
        <v>45730</v>
      </c>
      <c r="B24" s="3" t="s">
        <v>117</v>
      </c>
      <c r="C24">
        <v>2.81</v>
      </c>
      <c r="D24" t="s">
        <v>371</v>
      </c>
      <c r="E24" t="s">
        <v>409</v>
      </c>
      <c r="F24" t="s">
        <v>413</v>
      </c>
      <c r="G24" t="s">
        <v>410</v>
      </c>
      <c r="H24" t="s">
        <v>167</v>
      </c>
      <c r="I24" t="s">
        <v>22</v>
      </c>
      <c r="J24" s="4">
        <v>3.04</v>
      </c>
      <c r="K24" s="5">
        <f t="shared" si="2"/>
        <v>8.1850533807829251</v>
      </c>
      <c r="L24" s="4">
        <v>3.93</v>
      </c>
      <c r="M24" s="4">
        <v>2.21</v>
      </c>
      <c r="N24" t="s">
        <v>385</v>
      </c>
      <c r="O24" s="3">
        <v>1</v>
      </c>
      <c r="P24" t="s">
        <v>386</v>
      </c>
      <c r="Q24" t="s">
        <v>387</v>
      </c>
      <c r="R24" s="3">
        <v>5.2999999999999999E-2</v>
      </c>
      <c r="S24" t="s">
        <v>388</v>
      </c>
      <c r="U24" t="s">
        <v>389</v>
      </c>
      <c r="V24" s="3">
        <v>0.66600000000000004</v>
      </c>
      <c r="W24" s="3">
        <v>1.0999999999999999E-2</v>
      </c>
      <c r="X24" t="s">
        <v>390</v>
      </c>
      <c r="Y24" s="3">
        <v>3.6999999999999998E-2</v>
      </c>
      <c r="Z24" s="3">
        <v>9.5000000000000001E-2</v>
      </c>
      <c r="AA24" s="3">
        <v>0.222</v>
      </c>
      <c r="AB24" s="3">
        <v>0.17899999999999999</v>
      </c>
    </row>
    <row r="25" spans="1:28" x14ac:dyDescent="0.25">
      <c r="A25" s="2">
        <v>45716</v>
      </c>
      <c r="B25" t="s">
        <v>105</v>
      </c>
      <c r="C25">
        <v>8.9600000000000009</v>
      </c>
      <c r="D25" t="s">
        <v>371</v>
      </c>
      <c r="E25" t="s">
        <v>409</v>
      </c>
      <c r="F25" t="s">
        <v>413</v>
      </c>
      <c r="G25" t="s">
        <v>410</v>
      </c>
      <c r="H25" t="s">
        <v>168</v>
      </c>
      <c r="I25" t="s">
        <v>26</v>
      </c>
      <c r="J25" s="4">
        <v>9.67</v>
      </c>
      <c r="K25" s="5">
        <f t="shared" si="2"/>
        <v>7.9241071428571397</v>
      </c>
      <c r="L25" s="4">
        <v>12.26</v>
      </c>
      <c r="M25" s="4">
        <v>6.29</v>
      </c>
      <c r="N25" t="s">
        <v>391</v>
      </c>
      <c r="O25" s="3">
        <v>0.85</v>
      </c>
      <c r="P25" t="s">
        <v>392</v>
      </c>
      <c r="Q25" t="s">
        <v>393</v>
      </c>
      <c r="R25" s="3">
        <v>6.5000000000000002E-2</v>
      </c>
      <c r="S25" t="s">
        <v>394</v>
      </c>
      <c r="U25" t="s">
        <v>395</v>
      </c>
      <c r="V25" s="3">
        <v>6.0000000000000001E-3</v>
      </c>
      <c r="W25" s="3">
        <v>4.9000000000000002E-2</v>
      </c>
      <c r="X25" t="s">
        <v>396</v>
      </c>
      <c r="Y25" s="3">
        <v>0.59</v>
      </c>
      <c r="Z25" s="3">
        <v>-0.191</v>
      </c>
      <c r="AA25" s="3">
        <v>-0.03</v>
      </c>
      <c r="AB25" s="3">
        <v>0.23200000000000001</v>
      </c>
    </row>
    <row r="26" spans="1:28" x14ac:dyDescent="0.25">
      <c r="A26" s="2">
        <v>45716</v>
      </c>
      <c r="B26" t="s">
        <v>75</v>
      </c>
      <c r="C26">
        <v>14</v>
      </c>
      <c r="D26" t="s">
        <v>371</v>
      </c>
      <c r="E26" t="s">
        <v>409</v>
      </c>
      <c r="F26" t="s">
        <v>413</v>
      </c>
      <c r="G26" t="s">
        <v>410</v>
      </c>
      <c r="H26" t="s">
        <v>169</v>
      </c>
      <c r="I26" t="s">
        <v>397</v>
      </c>
      <c r="J26" s="4">
        <v>15.23</v>
      </c>
      <c r="K26" s="5">
        <f t="shared" si="2"/>
        <v>8.7857142857142847</v>
      </c>
      <c r="L26" s="4">
        <v>17.97</v>
      </c>
      <c r="M26" s="4">
        <v>12.06</v>
      </c>
      <c r="N26" t="s">
        <v>370</v>
      </c>
      <c r="O26" s="3">
        <v>1</v>
      </c>
      <c r="P26" t="s">
        <v>398</v>
      </c>
      <c r="Q26" t="s">
        <v>399</v>
      </c>
      <c r="R26" s="3">
        <v>4.4999999999999998E-2</v>
      </c>
      <c r="S26" t="s">
        <v>359</v>
      </c>
      <c r="T26" t="s">
        <v>400</v>
      </c>
      <c r="U26" t="s">
        <v>401</v>
      </c>
      <c r="V26" s="3">
        <v>0.85599999999999998</v>
      </c>
      <c r="W26" s="3">
        <v>1.0999999999999999E-2</v>
      </c>
      <c r="X26" t="s">
        <v>402</v>
      </c>
      <c r="Y26" s="3">
        <v>5.7000000000000002E-2</v>
      </c>
      <c r="Z26" s="3">
        <v>0.04</v>
      </c>
      <c r="AA26" s="3">
        <v>-7.1999999999999995E-2</v>
      </c>
      <c r="AB26" s="3">
        <v>0.17100000000000001</v>
      </c>
    </row>
    <row r="27" spans="1:28" x14ac:dyDescent="0.25">
      <c r="A27" s="2">
        <v>45716</v>
      </c>
      <c r="B27" t="s">
        <v>101</v>
      </c>
      <c r="C27">
        <v>35.08</v>
      </c>
      <c r="D27" t="s">
        <v>371</v>
      </c>
      <c r="E27" t="s">
        <v>409</v>
      </c>
      <c r="F27" t="s">
        <v>413</v>
      </c>
      <c r="G27" t="s">
        <v>410</v>
      </c>
      <c r="H27" t="s">
        <v>170</v>
      </c>
      <c r="I27" t="s">
        <v>26</v>
      </c>
      <c r="J27" s="4">
        <v>39.79</v>
      </c>
      <c r="K27" s="5">
        <f t="shared" si="2"/>
        <v>13.426453819840379</v>
      </c>
      <c r="L27" s="4">
        <v>40.71</v>
      </c>
      <c r="M27" s="4">
        <v>30.41</v>
      </c>
      <c r="N27" t="s">
        <v>403</v>
      </c>
      <c r="O27" s="3">
        <v>1</v>
      </c>
      <c r="P27" t="s">
        <v>404</v>
      </c>
      <c r="Q27" t="s">
        <v>405</v>
      </c>
      <c r="R27" s="3">
        <v>4.2999999999999997E-2</v>
      </c>
      <c r="S27" t="s">
        <v>406</v>
      </c>
      <c r="U27" t="s">
        <v>407</v>
      </c>
      <c r="V27" s="3">
        <v>2.9950000000000001</v>
      </c>
      <c r="X27" t="s">
        <v>408</v>
      </c>
      <c r="Y27" s="3">
        <v>0.32900000000000001</v>
      </c>
      <c r="Z27" s="3">
        <v>0.47899999999999998</v>
      </c>
      <c r="AA27" s="3">
        <v>6.3E-2</v>
      </c>
      <c r="AB27" s="3">
        <v>0.113</v>
      </c>
    </row>
    <row r="30" spans="1:28" x14ac:dyDescent="0.25">
      <c r="C30" s="5"/>
      <c r="D30" s="4"/>
      <c r="G30" s="4"/>
      <c r="H30" s="4"/>
      <c r="J30" s="3"/>
      <c r="M30" s="3"/>
      <c r="Q30" s="3"/>
      <c r="R30" s="3"/>
      <c r="T30" s="3"/>
      <c r="U30" s="3"/>
      <c r="V30" s="3"/>
      <c r="W30" s="3"/>
    </row>
    <row r="31" spans="1:28" x14ac:dyDescent="0.25">
      <c r="D31" s="4"/>
      <c r="G31" s="4"/>
      <c r="H31" s="4"/>
      <c r="J31" s="3"/>
      <c r="M31" s="3"/>
      <c r="Q31" s="3"/>
      <c r="R31" s="3"/>
      <c r="T31" s="3"/>
      <c r="U31" s="3"/>
      <c r="V31" s="3"/>
      <c r="W31" s="3"/>
    </row>
    <row r="32" spans="1:28" x14ac:dyDescent="0.25">
      <c r="D32" s="4"/>
      <c r="G32" s="4"/>
      <c r="H32" s="4"/>
      <c r="J32" s="3"/>
      <c r="M32" s="3"/>
      <c r="Q32" s="3"/>
      <c r="T32" s="3"/>
      <c r="U32" s="3"/>
      <c r="V32" s="3"/>
      <c r="W32" s="3"/>
    </row>
    <row r="33" spans="4:23" x14ac:dyDescent="0.25">
      <c r="D33" s="4"/>
      <c r="G33" s="4"/>
      <c r="H33" s="4"/>
      <c r="J33" s="3"/>
      <c r="M33" s="3"/>
      <c r="Q33" s="3"/>
      <c r="R33" s="3"/>
      <c r="T33" s="3"/>
      <c r="U33" s="3"/>
      <c r="V33" s="3"/>
      <c r="W3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26" sqref="H26"/>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COUNTA(Trades!$A$2:A1048576)</f>
        <v>197</v>
      </c>
      <c r="D2">
        <f>COUNTIF(Trades!$J$2:J897,"&gt;0")</f>
        <v>119</v>
      </c>
      <c r="E2">
        <f>AVERAGEIF(Trades!$J$2:J897,"&gt;0")*100</f>
        <v>48.893538240311614</v>
      </c>
      <c r="F2">
        <f>C2-D2</f>
        <v>78</v>
      </c>
      <c r="G2">
        <f>AVERAGEIF(Trades!$J$2:J897,"&lt;0")*100</f>
        <v>-14.091367043539174</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4"/>
  <sheetViews>
    <sheetView tabSelected="1" topLeftCell="A1361" workbookViewId="0">
      <selection activeCell="I1381" sqref="I138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zoomScaleNormal="100" workbookViewId="0">
      <selection activeCell="N17" sqref="N17"/>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5" t="s">
        <v>86</v>
      </c>
      <c r="B2" t="s">
        <v>188</v>
      </c>
      <c r="C2" t="s">
        <v>335</v>
      </c>
      <c r="D2" s="14">
        <v>46049</v>
      </c>
      <c r="E2" s="15">
        <v>4.5599999999999996</v>
      </c>
      <c r="F2" s="14">
        <v>46061</v>
      </c>
      <c r="G2" s="4">
        <v>4.57</v>
      </c>
      <c r="H2" s="3">
        <f t="shared" ref="H2" si="0">G2/E2-1</f>
        <v>2.1929824561404132E-3</v>
      </c>
      <c r="I2">
        <f t="shared" ref="I2" si="1">K2*E2*J2</f>
        <v>26.433440000008531</v>
      </c>
      <c r="J2" s="3">
        <f t="shared" ref="J2" si="2">H2-0.002</f>
        <v>1.9298245614041316E-4</v>
      </c>
      <c r="K2" s="15">
        <v>30038</v>
      </c>
      <c r="M2" s="4"/>
      <c r="N2" s="23"/>
      <c r="O2" s="17"/>
    </row>
    <row r="3" spans="1:30" x14ac:dyDescent="0.25">
      <c r="A3" s="15" t="s">
        <v>507</v>
      </c>
      <c r="B3" t="s">
        <v>508</v>
      </c>
      <c r="C3" t="s">
        <v>335</v>
      </c>
      <c r="D3" s="14">
        <v>46041</v>
      </c>
      <c r="E3" s="15">
        <v>3.93</v>
      </c>
      <c r="F3" s="14">
        <v>46061</v>
      </c>
      <c r="G3" s="4">
        <v>3.64</v>
      </c>
      <c r="H3" s="3">
        <f t="shared" ref="H3" si="3">G3/E3-1</f>
        <v>-7.3791348600508955E-2</v>
      </c>
      <c r="I3">
        <f t="shared" ref="I3" si="4">K3*E3*J3</f>
        <v>-11159.027040000008</v>
      </c>
      <c r="J3" s="3">
        <f t="shared" ref="J3" si="5">H3-0.002</f>
        <v>-7.5791348600508957E-2</v>
      </c>
      <c r="K3" s="15">
        <v>37464</v>
      </c>
      <c r="M3" s="4"/>
      <c r="N3" s="23"/>
      <c r="O3" s="17"/>
    </row>
    <row r="4" spans="1:30" x14ac:dyDescent="0.25">
      <c r="A4" s="3" t="s">
        <v>135</v>
      </c>
      <c r="B4" t="s">
        <v>158</v>
      </c>
      <c r="C4" t="s">
        <v>335</v>
      </c>
      <c r="D4" s="2">
        <v>45793</v>
      </c>
      <c r="E4">
        <v>8.6199999999999992</v>
      </c>
      <c r="F4" s="14">
        <v>46061</v>
      </c>
      <c r="G4" s="4">
        <v>8.73</v>
      </c>
      <c r="H4" s="3">
        <f t="shared" ref="H4" si="6">G4/E4-1</f>
        <v>1.2761020881670637E-2</v>
      </c>
      <c r="I4">
        <f t="shared" ref="I4" si="7">K4*E4*J4</f>
        <v>1335.8367600000129</v>
      </c>
      <c r="J4" s="3">
        <f t="shared" ref="J4" si="8">H4-0.002</f>
        <v>1.0761020881670637E-2</v>
      </c>
      <c r="K4">
        <v>14401</v>
      </c>
      <c r="M4" s="4"/>
      <c r="N4" s="23"/>
      <c r="O4" s="17"/>
    </row>
    <row r="5" spans="1:30" x14ac:dyDescent="0.25">
      <c r="A5" s="3" t="s">
        <v>80</v>
      </c>
      <c r="B5" t="s">
        <v>131</v>
      </c>
      <c r="C5" t="s">
        <v>335</v>
      </c>
      <c r="D5" s="2">
        <v>45786</v>
      </c>
      <c r="E5">
        <v>3.07</v>
      </c>
      <c r="F5" s="14">
        <v>46061</v>
      </c>
      <c r="G5" s="4">
        <v>3.15</v>
      </c>
      <c r="H5" s="3">
        <f t="shared" ref="H5:H9" si="9">G5/E5-1</f>
        <v>2.6058631921824116E-2</v>
      </c>
      <c r="I5">
        <f t="shared" ref="I5:I9" si="10">K5*E5*J5</f>
        <v>2845.678080000001</v>
      </c>
      <c r="J5" s="3">
        <f t="shared" ref="J5:J9" si="11">H5-0.002</f>
        <v>2.4058631921824114E-2</v>
      </c>
      <c r="K5">
        <v>38528</v>
      </c>
      <c r="M5" s="4"/>
      <c r="N5" s="4"/>
      <c r="P5" s="11"/>
      <c r="Q5" s="13"/>
      <c r="R5" s="2"/>
      <c r="T5" s="3"/>
      <c r="V5" s="3"/>
      <c r="AA5" s="3"/>
      <c r="AB5" s="3"/>
      <c r="AC5" s="3"/>
      <c r="AD5" s="3"/>
    </row>
    <row r="6" spans="1:30" x14ac:dyDescent="0.25">
      <c r="A6" s="3" t="s">
        <v>81</v>
      </c>
      <c r="B6" t="s">
        <v>132</v>
      </c>
      <c r="C6" t="s">
        <v>335</v>
      </c>
      <c r="D6" s="2">
        <v>45786</v>
      </c>
      <c r="E6">
        <v>3.64</v>
      </c>
      <c r="F6" s="14">
        <v>46061</v>
      </c>
      <c r="G6" s="4">
        <v>3.7</v>
      </c>
      <c r="H6" s="3">
        <f t="shared" si="9"/>
        <v>1.6483516483516425E-2</v>
      </c>
      <c r="I6">
        <f t="shared" si="10"/>
        <v>1737.123999999993</v>
      </c>
      <c r="J6" s="3">
        <f t="shared" si="11"/>
        <v>1.4483516483516425E-2</v>
      </c>
      <c r="K6">
        <v>32950</v>
      </c>
      <c r="M6" s="4"/>
      <c r="N6" s="4"/>
      <c r="P6" s="11"/>
      <c r="Q6" s="12"/>
      <c r="R6" s="2"/>
      <c r="T6" s="3"/>
      <c r="V6" s="3"/>
      <c r="AA6" s="3"/>
      <c r="AB6" s="3"/>
      <c r="AC6" s="3"/>
      <c r="AD6" s="3"/>
    </row>
    <row r="7" spans="1:30" x14ac:dyDescent="0.25">
      <c r="A7" s="3" t="s">
        <v>136</v>
      </c>
      <c r="B7" t="s">
        <v>161</v>
      </c>
      <c r="C7" t="s">
        <v>335</v>
      </c>
      <c r="D7" s="2">
        <v>45499</v>
      </c>
      <c r="E7">
        <v>3.696536</v>
      </c>
      <c r="F7" s="14">
        <v>46061</v>
      </c>
      <c r="G7" s="4">
        <v>4.88</v>
      </c>
      <c r="H7" s="3">
        <f t="shared" si="9"/>
        <v>0.32015486931548875</v>
      </c>
      <c r="I7">
        <f t="shared" si="10"/>
        <v>35410.319571151987</v>
      </c>
      <c r="J7" s="3">
        <f t="shared" si="11"/>
        <v>0.31815486931548875</v>
      </c>
      <c r="K7">
        <v>30109</v>
      </c>
      <c r="M7" s="4"/>
      <c r="N7" s="4"/>
      <c r="P7" s="11"/>
      <c r="Q7" s="12"/>
      <c r="R7" s="2"/>
      <c r="T7" s="3"/>
      <c r="V7" s="3"/>
      <c r="AA7" s="3"/>
      <c r="AB7" s="3"/>
      <c r="AC7" s="3"/>
      <c r="AD7" s="3"/>
    </row>
    <row r="8" spans="1:30" x14ac:dyDescent="0.25">
      <c r="A8" s="3" t="s">
        <v>115</v>
      </c>
      <c r="B8" t="s">
        <v>163</v>
      </c>
      <c r="C8" t="s">
        <v>335</v>
      </c>
      <c r="D8" s="2">
        <v>45282</v>
      </c>
      <c r="E8">
        <v>5.588908</v>
      </c>
      <c r="F8" s="14">
        <v>46061</v>
      </c>
      <c r="G8" s="4">
        <v>6.85</v>
      </c>
      <c r="H8" s="3">
        <f t="shared" si="9"/>
        <v>0.22564193219856188</v>
      </c>
      <c r="I8">
        <f t="shared" si="10"/>
        <v>24495.818178032001</v>
      </c>
      <c r="J8" s="3">
        <f t="shared" si="11"/>
        <v>0.22364193219856188</v>
      </c>
      <c r="K8">
        <v>19598</v>
      </c>
      <c r="M8" s="4"/>
      <c r="N8" s="4"/>
      <c r="P8" s="11"/>
      <c r="Q8" s="12"/>
      <c r="R8" s="2"/>
      <c r="T8" s="3"/>
      <c r="V8" s="3"/>
      <c r="AA8" s="3"/>
      <c r="AB8" s="3"/>
      <c r="AC8" s="3"/>
      <c r="AD8" s="3"/>
    </row>
    <row r="9" spans="1:30" x14ac:dyDescent="0.25">
      <c r="A9" s="3" t="s">
        <v>137</v>
      </c>
      <c r="B9" t="s">
        <v>164</v>
      </c>
      <c r="C9" t="s">
        <v>335</v>
      </c>
      <c r="D9" s="2">
        <v>45275</v>
      </c>
      <c r="E9">
        <v>2.2089750000000001</v>
      </c>
      <c r="F9" s="14">
        <v>46061</v>
      </c>
      <c r="G9" s="4">
        <v>2.75</v>
      </c>
      <c r="H9" s="3">
        <f t="shared" si="9"/>
        <v>0.24492128702226146</v>
      </c>
      <c r="I9">
        <f t="shared" si="10"/>
        <v>26537.901657750001</v>
      </c>
      <c r="J9" s="3">
        <f t="shared" si="11"/>
        <v>0.24292128702226146</v>
      </c>
      <c r="K9">
        <v>49455</v>
      </c>
      <c r="M9" s="4"/>
      <c r="N9" s="4"/>
      <c r="P9" s="11"/>
      <c r="Q9" s="12"/>
      <c r="R9" s="2"/>
      <c r="T9" s="3"/>
      <c r="V9" s="3"/>
      <c r="AA9" s="3"/>
      <c r="AB9" s="3"/>
      <c r="AC9" s="3"/>
      <c r="AD9" s="3"/>
    </row>
    <row r="10" spans="1:30" x14ac:dyDescent="0.25">
      <c r="A10" s="15" t="s">
        <v>143</v>
      </c>
      <c r="B10" t="s">
        <v>189</v>
      </c>
      <c r="C10" t="s">
        <v>336</v>
      </c>
      <c r="D10" s="14">
        <v>46041</v>
      </c>
      <c r="E10" s="15">
        <v>4.58</v>
      </c>
      <c r="F10" s="14">
        <v>46062</v>
      </c>
      <c r="G10" s="4">
        <v>4.3</v>
      </c>
      <c r="H10" s="3">
        <f t="shared" ref="H10:H13" si="12">G10/E10-1</f>
        <v>-6.1135371179039333E-2</v>
      </c>
      <c r="I10">
        <f t="shared" ref="I10:I13" si="13">K10*E10*J10</f>
        <v>-9570.0393600000043</v>
      </c>
      <c r="J10" s="3">
        <f t="shared" ref="J10:J13" si="14">H10-0.002</f>
        <v>-6.3135371179039335E-2</v>
      </c>
      <c r="K10" s="15">
        <v>33096</v>
      </c>
      <c r="L10" s="4"/>
      <c r="M10" s="4"/>
      <c r="N10" s="4"/>
      <c r="P10" s="11"/>
      <c r="Q10" s="12"/>
      <c r="R10" s="2"/>
      <c r="T10" s="3"/>
      <c r="V10" s="3"/>
      <c r="AA10" s="3"/>
      <c r="AB10" s="3"/>
      <c r="AC10" s="3"/>
      <c r="AD10" s="3"/>
    </row>
    <row r="11" spans="1:30" x14ac:dyDescent="0.25">
      <c r="A11" s="3" t="s">
        <v>45</v>
      </c>
      <c r="B11" t="s">
        <v>134</v>
      </c>
      <c r="C11" t="s">
        <v>336</v>
      </c>
      <c r="D11" s="2">
        <v>45786</v>
      </c>
      <c r="E11">
        <v>5.18</v>
      </c>
      <c r="F11" s="14">
        <v>46062</v>
      </c>
      <c r="G11" s="4">
        <v>4.62</v>
      </c>
      <c r="H11" s="3">
        <f t="shared" si="12"/>
        <v>-0.108108108108108</v>
      </c>
      <c r="I11">
        <f t="shared" si="13"/>
        <v>-12860.477279999988</v>
      </c>
      <c r="J11" s="3">
        <f t="shared" si="14"/>
        <v>-0.110108108108108</v>
      </c>
      <c r="K11">
        <v>22548</v>
      </c>
      <c r="L11" s="4"/>
      <c r="M11" s="4"/>
      <c r="N11" s="4"/>
      <c r="P11" s="11"/>
      <c r="Q11" s="12"/>
      <c r="R11" s="2"/>
      <c r="T11" s="3"/>
      <c r="V11" s="3"/>
      <c r="AA11" s="3"/>
      <c r="AB11" s="3"/>
      <c r="AC11" s="3"/>
      <c r="AD11" s="3"/>
    </row>
    <row r="12" spans="1:30" x14ac:dyDescent="0.25">
      <c r="A12" s="3" t="s">
        <v>31</v>
      </c>
      <c r="B12" t="s">
        <v>30</v>
      </c>
      <c r="C12" t="s">
        <v>336</v>
      </c>
      <c r="D12" s="2">
        <v>45786</v>
      </c>
      <c r="E12">
        <v>4.3499999999999996</v>
      </c>
      <c r="F12" s="14">
        <v>46062</v>
      </c>
      <c r="G12" s="4">
        <v>5.2</v>
      </c>
      <c r="H12" s="3">
        <f t="shared" si="12"/>
        <v>0.19540229885057481</v>
      </c>
      <c r="I12">
        <f t="shared" si="13"/>
        <v>22599.00060000001</v>
      </c>
      <c r="J12" s="3">
        <f t="shared" si="14"/>
        <v>0.19340229885057481</v>
      </c>
      <c r="K12">
        <v>26862</v>
      </c>
      <c r="L12" s="4"/>
      <c r="M12" s="4"/>
      <c r="N12" s="4"/>
      <c r="P12" s="11"/>
      <c r="Q12" s="12"/>
      <c r="R12" s="2"/>
      <c r="T12" s="3"/>
      <c r="V12" s="3"/>
      <c r="AA12" s="3"/>
      <c r="AB12" s="3"/>
      <c r="AC12" s="3"/>
      <c r="AD12" s="3"/>
    </row>
    <row r="13" spans="1:30" x14ac:dyDescent="0.25">
      <c r="A13" s="3" t="s">
        <v>118</v>
      </c>
      <c r="B13" t="s">
        <v>160</v>
      </c>
      <c r="C13" t="s">
        <v>336</v>
      </c>
      <c r="D13" s="2">
        <v>45639</v>
      </c>
      <c r="E13">
        <v>13.27768</v>
      </c>
      <c r="F13" s="14">
        <v>46062</v>
      </c>
      <c r="G13" s="4">
        <v>28.7</v>
      </c>
      <c r="H13" s="3">
        <f t="shared" si="12"/>
        <v>1.1615221936362374</v>
      </c>
      <c r="I13">
        <f t="shared" si="13"/>
        <v>134405.02530719998</v>
      </c>
      <c r="J13" s="3">
        <f t="shared" si="14"/>
        <v>1.1595221936362374</v>
      </c>
      <c r="K13">
        <v>8730</v>
      </c>
      <c r="L13" s="4"/>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15">G14/E14-1</f>
        <v>-0.1452830188679245</v>
      </c>
      <c r="I14">
        <f t="shared" ref="I14" si="16">K14*E14*J14</f>
        <v>-19564.958399999992</v>
      </c>
      <c r="J14" s="3">
        <f t="shared" ref="J14" si="17">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8">G15/E15-1</f>
        <v>-0.11739130434782608</v>
      </c>
      <c r="I15">
        <f t="shared" ref="I15:I16" si="19">K15*E15*J15</f>
        <v>-14236.362399999998</v>
      </c>
      <c r="J15" s="3">
        <f t="shared" ref="J15:J16" si="20">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8"/>
        <v>0.16887177320451263</v>
      </c>
      <c r="I16">
        <f t="shared" si="19"/>
        <v>19930.170304775987</v>
      </c>
      <c r="J16" s="3">
        <f t="shared" si="20"/>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21">G17/E17-1</f>
        <v>-0.18285714285714294</v>
      </c>
      <c r="I17">
        <f>K17*E17*J17</f>
        <v>-21594.272000000008</v>
      </c>
      <c r="J17" s="3">
        <f t="shared" ref="J17" si="22">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344</v>
      </c>
      <c r="B1" t="s">
        <v>345</v>
      </c>
      <c r="C1" t="s">
        <v>346</v>
      </c>
      <c r="D1" t="s">
        <v>347</v>
      </c>
      <c r="E1" t="s">
        <v>348</v>
      </c>
      <c r="F1" t="s">
        <v>349</v>
      </c>
      <c r="G1" t="s">
        <v>350</v>
      </c>
      <c r="H1" t="s">
        <v>351</v>
      </c>
      <c r="I1" t="s">
        <v>352</v>
      </c>
      <c r="J1" t="s">
        <v>353</v>
      </c>
      <c r="K1" t="s">
        <v>354</v>
      </c>
      <c r="L1" t="s">
        <v>355</v>
      </c>
      <c r="M1" t="s">
        <v>356</v>
      </c>
      <c r="N1" t="s">
        <v>357</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358</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91"/>
  <sheetViews>
    <sheetView topLeftCell="A1356" workbookViewId="0">
      <selection activeCell="H1392" sqref="H139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361</v>
      </c>
      <c r="B1" s="7" t="s">
        <v>335</v>
      </c>
      <c r="C1" s="7" t="s">
        <v>362</v>
      </c>
      <c r="D1" s="7" t="s">
        <v>363</v>
      </c>
      <c r="E1" s="7" t="s">
        <v>364</v>
      </c>
      <c r="F1" s="7" t="s">
        <v>365</v>
      </c>
      <c r="G1" s="7" t="s">
        <v>366</v>
      </c>
      <c r="H1" s="7" t="s">
        <v>417</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91"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2026-02-14T06:17:22Z</dcterms:modified>
</cp:coreProperties>
</file>