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A:\AusBiz\portfolio_updater\output\income\"/>
    </mc:Choice>
  </mc:AlternateContent>
  <xr:revisionPtr revIDLastSave="0" documentId="13_ncr:1_{88D33DAF-F82D-449E-80A0-5EB258661435}" xr6:coauthVersionLast="47" xr6:coauthVersionMax="47" xr10:uidLastSave="{00000000-0000-0000-0000-000000000000}"/>
  <bookViews>
    <workbookView xWindow="38280" yWindow="-120" windowWidth="38640" windowHeight="21120" activeTab="4"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63" i="5" l="1"/>
  <c r="E1363" i="5" s="1"/>
  <c r="H1362" i="8"/>
  <c r="D1362" i="5"/>
  <c r="E1362" i="5" s="1"/>
  <c r="H1361" i="8"/>
  <c r="D1361" i="5"/>
  <c r="E1361" i="5" s="1"/>
  <c r="H1360" i="8"/>
  <c r="D1360" i="5"/>
  <c r="E1360" i="5" s="1"/>
  <c r="H1359" i="8"/>
  <c r="D1359" i="5"/>
  <c r="E1359" i="5" s="1"/>
  <c r="H1358" i="8"/>
  <c r="D1358" i="5"/>
  <c r="E1358" i="5" s="1"/>
  <c r="H1357" i="8"/>
  <c r="D1357" i="5"/>
  <c r="E1357" i="5" s="1"/>
  <c r="H1356" i="8"/>
  <c r="D1356" i="5"/>
  <c r="E1356" i="5" s="1"/>
  <c r="H1355" i="8"/>
  <c r="C2" i="4"/>
  <c r="D1355" i="5"/>
  <c r="E1355" i="5" s="1"/>
  <c r="H1354" i="8"/>
  <c r="D1354" i="5"/>
  <c r="E1354" i="5" s="1"/>
  <c r="H1352" i="8"/>
  <c r="H1353" i="8" s="1"/>
  <c r="D1353" i="5"/>
  <c r="E1353" i="5" s="1"/>
  <c r="H1351" i="8"/>
  <c r="D1352" i="5"/>
  <c r="E1352" i="5" s="1"/>
  <c r="D1351" i="5"/>
  <c r="E1351" i="5" s="1"/>
  <c r="D1350" i="5"/>
  <c r="E1350" i="5" s="1"/>
  <c r="E1349" i="5"/>
  <c r="D1349" i="5"/>
  <c r="E1348" i="5"/>
  <c r="D1348" i="5"/>
  <c r="D1347" i="5" l="1"/>
  <c r="E1347" i="5" s="1"/>
  <c r="D1346" i="5"/>
  <c r="E1346" i="5" s="1"/>
  <c r="F2" i="2"/>
  <c r="F3" i="2"/>
  <c r="F4" i="2"/>
  <c r="F5" i="2"/>
  <c r="F6" i="2"/>
  <c r="F7" i="2"/>
  <c r="F8" i="2"/>
  <c r="F9" i="2"/>
  <c r="F10" i="2"/>
  <c r="F11" i="2"/>
  <c r="F12" i="2"/>
  <c r="F13" i="2"/>
  <c r="D1345" i="5"/>
  <c r="E1345" i="5" s="1"/>
  <c r="K4" i="3"/>
  <c r="K5" i="3"/>
  <c r="K6" i="3"/>
  <c r="K7" i="3"/>
  <c r="K2" i="3"/>
  <c r="D1344" i="5"/>
  <c r="E1344" i="5" s="1"/>
  <c r="A1344" i="5"/>
  <c r="D1343" i="5"/>
  <c r="E1343" i="5" s="1"/>
  <c r="H14" i="6"/>
  <c r="J14" i="6" s="1"/>
  <c r="I14" i="6" s="1"/>
  <c r="H2" i="6"/>
  <c r="J2" i="6" s="1"/>
  <c r="H3" i="6"/>
  <c r="J3" i="6" s="1"/>
  <c r="K3" i="3"/>
  <c r="E1341" i="5"/>
  <c r="E1342" i="5"/>
  <c r="D1341" i="5"/>
  <c r="D1342" i="5"/>
  <c r="E1340" i="5"/>
  <c r="D1340" i="5"/>
  <c r="E1339" i="5"/>
  <c r="D1339" i="5"/>
  <c r="K8" i="3"/>
  <c r="K9" i="3"/>
  <c r="K10" i="3"/>
  <c r="K11" i="3"/>
  <c r="E1338" i="5"/>
  <c r="D1338" i="5"/>
  <c r="H4" i="6"/>
  <c r="J4" i="6" s="1"/>
  <c r="I4" i="6" s="1"/>
  <c r="H5" i="6"/>
  <c r="J5" i="6" s="1"/>
  <c r="I5" i="6" s="1"/>
  <c r="H6" i="6"/>
  <c r="J6" i="6" s="1"/>
  <c r="I6" i="6" s="1"/>
  <c r="H7" i="6"/>
  <c r="J7" i="6" s="1"/>
  <c r="I7" i="6" s="1"/>
  <c r="H8" i="6"/>
  <c r="J8" i="6" s="1"/>
  <c r="I8" i="6" s="1"/>
  <c r="H9" i="6"/>
  <c r="J9" i="6" s="1"/>
  <c r="I9" i="6" s="1"/>
  <c r="H10" i="6"/>
  <c r="J10" i="6" s="1"/>
  <c r="I10" i="6" s="1"/>
  <c r="H11" i="6"/>
  <c r="J11" i="6" s="1"/>
  <c r="I11" i="6" s="1"/>
  <c r="H12" i="6"/>
  <c r="J12" i="6" s="1"/>
  <c r="I12" i="6" s="1"/>
  <c r="H13" i="6"/>
  <c r="J13" i="6" s="1"/>
  <c r="I13" i="6" s="1"/>
  <c r="E1337" i="5"/>
  <c r="D1337" i="5"/>
  <c r="E1336" i="5"/>
  <c r="H4" i="8"/>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3" i="8"/>
  <c r="E1335" i="5"/>
  <c r="K12" i="3"/>
  <c r="K13" i="3"/>
  <c r="K14" i="3"/>
  <c r="K15" i="3"/>
  <c r="K16" i="3"/>
  <c r="K17" i="3"/>
  <c r="E1334" i="5"/>
  <c r="E1333" i="5"/>
  <c r="E1331" i="5"/>
  <c r="E1332"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I2" i="6" l="1"/>
  <c r="D2" i="4"/>
  <c r="F2" i="4" s="1"/>
  <c r="G2" i="4"/>
  <c r="E2" i="4"/>
  <c r="I3" i="6"/>
</calcChain>
</file>

<file path=xl/sharedStrings.xml><?xml version="1.0" encoding="utf-8"?>
<sst xmlns="http://schemas.openxmlformats.org/spreadsheetml/2006/main" count="1033" uniqueCount="511">
  <si>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</si>
  <si>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</si>
  <si>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</si>
  <si>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</si>
  <si>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</si>
  <si>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</si>
  <si>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</si>
  <si>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</si>
  <si>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</si>
  <si>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</si>
  <si>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</si>
  <si>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</si>
  <si>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</si>
  <si>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</si>
  <si>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</si>
  <si>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</si>
  <si>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</si>
  <si>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</si>
  <si>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</si>
  <si>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</si>
  <si>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</si>
  <si>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</si>
  <si>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</si>
  <si>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</si>
  <si>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</si>
  <si>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</si>
  <si>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</si>
  <si>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</si>
  <si>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APE.ASX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</si>
  <si>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</si>
  <si>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</si>
  <si>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</si>
  <si>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</si>
  <si>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</si>
  <si>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</si>
  <si>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</si>
  <si>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</si>
  <si>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</si>
  <si>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</si>
  <si>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</si>
  <si>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</si>
  <si>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</si>
  <si>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</si>
  <si>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</si>
  <si>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</si>
  <si>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</si>
  <si>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</si>
  <si>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</si>
  <si>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</si>
  <si>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</si>
  <si>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</si>
  <si>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</si>
  <si>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</si>
  <si>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</si>
  <si>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</si>
  <si>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</si>
  <si>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</si>
  <si>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</si>
  <si>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</si>
  <si>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</si>
  <si>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</si>
  <si>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</si>
  <si>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</si>
  <si>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</si>
  <si>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</si>
  <si>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</si>
  <si>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</si>
  <si>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</si>
  <si>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</si>
  <si>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</si>
  <si>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</si>
  <si>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</si>
  <si>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</si>
  <si>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</si>
  <si>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</si>
  <si>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</si>
  <si>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</si>
  <si>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</si>
  <si>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</si>
  <si>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</si>
  <si>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</si>
  <si>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</si>
  <si>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</si>
  <si>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</si>
  <si>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</si>
  <si>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</si>
  <si>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</si>
  <si>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</si>
  <si>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</si>
  <si>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</si>
  <si>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</si>
  <si>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</si>
  <si>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</si>
  <si>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ASX.ASX</t>
  </si>
  <si>
    <t>CNU.ASX</t>
  </si>
  <si>
    <t>FMG.ASX</t>
  </si>
  <si>
    <t>GOZ.ASX</t>
  </si>
  <si>
    <t>HVN.ASX</t>
  </si>
  <si>
    <t>GEM.ASX</t>
  </si>
  <si>
    <t>STO.ASX</t>
  </si>
  <si>
    <t>ORI.ASX</t>
  </si>
  <si>
    <t>NAB.ASX</t>
  </si>
  <si>
    <t>PTM.ASX</t>
  </si>
  <si>
    <t>WES.ASX</t>
  </si>
  <si>
    <t>AMC.ASX</t>
  </si>
  <si>
    <t>MFG.ASX</t>
  </si>
  <si>
    <t>CEH.ASX</t>
  </si>
  <si>
    <t>ABG.ASX</t>
  </si>
  <si>
    <t>MMS.ASX</t>
  </si>
  <si>
    <t>BEN.ASX</t>
  </si>
  <si>
    <t>FWD.ASX</t>
  </si>
  <si>
    <t>AOV.ASX</t>
  </si>
  <si>
    <t>MAH.ASX</t>
  </si>
  <si>
    <t>BHP.ASX</t>
  </si>
  <si>
    <t>KCN.ASX</t>
  </si>
  <si>
    <t>BOQ.ASX</t>
  </si>
  <si>
    <t>MGX.ASX</t>
  </si>
  <si>
    <t>NWH.ASX</t>
  </si>
  <si>
    <t>MND.ASX</t>
  </si>
  <si>
    <t>QBE.ASX</t>
  </si>
  <si>
    <t>SXL.ASX</t>
  </si>
  <si>
    <t>WOR.ASX</t>
  </si>
  <si>
    <t>GPT.ASX</t>
  </si>
  <si>
    <t>SIG.ASX</t>
  </si>
  <si>
    <t>IAG.ASX</t>
  </si>
  <si>
    <t>RIC.ASX</t>
  </si>
  <si>
    <t>PPT.ASX</t>
  </si>
  <si>
    <t>Cash</t>
  </si>
  <si>
    <t>Last 12 month return %</t>
  </si>
  <si>
    <t>Last 6 month return %</t>
  </si>
  <si>
    <t>Last 3 month return %</t>
  </si>
  <si>
    <t>Centuria Industrial Reit Ordinary Units</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</si>
  <si>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</si>
  <si>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</si>
  <si>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</si>
  <si>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</si>
  <si>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</si>
  <si>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</si>
  <si>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</si>
  <si>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</si>
  <si>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</si>
  <si>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</si>
  <si>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</si>
  <si>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</si>
  <si>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</si>
  <si>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</si>
  <si>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</si>
  <si>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</si>
  <si>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</si>
  <si>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</si>
  <si>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</si>
  <si>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</si>
  <si>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</si>
  <si>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</si>
  <si>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ANZ.ASX</t>
  </si>
  <si>
    <t>FGX.ASX</t>
  </si>
  <si>
    <t>TCL.ASX</t>
  </si>
  <si>
    <t>GMG.ASX</t>
  </si>
  <si>
    <t>APA Group Units Stapled Securities</t>
  </si>
  <si>
    <t>Utilities</t>
  </si>
  <si>
    <t>Monadelphous Group Limited Ordinary</t>
  </si>
  <si>
    <t>Telstra Group Limited Ordinary</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</si>
  <si>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</si>
  <si>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Bank of Queensland Limited Ordinary</t>
  </si>
  <si>
    <t>National Storage Reit Ordinary/Units Stapled Securities</t>
  </si>
  <si>
    <t>Insignia Financial Ltd Ordinary</t>
  </si>
  <si>
    <t>Commonwealth Bank of Australia. Ordinary</t>
  </si>
  <si>
    <t>NRW Holdings Limited Ordinary</t>
  </si>
  <si>
    <t>Magellan Financial Group Limited Ordinary</t>
  </si>
  <si>
    <t>Super Retail Group Limited Ordinary</t>
  </si>
  <si>
    <t>National Australia Bank Limited Ordinary</t>
  </si>
  <si>
    <t>Santos Limited Ordinary</t>
  </si>
  <si>
    <t>Whitehaven Coal Limited Ordinary</t>
  </si>
  <si>
    <t>Rio Tinto Limited Ordinary</t>
  </si>
  <si>
    <t>BHP Group Limited Ordinary</t>
  </si>
  <si>
    <t>Waypoint Reit Ordinary/Units Stapled Securities</t>
  </si>
  <si>
    <t>Fortescue Ltd Ordinary</t>
  </si>
  <si>
    <t>Origin Energy Limited Ordinary</t>
  </si>
  <si>
    <t>Woodside Energy Group Ltd Ordinary</t>
  </si>
  <si>
    <t>Virgin Money UK PLC CDI 1:1 Foreign Exempt LSE</t>
  </si>
  <si>
    <t>Eagers Automotive Limited Ordinary</t>
  </si>
  <si>
    <t>Iress Limited Ordinary</t>
  </si>
  <si>
    <t>Tabcorp Holdings Limited Ordinary</t>
  </si>
  <si>
    <t>Dyno Nobel Limited Ordinary</t>
  </si>
  <si>
    <t>Champion Iron Limited Ordinary</t>
  </si>
  <si>
    <t>Perpetual Limited Ordinary</t>
  </si>
  <si>
    <t>IPH Limited Ordinary</t>
  </si>
  <si>
    <t>Coronado Global Resources Inc. CDI 10:1</t>
  </si>
  <si>
    <t>New Hope Corporation Limited Ordinary</t>
  </si>
  <si>
    <t>Deterra Royalties Limited Ordinary</t>
  </si>
  <si>
    <t>Amcor PLC CDI 1:1 Foreign Exempt NYSE</t>
  </si>
  <si>
    <t>Charter Hall Long Wale Reit Units Stapled Securities</t>
  </si>
  <si>
    <t>JB HI-FI Limited Ordinary</t>
  </si>
  <si>
    <t>Bendigo and Adelaide Bank Limited Ordinary</t>
  </si>
  <si>
    <t>Dexus Units Stapled Securities</t>
  </si>
  <si>
    <t>Abacus Group Ordinary/Units Stapled Securities</t>
  </si>
  <si>
    <t>Harvey Norman Holdings Limited Ordinary</t>
  </si>
  <si>
    <t>Growthpoint Properties Australia Ordinary/Units Stapled Securities</t>
  </si>
  <si>
    <t>Ausnet Services Limited Ordinary</t>
  </si>
  <si>
    <t>Spark Infrastructure Group Stapled $0.65 Loan Note and Unit US Prohibited</t>
  </si>
  <si>
    <t>G8 Education Limited Ordinary</t>
  </si>
  <si>
    <t>Stockland Ordinary/Units Stapled Securities</t>
  </si>
  <si>
    <t>Janus Henderson Group PLC CDI 1:1 Foreign Exempt NYSE</t>
  </si>
  <si>
    <t>Worley Limited Ordinary</t>
  </si>
  <si>
    <t>QBE Insurance Group Limited Ordinary</t>
  </si>
  <si>
    <t>Spark New Zealand Limited Ordinary Foreign Exempt NZX</t>
  </si>
  <si>
    <t>AGL Energy Limited Ordinary</t>
  </si>
  <si>
    <t>GPT Group Ordinary/Units Stapled Securities</t>
  </si>
  <si>
    <t>Sydney Airport Ordinary/Units Stapled Securities</t>
  </si>
  <si>
    <t>McMillan Shakespeare Limited Ordinary</t>
  </si>
  <si>
    <t>ASX Limited Ordinary</t>
  </si>
  <si>
    <t>Chorus Limited Ordinary Foreign Exempt NZX</t>
  </si>
  <si>
    <t>Southern Cross Media Group Limited Ordinary</t>
  </si>
  <si>
    <t>Platinum Asset Management Limited Ordinary</t>
  </si>
  <si>
    <t>Orica Limited Ordinary</t>
  </si>
  <si>
    <t>SGH Limited Ordinary</t>
  </si>
  <si>
    <t>Sigma Healthcare Limited Ordinary</t>
  </si>
  <si>
    <t>Wesfarmers Limited Ordinary</t>
  </si>
  <si>
    <t>Adbri Limited Ordinary</t>
  </si>
  <si>
    <t>Skycity Entertainment Group Limited Ordinary Foreign Exempt NZX</t>
  </si>
  <si>
    <t>Coast Entertainment Holdings Limited Ordinary</t>
  </si>
  <si>
    <t>Trade ME Group Limited Ordinary Foreign Exempt NZX</t>
  </si>
  <si>
    <t>Helia Group Limited Ordinary</t>
  </si>
  <si>
    <t>Sonic Healthcare Limited Ordinary</t>
  </si>
  <si>
    <t>Amotiv Limited Ordinary</t>
  </si>
  <si>
    <t>Downer EDI Limited Ordinary</t>
  </si>
  <si>
    <t>Mount Gibson Iron Limited Ordinary</t>
  </si>
  <si>
    <t>BCI Minerals Limited Ordinary</t>
  </si>
  <si>
    <t>Seven West Media Limited Ordinary</t>
  </si>
  <si>
    <t>Arrium Limited Ordinary</t>
  </si>
  <si>
    <t>Charter Hall Retail Reit Ordinary Units</t>
  </si>
  <si>
    <t>Vicinity Centres Ordinary/Units Stapled Securities</t>
  </si>
  <si>
    <t>Mineral Resources Limited Ordinary</t>
  </si>
  <si>
    <t>Cardno Limited Ordinary</t>
  </si>
  <si>
    <t>APA SUB Group Stapled Security</t>
  </si>
  <si>
    <t>Metcash Limited Ordinary</t>
  </si>
  <si>
    <t>Navitas Limited Ordinary</t>
  </si>
  <si>
    <t>Suncorp Group Limited Ordinary</t>
  </si>
  <si>
    <t>Investa Office Fund Stapled Securities</t>
  </si>
  <si>
    <t>Sunland Group Limited Ordinary</t>
  </si>
  <si>
    <t>Fleetwood Limited Ordinary</t>
  </si>
  <si>
    <t>Australand Property Group Stapled Security</t>
  </si>
  <si>
    <t>Hills Limited Ordinary</t>
  </si>
  <si>
    <t>ANZ Group Holdings Limited Ordinary</t>
  </si>
  <si>
    <t>Macmahon Holdings Limited Ordinary</t>
  </si>
  <si>
    <t>Gloucester Coal Ltd Ordinary</t>
  </si>
  <si>
    <t>Felix Resources Limited Ordinary</t>
  </si>
  <si>
    <t>CSR Limited Ordinary</t>
  </si>
  <si>
    <t>Infigen Energy Ordinary/Units Stapled Securities</t>
  </si>
  <si>
    <t>Macquarie Communications Infrastructure Group Stapled Securities</t>
  </si>
  <si>
    <t>Sims Limited Ordinary</t>
  </si>
  <si>
    <t>Insurance Australia Group Limited Ordinary</t>
  </si>
  <si>
    <t>Duet Group Stapled Securities US Prohibited</t>
  </si>
  <si>
    <t>Commonwealth Property Office Fund Ordinary Units</t>
  </si>
  <si>
    <t>Future Generation Australia Limited Ordinary</t>
  </si>
  <si>
    <t>Transurban Group Ordinary/Units Stapled Securities</t>
  </si>
  <si>
    <t>UGL Limited Ordinary</t>
  </si>
  <si>
    <t>WPP Aunz Ltd Ordinary</t>
  </si>
  <si>
    <t>Pacific Brands Limited Ordinary</t>
  </si>
  <si>
    <t>Minara Resources Limited Ordinary</t>
  </si>
  <si>
    <t>Goodman Group Ordinary/Units Stapled Securities</t>
  </si>
  <si>
    <t>Gasnet Australia Group Ordinary Shares/Units Triple Stapled</t>
  </si>
  <si>
    <t>Spicers Limited Ordinary</t>
  </si>
  <si>
    <t>Portman Limited Ordinary</t>
  </si>
  <si>
    <t>Kingsgate Consolidated Limited Ordinary</t>
  </si>
  <si>
    <t>Jubilee Mines NL Ordinary</t>
  </si>
  <si>
    <t>Prime Infrastructure Group. Stapled Securities</t>
  </si>
  <si>
    <t>Hills Motorway Group Ordinary/Units  Stapled Securities</t>
  </si>
  <si>
    <t>SPC Ardmona Limited Ordinary</t>
  </si>
  <si>
    <t>James Fielding Group Ordinary/Units  Stapled Security</t>
  </si>
  <si>
    <t>Deutsche Office Trust Units</t>
  </si>
  <si>
    <t>Westfield America Trust Units</t>
  </si>
  <si>
    <t>Westfield Trust Units</t>
  </si>
  <si>
    <t>Smorgon Steel Group Limited Ordinary</t>
  </si>
  <si>
    <t>Macquarie Prologis Trust Units</t>
  </si>
  <si>
    <t>Ridley Corporation Limited Ordinary</t>
  </si>
  <si>
    <t>Bristile Ltd Ordinary</t>
  </si>
  <si>
    <t>AMP Diversified Property Trust Units</t>
  </si>
  <si>
    <t>Goodman Fielder Limited Ordinary</t>
  </si>
  <si>
    <t>Boral Limited Ordinary</t>
  </si>
  <si>
    <t>Colonial First State Property Trust Group Stapled Securities</t>
  </si>
  <si>
    <t>Milton Corporation Limited Ordinary</t>
  </si>
  <si>
    <t>Grand Hotel Group Ordinary/Units</t>
  </si>
  <si>
    <t>Ten Network Holdings Limited Ordinary</t>
  </si>
  <si>
    <t>United Energy Limited Ordinary</t>
  </si>
  <si>
    <t>Sons of Gwalia Limited Ordinary</t>
  </si>
  <si>
    <t>VUK-202409.ASX</t>
  </si>
  <si>
    <t>AST-202202.ASX</t>
  </si>
  <si>
    <t>SKI-202111.ASX</t>
  </si>
  <si>
    <t>JHG-202312.ASX</t>
  </si>
  <si>
    <t>SYD-202202.ASX</t>
  </si>
  <si>
    <t>ABC-202406.ASX</t>
  </si>
  <si>
    <t>TME-201905.ASX</t>
  </si>
  <si>
    <t>ARI-201604.ASX</t>
  </si>
  <si>
    <t>CDD-202501.ASX</t>
  </si>
  <si>
    <t>HDF-201211.ASX</t>
  </si>
  <si>
    <t>NVT-201906.ASX</t>
  </si>
  <si>
    <t>IOF-201812.ASX</t>
  </si>
  <si>
    <t>SDG-202310.ASX</t>
  </si>
  <si>
    <t>ALZ-201410.ASX</t>
  </si>
  <si>
    <t>HIL-202305.ASX</t>
  </si>
  <si>
    <t>GCL-201206.ASX</t>
  </si>
  <si>
    <t>FLX-200912.ASX</t>
  </si>
  <si>
    <t>CSR-202406.ASX</t>
  </si>
  <si>
    <t>IFN-202011.ASX</t>
  </si>
  <si>
    <t>MCG-200907.ASX</t>
  </si>
  <si>
    <t>DUE-201705.ASX</t>
  </si>
  <si>
    <t>CPA-201403.ASX</t>
  </si>
  <si>
    <t>UGL-201612.ASX</t>
  </si>
  <si>
    <t>WPP-202104.ASX</t>
  </si>
  <si>
    <t>PBG-201606.ASX</t>
  </si>
  <si>
    <t>MRE-201110.ASX</t>
  </si>
  <si>
    <t>GAS-200611.ASX</t>
  </si>
  <si>
    <t>SRS-201907.ASX</t>
  </si>
  <si>
    <t>PMM-200811.ASX</t>
  </si>
  <si>
    <t>JBM-200802.ASX</t>
  </si>
  <si>
    <t>PIH-201011.ASX</t>
  </si>
  <si>
    <t>HLY-200505.ASX</t>
  </si>
  <si>
    <t>SPC-200502.ASX</t>
  </si>
  <si>
    <t>JFG-200412.ASX</t>
  </si>
  <si>
    <t>DOT-200410.ASX</t>
  </si>
  <si>
    <t>WFA-200407.ASX</t>
  </si>
  <si>
    <t>WFT-200407.ASX</t>
  </si>
  <si>
    <t>SSX-200708.ASX</t>
  </si>
  <si>
    <t>MPR-200707.ASX</t>
  </si>
  <si>
    <t>BRS-200308.ASX</t>
  </si>
  <si>
    <t>ADP-200307.ASX</t>
  </si>
  <si>
    <t>GMF-200304.ASX</t>
  </si>
  <si>
    <t>BLD-202406.ASX</t>
  </si>
  <si>
    <t>CFT-200210.ASX</t>
  </si>
  <si>
    <t>MLT-202109.ASX</t>
  </si>
  <si>
    <t>GHG-200703.ASX</t>
  </si>
  <si>
    <t>TEN-201706.ASX</t>
  </si>
  <si>
    <t>UEL-200307.ASX</t>
  </si>
  <si>
    <t>SGW-200408.ASX</t>
  </si>
  <si>
    <t>Open</t>
  </si>
  <si>
    <t>Closed</t>
  </si>
  <si>
    <t>Company Name:</t>
  </si>
  <si>
    <t>APA</t>
  </si>
  <si>
    <t>CIP</t>
  </si>
  <si>
    <t>BWP</t>
  </si>
  <si>
    <t>ALX</t>
  </si>
  <si>
    <t>MGR</t>
  </si>
  <si>
    <t>VNT</t>
  </si>
  <si>
    <t>MPL</t>
  </si>
  <si>
    <t>MND</t>
  </si>
  <si>
    <t>TLS</t>
  </si>
  <si>
    <t>BOQ</t>
  </si>
  <si>
    <t>NSR</t>
  </si>
  <si>
    <t>Year</t>
  </si>
  <si>
    <t>Jan</t>
  </si>
  <si>
    <t>Feb</t>
  </si>
  <si>
    <t>Mar</t>
  </si>
  <si>
    <t>Apr</t>
  </si>
  <si>
    <t>May</t>
  </si>
  <si>
    <t>Jun</t>
  </si>
  <si>
    <t>Jul</t>
  </si>
  <si>
    <t>Aug</t>
  </si>
  <si>
    <t>Sep</t>
  </si>
  <si>
    <t>Oct</t>
  </si>
  <si>
    <t>Nov</t>
  </si>
  <si>
    <t>Dec</t>
  </si>
  <si>
    <t>Yr%</t>
  </si>
  <si>
    <t>N/A</t>
  </si>
  <si>
    <t>Avg</t>
  </si>
  <si>
    <t>0.9x</t>
  </si>
  <si>
    <t>$1.3B</t>
  </si>
  <si>
    <t>Date</t>
  </si>
  <si>
    <t>High</t>
  </si>
  <si>
    <t>Low</t>
  </si>
  <si>
    <t>Close</t>
  </si>
  <si>
    <t>Volume</t>
  </si>
  <si>
    <t>Turnover</t>
  </si>
  <si>
    <t>$2.6B</t>
  </si>
  <si>
    <t>Monadelphous Group Limited is a diversified services company operating in the resources, energy and infrastructure industry sector. The Company provides a range of services, including fabrication, modularization, offsite pre-assembly, procurement and installation of structural steel, tankage, mechanical and process equipment, piping, demolition and remediation works; multidisciplined construction services; plant commissioning; electrical and instrumentation services and engineering, procurement and construction services. It also offers process and non-process maintenance services; front-end scoping, shutdown planning, management and execution; water and wastewater asset construction and maintenance; construction of transmission pipelines and facilities; heavy lift and specialist transport; access solutions; dewatering services; corrosion management services; specialist coatings; rail maintenance services, and structural concrete and associated works.</t>
  </si>
  <si>
    <t>Bank of Queensland Limited is an Australia-based regional bank. The principal activity of the Company includes the provision of financial services to the community. The Company's segments include Retail Banking and BOQ Business. The Retail Bank segment provides retail banking solutions to customers through a network of branches, ME Bank and Virgin Money distribution channels, digital platforms, and third-party intermediaries. The BOQ Business provides business banking solutions, including commercial lending, equipment finance and leasing, cash flow finance, foreign exchange hedging and international transfers, interest rate hedging, transaction banking, home lending and deposit solutions for business customers. Its banking and savings accounts include an everyday account, simple saver account, future saver account, term deposits and smart saver account. It offers home and contents insurance, landlord insurance, and car insurance.</t>
  </si>
  <si>
    <t>$3.3B</t>
  </si>
  <si>
    <t>Sell</t>
  </si>
  <si>
    <t>Buy</t>
  </si>
  <si>
    <t>20 Week High</t>
  </si>
  <si>
    <t>The momentum filter is off, indicating the market is continuing to trend.</t>
  </si>
  <si>
    <t>Insignia Financial Ltd is an Australia-based wealth manager, providing financial advice, superannuation, wrap platforms and asset management services to members, clients, financial advisers and corporate employers. Its segment includes Advice, Master Trust, Wrap, and Asset Management. The Advice segment includes the Company's employed advice businesses, Bridges and Shadforth. These businesses provide comprehensive financial advice. The Master Trust segment offers solutions used by employers and independent advisers. The Wrap segment offers a technology platform and invests in technology and services to support the changing needs of advisers and their clients. The Asset Management segment offers access to a range of investment capabilities across a range of multi-asset and single asset classes, designed to suit a range of investor needs and risk profiles. Its subsidiaries include ACN 089 554 058 Pty Ltd, Australian Wealth Management Limited, and Consultum Financial Advisers Pty Ltd.</t>
  </si>
  <si>
    <t>1.4x</t>
  </si>
  <si>
    <t>$889.2M</t>
  </si>
  <si>
    <t>$-172.2M</t>
  </si>
  <si>
    <t>$300.0B</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</si>
  <si>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</si>
  <si>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</si>
  <si>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11.0x</t>
  </si>
  <si>
    <t>$120358.0M</t>
  </si>
  <si>
    <t>$-34568.0M</t>
  </si>
  <si>
    <t>$1.4B</t>
  </si>
  <si>
    <t>NRW Holdings Limited is a provider of diversified contract services to the resources and infrastructure sectors. Its Civil and Mining businesses provide civil construction, including bulk earthworks, road and rail construction and concrete installation, together with contract mining and drill and blast services. The Minerals, Energy &amp; Technologies (MET) operating unit offers mine to market solutions, specialist maintenance (shutdown services and onsite maintenance), non-process infrastructure, materials handling solutions, build-own-operate (BOO) process plant solutions, and complete turnkey design, construction and operation of mineral processing and energy projects. It also offers an original equipment manufacturer (OEM) capability, providing refurbishment and rebuild services for earthmoving equipment and machinery. It supports projects around Australia for clients across the resources, renewable energy, infrastructure, industrial engineering, maintenance, and other sectors.</t>
  </si>
  <si>
    <t>15.2x</t>
  </si>
  <si>
    <t>0.5x</t>
  </si>
  <si>
    <t>$159.2M</t>
  </si>
  <si>
    <t>$-27.0M</t>
  </si>
  <si>
    <t>$1.6B</t>
  </si>
  <si>
    <t>Magellan Financial Group Limited is an Australia-based specialist asset manager. The Company's segments include Funds Management, Fund Investments and Associate Investments. The Funds Management segment provides investment fund management services to high net worth and retail investors in Australia and New Zealand, and to institutional investors globally. Its Funds Management activities include providing investment research and administrative services to certain clients; providing investment management and sub-advisory services under client mandates, and acting as responsible entity/trustee (RE) and/or investment manager (IM) for the funds (collectively the Magellan Funds). The Fund Investments segment comprises its direct investment in certain Magellan Funds and a select portfolio of listed Australian and international equities. The Associate Investments segment comprises a portfolio of selective investments in businesses in which it has a strategic interest.</t>
  </si>
  <si>
    <t>8.8x</t>
  </si>
  <si>
    <t>4.3x</t>
  </si>
  <si>
    <t>$-182.0M</t>
  </si>
  <si>
    <t>$-131.8M</t>
  </si>
  <si>
    <t>Consumer Discretionary</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</si>
  <si>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</si>
  <si>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</si>
  <si>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12.2x</t>
  </si>
  <si>
    <t>$950.3M</t>
  </si>
  <si>
    <t>$272.3M</t>
  </si>
  <si>
    <t>$120.3B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</si>
  <si>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</si>
  <si>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15.0x</t>
  </si>
  <si>
    <t>4.6x</t>
  </si>
  <si>
    <t>$89897.0M</t>
  </si>
  <si>
    <t>$-41921.0M</t>
  </si>
  <si>
    <t>10% from 2wk High</t>
  </si>
  <si>
    <t>The momentum filter has been activated, indicating the market is no longer trending.</t>
  </si>
  <si>
    <t>Alert Price:</t>
  </si>
  <si>
    <t>30wk Low</t>
  </si>
  <si>
    <t>-</t>
  </si>
  <si>
    <t>% From Alert Price</t>
  </si>
  <si>
    <t>9.1x</t>
  </si>
  <si>
    <t>BWP Group Ordinary/Units Stapled Securities</t>
  </si>
  <si>
    <t>Equity</t>
  </si>
  <si>
    <t>Income</t>
  </si>
  <si>
    <t>Universe</t>
  </si>
  <si>
    <t>Number of Holdings</t>
  </si>
  <si>
    <t>Allocation</t>
  </si>
  <si>
    <t>Index Filter</t>
  </si>
  <si>
    <t>Portfolio Adjustment Frequency</t>
  </si>
  <si>
    <t>Average Trades Per Month</t>
  </si>
  <si>
    <t>Turnover Filter (average)</t>
  </si>
  <si>
    <t>Volume Filter (average)</t>
  </si>
  <si>
    <t>ASX 200</t>
  </si>
  <si>
    <t>Equal Weight</t>
  </si>
  <si>
    <t>Yes</t>
  </si>
  <si>
    <t>Weekly</t>
  </si>
  <si>
    <t>&gt; $500k</t>
  </si>
  <si>
    <t>&gt; 500k shares</t>
  </si>
  <si>
    <t>14.9x</t>
  </si>
  <si>
    <t>$1344.2M</t>
  </si>
  <si>
    <t>$-7.1M</t>
  </si>
  <si>
    <t>9.5x</t>
  </si>
  <si>
    <t>$782.9M</t>
  </si>
  <si>
    <t>$-12.0M</t>
  </si>
  <si>
    <t>Dividend Yield</t>
  </si>
  <si>
    <t>&gt; 4%</t>
  </si>
  <si>
    <t>7.4x</t>
  </si>
  <si>
    <t>$16983.0M</t>
  </si>
  <si>
    <t>$1313.0M</t>
  </si>
  <si>
    <t>107.1x</t>
  </si>
  <si>
    <t>$13219.0M</t>
  </si>
  <si>
    <t>$-254.0M</t>
  </si>
  <si>
    <t>MFG</t>
  </si>
  <si>
    <t>$-163.4M</t>
  </si>
  <si>
    <t>$41.8M</t>
  </si>
  <si>
    <t>127.7x</t>
  </si>
  <si>
    <t>$4308.0M</t>
  </si>
  <si>
    <t>$133.0M</t>
  </si>
  <si>
    <t>17.4x</t>
  </si>
  <si>
    <t>$571.1M</t>
  </si>
  <si>
    <t>20.7x</t>
  </si>
  <si>
    <t>$-125.5M</t>
  </si>
  <si>
    <t>$6.0M</t>
  </si>
  <si>
    <t>25.7x</t>
  </si>
  <si>
    <t>115.9x</t>
  </si>
  <si>
    <t>$1750.6M</t>
  </si>
  <si>
    <t>$109.5M</t>
  </si>
  <si>
    <t>31.2x</t>
  </si>
  <si>
    <t>$1406.8M</t>
  </si>
  <si>
    <t>2.4x</t>
  </si>
  <si>
    <t>Alert Price</t>
  </si>
  <si>
    <t>% From Alert Price:</t>
  </si>
  <si>
    <t>3.7x</t>
  </si>
  <si>
    <t>27.7x</t>
  </si>
  <si>
    <t>$-439.6M</t>
  </si>
  <si>
    <t>$-162.6M</t>
  </si>
  <si>
    <t>$2.2B</t>
  </si>
  <si>
    <t>1.6x</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</si>
  <si>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</si>
  <si>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APA Group is an Australia-based company that is engaged in the energy infrastructure business. The Company owns and/or manages and operates a portfolio of gas, electricity, solar and wind assets and offers energy solutions. Its segments include energy infrastructure, asset management and energy investments. It owns energy infrastructure assets across gas transmission, compression, processing, storage and electricity generation and transmission (gas and renewables) and battery energy storage systems. The asset management segment includes the provision of asset management and operating services for third parties and the majority of the Company's energy investments.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</si>
  <si>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$11.9B</t>
  </si>
  <si>
    <t>$7.1B</t>
  </si>
  <si>
    <t>35.6x</t>
  </si>
  <si>
    <t>2.8x</t>
  </si>
  <si>
    <t>$13632.0M</t>
  </si>
  <si>
    <t>$1984.0M</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</si>
  <si>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</si>
  <si>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9.4x</t>
  </si>
  <si>
    <t>$2.8B</t>
  </si>
  <si>
    <t>13.8x</t>
  </si>
  <si>
    <t>48.9x</t>
  </si>
  <si>
    <t>$1.8B</t>
  </si>
  <si>
    <t>5.7x</t>
  </si>
  <si>
    <t>43.8x</t>
  </si>
  <si>
    <t>$9.5B</t>
  </si>
  <si>
    <t>3.8x</t>
  </si>
  <si>
    <t>71.2x</t>
  </si>
  <si>
    <t>$4.5B</t>
  </si>
  <si>
    <t>0.7x</t>
  </si>
  <si>
    <t>35.1x</t>
  </si>
  <si>
    <t>$12.9B</t>
  </si>
  <si>
    <t>1.0x</t>
  </si>
  <si>
    <t>368.5x</t>
  </si>
  <si>
    <t>$55.8B</t>
  </si>
  <si>
    <t>42.5x</t>
  </si>
  <si>
    <t>$4.7B</t>
  </si>
  <si>
    <t>$3.4B</t>
  </si>
  <si>
    <t>National Storage REIT is an Australia-based company, which is a self-storage provider, tailoring self-storage solutions to over 94,500 residential and commercial customers at 275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</si>
  <si>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8.6x</t>
  </si>
  <si>
    <t>30.8x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</si>
</sst>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Red]\-&quot;$&quot;#,##0.00"/>
    <numFmt numFmtId="164" formatCode="0.000%"/>
    <numFmt numFmtId="165" formatCode="0.00000000000000000%"/>
    <numFmt numFmtId="166" formatCode="0.000000000000000%"/>
    <numFmt numFmtId="167" formatCode="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22">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xf numFmtId="0" fontId="0" fillId="0" borderId="0" xfId="0" applyAlignment="1">
      <alignment horizontal="center"/>
    </xf>
    <xf numFmtId="9" fontId="0" fillId="0" borderId="0" xfId="42" applyFont="1"/>
    <xf numFmtId="10" fontId="0" fillId="0" borderId="0" xfId="42" applyNumberFormat="1" applyFont="1"/>
    <xf numFmtId="164" fontId="0" fillId="0" borderId="0" xfId="0" applyNumberFormat="1"/>
    <xf numFmtId="165" fontId="0" fillId="0" borderId="0" xfId="0" applyNumberFormat="1"/>
    <xf numFmtId="14" fontId="19" fillId="0" borderId="0" xfId="0" applyNumberFormat="1" applyFont="1" applyAlignment="1">
      <alignment horizontal="center" vertical="top"/>
    </xf>
    <xf numFmtId="0" fontId="19" fillId="0" borderId="0" xfId="0" applyFont="1" applyAlignment="1">
      <alignment horizontal="center" vertical="top"/>
    </xf>
    <xf numFmtId="0" fontId="19" fillId="0" borderId="0" xfId="42" applyNumberFormat="1" applyFont="1" applyBorder="1" applyAlignment="1">
      <alignment horizontal="center" vertical="top"/>
    </xf>
    <xf numFmtId="164" fontId="19" fillId="0" borderId="0" xfId="0" applyNumberFormat="1" applyFont="1" applyAlignment="1">
      <alignment horizontal="center" vertical="top"/>
    </xf>
    <xf numFmtId="8" fontId="0" fillId="0" borderId="0" xfId="42" applyNumberFormat="1" applyFont="1"/>
    <xf numFmtId="0" fontId="1" fillId="0" borderId="0" xfId="0" applyFont="1" applyAlignment="1">
      <alignment horizontal="center" vertical="top"/>
    </xf>
    <xf numFmtId="166" fontId="0" fillId="0" borderId="0" xfId="0" applyNumberFormat="1"/>
    <xf numFmtId="167"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59DE4-B9E8-401F-BFFC-3BA91B87B479}">
  <dimension ref="A1:B10"/>
  <sheetViews>
    <sheetView workbookViewId="0">
      <selection activeCell="J37" sqref="J37"/>
    </sheetView>
  </sheetViews>
  <sheetFormatPr defaultRowHeight="15" x14ac:dyDescent="0.25"/>
  <cols>
    <col min="1" max="1" width="35.42578125" customWidth="1"/>
    <col min="2" max="2" width="12.7109375" bestFit="1" customWidth="1"/>
  </cols>
  <sheetData>
    <row r="1" spans="1:2" x14ac:dyDescent="0.25">
      <c r="B1" s="9" t="s">
        <v>424</v>
      </c>
    </row>
    <row r="2" spans="1:2" x14ac:dyDescent="0.25">
      <c r="A2" t="s">
        <v>425</v>
      </c>
      <c r="B2" s="9" t="s">
        <v>433</v>
      </c>
    </row>
    <row r="3" spans="1:2" x14ac:dyDescent="0.25">
      <c r="A3" t="s">
        <v>426</v>
      </c>
      <c r="B3" s="9">
        <v>12</v>
      </c>
    </row>
    <row r="4" spans="1:2" x14ac:dyDescent="0.25">
      <c r="A4" t="s">
        <v>427</v>
      </c>
      <c r="B4" s="9" t="s">
        <v>434</v>
      </c>
    </row>
    <row r="5" spans="1:2" x14ac:dyDescent="0.25">
      <c r="A5" t="s">
        <v>428</v>
      </c>
      <c r="B5" s="9" t="s">
        <v>435</v>
      </c>
    </row>
    <row r="6" spans="1:2" x14ac:dyDescent="0.25">
      <c r="A6" t="s">
        <v>429</v>
      </c>
      <c r="B6" s="9" t="s">
        <v>436</v>
      </c>
    </row>
    <row r="7" spans="1:2" x14ac:dyDescent="0.25">
      <c r="A7" t="s">
        <v>430</v>
      </c>
      <c r="B7" s="9">
        <v>1.26</v>
      </c>
    </row>
    <row r="8" spans="1:2" x14ac:dyDescent="0.25">
      <c r="A8" t="s">
        <v>431</v>
      </c>
      <c r="B8" s="9" t="s">
        <v>437</v>
      </c>
    </row>
    <row r="9" spans="1:2" x14ac:dyDescent="0.25">
      <c r="A9" t="s">
        <v>432</v>
      </c>
      <c r="B9" s="9" t="s">
        <v>438</v>
      </c>
    </row>
    <row r="10" spans="1:2" x14ac:dyDescent="0.25">
      <c r="A10" t="s">
        <v>445</v>
      </c>
      <c r="B10" s="9" t="s">
        <v>446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5"/>
  <sheetViews>
    <sheetView workbookViewId="0">
      <selection activeCell="A23" sqref="A23"/>
    </sheetView>
  </sheetViews>
  <sheetFormatPr defaultColWidth="66.28515625" defaultRowHeight="15" x14ac:dyDescent="0.25"/>
  <cols>
    <col min="1" max="1" width="51" bestFit="1" customWidth="1"/>
    <col min="2" max="2" width="9.140625" bestFit="1" customWidth="1"/>
    <col min="3" max="3" width="23.140625" bestFit="1" customWidth="1"/>
    <col min="4" max="4" width="29.140625" customWidth="1"/>
    <col min="5" max="5" width="9.85546875" bestFit="1" customWidth="1"/>
    <col min="6" max="6" width="23.85546875" customWidth="1"/>
    <col min="7" max="7" width="23.57031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471</v>
      </c>
      <c r="E1" s="1" t="s">
        <v>3</v>
      </c>
      <c r="F1" s="1" t="s">
        <v>472</v>
      </c>
      <c r="G1" s="1" t="s">
        <v>50</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158</v>
      </c>
      <c r="B2" t="s">
        <v>338</v>
      </c>
      <c r="C2" t="s">
        <v>159</v>
      </c>
      <c r="D2">
        <v>8.6199999999999992</v>
      </c>
      <c r="E2" s="4">
        <v>9.1199999999999992</v>
      </c>
      <c r="F2">
        <f t="shared" ref="F2:F13" si="0">(E2/D2-1)*100</f>
        <v>5.8004640371229765</v>
      </c>
      <c r="G2">
        <v>7.33113193511962</v>
      </c>
      <c r="H2" s="4">
        <v>9.1999999999999993</v>
      </c>
      <c r="I2" s="4">
        <v>6.15</v>
      </c>
      <c r="J2" t="s">
        <v>481</v>
      </c>
      <c r="K2" s="3">
        <v>0.216</v>
      </c>
      <c r="L2" t="s">
        <v>480</v>
      </c>
      <c r="M2" t="s">
        <v>450</v>
      </c>
      <c r="N2" s="3">
        <v>6.2E-2</v>
      </c>
      <c r="O2" t="s">
        <v>473</v>
      </c>
      <c r="Q2" t="s">
        <v>451</v>
      </c>
      <c r="R2" s="3">
        <v>5.2539999999999996</v>
      </c>
      <c r="S2" s="3">
        <v>1.6E-2</v>
      </c>
      <c r="T2" t="s">
        <v>452</v>
      </c>
      <c r="U2" s="3">
        <v>4.1000000000000002E-2</v>
      </c>
      <c r="V2" s="3">
        <v>5.5E-2</v>
      </c>
      <c r="W2" s="3">
        <v>-0.26900000000000002</v>
      </c>
      <c r="X2" s="3">
        <v>3.3000000000000002E-2</v>
      </c>
    </row>
    <row r="3" spans="1:24" x14ac:dyDescent="0.25">
      <c r="A3" t="s">
        <v>131</v>
      </c>
      <c r="B3" t="s">
        <v>339</v>
      </c>
      <c r="C3" t="s">
        <v>34</v>
      </c>
      <c r="D3">
        <v>3.07</v>
      </c>
      <c r="E3" s="4">
        <v>3.55</v>
      </c>
      <c r="F3">
        <f t="shared" si="0"/>
        <v>15.635179153094469</v>
      </c>
      <c r="G3">
        <v>2.7118873596191402</v>
      </c>
      <c r="H3" s="4">
        <v>3.57</v>
      </c>
      <c r="I3" s="4">
        <v>2.67</v>
      </c>
      <c r="J3" t="s">
        <v>477</v>
      </c>
      <c r="K3" s="3">
        <v>0</v>
      </c>
      <c r="L3" t="s">
        <v>487</v>
      </c>
      <c r="M3" t="s">
        <v>439</v>
      </c>
      <c r="N3" s="3">
        <v>4.5999999999999999E-2</v>
      </c>
      <c r="O3" t="s">
        <v>488</v>
      </c>
      <c r="Q3" t="s">
        <v>440</v>
      </c>
      <c r="R3" s="3">
        <v>0.54600000000000004</v>
      </c>
      <c r="S3" s="3">
        <v>2E-3</v>
      </c>
      <c r="T3" t="s">
        <v>441</v>
      </c>
      <c r="U3" s="3">
        <v>0.56999999999999995</v>
      </c>
      <c r="V3" s="3">
        <v>4.7E-2</v>
      </c>
      <c r="W3" s="3">
        <v>-0.29499999999999998</v>
      </c>
      <c r="X3" s="3">
        <v>5.3999999999999999E-2</v>
      </c>
    </row>
    <row r="4" spans="1:24" x14ac:dyDescent="0.25">
      <c r="A4" t="s">
        <v>422</v>
      </c>
      <c r="B4" t="s">
        <v>340</v>
      </c>
      <c r="C4" t="s">
        <v>34</v>
      </c>
      <c r="D4">
        <v>3.64</v>
      </c>
      <c r="E4" s="4">
        <v>3.91</v>
      </c>
      <c r="F4">
        <f t="shared" si="0"/>
        <v>7.4175824175824134</v>
      </c>
      <c r="G4">
        <v>3.2812910079956001</v>
      </c>
      <c r="H4" s="4">
        <v>3.94</v>
      </c>
      <c r="I4" s="4">
        <v>3.1</v>
      </c>
      <c r="J4" t="s">
        <v>489</v>
      </c>
      <c r="K4" s="3">
        <v>0</v>
      </c>
      <c r="L4" t="s">
        <v>133</v>
      </c>
      <c r="M4" t="s">
        <v>442</v>
      </c>
      <c r="N4" s="3">
        <v>4.8000000000000001E-2</v>
      </c>
      <c r="O4" t="s">
        <v>490</v>
      </c>
      <c r="Q4" t="s">
        <v>443</v>
      </c>
      <c r="R4" s="3">
        <v>0.28499999999999998</v>
      </c>
      <c r="S4" s="3">
        <v>3.0000000000000001E-3</v>
      </c>
      <c r="T4" t="s">
        <v>444</v>
      </c>
      <c r="U4" s="3">
        <v>1.306</v>
      </c>
      <c r="V4" s="3">
        <v>9.8000000000000004E-2</v>
      </c>
      <c r="W4" s="3">
        <v>-0.21099999999999999</v>
      </c>
      <c r="X4" s="3">
        <v>9.6000000000000002E-2</v>
      </c>
    </row>
    <row r="5" spans="1:24" x14ac:dyDescent="0.25">
      <c r="A5" t="s">
        <v>134</v>
      </c>
      <c r="B5" t="s">
        <v>341</v>
      </c>
      <c r="C5" t="s">
        <v>22</v>
      </c>
      <c r="D5">
        <v>5.18</v>
      </c>
      <c r="E5" s="4">
        <v>5.0199999999999996</v>
      </c>
      <c r="F5">
        <f t="shared" si="0"/>
        <v>-3.0888030888030937</v>
      </c>
      <c r="G5">
        <v>4.5412116050720197</v>
      </c>
      <c r="H5" s="4">
        <v>5.33</v>
      </c>
      <c r="I5" s="4">
        <v>4.17</v>
      </c>
      <c r="J5" t="s">
        <v>482</v>
      </c>
      <c r="K5" s="3">
        <v>0</v>
      </c>
      <c r="L5" t="s">
        <v>46</v>
      </c>
      <c r="M5" t="s">
        <v>468</v>
      </c>
      <c r="N5" s="3">
        <v>0.08</v>
      </c>
      <c r="O5" t="s">
        <v>491</v>
      </c>
      <c r="Q5" t="s">
        <v>469</v>
      </c>
      <c r="R5" s="3">
        <v>0.27800000000000002</v>
      </c>
      <c r="S5" s="3">
        <v>2.4E-2</v>
      </c>
      <c r="T5" t="s">
        <v>47</v>
      </c>
      <c r="U5" s="3">
        <v>1.524</v>
      </c>
      <c r="V5" s="3">
        <v>0.13200000000000001</v>
      </c>
      <c r="W5" s="3">
        <v>0.06</v>
      </c>
      <c r="X5" s="3">
        <v>3.7999999999999999E-2</v>
      </c>
    </row>
    <row r="6" spans="1:24" x14ac:dyDescent="0.25">
      <c r="A6" t="s">
        <v>168</v>
      </c>
      <c r="B6" t="s">
        <v>453</v>
      </c>
      <c r="C6" t="s">
        <v>26</v>
      </c>
      <c r="D6" s="15">
        <v>11.05</v>
      </c>
      <c r="E6" s="4">
        <v>10.06</v>
      </c>
      <c r="F6">
        <f t="shared" si="0"/>
        <v>-8.9592760180995494</v>
      </c>
      <c r="G6">
        <v>6.0230307579040501</v>
      </c>
      <c r="H6" s="4">
        <v>11.74</v>
      </c>
      <c r="I6" s="4">
        <v>6.02</v>
      </c>
      <c r="J6" t="s">
        <v>492</v>
      </c>
      <c r="K6" s="3">
        <v>1</v>
      </c>
      <c r="L6" t="s">
        <v>398</v>
      </c>
      <c r="M6" t="s">
        <v>421</v>
      </c>
      <c r="N6" s="3">
        <v>5.0999999999999997E-2</v>
      </c>
      <c r="O6" t="s">
        <v>493</v>
      </c>
      <c r="P6" t="s">
        <v>494</v>
      </c>
      <c r="Q6" t="s">
        <v>454</v>
      </c>
      <c r="R6" s="3">
        <v>5.0000000000000001E-3</v>
      </c>
      <c r="S6" s="3">
        <v>0.03</v>
      </c>
      <c r="T6" t="s">
        <v>455</v>
      </c>
      <c r="U6" s="3">
        <v>0.51700000000000002</v>
      </c>
      <c r="V6" s="3">
        <v>-0.16800000000000001</v>
      </c>
      <c r="W6" s="3">
        <v>-0.23499999999999999</v>
      </c>
      <c r="X6" s="3">
        <v>0.16300000000000001</v>
      </c>
    </row>
    <row r="7" spans="1:24" x14ac:dyDescent="0.25">
      <c r="A7" t="s">
        <v>35</v>
      </c>
      <c r="B7" t="s">
        <v>342</v>
      </c>
      <c r="C7" t="s">
        <v>34</v>
      </c>
      <c r="D7">
        <v>2.2999999999999998</v>
      </c>
      <c r="E7" s="4">
        <v>2.42</v>
      </c>
      <c r="F7">
        <f t="shared" si="0"/>
        <v>5.2173913043478404</v>
      </c>
      <c r="G7">
        <v>1.97433865070343</v>
      </c>
      <c r="H7" s="4">
        <v>2.4500000000000002</v>
      </c>
      <c r="I7" s="4">
        <v>1.7749999999999999</v>
      </c>
      <c r="J7" t="s">
        <v>495</v>
      </c>
      <c r="K7" s="3">
        <v>0</v>
      </c>
      <c r="L7" t="s">
        <v>37</v>
      </c>
      <c r="M7" t="s">
        <v>456</v>
      </c>
      <c r="N7" s="3">
        <v>3.6999999999999998E-2</v>
      </c>
      <c r="O7" t="s">
        <v>496</v>
      </c>
      <c r="P7" t="s">
        <v>497</v>
      </c>
      <c r="Q7" t="s">
        <v>457</v>
      </c>
      <c r="R7" s="3">
        <v>0.502</v>
      </c>
      <c r="S7" s="3">
        <v>0.01</v>
      </c>
      <c r="T7" t="s">
        <v>458</v>
      </c>
      <c r="U7" s="3">
        <v>2.8000000000000001E-2</v>
      </c>
      <c r="V7" s="3">
        <v>2.3E-2</v>
      </c>
      <c r="W7" s="3">
        <v>-0.57799999999999996</v>
      </c>
      <c r="X7" s="3">
        <v>7.0000000000000001E-3</v>
      </c>
    </row>
    <row r="8" spans="1:24" x14ac:dyDescent="0.25">
      <c r="A8" t="s">
        <v>30</v>
      </c>
      <c r="B8" t="s">
        <v>343</v>
      </c>
      <c r="C8" t="s">
        <v>22</v>
      </c>
      <c r="D8">
        <v>4.3499999999999996</v>
      </c>
      <c r="E8" s="4">
        <v>5.39</v>
      </c>
      <c r="F8">
        <f t="shared" si="0"/>
        <v>23.908045977011504</v>
      </c>
      <c r="G8">
        <v>3.7949135303497301</v>
      </c>
      <c r="H8" s="4">
        <v>5.57</v>
      </c>
      <c r="I8" s="4">
        <v>2.94</v>
      </c>
      <c r="J8" t="s">
        <v>498</v>
      </c>
      <c r="K8" s="3">
        <v>0.9</v>
      </c>
      <c r="L8" t="s">
        <v>479</v>
      </c>
      <c r="M8" t="s">
        <v>459</v>
      </c>
      <c r="N8" s="3">
        <v>0.04</v>
      </c>
      <c r="O8" t="s">
        <v>499</v>
      </c>
      <c r="P8" t="s">
        <v>500</v>
      </c>
      <c r="Q8" t="s">
        <v>460</v>
      </c>
      <c r="R8" s="3">
        <v>1.5249999999999999</v>
      </c>
      <c r="S8" s="3">
        <v>0.01</v>
      </c>
      <c r="T8" t="s">
        <v>32</v>
      </c>
      <c r="U8" s="3">
        <v>4.2000000000000003E-2</v>
      </c>
      <c r="V8" s="3">
        <v>0.10299999999999999</v>
      </c>
      <c r="X8" s="3">
        <v>0.42899999999999999</v>
      </c>
    </row>
    <row r="9" spans="1:24" x14ac:dyDescent="0.25">
      <c r="A9" t="s">
        <v>24</v>
      </c>
      <c r="B9" t="s">
        <v>344</v>
      </c>
      <c r="C9" t="s">
        <v>26</v>
      </c>
      <c r="D9" s="5">
        <v>3.91</v>
      </c>
      <c r="E9" s="4">
        <v>4.7699999999999996</v>
      </c>
      <c r="F9">
        <f t="shared" si="0"/>
        <v>21.994884910485911</v>
      </c>
      <c r="G9">
        <v>4.1038346290588299</v>
      </c>
      <c r="H9" s="4">
        <v>5.2</v>
      </c>
      <c r="I9" s="4">
        <v>3.4</v>
      </c>
      <c r="J9" t="s">
        <v>501</v>
      </c>
      <c r="K9" s="3">
        <v>1</v>
      </c>
      <c r="L9" t="s">
        <v>27</v>
      </c>
      <c r="M9" t="s">
        <v>474</v>
      </c>
      <c r="N9" s="3">
        <v>3.7999999999999999E-2</v>
      </c>
      <c r="O9" t="s">
        <v>478</v>
      </c>
      <c r="Q9" t="s">
        <v>475</v>
      </c>
      <c r="R9" s="3">
        <v>8.8999999999999996E-2</v>
      </c>
      <c r="T9" t="s">
        <v>476</v>
      </c>
      <c r="U9" s="3">
        <v>6.2E-2</v>
      </c>
      <c r="V9" s="3">
        <v>4.7E-2</v>
      </c>
      <c r="W9" s="3">
        <v>8.3000000000000004E-2</v>
      </c>
      <c r="X9" s="3">
        <v>0.216</v>
      </c>
    </row>
    <row r="10" spans="1:24" x14ac:dyDescent="0.25">
      <c r="A10" t="s">
        <v>160</v>
      </c>
      <c r="B10" t="s">
        <v>345</v>
      </c>
      <c r="C10" t="s">
        <v>22</v>
      </c>
      <c r="D10" s="5">
        <v>13.56</v>
      </c>
      <c r="E10" s="4">
        <v>22.53</v>
      </c>
      <c r="F10">
        <f t="shared" si="0"/>
        <v>66.150442477876112</v>
      </c>
      <c r="G10">
        <v>13.1129446029663</v>
      </c>
      <c r="H10" s="4">
        <v>23.63</v>
      </c>
      <c r="I10" s="4">
        <v>11.78</v>
      </c>
      <c r="J10" t="s">
        <v>477</v>
      </c>
      <c r="K10" s="3">
        <v>1</v>
      </c>
      <c r="L10" t="s">
        <v>374</v>
      </c>
      <c r="M10" t="s">
        <v>461</v>
      </c>
      <c r="N10" s="3">
        <v>3.2000000000000001E-2</v>
      </c>
      <c r="O10" t="s">
        <v>502</v>
      </c>
      <c r="P10" t="s">
        <v>503</v>
      </c>
      <c r="Q10" t="s">
        <v>462</v>
      </c>
      <c r="R10" s="3">
        <v>0.161</v>
      </c>
      <c r="S10" s="3">
        <v>1.6E-2</v>
      </c>
      <c r="T10" t="s">
        <v>463</v>
      </c>
      <c r="U10" s="3">
        <v>3.9E-2</v>
      </c>
      <c r="V10" s="3">
        <v>6.0999999999999999E-2</v>
      </c>
      <c r="W10" s="3">
        <v>0.155</v>
      </c>
      <c r="X10" s="3">
        <v>0.17399999999999999</v>
      </c>
    </row>
    <row r="11" spans="1:24" x14ac:dyDescent="0.25">
      <c r="A11" t="s">
        <v>161</v>
      </c>
      <c r="B11" t="s">
        <v>346</v>
      </c>
      <c r="C11" t="s">
        <v>29</v>
      </c>
      <c r="D11">
        <v>3.88</v>
      </c>
      <c r="E11" s="4">
        <v>4.9000000000000004</v>
      </c>
      <c r="F11">
        <f t="shared" si="0"/>
        <v>26.28865979381445</v>
      </c>
      <c r="G11">
        <v>4.1100702285766602</v>
      </c>
      <c r="H11" s="4">
        <v>4.99</v>
      </c>
      <c r="I11" s="4">
        <v>3.62</v>
      </c>
      <c r="J11" t="s">
        <v>504</v>
      </c>
      <c r="K11" s="3">
        <v>1</v>
      </c>
      <c r="L11" t="s">
        <v>162</v>
      </c>
      <c r="M11" t="s">
        <v>464</v>
      </c>
      <c r="N11" s="3">
        <v>3.9E-2</v>
      </c>
      <c r="O11" t="s">
        <v>470</v>
      </c>
      <c r="P11" t="s">
        <v>505</v>
      </c>
      <c r="Q11" t="s">
        <v>448</v>
      </c>
      <c r="R11" s="3">
        <v>1.2949999999999999</v>
      </c>
      <c r="S11" s="3">
        <v>6.0000000000000001E-3</v>
      </c>
      <c r="T11" t="s">
        <v>449</v>
      </c>
      <c r="U11" s="3">
        <v>0.10100000000000001</v>
      </c>
      <c r="V11" s="3">
        <v>2.8000000000000001E-2</v>
      </c>
      <c r="W11" s="3">
        <v>9.5000000000000001E-2</v>
      </c>
      <c r="X11" s="3">
        <v>0.151</v>
      </c>
    </row>
    <row r="12" spans="1:24" x14ac:dyDescent="0.25">
      <c r="A12" t="s">
        <v>163</v>
      </c>
      <c r="B12" t="s">
        <v>347</v>
      </c>
      <c r="C12" t="s">
        <v>26</v>
      </c>
      <c r="D12">
        <v>6.06</v>
      </c>
      <c r="E12" s="4">
        <v>7.08</v>
      </c>
      <c r="F12">
        <f t="shared" si="0"/>
        <v>16.831683168316847</v>
      </c>
      <c r="G12">
        <v>6.0461215972900302</v>
      </c>
      <c r="H12" s="4">
        <v>8.16</v>
      </c>
      <c r="I12" s="4">
        <v>6.05</v>
      </c>
      <c r="J12" t="s">
        <v>506</v>
      </c>
      <c r="K12" s="3">
        <v>1</v>
      </c>
      <c r="L12" t="s">
        <v>375</v>
      </c>
      <c r="M12" t="s">
        <v>483</v>
      </c>
      <c r="N12" s="3">
        <v>4.9000000000000002E-2</v>
      </c>
      <c r="O12" t="s">
        <v>484</v>
      </c>
      <c r="P12" t="s">
        <v>470</v>
      </c>
      <c r="Q12" t="s">
        <v>485</v>
      </c>
      <c r="R12" s="3">
        <v>2.82</v>
      </c>
      <c r="T12" t="s">
        <v>486</v>
      </c>
      <c r="U12" s="3">
        <v>7.9000000000000001E-2</v>
      </c>
      <c r="V12" s="3">
        <v>0.30199999999999999</v>
      </c>
      <c r="W12" s="3">
        <v>-0.28799999999999998</v>
      </c>
      <c r="X12" s="3">
        <v>2.1999999999999999E-2</v>
      </c>
    </row>
    <row r="13" spans="1:24" x14ac:dyDescent="0.25">
      <c r="A13" t="s">
        <v>164</v>
      </c>
      <c r="B13" t="s">
        <v>348</v>
      </c>
      <c r="C13" t="s">
        <v>34</v>
      </c>
      <c r="D13">
        <v>2.36</v>
      </c>
      <c r="E13" s="4">
        <v>2.4300000000000002</v>
      </c>
      <c r="F13">
        <f t="shared" si="0"/>
        <v>2.9661016949152685</v>
      </c>
      <c r="G13">
        <v>2.0503795146942099</v>
      </c>
      <c r="H13" s="4">
        <v>2.5299999999999998</v>
      </c>
      <c r="I13" s="4">
        <v>2</v>
      </c>
      <c r="J13" t="s">
        <v>507</v>
      </c>
      <c r="K13" s="3">
        <v>0</v>
      </c>
      <c r="L13" t="s">
        <v>508</v>
      </c>
      <c r="M13" t="s">
        <v>465</v>
      </c>
      <c r="N13" s="3">
        <v>4.5999999999999999E-2</v>
      </c>
      <c r="O13" t="s">
        <v>509</v>
      </c>
      <c r="P13" t="s">
        <v>510</v>
      </c>
      <c r="Q13" t="s">
        <v>466</v>
      </c>
      <c r="R13" s="3">
        <v>5.8579999999999997</v>
      </c>
      <c r="S13" s="3">
        <v>5.0000000000000001E-3</v>
      </c>
      <c r="T13" t="s">
        <v>467</v>
      </c>
      <c r="U13" s="3">
        <v>0.60199999999999998</v>
      </c>
      <c r="V13" s="3">
        <v>0.121</v>
      </c>
      <c r="W13" s="3">
        <v>-0.66400000000000003</v>
      </c>
      <c r="X13" s="3">
        <v>8.5999999999999993E-2</v>
      </c>
    </row>
    <row r="14" spans="1:24" x14ac:dyDescent="0.25">
      <c r="E14" s="4"/>
      <c r="F14" s="4"/>
      <c r="G14" s="4"/>
      <c r="H14" s="4"/>
      <c r="I14" s="4"/>
      <c r="K14" s="3"/>
      <c r="N14" s="3"/>
      <c r="R14" s="3"/>
      <c r="U14" s="3"/>
      <c r="V14" s="3"/>
      <c r="W14" s="3"/>
      <c r="X14" s="3"/>
    </row>
    <row r="15" spans="1:24" x14ac:dyDescent="0.25">
      <c r="E15" s="4"/>
      <c r="F15" s="4"/>
      <c r="G15" s="4"/>
      <c r="H15" s="4"/>
      <c r="I15" s="4"/>
      <c r="K15" s="3"/>
      <c r="N15" s="3"/>
      <c r="R15" s="3"/>
      <c r="S15" s="3"/>
      <c r="U15" s="3"/>
      <c r="V15" s="3"/>
      <c r="W15" s="3"/>
      <c r="X15" s="3"/>
    </row>
    <row r="16" spans="1:24" x14ac:dyDescent="0.25">
      <c r="B16" s="3"/>
      <c r="C16" s="2"/>
      <c r="E16" s="4"/>
      <c r="F16" s="4"/>
      <c r="G16" s="4"/>
      <c r="H16" s="4"/>
      <c r="I16" s="4"/>
      <c r="K16" s="3"/>
      <c r="N16" s="3"/>
      <c r="R16" s="3"/>
      <c r="S16" s="3"/>
      <c r="U16" s="3"/>
      <c r="V16" s="3"/>
      <c r="W16" s="3"/>
      <c r="X16" s="3"/>
    </row>
    <row r="17" spans="2:3" x14ac:dyDescent="0.25">
      <c r="B17" s="3"/>
      <c r="C17" s="2"/>
    </row>
    <row r="18" spans="2:3" x14ac:dyDescent="0.25">
      <c r="B18" s="3"/>
      <c r="C18" s="2"/>
    </row>
    <row r="19" spans="2:3" x14ac:dyDescent="0.25">
      <c r="B19" s="3"/>
      <c r="C19" s="2"/>
    </row>
    <row r="20" spans="2:3" x14ac:dyDescent="0.25">
      <c r="B20" s="3"/>
    </row>
    <row r="21" spans="2:3" x14ac:dyDescent="0.25">
      <c r="B21" s="3"/>
    </row>
    <row r="22" spans="2:3" x14ac:dyDescent="0.25">
      <c r="B22" s="3"/>
    </row>
    <row r="23" spans="2:3" x14ac:dyDescent="0.25">
      <c r="B23" s="3"/>
    </row>
    <row r="24" spans="2:3" x14ac:dyDescent="0.25">
      <c r="B24" s="3"/>
    </row>
    <row r="25" spans="2:3" x14ac:dyDescent="0.25">
      <c r="B25" s="3"/>
      <c r="C25" s="5"/>
    </row>
  </sheetData>
  <sortState xmlns:xlrd2="http://schemas.microsoft.com/office/spreadsheetml/2017/richdata2" ref="Z2:Z16">
    <sortCondition ref="Z2: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3"/>
  <sheetViews>
    <sheetView zoomScale="90" zoomScaleNormal="90" workbookViewId="0">
      <selection activeCell="H8" sqref="H8"/>
    </sheetView>
  </sheetViews>
  <sheetFormatPr defaultRowHeight="15" x14ac:dyDescent="0.25"/>
  <cols>
    <col min="1" max="1" width="11.5703125" bestFit="1" customWidth="1"/>
    <col min="2" max="2" width="9.5703125" bestFit="1" customWidth="1"/>
    <col min="3" max="3" width="15.7109375" bestFit="1" customWidth="1"/>
    <col min="4" max="4" width="7.28515625" bestFit="1" customWidth="1"/>
    <col min="5" max="5" width="18" bestFit="1" customWidth="1"/>
    <col min="6" max="6" width="18.5703125" bestFit="1" customWidth="1"/>
    <col min="7" max="7" width="78.42578125" bestFit="1" customWidth="1"/>
    <col min="8" max="8" width="50" bestFit="1" customWidth="1"/>
    <col min="11" max="11" width="17.5703125" bestFit="1" customWidth="1"/>
    <col min="12" max="12" width="14.140625" bestFit="1" customWidth="1"/>
    <col min="13" max="13" width="13.7109375" bestFit="1" customWidth="1"/>
    <col min="21" max="21" width="11.28515625" bestFit="1" customWidth="1"/>
    <col min="22" max="22" width="20" bestFit="1" customWidth="1"/>
  </cols>
  <sheetData>
    <row r="1" spans="1:28" x14ac:dyDescent="0.25">
      <c r="A1" s="1" t="s">
        <v>60</v>
      </c>
      <c r="B1" s="1" t="s">
        <v>1</v>
      </c>
      <c r="C1" s="1" t="s">
        <v>417</v>
      </c>
      <c r="D1" s="1" t="s">
        <v>48</v>
      </c>
      <c r="E1" s="1" t="s">
        <v>49</v>
      </c>
      <c r="F1" s="1" t="s">
        <v>51</v>
      </c>
      <c r="G1" s="1" t="s">
        <v>52</v>
      </c>
      <c r="H1" s="1" t="s">
        <v>0</v>
      </c>
      <c r="I1" s="1" t="s">
        <v>2</v>
      </c>
      <c r="J1" s="1" t="s">
        <v>3</v>
      </c>
      <c r="K1" s="1" t="s">
        <v>420</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4">
        <v>45894</v>
      </c>
      <c r="B2" s="15" t="s">
        <v>105</v>
      </c>
      <c r="C2" s="15">
        <v>11.05</v>
      </c>
      <c r="D2" s="15" t="s">
        <v>378</v>
      </c>
      <c r="E2" t="s">
        <v>418</v>
      </c>
      <c r="F2" t="s">
        <v>379</v>
      </c>
      <c r="G2" t="s">
        <v>380</v>
      </c>
      <c r="H2" t="s">
        <v>168</v>
      </c>
      <c r="I2" t="s">
        <v>26</v>
      </c>
      <c r="J2" s="4">
        <v>10.06</v>
      </c>
      <c r="K2" s="5">
        <f>(J2/C2-1)*100</f>
        <v>-8.9592760180995494</v>
      </c>
      <c r="L2" s="4">
        <v>11.74</v>
      </c>
      <c r="M2" s="4">
        <v>6.02</v>
      </c>
      <c r="N2" t="s">
        <v>492</v>
      </c>
      <c r="O2" s="3">
        <v>1</v>
      </c>
      <c r="P2" t="s">
        <v>398</v>
      </c>
      <c r="Q2" t="s">
        <v>421</v>
      </c>
      <c r="R2" s="3">
        <v>5.0999999999999997E-2</v>
      </c>
      <c r="S2" t="s">
        <v>493</v>
      </c>
      <c r="T2" t="s">
        <v>494</v>
      </c>
      <c r="U2" t="s">
        <v>454</v>
      </c>
      <c r="V2" s="3">
        <v>5.0000000000000001E-3</v>
      </c>
      <c r="W2" s="3">
        <v>0.03</v>
      </c>
      <c r="X2" t="s">
        <v>455</v>
      </c>
      <c r="Y2" s="3">
        <v>0.51700000000000002</v>
      </c>
      <c r="Z2" s="3">
        <v>-0.16800000000000001</v>
      </c>
      <c r="AA2" s="3">
        <v>-0.23499999999999999</v>
      </c>
      <c r="AB2" s="3">
        <v>0.16300000000000001</v>
      </c>
    </row>
    <row r="3" spans="1:28" x14ac:dyDescent="0.25">
      <c r="A3" s="14">
        <v>45894</v>
      </c>
      <c r="B3" s="15" t="s">
        <v>40</v>
      </c>
      <c r="C3" s="15">
        <v>2.83</v>
      </c>
      <c r="D3" s="15" t="s">
        <v>377</v>
      </c>
      <c r="E3" t="s">
        <v>418</v>
      </c>
      <c r="F3" s="15" t="s">
        <v>419</v>
      </c>
      <c r="G3" t="s">
        <v>380</v>
      </c>
      <c r="H3" t="s">
        <v>39</v>
      </c>
      <c r="I3" t="s">
        <v>38</v>
      </c>
      <c r="J3" s="15">
        <v>2.83</v>
      </c>
      <c r="K3" s="16">
        <f t="shared" ref="K3:K17" si="0">(J3/C3-1)*100</f>
        <v>0</v>
      </c>
      <c r="L3" s="4">
        <v>3.9</v>
      </c>
      <c r="M3" s="4">
        <v>2.72</v>
      </c>
      <c r="N3" t="s">
        <v>366</v>
      </c>
      <c r="O3" s="3">
        <v>1</v>
      </c>
      <c r="P3" t="s">
        <v>41</v>
      </c>
      <c r="Q3" t="s">
        <v>42</v>
      </c>
      <c r="R3" s="3">
        <v>5.3999999999999999E-2</v>
      </c>
      <c r="S3" t="s">
        <v>23</v>
      </c>
      <c r="T3" t="s">
        <v>447</v>
      </c>
      <c r="U3" t="s">
        <v>43</v>
      </c>
      <c r="V3" s="3">
        <v>6.4219999999999997</v>
      </c>
      <c r="W3" s="3">
        <v>1.2999999999999999E-2</v>
      </c>
      <c r="X3" t="s">
        <v>44</v>
      </c>
      <c r="Y3" s="3">
        <v>2.8000000000000001E-2</v>
      </c>
      <c r="Z3" s="3">
        <v>6.9000000000000006E-2</v>
      </c>
      <c r="AA3" s="3">
        <v>6.7000000000000004E-2</v>
      </c>
      <c r="AB3" s="3">
        <v>0.38600000000000001</v>
      </c>
    </row>
    <row r="4" spans="1:28" x14ac:dyDescent="0.25">
      <c r="A4" s="2">
        <v>45793</v>
      </c>
      <c r="B4" s="3" t="s">
        <v>135</v>
      </c>
      <c r="C4">
        <v>8.6199999999999992</v>
      </c>
      <c r="D4" t="s">
        <v>378</v>
      </c>
      <c r="E4" t="s">
        <v>418</v>
      </c>
      <c r="F4" t="s">
        <v>379</v>
      </c>
      <c r="G4" t="s">
        <v>380</v>
      </c>
      <c r="H4" t="s">
        <v>158</v>
      </c>
      <c r="I4" t="s">
        <v>159</v>
      </c>
      <c r="J4" s="4">
        <v>9.1199999999999992</v>
      </c>
      <c r="K4" s="5">
        <f t="shared" si="0"/>
        <v>5.8004640371229765</v>
      </c>
      <c r="L4" s="4">
        <v>9.1999999999999993</v>
      </c>
      <c r="M4" s="4">
        <v>6.15</v>
      </c>
      <c r="N4" t="s">
        <v>481</v>
      </c>
      <c r="O4" s="3">
        <v>0.216</v>
      </c>
      <c r="P4" t="s">
        <v>480</v>
      </c>
      <c r="Q4" t="s">
        <v>450</v>
      </c>
      <c r="R4" s="3">
        <v>6.2E-2</v>
      </c>
      <c r="S4" t="s">
        <v>473</v>
      </c>
      <c r="U4" t="s">
        <v>451</v>
      </c>
      <c r="V4" s="3">
        <v>5.2539999999999996</v>
      </c>
      <c r="W4" s="3">
        <v>1.6E-2</v>
      </c>
      <c r="X4" t="s">
        <v>452</v>
      </c>
      <c r="Y4" s="3">
        <v>4.1000000000000002E-2</v>
      </c>
      <c r="Z4" s="3">
        <v>5.5E-2</v>
      </c>
      <c r="AA4" s="3">
        <v>-0.26900000000000002</v>
      </c>
      <c r="AB4" s="3">
        <v>3.3000000000000002E-2</v>
      </c>
    </row>
    <row r="5" spans="1:28" x14ac:dyDescent="0.25">
      <c r="A5" s="2">
        <v>45786</v>
      </c>
      <c r="B5" s="3" t="s">
        <v>80</v>
      </c>
      <c r="C5">
        <v>3.07</v>
      </c>
      <c r="D5" t="s">
        <v>378</v>
      </c>
      <c r="E5" t="s">
        <v>418</v>
      </c>
      <c r="F5" t="s">
        <v>379</v>
      </c>
      <c r="G5" t="s">
        <v>380</v>
      </c>
      <c r="H5" t="s">
        <v>131</v>
      </c>
      <c r="I5" t="s">
        <v>34</v>
      </c>
      <c r="J5" s="4">
        <v>3.55</v>
      </c>
      <c r="K5" s="5">
        <f t="shared" si="0"/>
        <v>15.635179153094469</v>
      </c>
      <c r="L5" s="4">
        <v>3.57</v>
      </c>
      <c r="M5" s="4">
        <v>2.67</v>
      </c>
      <c r="N5" t="s">
        <v>477</v>
      </c>
      <c r="O5" s="3">
        <v>0</v>
      </c>
      <c r="P5" t="s">
        <v>487</v>
      </c>
      <c r="Q5" t="s">
        <v>439</v>
      </c>
      <c r="R5" s="3">
        <v>4.5999999999999999E-2</v>
      </c>
      <c r="S5" t="s">
        <v>488</v>
      </c>
      <c r="U5" t="s">
        <v>440</v>
      </c>
      <c r="V5" s="3">
        <v>0.54600000000000004</v>
      </c>
      <c r="W5" s="3">
        <v>2E-3</v>
      </c>
      <c r="X5" t="s">
        <v>441</v>
      </c>
      <c r="Y5" s="3">
        <v>0.56999999999999995</v>
      </c>
      <c r="Z5" s="3">
        <v>4.7E-2</v>
      </c>
      <c r="AA5" s="3">
        <v>-0.29499999999999998</v>
      </c>
      <c r="AB5" s="3">
        <v>5.3999999999999999E-2</v>
      </c>
    </row>
    <row r="6" spans="1:28" x14ac:dyDescent="0.25">
      <c r="A6" s="2">
        <v>45786</v>
      </c>
      <c r="B6" s="3" t="s">
        <v>81</v>
      </c>
      <c r="C6">
        <v>3.64</v>
      </c>
      <c r="D6" t="s">
        <v>378</v>
      </c>
      <c r="E6" t="s">
        <v>418</v>
      </c>
      <c r="F6" t="s">
        <v>379</v>
      </c>
      <c r="G6" t="s">
        <v>380</v>
      </c>
      <c r="H6" t="s">
        <v>132</v>
      </c>
      <c r="I6" t="s">
        <v>34</v>
      </c>
      <c r="J6" s="4">
        <v>3.91</v>
      </c>
      <c r="K6" s="5">
        <f t="shared" si="0"/>
        <v>7.4175824175824134</v>
      </c>
      <c r="L6" s="4">
        <v>3.94</v>
      </c>
      <c r="M6" s="4">
        <v>3.1</v>
      </c>
      <c r="N6" t="s">
        <v>489</v>
      </c>
      <c r="O6" s="3">
        <v>0</v>
      </c>
      <c r="P6" t="s">
        <v>133</v>
      </c>
      <c r="Q6" t="s">
        <v>442</v>
      </c>
      <c r="R6" s="3">
        <v>4.8000000000000001E-2</v>
      </c>
      <c r="S6" t="s">
        <v>490</v>
      </c>
      <c r="U6" t="s">
        <v>443</v>
      </c>
      <c r="V6" s="3">
        <v>0.28499999999999998</v>
      </c>
      <c r="W6" s="3">
        <v>3.0000000000000001E-3</v>
      </c>
      <c r="X6" t="s">
        <v>444</v>
      </c>
      <c r="Y6" s="3">
        <v>1.306</v>
      </c>
      <c r="Z6" s="3">
        <v>9.8000000000000004E-2</v>
      </c>
      <c r="AA6" s="3">
        <v>-0.21099999999999999</v>
      </c>
      <c r="AB6" s="3">
        <v>9.6000000000000002E-2</v>
      </c>
    </row>
    <row r="7" spans="1:28" x14ac:dyDescent="0.25">
      <c r="A7" s="2">
        <v>45786</v>
      </c>
      <c r="B7" s="3" t="s">
        <v>45</v>
      </c>
      <c r="C7">
        <v>5.18</v>
      </c>
      <c r="D7" t="s">
        <v>378</v>
      </c>
      <c r="E7" t="s">
        <v>418</v>
      </c>
      <c r="F7" t="s">
        <v>379</v>
      </c>
      <c r="G7" t="s">
        <v>380</v>
      </c>
      <c r="H7" t="s">
        <v>134</v>
      </c>
      <c r="I7" t="s">
        <v>22</v>
      </c>
      <c r="J7" s="4">
        <v>5.0199999999999996</v>
      </c>
      <c r="K7" s="5">
        <f t="shared" si="0"/>
        <v>-3.0888030888030937</v>
      </c>
      <c r="L7" s="4">
        <v>5.33</v>
      </c>
      <c r="M7" s="4">
        <v>4.17</v>
      </c>
      <c r="N7" t="s">
        <v>482</v>
      </c>
      <c r="O7" s="3">
        <v>0</v>
      </c>
      <c r="P7" t="s">
        <v>46</v>
      </c>
      <c r="Q7" t="s">
        <v>468</v>
      </c>
      <c r="R7" s="3">
        <v>0.08</v>
      </c>
      <c r="S7" t="s">
        <v>491</v>
      </c>
      <c r="U7" t="s">
        <v>469</v>
      </c>
      <c r="V7" s="3">
        <v>0.27800000000000002</v>
      </c>
      <c r="W7" s="3">
        <v>2.4E-2</v>
      </c>
      <c r="X7" t="s">
        <v>47</v>
      </c>
      <c r="Y7" s="3">
        <v>1.524</v>
      </c>
      <c r="Z7" s="3">
        <v>0.13200000000000001</v>
      </c>
      <c r="AA7" s="3">
        <v>0.06</v>
      </c>
      <c r="AB7" s="3">
        <v>3.7999999999999999E-2</v>
      </c>
    </row>
    <row r="8" spans="1:28" x14ac:dyDescent="0.25">
      <c r="A8" s="2">
        <v>45786</v>
      </c>
      <c r="B8" s="3" t="s">
        <v>40</v>
      </c>
      <c r="C8">
        <v>3.5</v>
      </c>
      <c r="D8" t="s">
        <v>378</v>
      </c>
      <c r="E8" t="s">
        <v>418</v>
      </c>
      <c r="F8" t="s">
        <v>379</v>
      </c>
      <c r="G8" t="s">
        <v>380</v>
      </c>
      <c r="H8" t="s">
        <v>39</v>
      </c>
      <c r="I8" t="s">
        <v>38</v>
      </c>
      <c r="J8" s="4">
        <v>3.53</v>
      </c>
      <c r="K8" s="5">
        <f t="shared" si="0"/>
        <v>0.85714285714284522</v>
      </c>
      <c r="L8" s="4">
        <v>3.9</v>
      </c>
      <c r="M8" s="4">
        <v>2.72</v>
      </c>
      <c r="N8" t="s">
        <v>366</v>
      </c>
      <c r="O8" s="3">
        <v>1</v>
      </c>
      <c r="P8" t="s">
        <v>41</v>
      </c>
      <c r="Q8" t="s">
        <v>42</v>
      </c>
      <c r="R8" s="3">
        <v>5.3999999999999999E-2</v>
      </c>
      <c r="S8" t="s">
        <v>23</v>
      </c>
      <c r="T8" t="s">
        <v>447</v>
      </c>
      <c r="U8" t="s">
        <v>43</v>
      </c>
      <c r="V8" s="3">
        <v>6.4219999999999997</v>
      </c>
      <c r="W8" s="3">
        <v>1.2999999999999999E-2</v>
      </c>
      <c r="X8" t="s">
        <v>44</v>
      </c>
      <c r="Y8" s="3">
        <v>2.8000000000000001E-2</v>
      </c>
      <c r="Z8" s="3">
        <v>6.9000000000000006E-2</v>
      </c>
      <c r="AA8" s="3">
        <v>6.7000000000000004E-2</v>
      </c>
      <c r="AB8" s="3">
        <v>0.38600000000000001</v>
      </c>
    </row>
    <row r="9" spans="1:28" x14ac:dyDescent="0.25">
      <c r="A9" s="2">
        <v>45786</v>
      </c>
      <c r="B9" s="3" t="s">
        <v>36</v>
      </c>
      <c r="C9">
        <v>2.2999999999999998</v>
      </c>
      <c r="D9" t="s">
        <v>378</v>
      </c>
      <c r="E9" t="s">
        <v>418</v>
      </c>
      <c r="F9" t="s">
        <v>379</v>
      </c>
      <c r="G9" t="s">
        <v>380</v>
      </c>
      <c r="H9" t="s">
        <v>35</v>
      </c>
      <c r="I9" t="s">
        <v>34</v>
      </c>
      <c r="J9" s="4">
        <v>2.42</v>
      </c>
      <c r="K9" s="5">
        <f t="shared" si="0"/>
        <v>5.2173913043478404</v>
      </c>
      <c r="L9" s="4">
        <v>2.4500000000000002</v>
      </c>
      <c r="M9" s="4">
        <v>1.7749999999999999</v>
      </c>
      <c r="N9" t="s">
        <v>495</v>
      </c>
      <c r="O9" s="3">
        <v>0</v>
      </c>
      <c r="P9" t="s">
        <v>37</v>
      </c>
      <c r="Q9" t="s">
        <v>456</v>
      </c>
      <c r="R9" s="3">
        <v>3.6999999999999998E-2</v>
      </c>
      <c r="S9" t="s">
        <v>496</v>
      </c>
      <c r="T9" t="s">
        <v>497</v>
      </c>
      <c r="U9" t="s">
        <v>457</v>
      </c>
      <c r="V9" s="3">
        <v>0.502</v>
      </c>
      <c r="W9" s="3">
        <v>0.01</v>
      </c>
      <c r="X9" t="s">
        <v>458</v>
      </c>
      <c r="Y9" s="3">
        <v>2.8000000000000001E-2</v>
      </c>
      <c r="Z9" s="3">
        <v>2.3E-2</v>
      </c>
      <c r="AA9" s="3">
        <v>-0.57799999999999996</v>
      </c>
      <c r="AB9" s="3">
        <v>7.0000000000000001E-3</v>
      </c>
    </row>
    <row r="10" spans="1:28" x14ac:dyDescent="0.25">
      <c r="A10" s="2">
        <v>45786</v>
      </c>
      <c r="B10" s="3" t="s">
        <v>31</v>
      </c>
      <c r="C10">
        <v>4.3499999999999996</v>
      </c>
      <c r="D10" t="s">
        <v>378</v>
      </c>
      <c r="E10" t="s">
        <v>418</v>
      </c>
      <c r="F10" t="s">
        <v>379</v>
      </c>
      <c r="G10" t="s">
        <v>380</v>
      </c>
      <c r="H10" t="s">
        <v>30</v>
      </c>
      <c r="I10" t="s">
        <v>22</v>
      </c>
      <c r="J10" s="4">
        <v>5.39</v>
      </c>
      <c r="K10" s="5">
        <f t="shared" si="0"/>
        <v>23.908045977011504</v>
      </c>
      <c r="L10" s="4">
        <v>5.57</v>
      </c>
      <c r="M10" s="4">
        <v>2.94</v>
      </c>
      <c r="N10" t="s">
        <v>498</v>
      </c>
      <c r="O10" s="3">
        <v>0.9</v>
      </c>
      <c r="P10" t="s">
        <v>479</v>
      </c>
      <c r="Q10" t="s">
        <v>459</v>
      </c>
      <c r="R10" s="3">
        <v>0.04</v>
      </c>
      <c r="S10" t="s">
        <v>499</v>
      </c>
      <c r="T10" t="s">
        <v>500</v>
      </c>
      <c r="U10" t="s">
        <v>460</v>
      </c>
      <c r="V10" s="3">
        <v>1.5249999999999999</v>
      </c>
      <c r="W10" s="3">
        <v>0.01</v>
      </c>
      <c r="X10" t="s">
        <v>32</v>
      </c>
      <c r="Y10" s="3">
        <v>4.2000000000000003E-2</v>
      </c>
      <c r="Z10" s="3">
        <v>0.10299999999999999</v>
      </c>
      <c r="AB10" s="3">
        <v>0.42899999999999999</v>
      </c>
    </row>
    <row r="11" spans="1:28" x14ac:dyDescent="0.25">
      <c r="A11" s="2">
        <v>45695</v>
      </c>
      <c r="B11" s="3" t="s">
        <v>25</v>
      </c>
      <c r="C11" s="5">
        <v>3.91</v>
      </c>
      <c r="D11" t="s">
        <v>378</v>
      </c>
      <c r="E11" t="s">
        <v>418</v>
      </c>
      <c r="F11" t="s">
        <v>379</v>
      </c>
      <c r="G11" t="s">
        <v>380</v>
      </c>
      <c r="H11" t="s">
        <v>24</v>
      </c>
      <c r="I11" t="s">
        <v>26</v>
      </c>
      <c r="J11" s="4">
        <v>4.7699999999999996</v>
      </c>
      <c r="K11" s="5">
        <f t="shared" si="0"/>
        <v>21.994884910485911</v>
      </c>
      <c r="L11" s="4">
        <v>5.2</v>
      </c>
      <c r="M11" s="4">
        <v>3.4</v>
      </c>
      <c r="N11" t="s">
        <v>501</v>
      </c>
      <c r="O11" s="3">
        <v>1</v>
      </c>
      <c r="P11" t="s">
        <v>27</v>
      </c>
      <c r="Q11" t="s">
        <v>474</v>
      </c>
      <c r="R11" s="3">
        <v>3.7999999999999999E-2</v>
      </c>
      <c r="S11" t="s">
        <v>478</v>
      </c>
      <c r="U11" t="s">
        <v>475</v>
      </c>
      <c r="V11" s="3">
        <v>8.8999999999999996E-2</v>
      </c>
      <c r="X11" t="s">
        <v>476</v>
      </c>
      <c r="Y11" s="3">
        <v>6.2E-2</v>
      </c>
      <c r="Z11" s="3">
        <v>4.7E-2</v>
      </c>
      <c r="AA11" s="3">
        <v>8.3000000000000004E-2</v>
      </c>
      <c r="AB11" s="3">
        <v>0.216</v>
      </c>
    </row>
    <row r="12" spans="1:28" x14ac:dyDescent="0.25">
      <c r="A12" s="2">
        <v>45758</v>
      </c>
      <c r="B12" s="3" t="s">
        <v>72</v>
      </c>
      <c r="C12">
        <v>3.93</v>
      </c>
      <c r="D12" t="s">
        <v>377</v>
      </c>
      <c r="E12" t="s">
        <v>415</v>
      </c>
      <c r="F12" t="s">
        <v>419</v>
      </c>
      <c r="G12" t="s">
        <v>416</v>
      </c>
      <c r="H12" t="s">
        <v>165</v>
      </c>
      <c r="I12" t="s">
        <v>26</v>
      </c>
      <c r="J12" s="4">
        <v>3.94</v>
      </c>
      <c r="K12" s="5">
        <f t="shared" si="0"/>
        <v>0.25445292620864812</v>
      </c>
      <c r="L12" s="4">
        <v>4.84</v>
      </c>
      <c r="M12" s="4">
        <v>2.2200000000000002</v>
      </c>
      <c r="N12" t="s">
        <v>373</v>
      </c>
      <c r="O12" s="3">
        <v>0</v>
      </c>
      <c r="P12" t="s">
        <v>381</v>
      </c>
      <c r="R12" s="3">
        <v>0</v>
      </c>
      <c r="S12" t="s">
        <v>382</v>
      </c>
      <c r="U12" t="s">
        <v>383</v>
      </c>
      <c r="V12" s="3">
        <v>0.57899999999999996</v>
      </c>
      <c r="X12" t="s">
        <v>384</v>
      </c>
      <c r="Y12" s="3">
        <v>-8.6999999999999994E-2</v>
      </c>
      <c r="Z12" s="3">
        <v>0.14199999999999999</v>
      </c>
      <c r="AB12" s="3">
        <v>-7.0999999999999994E-2</v>
      </c>
    </row>
    <row r="13" spans="1:28" x14ac:dyDescent="0.25">
      <c r="A13" s="2">
        <v>45737</v>
      </c>
      <c r="B13" s="3" t="s">
        <v>79</v>
      </c>
      <c r="C13">
        <v>142.36000000000001</v>
      </c>
      <c r="D13" t="s">
        <v>377</v>
      </c>
      <c r="E13" t="s">
        <v>415</v>
      </c>
      <c r="F13" t="s">
        <v>419</v>
      </c>
      <c r="G13" t="s">
        <v>416</v>
      </c>
      <c r="H13" t="s">
        <v>166</v>
      </c>
      <c r="I13" t="s">
        <v>26</v>
      </c>
      <c r="J13" s="4">
        <v>180.89</v>
      </c>
      <c r="K13" s="5">
        <f t="shared" si="0"/>
        <v>27.06518685023882</v>
      </c>
      <c r="L13" s="4">
        <v>192</v>
      </c>
      <c r="M13" s="4">
        <v>120.96</v>
      </c>
      <c r="N13" t="s">
        <v>385</v>
      </c>
      <c r="O13" s="3">
        <v>1</v>
      </c>
      <c r="P13" t="s">
        <v>386</v>
      </c>
      <c r="Q13" t="s">
        <v>387</v>
      </c>
      <c r="R13" s="3">
        <v>2.7E-2</v>
      </c>
      <c r="S13" t="s">
        <v>388</v>
      </c>
      <c r="U13" t="s">
        <v>389</v>
      </c>
      <c r="V13" s="3">
        <v>2.782</v>
      </c>
      <c r="X13" t="s">
        <v>390</v>
      </c>
      <c r="Y13" s="3">
        <v>0.35199999999999998</v>
      </c>
      <c r="Z13" s="3">
        <v>0.35299999999999998</v>
      </c>
      <c r="AA13" s="3">
        <v>4.1000000000000002E-2</v>
      </c>
      <c r="AB13" s="3">
        <v>0.13200000000000001</v>
      </c>
    </row>
    <row r="14" spans="1:28" x14ac:dyDescent="0.25">
      <c r="A14" s="2">
        <v>45730</v>
      </c>
      <c r="B14" s="3" t="s">
        <v>117</v>
      </c>
      <c r="C14">
        <v>2.81</v>
      </c>
      <c r="D14" t="s">
        <v>377</v>
      </c>
      <c r="E14" t="s">
        <v>415</v>
      </c>
      <c r="F14" t="s">
        <v>419</v>
      </c>
      <c r="G14" t="s">
        <v>416</v>
      </c>
      <c r="H14" t="s">
        <v>167</v>
      </c>
      <c r="I14" t="s">
        <v>22</v>
      </c>
      <c r="J14" s="4">
        <v>3.04</v>
      </c>
      <c r="K14" s="5">
        <f t="shared" si="0"/>
        <v>8.1850533807829251</v>
      </c>
      <c r="L14" s="4">
        <v>3.93</v>
      </c>
      <c r="M14" s="4">
        <v>2.21</v>
      </c>
      <c r="N14" t="s">
        <v>391</v>
      </c>
      <c r="O14" s="3">
        <v>1</v>
      </c>
      <c r="P14" t="s">
        <v>392</v>
      </c>
      <c r="Q14" t="s">
        <v>393</v>
      </c>
      <c r="R14" s="3">
        <v>5.2999999999999999E-2</v>
      </c>
      <c r="S14" t="s">
        <v>394</v>
      </c>
      <c r="U14" t="s">
        <v>395</v>
      </c>
      <c r="V14" s="3">
        <v>0.66600000000000004</v>
      </c>
      <c r="W14" s="3">
        <v>1.0999999999999999E-2</v>
      </c>
      <c r="X14" t="s">
        <v>396</v>
      </c>
      <c r="Y14" s="3">
        <v>3.6999999999999998E-2</v>
      </c>
      <c r="Z14" s="3">
        <v>9.5000000000000001E-2</v>
      </c>
      <c r="AA14" s="3">
        <v>0.222</v>
      </c>
      <c r="AB14" s="3">
        <v>0.17899999999999999</v>
      </c>
    </row>
    <row r="15" spans="1:28" x14ac:dyDescent="0.25">
      <c r="A15" s="2">
        <v>45716</v>
      </c>
      <c r="B15" t="s">
        <v>105</v>
      </c>
      <c r="C15">
        <v>8.9600000000000009</v>
      </c>
      <c r="D15" t="s">
        <v>377</v>
      </c>
      <c r="E15" t="s">
        <v>415</v>
      </c>
      <c r="F15" t="s">
        <v>419</v>
      </c>
      <c r="G15" t="s">
        <v>416</v>
      </c>
      <c r="H15" t="s">
        <v>168</v>
      </c>
      <c r="I15" t="s">
        <v>26</v>
      </c>
      <c r="J15" s="4">
        <v>9.67</v>
      </c>
      <c r="K15" s="5">
        <f t="shared" si="0"/>
        <v>7.9241071428571397</v>
      </c>
      <c r="L15" s="4">
        <v>12.26</v>
      </c>
      <c r="M15" s="4">
        <v>6.29</v>
      </c>
      <c r="N15" t="s">
        <v>397</v>
      </c>
      <c r="O15" s="3">
        <v>0.85</v>
      </c>
      <c r="P15" t="s">
        <v>398</v>
      </c>
      <c r="Q15" t="s">
        <v>399</v>
      </c>
      <c r="R15" s="3">
        <v>6.5000000000000002E-2</v>
      </c>
      <c r="S15" t="s">
        <v>400</v>
      </c>
      <c r="U15" t="s">
        <v>401</v>
      </c>
      <c r="V15" s="3">
        <v>6.0000000000000001E-3</v>
      </c>
      <c r="W15" s="3">
        <v>4.9000000000000002E-2</v>
      </c>
      <c r="X15" t="s">
        <v>402</v>
      </c>
      <c r="Y15" s="3">
        <v>0.59</v>
      </c>
      <c r="Z15" s="3">
        <v>-0.191</v>
      </c>
      <c r="AA15" s="3">
        <v>-0.03</v>
      </c>
      <c r="AB15" s="3">
        <v>0.23200000000000001</v>
      </c>
    </row>
    <row r="16" spans="1:28" x14ac:dyDescent="0.25">
      <c r="A16" s="2">
        <v>45716</v>
      </c>
      <c r="B16" t="s">
        <v>75</v>
      </c>
      <c r="C16">
        <v>14</v>
      </c>
      <c r="D16" t="s">
        <v>377</v>
      </c>
      <c r="E16" t="s">
        <v>415</v>
      </c>
      <c r="F16" t="s">
        <v>419</v>
      </c>
      <c r="G16" t="s">
        <v>416</v>
      </c>
      <c r="H16" t="s">
        <v>169</v>
      </c>
      <c r="I16" t="s">
        <v>403</v>
      </c>
      <c r="J16" s="4">
        <v>15.23</v>
      </c>
      <c r="K16" s="5">
        <f t="shared" si="0"/>
        <v>8.7857142857142847</v>
      </c>
      <c r="L16" s="4">
        <v>17.97</v>
      </c>
      <c r="M16" s="4">
        <v>12.06</v>
      </c>
      <c r="N16" t="s">
        <v>376</v>
      </c>
      <c r="O16" s="3">
        <v>1</v>
      </c>
      <c r="P16" t="s">
        <v>404</v>
      </c>
      <c r="Q16" t="s">
        <v>405</v>
      </c>
      <c r="R16" s="3">
        <v>4.4999999999999998E-2</v>
      </c>
      <c r="S16" t="s">
        <v>365</v>
      </c>
      <c r="T16" t="s">
        <v>406</v>
      </c>
      <c r="U16" t="s">
        <v>407</v>
      </c>
      <c r="V16" s="3">
        <v>0.85599999999999998</v>
      </c>
      <c r="W16" s="3">
        <v>1.0999999999999999E-2</v>
      </c>
      <c r="X16" t="s">
        <v>408</v>
      </c>
      <c r="Y16" s="3">
        <v>5.7000000000000002E-2</v>
      </c>
      <c r="Z16" s="3">
        <v>0.04</v>
      </c>
      <c r="AA16" s="3">
        <v>-7.1999999999999995E-2</v>
      </c>
      <c r="AB16" s="3">
        <v>0.17100000000000001</v>
      </c>
    </row>
    <row r="17" spans="1:28" x14ac:dyDescent="0.25">
      <c r="A17" s="2">
        <v>45716</v>
      </c>
      <c r="B17" t="s">
        <v>101</v>
      </c>
      <c r="C17">
        <v>35.08</v>
      </c>
      <c r="D17" t="s">
        <v>377</v>
      </c>
      <c r="E17" t="s">
        <v>415</v>
      </c>
      <c r="F17" t="s">
        <v>419</v>
      </c>
      <c r="G17" t="s">
        <v>416</v>
      </c>
      <c r="H17" t="s">
        <v>170</v>
      </c>
      <c r="I17" t="s">
        <v>26</v>
      </c>
      <c r="J17" s="4">
        <v>39.79</v>
      </c>
      <c r="K17" s="5">
        <f t="shared" si="0"/>
        <v>13.426453819840379</v>
      </c>
      <c r="L17" s="4">
        <v>40.71</v>
      </c>
      <c r="M17" s="4">
        <v>30.41</v>
      </c>
      <c r="N17" t="s">
        <v>409</v>
      </c>
      <c r="O17" s="3">
        <v>1</v>
      </c>
      <c r="P17" t="s">
        <v>410</v>
      </c>
      <c r="Q17" t="s">
        <v>411</v>
      </c>
      <c r="R17" s="3">
        <v>4.2999999999999997E-2</v>
      </c>
      <c r="S17" t="s">
        <v>412</v>
      </c>
      <c r="U17" t="s">
        <v>413</v>
      </c>
      <c r="V17" s="3">
        <v>2.9950000000000001</v>
      </c>
      <c r="X17" t="s">
        <v>414</v>
      </c>
      <c r="Y17" s="3">
        <v>0.32900000000000001</v>
      </c>
      <c r="Z17" s="3">
        <v>0.47899999999999998</v>
      </c>
      <c r="AA17" s="3">
        <v>6.3E-2</v>
      </c>
      <c r="AB17" s="3">
        <v>0.113</v>
      </c>
    </row>
    <row r="20" spans="1:28" x14ac:dyDescent="0.25">
      <c r="C20" s="5"/>
      <c r="D20" s="4"/>
      <c r="G20" s="4"/>
      <c r="H20" s="4"/>
      <c r="J20" s="3"/>
      <c r="M20" s="3"/>
      <c r="Q20" s="3"/>
      <c r="R20" s="3"/>
      <c r="T20" s="3"/>
      <c r="U20" s="3"/>
      <c r="V20" s="3"/>
      <c r="W20" s="3"/>
    </row>
    <row r="21" spans="1:28" x14ac:dyDescent="0.25">
      <c r="D21" s="4"/>
      <c r="G21" s="4"/>
      <c r="H21" s="4"/>
      <c r="J21" s="3"/>
      <c r="M21" s="3"/>
      <c r="Q21" s="3"/>
      <c r="R21" s="3"/>
      <c r="T21" s="3"/>
      <c r="U21" s="3"/>
      <c r="V21" s="3"/>
      <c r="W21" s="3"/>
    </row>
    <row r="22" spans="1:28" x14ac:dyDescent="0.25">
      <c r="D22" s="4"/>
      <c r="G22" s="4"/>
      <c r="H22" s="4"/>
      <c r="J22" s="3"/>
      <c r="M22" s="3"/>
      <c r="Q22" s="3"/>
      <c r="T22" s="3"/>
      <c r="U22" s="3"/>
      <c r="V22" s="3"/>
      <c r="W22" s="3"/>
    </row>
    <row r="23" spans="1:28" x14ac:dyDescent="0.25">
      <c r="D23" s="4"/>
      <c r="G23" s="4"/>
      <c r="H23" s="4"/>
      <c r="J23" s="3"/>
      <c r="M23" s="3"/>
      <c r="Q23" s="3"/>
      <c r="R23" s="3"/>
      <c r="T23" s="3"/>
      <c r="U23" s="3"/>
      <c r="V23" s="3"/>
      <c r="W23"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selection activeCell="G15" sqref="G15"/>
    </sheetView>
  </sheetViews>
  <sheetFormatPr defaultRowHeight="15" x14ac:dyDescent="0.25"/>
  <cols>
    <col min="1" max="1" width="15.85546875" bestFit="1" customWidth="1"/>
    <col min="2" max="2" width="19.85546875" bestFit="1" customWidth="1"/>
    <col min="3" max="3" width="9.42578125" bestFit="1" customWidth="1"/>
    <col min="4" max="4" width="8.5703125" bestFit="1" customWidth="1"/>
    <col min="5" max="5" width="12.28515625" bestFit="1" customWidth="1"/>
    <col min="6" max="6" width="6.5703125" bestFit="1" customWidth="1"/>
    <col min="7" max="7" width="11"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53</v>
      </c>
      <c r="B1" s="1" t="s">
        <v>78</v>
      </c>
      <c r="C1" s="1" t="s">
        <v>54</v>
      </c>
      <c r="D1" s="1" t="s">
        <v>55</v>
      </c>
      <c r="E1" s="1" t="s">
        <v>56</v>
      </c>
      <c r="F1" s="1" t="s">
        <v>57</v>
      </c>
      <c r="G1" s="1" t="s">
        <v>58</v>
      </c>
      <c r="H1" s="1" t="s">
        <v>59</v>
      </c>
      <c r="I1" s="1" t="s">
        <v>128</v>
      </c>
      <c r="J1" s="1" t="s">
        <v>129</v>
      </c>
      <c r="K1" s="1" t="s">
        <v>130</v>
      </c>
      <c r="L1" s="1" t="s">
        <v>77</v>
      </c>
    </row>
    <row r="2" spans="1:12" x14ac:dyDescent="0.25">
      <c r="A2">
        <v>11.371223685625843</v>
      </c>
      <c r="B2">
        <v>1597.6591000000001</v>
      </c>
      <c r="C2">
        <f>COUNTA(Trades!$A$2:A1048576)</f>
        <v>194</v>
      </c>
      <c r="D2">
        <f>COUNTIF(Trades!$J$2:J894,"&gt;0")</f>
        <v>119</v>
      </c>
      <c r="E2">
        <f>AVERAGEIF(Trades!$J$2:J894,"&gt;0")*100</f>
        <v>48.756387138147609</v>
      </c>
      <c r="F2">
        <f>C2-D2</f>
        <v>75</v>
      </c>
      <c r="G2">
        <f>AVERAGEIF(Trades!$J$2:J894,"&lt;0")*100</f>
        <v>-14.081851426628795</v>
      </c>
      <c r="H2">
        <v>-21.65</v>
      </c>
      <c r="I2">
        <v>7.8627245341376328</v>
      </c>
      <c r="J2">
        <v>4.5147803380197971</v>
      </c>
      <c r="K2">
        <v>0.21090053542620613</v>
      </c>
      <c r="L2" s="5">
        <v>4.7374815999999997</v>
      </c>
    </row>
    <row r="4" spans="1:12" x14ac:dyDescent="0.25">
      <c r="K4" s="3"/>
    </row>
    <row r="5" spans="1:12" x14ac:dyDescent="0.25">
      <c r="K5" s="3"/>
    </row>
    <row r="6" spans="1:12" x14ac:dyDescent="0.25">
      <c r="K6" s="3"/>
    </row>
    <row r="9" spans="1:12" x14ac:dyDescent="0.25">
      <c r="B9" s="5"/>
    </row>
    <row r="10" spans="1:12" x14ac:dyDescent="0.25">
      <c r="B10" s="5"/>
    </row>
    <row r="11" spans="1:12" x14ac:dyDescent="0.25">
      <c r="B11" s="5"/>
    </row>
    <row r="12" spans="1:12" x14ac:dyDescent="0.25">
      <c r="B12" s="5"/>
    </row>
    <row r="17" spans="9:11" x14ac:dyDescent="0.25">
      <c r="I17" s="5"/>
      <c r="J17" s="5"/>
      <c r="K17"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63"/>
  <sheetViews>
    <sheetView tabSelected="1" topLeftCell="A1340" workbookViewId="0">
      <selection activeCell="C1364" sqref="C1364"/>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7" max="8" width="10.7109375" bestFit="1" customWidth="1"/>
    <col min="9" max="9" width="15" bestFit="1" customWidth="1"/>
    <col min="10" max="10" width="11" bestFit="1" customWidth="1"/>
    <col min="11" max="11" width="10.7109375" bestFit="1" customWidth="1"/>
  </cols>
  <sheetData>
    <row r="1" spans="1:11" x14ac:dyDescent="0.25">
      <c r="A1" s="1" t="s">
        <v>60</v>
      </c>
      <c r="B1" s="1" t="s">
        <v>61</v>
      </c>
      <c r="C1" s="1" t="s">
        <v>127</v>
      </c>
      <c r="D1" s="1" t="s">
        <v>62</v>
      </c>
      <c r="E1" s="1" t="s">
        <v>63</v>
      </c>
    </row>
    <row r="2" spans="1:11" x14ac:dyDescent="0.25">
      <c r="A2" s="2">
        <v>36532</v>
      </c>
      <c r="B2">
        <v>99909.14</v>
      </c>
      <c r="C2">
        <v>92302.36</v>
      </c>
      <c r="D2" s="5">
        <v>0</v>
      </c>
      <c r="E2">
        <v>0</v>
      </c>
      <c r="G2" s="2"/>
      <c r="H2" s="5"/>
      <c r="K2" s="5"/>
    </row>
    <row r="3" spans="1:11" x14ac:dyDescent="0.25">
      <c r="A3" s="2">
        <v>36539</v>
      </c>
      <c r="B3">
        <v>99583.56</v>
      </c>
      <c r="C3">
        <v>92302.36</v>
      </c>
      <c r="D3" s="5">
        <v>-325.58</v>
      </c>
      <c r="E3">
        <f>D3/MAX($B$2:B3,100000)</f>
        <v>-3.2557999999999997E-3</v>
      </c>
      <c r="G3" s="2"/>
      <c r="H3" s="5"/>
      <c r="K3" s="5"/>
    </row>
    <row r="4" spans="1:11" x14ac:dyDescent="0.25">
      <c r="A4" s="2">
        <v>36546</v>
      </c>
      <c r="B4">
        <v>99479.97</v>
      </c>
      <c r="C4">
        <v>92302.36</v>
      </c>
      <c r="D4" s="5">
        <v>-429.17</v>
      </c>
      <c r="E4">
        <f>D4/MAX($B$2:B4,100000)</f>
        <v>-4.2916999999999999E-3</v>
      </c>
      <c r="G4" s="2"/>
      <c r="H4" s="5"/>
      <c r="K4" s="5"/>
    </row>
    <row r="5" spans="1:11" x14ac:dyDescent="0.25">
      <c r="A5" s="2">
        <v>36553</v>
      </c>
      <c r="B5">
        <v>99363</v>
      </c>
      <c r="C5">
        <v>84642.97</v>
      </c>
      <c r="D5" s="5">
        <v>-546.14</v>
      </c>
      <c r="E5">
        <f>D5/MAX($B$2:B5,100000)</f>
        <v>-5.4613999999999999E-3</v>
      </c>
      <c r="G5" s="2"/>
      <c r="H5" s="5"/>
      <c r="K5" s="5"/>
    </row>
    <row r="6" spans="1:11" x14ac:dyDescent="0.25">
      <c r="A6" s="2">
        <v>36560</v>
      </c>
      <c r="B6">
        <v>99042.559999999998</v>
      </c>
      <c r="C6">
        <v>84642.97</v>
      </c>
      <c r="D6" s="5">
        <v>-866.58</v>
      </c>
      <c r="E6">
        <f>D6/MAX($B$2:B6,100000)</f>
        <v>-8.6657999999999995E-3</v>
      </c>
      <c r="G6" s="2"/>
      <c r="H6" s="5"/>
      <c r="K6" s="5"/>
    </row>
    <row r="7" spans="1:11" x14ac:dyDescent="0.25">
      <c r="A7" s="2">
        <v>36567</v>
      </c>
      <c r="B7">
        <v>99264.55</v>
      </c>
      <c r="C7">
        <v>84642.97</v>
      </c>
      <c r="D7" s="5">
        <v>-644.59</v>
      </c>
      <c r="E7">
        <f>D7/MAX($B$2:B7,100000)</f>
        <v>-6.4459000000000001E-3</v>
      </c>
      <c r="G7" s="2"/>
      <c r="H7" s="5"/>
      <c r="K7" s="5"/>
    </row>
    <row r="8" spans="1:11" x14ac:dyDescent="0.25">
      <c r="A8" s="2">
        <v>36574</v>
      </c>
      <c r="B8">
        <v>98432.45</v>
      </c>
      <c r="C8">
        <v>69373.7</v>
      </c>
      <c r="D8" s="5">
        <v>-1476.69</v>
      </c>
      <c r="E8">
        <f>D8/MAX($B$2:B8,100000)</f>
        <v>-1.4766900000000001E-2</v>
      </c>
      <c r="G8" s="2"/>
      <c r="H8" s="5"/>
      <c r="K8" s="5"/>
    </row>
    <row r="9" spans="1:11" x14ac:dyDescent="0.25">
      <c r="A9" s="2">
        <v>36581</v>
      </c>
      <c r="B9">
        <v>98545.4</v>
      </c>
      <c r="C9">
        <v>61819.31</v>
      </c>
      <c r="D9" s="5">
        <v>-1363.74</v>
      </c>
      <c r="E9">
        <f>D9/MAX($B$2:B9,100000)</f>
        <v>-1.3637400000000001E-2</v>
      </c>
      <c r="G9" s="2"/>
      <c r="H9" s="5"/>
      <c r="K9" s="5"/>
    </row>
    <row r="10" spans="1:11" x14ac:dyDescent="0.25">
      <c r="A10" s="2">
        <v>36588</v>
      </c>
      <c r="B10">
        <v>98059.77</v>
      </c>
      <c r="C10">
        <v>31479.39</v>
      </c>
      <c r="D10" s="5">
        <v>-1849.38</v>
      </c>
      <c r="E10">
        <f>D10/MAX($B$2:B10,100000)</f>
        <v>-1.8493800000000001E-2</v>
      </c>
      <c r="G10" s="2"/>
      <c r="H10" s="5"/>
      <c r="K10" s="5"/>
    </row>
    <row r="11" spans="1:11" x14ac:dyDescent="0.25">
      <c r="A11" s="2">
        <v>36595</v>
      </c>
      <c r="B11">
        <v>100441.17</v>
      </c>
      <c r="C11">
        <v>31479.39</v>
      </c>
      <c r="D11" s="5">
        <v>0</v>
      </c>
      <c r="E11">
        <f>D11/MAX($B$2:B11,100000)</f>
        <v>0</v>
      </c>
      <c r="G11" s="2"/>
      <c r="H11" s="5"/>
      <c r="K11" s="5"/>
    </row>
    <row r="12" spans="1:11" x14ac:dyDescent="0.25">
      <c r="A12" s="2">
        <v>36602</v>
      </c>
      <c r="B12">
        <v>103182.65</v>
      </c>
      <c r="C12">
        <v>31479.39</v>
      </c>
      <c r="D12" s="5">
        <v>0</v>
      </c>
      <c r="E12">
        <f>D12/MAX($B$2:B12,100000)</f>
        <v>0</v>
      </c>
      <c r="G12" s="2"/>
      <c r="H12" s="5"/>
      <c r="K12" s="5"/>
    </row>
    <row r="13" spans="1:11" x14ac:dyDescent="0.25">
      <c r="A13" s="2">
        <v>36609</v>
      </c>
      <c r="B13">
        <v>103213.9</v>
      </c>
      <c r="C13">
        <v>23536.98</v>
      </c>
      <c r="D13" s="5">
        <v>0</v>
      </c>
      <c r="E13">
        <f>D13/MAX($B$2:B13,100000)</f>
        <v>0</v>
      </c>
      <c r="G13" s="2"/>
      <c r="H13" s="5"/>
      <c r="K13" s="5"/>
    </row>
    <row r="14" spans="1:11" x14ac:dyDescent="0.25">
      <c r="A14" s="2">
        <v>36616</v>
      </c>
      <c r="B14">
        <v>103250.13</v>
      </c>
      <c r="C14">
        <v>7652.3</v>
      </c>
      <c r="D14" s="5">
        <v>0</v>
      </c>
      <c r="E14">
        <f>D14/MAX($B$2:B14,100000)</f>
        <v>0</v>
      </c>
      <c r="G14" s="2"/>
      <c r="H14" s="5"/>
      <c r="K14" s="5"/>
    </row>
    <row r="15" spans="1:11" x14ac:dyDescent="0.25">
      <c r="A15" s="2">
        <v>36623</v>
      </c>
      <c r="B15">
        <v>103333.04</v>
      </c>
      <c r="C15">
        <v>7652.3</v>
      </c>
      <c r="D15" s="5">
        <v>0</v>
      </c>
      <c r="E15">
        <f>D15/MAX($B$2:B15,100000)</f>
        <v>0</v>
      </c>
      <c r="G15" s="2"/>
      <c r="H15" s="5"/>
      <c r="K15" s="5"/>
    </row>
    <row r="16" spans="1:11" x14ac:dyDescent="0.25">
      <c r="A16" s="2">
        <v>36630</v>
      </c>
      <c r="B16">
        <v>101832.36</v>
      </c>
      <c r="C16">
        <v>6644.65</v>
      </c>
      <c r="D16" s="5">
        <v>-1500.68</v>
      </c>
      <c r="E16">
        <f>D16/MAX($B$2:B16,100000)</f>
        <v>-1.4522750903292888E-2</v>
      </c>
      <c r="G16" s="2"/>
      <c r="H16" s="5"/>
      <c r="K16" s="5"/>
    </row>
    <row r="17" spans="1:11" x14ac:dyDescent="0.25">
      <c r="A17" s="2">
        <v>36636</v>
      </c>
      <c r="B17">
        <v>101748.54</v>
      </c>
      <c r="C17">
        <v>6644.65</v>
      </c>
      <c r="D17" s="5">
        <v>-1584.5</v>
      </c>
      <c r="E17">
        <f>D17/MAX($B$2:B17,100000)</f>
        <v>-1.533391449627341E-2</v>
      </c>
      <c r="G17" s="2"/>
      <c r="H17" s="5"/>
      <c r="K17" s="5"/>
    </row>
    <row r="18" spans="1:11" x14ac:dyDescent="0.25">
      <c r="A18" s="2">
        <v>36644</v>
      </c>
      <c r="B18">
        <v>101367.45</v>
      </c>
      <c r="C18">
        <v>13102.48</v>
      </c>
      <c r="D18" s="5">
        <v>-1965.59</v>
      </c>
      <c r="E18">
        <f>D18/MAX($B$2:B18,100000)</f>
        <v>-1.9021892707308332E-2</v>
      </c>
      <c r="G18" s="2"/>
      <c r="H18" s="5"/>
      <c r="K18" s="5"/>
    </row>
    <row r="19" spans="1:11" x14ac:dyDescent="0.25">
      <c r="A19" s="2">
        <v>36651</v>
      </c>
      <c r="B19">
        <v>102283.08</v>
      </c>
      <c r="C19">
        <v>13102.48</v>
      </c>
      <c r="D19" s="5">
        <v>-1049.96</v>
      </c>
      <c r="E19">
        <f>D19/MAX($B$2:B19,100000)</f>
        <v>-1.016093206974265E-2</v>
      </c>
      <c r="G19" s="2"/>
      <c r="H19" s="5"/>
      <c r="K19" s="5"/>
    </row>
    <row r="20" spans="1:11" x14ac:dyDescent="0.25">
      <c r="A20" s="2">
        <v>36658</v>
      </c>
      <c r="B20">
        <v>101856.52</v>
      </c>
      <c r="C20">
        <v>13102.48</v>
      </c>
      <c r="D20" s="5">
        <v>-1476.52</v>
      </c>
      <c r="E20">
        <f>D20/MAX($B$2:B20,100000)</f>
        <v>-1.4288943787969464E-2</v>
      </c>
      <c r="G20" s="2"/>
      <c r="H20" s="5"/>
      <c r="K20" s="5"/>
    </row>
    <row r="21" spans="1:11" x14ac:dyDescent="0.25">
      <c r="A21" s="2">
        <v>36665</v>
      </c>
      <c r="B21">
        <v>100846.08</v>
      </c>
      <c r="C21">
        <v>13102.48</v>
      </c>
      <c r="D21" s="5">
        <v>-2486.96</v>
      </c>
      <c r="E21">
        <f>D21/MAX($B$2:B21,100000)</f>
        <v>-2.4067423159136712E-2</v>
      </c>
      <c r="G21" s="2"/>
      <c r="H21" s="5"/>
      <c r="K21" s="5"/>
    </row>
    <row r="22" spans="1:11" x14ac:dyDescent="0.25">
      <c r="A22" s="2">
        <v>36672</v>
      </c>
      <c r="B22">
        <v>98506.3</v>
      </c>
      <c r="C22">
        <v>13102.48</v>
      </c>
      <c r="D22" s="5">
        <v>-4826.7299999999996</v>
      </c>
      <c r="E22">
        <f>D22/MAX($B$2:B22,100000)</f>
        <v>-4.6710422919910226E-2</v>
      </c>
      <c r="G22" s="2"/>
      <c r="H22" s="5"/>
      <c r="K22" s="5"/>
    </row>
    <row r="23" spans="1:11" x14ac:dyDescent="0.25">
      <c r="A23" s="2">
        <v>36679</v>
      </c>
      <c r="B23">
        <v>98778.3</v>
      </c>
      <c r="C23">
        <v>13102.48</v>
      </c>
      <c r="D23" s="5">
        <v>-4554.7299999999996</v>
      </c>
      <c r="E23">
        <f>D23/MAX($B$2:B23,100000)</f>
        <v>-4.4078157383156444E-2</v>
      </c>
      <c r="G23" s="2"/>
      <c r="H23" s="5"/>
      <c r="K23" s="5"/>
    </row>
    <row r="24" spans="1:11" x14ac:dyDescent="0.25">
      <c r="A24" s="2">
        <v>36686</v>
      </c>
      <c r="B24">
        <v>99484.09</v>
      </c>
      <c r="C24">
        <v>6085.77</v>
      </c>
      <c r="D24" s="5">
        <v>-3848.95</v>
      </c>
      <c r="E24">
        <f>D24/MAX($B$2:B24,100000)</f>
        <v>-3.7248008962089955E-2</v>
      </c>
      <c r="G24" s="2"/>
      <c r="H24" s="5"/>
      <c r="K24" s="5"/>
    </row>
    <row r="25" spans="1:11" x14ac:dyDescent="0.25">
      <c r="A25" s="2">
        <v>36693</v>
      </c>
      <c r="B25">
        <v>99998.41</v>
      </c>
      <c r="C25">
        <v>6085.77</v>
      </c>
      <c r="D25" s="5">
        <v>-3334.63</v>
      </c>
      <c r="E25">
        <f>D25/MAX($B$2:B25,100000)</f>
        <v>-3.2270704510387001E-2</v>
      </c>
      <c r="G25" s="2"/>
      <c r="H25" s="5"/>
      <c r="K25" s="5"/>
    </row>
    <row r="26" spans="1:11" x14ac:dyDescent="0.25">
      <c r="A26" s="2">
        <v>36700</v>
      </c>
      <c r="B26">
        <v>99783.34</v>
      </c>
      <c r="C26">
        <v>6085.77</v>
      </c>
      <c r="D26" s="5">
        <v>-3549.7</v>
      </c>
      <c r="E26">
        <f>D26/MAX($B$2:B26,100000)</f>
        <v>-3.4352032999319479E-2</v>
      </c>
      <c r="G26" s="2"/>
      <c r="H26" s="5"/>
      <c r="K26" s="5"/>
    </row>
    <row r="27" spans="1:11" x14ac:dyDescent="0.25">
      <c r="A27" s="2">
        <v>36707</v>
      </c>
      <c r="B27">
        <v>101572.4</v>
      </c>
      <c r="C27">
        <v>6085.77</v>
      </c>
      <c r="D27" s="5">
        <v>-1760.64</v>
      </c>
      <c r="E27">
        <f>D27/MAX($B$2:B27,100000)</f>
        <v>-1.7038499980258009E-2</v>
      </c>
      <c r="G27" s="2"/>
      <c r="H27" s="5"/>
      <c r="K27" s="5"/>
    </row>
    <row r="28" spans="1:11" x14ac:dyDescent="0.25">
      <c r="A28" s="2">
        <v>36714</v>
      </c>
      <c r="B28">
        <v>102756.64</v>
      </c>
      <c r="C28">
        <v>6085.77</v>
      </c>
      <c r="D28" s="5">
        <v>-576.4</v>
      </c>
      <c r="E28">
        <f>D28/MAX($B$2:B28,100000)</f>
        <v>-5.5780803506797049E-3</v>
      </c>
      <c r="G28" s="2"/>
      <c r="H28" s="5"/>
      <c r="K28" s="5"/>
    </row>
    <row r="29" spans="1:11" x14ac:dyDescent="0.25">
      <c r="A29" s="2">
        <v>36721</v>
      </c>
      <c r="B29">
        <v>103783.5</v>
      </c>
      <c r="C29">
        <v>6085.77</v>
      </c>
      <c r="D29" s="5">
        <v>0</v>
      </c>
      <c r="E29">
        <f>D29/MAX($B$2:B29,100000)</f>
        <v>0</v>
      </c>
      <c r="G29" s="2"/>
      <c r="H29" s="5"/>
      <c r="K29" s="5"/>
    </row>
    <row r="30" spans="1:11" x14ac:dyDescent="0.25">
      <c r="A30" s="2">
        <v>36728</v>
      </c>
      <c r="B30">
        <v>103627.23</v>
      </c>
      <c r="C30">
        <v>6085.77</v>
      </c>
      <c r="D30" s="5">
        <v>-156.27000000000001</v>
      </c>
      <c r="E30">
        <f>D30/MAX($B$2:B30,100000)</f>
        <v>-1.5057306797323275E-3</v>
      </c>
      <c r="G30" s="2"/>
      <c r="H30" s="5"/>
      <c r="K30" s="5"/>
    </row>
    <row r="31" spans="1:11" x14ac:dyDescent="0.25">
      <c r="A31" s="2">
        <v>36735</v>
      </c>
      <c r="B31">
        <v>103208.95</v>
      </c>
      <c r="C31">
        <v>6085.77</v>
      </c>
      <c r="D31" s="5">
        <v>-574.54999999999995</v>
      </c>
      <c r="E31">
        <f>D31/MAX($B$2:B31,100000)</f>
        <v>-5.5360437834530533E-3</v>
      </c>
      <c r="G31" s="2"/>
      <c r="H31" s="5"/>
      <c r="K31" s="5"/>
    </row>
    <row r="32" spans="1:11" x14ac:dyDescent="0.25">
      <c r="A32" s="2">
        <v>36742</v>
      </c>
      <c r="B32">
        <v>102693.13</v>
      </c>
      <c r="C32">
        <v>6085.77</v>
      </c>
      <c r="D32" s="5">
        <v>-1090.3800000000001</v>
      </c>
      <c r="E32">
        <f>D32/MAX($B$2:B32,100000)</f>
        <v>-1.0506294353148623E-2</v>
      </c>
      <c r="G32" s="2"/>
      <c r="H32" s="5"/>
      <c r="K32" s="5"/>
    </row>
    <row r="33" spans="1:11" x14ac:dyDescent="0.25">
      <c r="A33" s="2">
        <v>36749</v>
      </c>
      <c r="B33">
        <v>105073.86</v>
      </c>
      <c r="C33">
        <v>6085.77</v>
      </c>
      <c r="D33" s="5">
        <v>0</v>
      </c>
      <c r="E33">
        <f>D33/MAX($B$2:B33,100000)</f>
        <v>0</v>
      </c>
      <c r="G33" s="2"/>
      <c r="H33" s="5"/>
      <c r="K33" s="5"/>
    </row>
    <row r="34" spans="1:11" x14ac:dyDescent="0.25">
      <c r="A34" s="2">
        <v>36756</v>
      </c>
      <c r="B34">
        <v>105511.18</v>
      </c>
      <c r="C34">
        <v>6085.77</v>
      </c>
      <c r="D34" s="5">
        <v>0</v>
      </c>
      <c r="E34">
        <f>D34/MAX($B$2:B34,100000)</f>
        <v>0</v>
      </c>
      <c r="G34" s="2"/>
      <c r="H34" s="5"/>
      <c r="K34" s="5"/>
    </row>
    <row r="35" spans="1:11" x14ac:dyDescent="0.25">
      <c r="A35" s="2">
        <v>36763</v>
      </c>
      <c r="B35">
        <v>105564.11</v>
      </c>
      <c r="C35">
        <v>6085.77</v>
      </c>
      <c r="D35" s="5">
        <v>0</v>
      </c>
      <c r="E35">
        <f>D35/MAX($B$2:B35,100000)</f>
        <v>0</v>
      </c>
      <c r="G35" s="2"/>
      <c r="H35" s="5"/>
      <c r="K35" s="5"/>
    </row>
    <row r="36" spans="1:11" x14ac:dyDescent="0.25">
      <c r="A36" s="2">
        <v>36770</v>
      </c>
      <c r="B36">
        <v>104038.61</v>
      </c>
      <c r="C36">
        <v>6085.77</v>
      </c>
      <c r="D36" s="5">
        <v>-1525.5</v>
      </c>
      <c r="E36">
        <f>D36/MAX($B$2:B36,100000)</f>
        <v>-1.4450934129033059E-2</v>
      </c>
      <c r="G36" s="2"/>
      <c r="H36" s="5"/>
      <c r="K36" s="5"/>
    </row>
    <row r="37" spans="1:11" x14ac:dyDescent="0.25">
      <c r="A37" s="2">
        <v>36777</v>
      </c>
      <c r="B37">
        <v>103271.1</v>
      </c>
      <c r="C37">
        <v>6085.77</v>
      </c>
      <c r="D37" s="5">
        <v>-2293.0100000000002</v>
      </c>
      <c r="E37">
        <f>D37/MAX($B$2:B37,100000)</f>
        <v>-2.1721492276115435E-2</v>
      </c>
      <c r="G37" s="2"/>
      <c r="H37" s="5"/>
      <c r="K37" s="5"/>
    </row>
    <row r="38" spans="1:11" x14ac:dyDescent="0.25">
      <c r="A38" s="2">
        <v>36784</v>
      </c>
      <c r="B38">
        <v>102685.22</v>
      </c>
      <c r="C38">
        <v>6085.77</v>
      </c>
      <c r="D38" s="5">
        <v>-2878.89</v>
      </c>
      <c r="E38">
        <f>D38/MAX($B$2:B38,100000)</f>
        <v>-2.7271484598316603E-2</v>
      </c>
      <c r="G38" s="2"/>
      <c r="H38" s="5"/>
      <c r="K38" s="5"/>
    </row>
    <row r="39" spans="1:11" x14ac:dyDescent="0.25">
      <c r="A39" s="2">
        <v>36791</v>
      </c>
      <c r="B39">
        <v>101816.93</v>
      </c>
      <c r="C39">
        <v>6085.77</v>
      </c>
      <c r="D39" s="5">
        <v>-3747.18</v>
      </c>
      <c r="E39">
        <f>D39/MAX($B$2:B39,100000)</f>
        <v>-3.549672327081619E-2</v>
      </c>
      <c r="G39" s="2"/>
      <c r="H39" s="5"/>
      <c r="K39" s="5"/>
    </row>
    <row r="40" spans="1:11" x14ac:dyDescent="0.25">
      <c r="A40" s="2">
        <v>36798</v>
      </c>
      <c r="B40">
        <v>102996.5</v>
      </c>
      <c r="C40">
        <v>6085.77</v>
      </c>
      <c r="D40" s="5">
        <v>-2567.61</v>
      </c>
      <c r="E40">
        <f>D40/MAX($B$2:B40,100000)</f>
        <v>-2.4322755148506438E-2</v>
      </c>
      <c r="G40" s="2"/>
      <c r="H40" s="5"/>
      <c r="K40" s="5"/>
    </row>
    <row r="41" spans="1:11" x14ac:dyDescent="0.25">
      <c r="A41" s="2">
        <v>36805</v>
      </c>
      <c r="B41">
        <v>106123.76</v>
      </c>
      <c r="C41">
        <v>6085.77</v>
      </c>
      <c r="D41" s="5">
        <v>0</v>
      </c>
      <c r="E41">
        <f>D41/MAX($B$2:B41,100000)</f>
        <v>0</v>
      </c>
      <c r="G41" s="2"/>
      <c r="H41" s="5"/>
      <c r="K41" s="5"/>
    </row>
    <row r="42" spans="1:11" x14ac:dyDescent="0.25">
      <c r="A42" s="2">
        <v>36812</v>
      </c>
      <c r="B42">
        <v>106722.79</v>
      </c>
      <c r="C42">
        <v>6085.77</v>
      </c>
      <c r="D42" s="5">
        <v>0</v>
      </c>
      <c r="E42">
        <f>D42/MAX($B$2:B42,100000)</f>
        <v>0</v>
      </c>
      <c r="G42" s="2"/>
      <c r="H42" s="5"/>
      <c r="K42" s="5"/>
    </row>
    <row r="43" spans="1:11" x14ac:dyDescent="0.25">
      <c r="A43" s="2">
        <v>36819</v>
      </c>
      <c r="B43">
        <v>106965.89</v>
      </c>
      <c r="C43">
        <v>6085.77</v>
      </c>
      <c r="D43" s="5">
        <v>0</v>
      </c>
      <c r="E43">
        <f>D43/MAX($B$2:B43,100000)</f>
        <v>0</v>
      </c>
      <c r="G43" s="2"/>
      <c r="H43" s="5"/>
      <c r="K43" s="5"/>
    </row>
    <row r="44" spans="1:11" x14ac:dyDescent="0.25">
      <c r="A44" s="2">
        <v>36826</v>
      </c>
      <c r="B44">
        <v>106400.13</v>
      </c>
      <c r="C44">
        <v>6085.77</v>
      </c>
      <c r="D44" s="5">
        <v>-565.77</v>
      </c>
      <c r="E44">
        <f>D44/MAX($B$2:B44,100000)</f>
        <v>-5.2892562292521476E-3</v>
      </c>
      <c r="G44" s="2"/>
      <c r="H44" s="5"/>
      <c r="K44" s="5"/>
    </row>
    <row r="45" spans="1:11" x14ac:dyDescent="0.25">
      <c r="A45" s="2">
        <v>36833</v>
      </c>
      <c r="B45">
        <v>105977.05</v>
      </c>
      <c r="C45">
        <v>6085.77</v>
      </c>
      <c r="D45" s="5">
        <v>-988.84</v>
      </c>
      <c r="E45">
        <f>D45/MAX($B$2:B45,100000)</f>
        <v>-9.2444423170788374E-3</v>
      </c>
      <c r="G45" s="2"/>
      <c r="H45" s="5"/>
      <c r="K45" s="5"/>
    </row>
    <row r="46" spans="1:11" x14ac:dyDescent="0.25">
      <c r="A46" s="2">
        <v>36840</v>
      </c>
      <c r="B46">
        <v>108364.92</v>
      </c>
      <c r="C46">
        <v>6085.77</v>
      </c>
      <c r="D46" s="5">
        <v>0</v>
      </c>
      <c r="E46">
        <f>D46/MAX($B$2:B46,100000)</f>
        <v>0</v>
      </c>
      <c r="G46" s="2"/>
      <c r="H46" s="5"/>
      <c r="K46" s="5"/>
    </row>
    <row r="47" spans="1:11" x14ac:dyDescent="0.25">
      <c r="A47" s="2">
        <v>36847</v>
      </c>
      <c r="B47">
        <v>107574.41</v>
      </c>
      <c r="C47">
        <v>6085.77</v>
      </c>
      <c r="D47" s="5">
        <v>-790.51</v>
      </c>
      <c r="E47">
        <f>D47/MAX($B$2:B47,100000)</f>
        <v>-7.2948884196103311E-3</v>
      </c>
      <c r="G47" s="2"/>
      <c r="H47" s="5"/>
      <c r="K47" s="5"/>
    </row>
    <row r="48" spans="1:11" x14ac:dyDescent="0.25">
      <c r="A48" s="2">
        <v>36854</v>
      </c>
      <c r="B48">
        <v>107708.39</v>
      </c>
      <c r="C48">
        <v>6085.77</v>
      </c>
      <c r="D48" s="5">
        <v>-656.53</v>
      </c>
      <c r="E48">
        <f>D48/MAX($B$2:B48,100000)</f>
        <v>-6.0585104478460368E-3</v>
      </c>
      <c r="G48" s="2"/>
      <c r="H48" s="5"/>
      <c r="K48" s="5"/>
    </row>
    <row r="49" spans="1:11" x14ac:dyDescent="0.25">
      <c r="A49" s="2">
        <v>36861</v>
      </c>
      <c r="B49">
        <v>107653.64</v>
      </c>
      <c r="C49">
        <v>6085.77</v>
      </c>
      <c r="D49" s="5">
        <v>-711.28</v>
      </c>
      <c r="E49">
        <f>D49/MAX($B$2:B49,100000)</f>
        <v>-6.5637477515786474E-3</v>
      </c>
      <c r="G49" s="2"/>
      <c r="H49" s="5"/>
      <c r="K49" s="5"/>
    </row>
    <row r="50" spans="1:11" x14ac:dyDescent="0.25">
      <c r="A50" s="2">
        <v>36868</v>
      </c>
      <c r="B50">
        <v>109425.87</v>
      </c>
      <c r="C50">
        <v>6085.77</v>
      </c>
      <c r="D50" s="5">
        <v>0</v>
      </c>
      <c r="E50">
        <f>D50/MAX($B$2:B50,100000)</f>
        <v>0</v>
      </c>
      <c r="G50" s="2"/>
      <c r="H50" s="5"/>
      <c r="K50" s="5"/>
    </row>
    <row r="51" spans="1:11" x14ac:dyDescent="0.25">
      <c r="A51" s="2">
        <v>36875</v>
      </c>
      <c r="B51">
        <v>108617.60000000001</v>
      </c>
      <c r="C51">
        <v>6085.77</v>
      </c>
      <c r="D51" s="5">
        <v>-808.27</v>
      </c>
      <c r="E51">
        <f>D51/MAX($B$2:B51,100000)</f>
        <v>-7.3864617206150611E-3</v>
      </c>
      <c r="G51" s="2"/>
      <c r="H51" s="5"/>
      <c r="K51" s="5"/>
    </row>
    <row r="52" spans="1:11" x14ac:dyDescent="0.25">
      <c r="A52" s="2">
        <v>36882</v>
      </c>
      <c r="B52">
        <v>109668.8</v>
      </c>
      <c r="C52">
        <v>6085.77</v>
      </c>
      <c r="D52" s="5">
        <v>0</v>
      </c>
      <c r="E52">
        <f>D52/MAX($B$2:B52,100000)</f>
        <v>0</v>
      </c>
      <c r="G52" s="2"/>
      <c r="H52" s="5"/>
      <c r="K52" s="5"/>
    </row>
    <row r="53" spans="1:11" x14ac:dyDescent="0.25">
      <c r="A53" s="2">
        <v>36889</v>
      </c>
      <c r="B53">
        <v>109671.53</v>
      </c>
      <c r="C53">
        <v>14415.37</v>
      </c>
      <c r="D53" s="5">
        <v>0</v>
      </c>
      <c r="E53">
        <f>D53/MAX($B$2:B53,100000)</f>
        <v>0</v>
      </c>
      <c r="G53" s="2"/>
      <c r="H53" s="5"/>
      <c r="K53" s="5"/>
    </row>
    <row r="54" spans="1:11" x14ac:dyDescent="0.25">
      <c r="A54" s="2">
        <v>36896</v>
      </c>
      <c r="B54">
        <v>110995.84</v>
      </c>
      <c r="C54">
        <v>14415.37</v>
      </c>
      <c r="D54" s="5">
        <v>0</v>
      </c>
      <c r="E54">
        <f>D54/MAX($B$2:B54,100000)</f>
        <v>0</v>
      </c>
      <c r="G54" s="2"/>
      <c r="H54" s="5"/>
      <c r="K54" s="5"/>
    </row>
    <row r="55" spans="1:11" x14ac:dyDescent="0.25">
      <c r="A55" s="2">
        <v>36903</v>
      </c>
      <c r="B55">
        <v>109054.25</v>
      </c>
      <c r="C55">
        <v>5894.96</v>
      </c>
      <c r="D55" s="5">
        <v>-1941.59</v>
      </c>
      <c r="E55">
        <f>D55/MAX($B$2:B55,100000)</f>
        <v>-1.7492457374979099E-2</v>
      </c>
      <c r="G55" s="2"/>
      <c r="H55" s="5"/>
      <c r="K55" s="5"/>
    </row>
    <row r="56" spans="1:11" x14ac:dyDescent="0.25">
      <c r="A56" s="2">
        <v>36910</v>
      </c>
      <c r="B56">
        <v>109188.09</v>
      </c>
      <c r="C56">
        <v>5894.96</v>
      </c>
      <c r="D56" s="5">
        <v>-1807.76</v>
      </c>
      <c r="E56">
        <f>D56/MAX($B$2:B56,100000)</f>
        <v>-1.6286736511926934E-2</v>
      </c>
      <c r="G56" s="2"/>
      <c r="H56" s="5"/>
      <c r="K56" s="5"/>
    </row>
    <row r="57" spans="1:11" x14ac:dyDescent="0.25">
      <c r="A57" s="2">
        <v>36916</v>
      </c>
      <c r="B57">
        <v>110026.84</v>
      </c>
      <c r="C57">
        <v>5894.96</v>
      </c>
      <c r="D57" s="5">
        <v>-969</v>
      </c>
      <c r="E57">
        <f>D57/MAX($B$2:B57,100000)</f>
        <v>-8.7300569102409607E-3</v>
      </c>
      <c r="G57" s="2"/>
      <c r="H57" s="5"/>
      <c r="K57" s="5"/>
    </row>
    <row r="58" spans="1:11" x14ac:dyDescent="0.25">
      <c r="A58" s="2">
        <v>36924</v>
      </c>
      <c r="B58">
        <v>110379.41</v>
      </c>
      <c r="C58">
        <v>5894.96</v>
      </c>
      <c r="D58" s="5">
        <v>-616.44000000000005</v>
      </c>
      <c r="E58">
        <f>D58/MAX($B$2:B58,100000)</f>
        <v>-5.55372165299168E-3</v>
      </c>
      <c r="G58" s="2"/>
      <c r="H58" s="5"/>
      <c r="K58" s="5"/>
    </row>
    <row r="59" spans="1:11" x14ac:dyDescent="0.25">
      <c r="A59" s="2">
        <v>36931</v>
      </c>
      <c r="B59">
        <v>108561.42</v>
      </c>
      <c r="C59">
        <v>5894.96</v>
      </c>
      <c r="D59" s="5">
        <v>-2434.42</v>
      </c>
      <c r="E59">
        <f>D59/MAX($B$2:B59,100000)</f>
        <v>-2.1932533687749018E-2</v>
      </c>
      <c r="G59" s="2"/>
      <c r="H59" s="5"/>
      <c r="K59" s="5"/>
    </row>
    <row r="60" spans="1:11" x14ac:dyDescent="0.25">
      <c r="A60" s="2">
        <v>36938</v>
      </c>
      <c r="B60">
        <v>107933.27</v>
      </c>
      <c r="C60">
        <v>5894.96</v>
      </c>
      <c r="D60" s="5">
        <v>-3062.57</v>
      </c>
      <c r="E60">
        <f>D60/MAX($B$2:B60,100000)</f>
        <v>-2.7591754790089434E-2</v>
      </c>
      <c r="G60" s="2"/>
      <c r="H60" s="5"/>
      <c r="K60" s="5"/>
    </row>
    <row r="61" spans="1:11" x14ac:dyDescent="0.25">
      <c r="A61" s="2">
        <v>36945</v>
      </c>
      <c r="B61">
        <v>108753.59</v>
      </c>
      <c r="C61">
        <v>5894.96</v>
      </c>
      <c r="D61" s="5">
        <v>-2242.25</v>
      </c>
      <c r="E61">
        <f>D61/MAX($B$2:B61,100000)</f>
        <v>-2.0201207540751078E-2</v>
      </c>
      <c r="G61" s="2"/>
      <c r="H61" s="5"/>
      <c r="K61" s="5"/>
    </row>
    <row r="62" spans="1:11" x14ac:dyDescent="0.25">
      <c r="A62" s="2">
        <v>36952</v>
      </c>
      <c r="B62">
        <v>111394.25</v>
      </c>
      <c r="C62">
        <v>5894.96</v>
      </c>
      <c r="D62" s="5">
        <v>0</v>
      </c>
      <c r="E62">
        <f>D62/MAX($B$2:B62,100000)</f>
        <v>0</v>
      </c>
      <c r="G62" s="2"/>
      <c r="H62" s="5"/>
      <c r="K62" s="5"/>
    </row>
    <row r="63" spans="1:11" x14ac:dyDescent="0.25">
      <c r="A63" s="2">
        <v>36959</v>
      </c>
      <c r="B63">
        <v>111544.03</v>
      </c>
      <c r="C63">
        <v>5894.96</v>
      </c>
      <c r="D63" s="5">
        <v>0</v>
      </c>
      <c r="E63">
        <f>D63/MAX($B$2:B63,100000)</f>
        <v>0</v>
      </c>
      <c r="G63" s="2"/>
      <c r="H63" s="5"/>
      <c r="K63" s="5"/>
    </row>
    <row r="64" spans="1:11" x14ac:dyDescent="0.25">
      <c r="A64" s="2">
        <v>36966</v>
      </c>
      <c r="B64">
        <v>111776.94</v>
      </c>
      <c r="C64">
        <v>5894.96</v>
      </c>
      <c r="D64" s="5">
        <v>0</v>
      </c>
      <c r="E64">
        <f>D64/MAX($B$2:B64,100000)</f>
        <v>0</v>
      </c>
      <c r="G64" s="2"/>
      <c r="H64" s="5"/>
      <c r="K64" s="5"/>
    </row>
    <row r="65" spans="1:11" x14ac:dyDescent="0.25">
      <c r="A65" s="2">
        <v>36973</v>
      </c>
      <c r="B65">
        <v>111602.93</v>
      </c>
      <c r="C65">
        <v>5894.96</v>
      </c>
      <c r="D65" s="5">
        <v>-174.01</v>
      </c>
      <c r="E65">
        <f>D65/MAX($B$2:B65,100000)</f>
        <v>-1.5567611709535079E-3</v>
      </c>
      <c r="G65" s="2"/>
      <c r="H65" s="5"/>
      <c r="K65" s="5"/>
    </row>
    <row r="66" spans="1:11" x14ac:dyDescent="0.25">
      <c r="A66" s="2">
        <v>36980</v>
      </c>
      <c r="B66">
        <v>110423.84</v>
      </c>
      <c r="C66">
        <v>5894.96</v>
      </c>
      <c r="D66" s="5">
        <v>-1353.09</v>
      </c>
      <c r="E66">
        <f>D66/MAX($B$2:B66,100000)</f>
        <v>-1.2105269655798414E-2</v>
      </c>
      <c r="G66" s="2"/>
      <c r="H66" s="5"/>
      <c r="K66" s="5"/>
    </row>
    <row r="67" spans="1:11" x14ac:dyDescent="0.25">
      <c r="A67" s="2">
        <v>36987</v>
      </c>
      <c r="B67">
        <v>112181.31</v>
      </c>
      <c r="C67">
        <v>5894.96</v>
      </c>
      <c r="D67" s="5">
        <v>0</v>
      </c>
      <c r="E67">
        <f>D67/MAX($B$2:B67,100000)</f>
        <v>0</v>
      </c>
      <c r="G67" s="2"/>
      <c r="H67" s="5"/>
      <c r="K67" s="5"/>
    </row>
    <row r="68" spans="1:11" x14ac:dyDescent="0.25">
      <c r="A68" s="2">
        <v>36993</v>
      </c>
      <c r="B68">
        <v>111698.69</v>
      </c>
      <c r="C68">
        <v>5894.96</v>
      </c>
      <c r="D68" s="5">
        <v>-482.63</v>
      </c>
      <c r="E68">
        <f>D68/MAX($B$2:B68,100000)</f>
        <v>-4.302231806706483E-3</v>
      </c>
      <c r="G68" s="2"/>
      <c r="H68" s="5"/>
      <c r="K68" s="5"/>
    </row>
    <row r="69" spans="1:11" x14ac:dyDescent="0.25">
      <c r="A69" s="2">
        <v>37001</v>
      </c>
      <c r="B69">
        <v>111141.27</v>
      </c>
      <c r="C69">
        <v>5894.96</v>
      </c>
      <c r="D69" s="5">
        <v>-1040.05</v>
      </c>
      <c r="E69">
        <f>D69/MAX($B$2:B69,100000)</f>
        <v>-9.2711522088661652E-3</v>
      </c>
      <c r="G69" s="2"/>
      <c r="H69" s="5"/>
      <c r="K69" s="5"/>
    </row>
    <row r="70" spans="1:11" x14ac:dyDescent="0.25">
      <c r="A70" s="2">
        <v>37008</v>
      </c>
      <c r="B70">
        <v>111352.46</v>
      </c>
      <c r="C70">
        <v>5894.96</v>
      </c>
      <c r="D70" s="5">
        <v>-828.85</v>
      </c>
      <c r="E70">
        <f>D70/MAX($B$2:B70,100000)</f>
        <v>-7.3884856577267639E-3</v>
      </c>
      <c r="G70" s="2"/>
      <c r="H70" s="5"/>
      <c r="K70" s="5"/>
    </row>
    <row r="71" spans="1:11" x14ac:dyDescent="0.25">
      <c r="A71" s="2">
        <v>37015</v>
      </c>
      <c r="B71">
        <v>110992.22</v>
      </c>
      <c r="C71">
        <v>5894.96</v>
      </c>
      <c r="D71" s="5">
        <v>-1189.0899999999999</v>
      </c>
      <c r="E71">
        <f>D71/MAX($B$2:B71,100000)</f>
        <v>-1.0599715763704311E-2</v>
      </c>
      <c r="G71" s="2"/>
      <c r="H71" s="5"/>
      <c r="K71" s="5"/>
    </row>
    <row r="72" spans="1:11" x14ac:dyDescent="0.25">
      <c r="A72" s="2">
        <v>37022</v>
      </c>
      <c r="B72">
        <v>112677.02</v>
      </c>
      <c r="C72">
        <v>5894.96</v>
      </c>
      <c r="D72" s="5">
        <v>0</v>
      </c>
      <c r="E72">
        <f>D72/MAX($B$2:B72,100000)</f>
        <v>0</v>
      </c>
      <c r="G72" s="2"/>
      <c r="H72" s="5"/>
      <c r="K72" s="5"/>
    </row>
    <row r="73" spans="1:11" x14ac:dyDescent="0.25">
      <c r="A73" s="2">
        <v>37029</v>
      </c>
      <c r="B73">
        <v>114154.35</v>
      </c>
      <c r="C73">
        <v>5894.96</v>
      </c>
      <c r="D73" s="5">
        <v>0</v>
      </c>
      <c r="E73">
        <f>D73/MAX($B$2:B73,100000)</f>
        <v>0</v>
      </c>
      <c r="G73" s="2"/>
      <c r="H73" s="5"/>
      <c r="K73" s="5"/>
    </row>
    <row r="74" spans="1:11" x14ac:dyDescent="0.25">
      <c r="A74" s="2">
        <v>37036</v>
      </c>
      <c r="B74">
        <v>114629.53</v>
      </c>
      <c r="C74">
        <v>5894.96</v>
      </c>
      <c r="D74" s="5">
        <v>0</v>
      </c>
      <c r="E74">
        <f>D74/MAX($B$2:B74,100000)</f>
        <v>0</v>
      </c>
      <c r="G74" s="2"/>
      <c r="H74" s="5"/>
      <c r="K74" s="5"/>
    </row>
    <row r="75" spans="1:11" x14ac:dyDescent="0.25">
      <c r="A75" s="2">
        <v>37043</v>
      </c>
      <c r="B75">
        <v>114934.05</v>
      </c>
      <c r="C75">
        <v>5894.96</v>
      </c>
      <c r="D75" s="5">
        <v>0</v>
      </c>
      <c r="E75">
        <f>D75/MAX($B$2:B75,100000)</f>
        <v>0</v>
      </c>
      <c r="G75" s="2"/>
      <c r="H75" s="5"/>
      <c r="K75" s="5"/>
    </row>
    <row r="76" spans="1:11" x14ac:dyDescent="0.25">
      <c r="A76" s="2">
        <v>37050</v>
      </c>
      <c r="B76">
        <v>115437.86</v>
      </c>
      <c r="C76">
        <v>5894.96</v>
      </c>
      <c r="D76" s="5">
        <v>0</v>
      </c>
      <c r="E76">
        <f>D76/MAX($B$2:B76,100000)</f>
        <v>0</v>
      </c>
      <c r="G76" s="2"/>
      <c r="H76" s="5"/>
      <c r="K76" s="5"/>
    </row>
    <row r="77" spans="1:11" x14ac:dyDescent="0.25">
      <c r="A77" s="2">
        <v>37057</v>
      </c>
      <c r="B77">
        <v>118639.48</v>
      </c>
      <c r="C77">
        <v>5894.96</v>
      </c>
      <c r="D77" s="5">
        <v>0</v>
      </c>
      <c r="E77">
        <f>D77/MAX($B$2:B77,100000)</f>
        <v>0</v>
      </c>
      <c r="G77" s="2"/>
      <c r="H77" s="5"/>
      <c r="K77" s="5"/>
    </row>
    <row r="78" spans="1:11" x14ac:dyDescent="0.25">
      <c r="A78" s="2">
        <v>37064</v>
      </c>
      <c r="B78">
        <v>119567.3</v>
      </c>
      <c r="C78">
        <v>5894.96</v>
      </c>
      <c r="D78" s="5">
        <v>0</v>
      </c>
      <c r="E78">
        <f>D78/MAX($B$2:B78,100000)</f>
        <v>0</v>
      </c>
      <c r="G78" s="2"/>
      <c r="H78" s="5"/>
      <c r="K78" s="5"/>
    </row>
    <row r="79" spans="1:11" x14ac:dyDescent="0.25">
      <c r="A79" s="2">
        <v>37071</v>
      </c>
      <c r="B79">
        <v>121707.69</v>
      </c>
      <c r="C79">
        <v>5894.96</v>
      </c>
      <c r="D79" s="5">
        <v>0</v>
      </c>
      <c r="E79">
        <f>D79/MAX($B$2:B79,100000)</f>
        <v>0</v>
      </c>
      <c r="G79" s="2"/>
      <c r="H79" s="5"/>
      <c r="K79" s="5"/>
    </row>
    <row r="80" spans="1:11" x14ac:dyDescent="0.25">
      <c r="A80" s="2">
        <v>37078</v>
      </c>
      <c r="B80">
        <v>118500.85</v>
      </c>
      <c r="C80">
        <v>5894.96</v>
      </c>
      <c r="D80" s="5">
        <v>-3206.84</v>
      </c>
      <c r="E80">
        <f>D80/MAX($B$2:B80,100000)</f>
        <v>-2.6348704835331277E-2</v>
      </c>
      <c r="G80" s="2"/>
      <c r="H80" s="5"/>
      <c r="K80" s="5"/>
    </row>
    <row r="81" spans="1:11" x14ac:dyDescent="0.25">
      <c r="A81" s="2">
        <v>37085</v>
      </c>
      <c r="B81">
        <v>120592.64</v>
      </c>
      <c r="C81">
        <v>5894.96</v>
      </c>
      <c r="D81" s="5">
        <v>-1115.05</v>
      </c>
      <c r="E81">
        <f>D81/MAX($B$2:B81,100000)</f>
        <v>-9.1617053942934911E-3</v>
      </c>
      <c r="G81" s="2"/>
      <c r="H81" s="5"/>
      <c r="K81" s="5"/>
    </row>
    <row r="82" spans="1:11" x14ac:dyDescent="0.25">
      <c r="A82" s="2">
        <v>37092</v>
      </c>
      <c r="B82">
        <v>121997.44</v>
      </c>
      <c r="C82">
        <v>5894.96</v>
      </c>
      <c r="D82" s="5">
        <v>0</v>
      </c>
      <c r="E82">
        <f>D82/MAX($B$2:B82,100000)</f>
        <v>0</v>
      </c>
      <c r="G82" s="2"/>
      <c r="H82" s="5"/>
      <c r="K82" s="5"/>
    </row>
    <row r="83" spans="1:11" x14ac:dyDescent="0.25">
      <c r="A83" s="2">
        <v>37099</v>
      </c>
      <c r="B83">
        <v>121995.31</v>
      </c>
      <c r="C83">
        <v>5894.96</v>
      </c>
      <c r="D83" s="5">
        <v>-2.13</v>
      </c>
      <c r="E83">
        <f>D83/MAX($B$2:B83,100000)</f>
        <v>-1.7459382754261072E-5</v>
      </c>
      <c r="G83" s="2"/>
      <c r="H83" s="5"/>
      <c r="K83" s="5"/>
    </row>
    <row r="84" spans="1:11" x14ac:dyDescent="0.25">
      <c r="A84" s="2">
        <v>37106</v>
      </c>
      <c r="B84">
        <v>123317.2</v>
      </c>
      <c r="C84">
        <v>5894.96</v>
      </c>
      <c r="D84" s="5">
        <v>0</v>
      </c>
      <c r="E84">
        <f>D84/MAX($B$2:B84,100000)</f>
        <v>0</v>
      </c>
      <c r="G84" s="2"/>
      <c r="H84" s="5"/>
      <c r="K84" s="5"/>
    </row>
    <row r="85" spans="1:11" x14ac:dyDescent="0.25">
      <c r="A85" s="2">
        <v>37113</v>
      </c>
      <c r="B85">
        <v>126213.05</v>
      </c>
      <c r="C85">
        <v>5894.96</v>
      </c>
      <c r="D85" s="5">
        <v>0</v>
      </c>
      <c r="E85">
        <f>D85/MAX($B$2:B85,100000)</f>
        <v>0</v>
      </c>
      <c r="G85" s="2"/>
      <c r="H85" s="5"/>
      <c r="K85" s="5"/>
    </row>
    <row r="86" spans="1:11" x14ac:dyDescent="0.25">
      <c r="A86" s="2">
        <v>37120</v>
      </c>
      <c r="B86">
        <v>124872.95</v>
      </c>
      <c r="C86">
        <v>5894.96</v>
      </c>
      <c r="D86" s="5">
        <v>-1340.11</v>
      </c>
      <c r="E86">
        <f>D86/MAX($B$2:B86,100000)</f>
        <v>-1.0617840231259761E-2</v>
      </c>
      <c r="G86" s="2"/>
      <c r="H86" s="5"/>
      <c r="K86" s="5"/>
    </row>
    <row r="87" spans="1:11" x14ac:dyDescent="0.25">
      <c r="A87" s="2">
        <v>37127</v>
      </c>
      <c r="B87">
        <v>127431.2</v>
      </c>
      <c r="C87">
        <v>5894.96</v>
      </c>
      <c r="D87" s="5">
        <v>0</v>
      </c>
      <c r="E87">
        <f>D87/MAX($B$2:B87,100000)</f>
        <v>0</v>
      </c>
      <c r="G87" s="2"/>
      <c r="H87" s="5"/>
      <c r="K87" s="5"/>
    </row>
    <row r="88" spans="1:11" x14ac:dyDescent="0.25">
      <c r="A88" s="2">
        <v>37134</v>
      </c>
      <c r="B88">
        <v>127221.72</v>
      </c>
      <c r="C88">
        <v>5894.96</v>
      </c>
      <c r="D88" s="5">
        <v>-209.48</v>
      </c>
      <c r="E88">
        <f>D88/MAX($B$2:B88,100000)</f>
        <v>-1.6438674359183622E-3</v>
      </c>
      <c r="G88" s="2"/>
      <c r="H88" s="5"/>
      <c r="K88" s="5"/>
    </row>
    <row r="89" spans="1:11" x14ac:dyDescent="0.25">
      <c r="A89" s="2">
        <v>37141</v>
      </c>
      <c r="B89">
        <v>124298.87</v>
      </c>
      <c r="C89">
        <v>5894.96</v>
      </c>
      <c r="D89" s="5">
        <v>-3132.33</v>
      </c>
      <c r="E89">
        <f>D89/MAX($B$2:B89,100000)</f>
        <v>-2.4580557979521498E-2</v>
      </c>
      <c r="G89" s="2"/>
      <c r="H89" s="5"/>
      <c r="K89" s="5"/>
    </row>
    <row r="90" spans="1:11" x14ac:dyDescent="0.25">
      <c r="A90" s="2">
        <v>37148</v>
      </c>
      <c r="B90">
        <v>122008.14</v>
      </c>
      <c r="C90">
        <v>5894.96</v>
      </c>
      <c r="D90" s="5">
        <v>-5423.05</v>
      </c>
      <c r="E90">
        <f>D90/MAX($B$2:B90,100000)</f>
        <v>-4.2556689413581608E-2</v>
      </c>
      <c r="G90" s="2"/>
      <c r="H90" s="5"/>
      <c r="K90" s="5"/>
    </row>
    <row r="91" spans="1:11" x14ac:dyDescent="0.25">
      <c r="A91" s="2">
        <v>37155</v>
      </c>
      <c r="B91">
        <v>120491.54</v>
      </c>
      <c r="C91">
        <v>14765.32</v>
      </c>
      <c r="D91" s="5">
        <v>-6939.66</v>
      </c>
      <c r="E91">
        <f>D91/MAX($B$2:B91,100000)</f>
        <v>-5.4458091895862239E-2</v>
      </c>
      <c r="G91" s="2"/>
      <c r="H91" s="5"/>
      <c r="K91" s="5"/>
    </row>
    <row r="92" spans="1:11" x14ac:dyDescent="0.25">
      <c r="A92" s="2">
        <v>37162</v>
      </c>
      <c r="B92">
        <v>120771.76</v>
      </c>
      <c r="C92">
        <v>14765.32</v>
      </c>
      <c r="D92" s="5">
        <v>-6659.44</v>
      </c>
      <c r="E92">
        <f>D92/MAX($B$2:B92,100000)</f>
        <v>-5.2259101381765219E-2</v>
      </c>
      <c r="G92" s="2"/>
      <c r="H92" s="5"/>
      <c r="K92" s="5"/>
    </row>
    <row r="93" spans="1:11" x14ac:dyDescent="0.25">
      <c r="A93" s="2">
        <v>37169</v>
      </c>
      <c r="B93">
        <v>121052.77</v>
      </c>
      <c r="C93">
        <v>41951.67</v>
      </c>
      <c r="D93" s="5">
        <v>-6378.43</v>
      </c>
      <c r="E93">
        <f>D93/MAX($B$2:B93,100000)</f>
        <v>-5.0053911443979186E-2</v>
      </c>
      <c r="G93" s="2"/>
      <c r="H93" s="5"/>
      <c r="K93" s="5"/>
    </row>
    <row r="94" spans="1:11" x14ac:dyDescent="0.25">
      <c r="A94" s="2">
        <v>37176</v>
      </c>
      <c r="B94">
        <v>122526.96</v>
      </c>
      <c r="C94">
        <v>41951.67</v>
      </c>
      <c r="D94" s="5">
        <v>-4904.2299999999996</v>
      </c>
      <c r="E94">
        <f>D94/MAX($B$2:B94,100000)</f>
        <v>-3.8485315997965959E-2</v>
      </c>
      <c r="G94" s="2"/>
      <c r="H94" s="5"/>
      <c r="K94" s="5"/>
    </row>
    <row r="95" spans="1:11" x14ac:dyDescent="0.25">
      <c r="A95" s="2">
        <v>37183</v>
      </c>
      <c r="B95">
        <v>121363.27</v>
      </c>
      <c r="C95">
        <v>41951.67</v>
      </c>
      <c r="D95" s="5">
        <v>-6067.92</v>
      </c>
      <c r="E95">
        <f>D95/MAX($B$2:B95,100000)</f>
        <v>-4.7617224039324751E-2</v>
      </c>
      <c r="G95" s="2"/>
      <c r="H95" s="5"/>
      <c r="K95" s="5"/>
    </row>
    <row r="96" spans="1:11" x14ac:dyDescent="0.25">
      <c r="A96" s="2">
        <v>37190</v>
      </c>
      <c r="B96">
        <v>121958.8</v>
      </c>
      <c r="C96">
        <v>41951.67</v>
      </c>
      <c r="D96" s="5">
        <v>-5472.4</v>
      </c>
      <c r="E96">
        <f>D96/MAX($B$2:B96,100000)</f>
        <v>-4.2943957209851273E-2</v>
      </c>
      <c r="G96" s="2"/>
      <c r="H96" s="5"/>
      <c r="K96" s="5"/>
    </row>
    <row r="97" spans="1:11" x14ac:dyDescent="0.25">
      <c r="A97" s="2">
        <v>37197</v>
      </c>
      <c r="B97">
        <v>121849.32</v>
      </c>
      <c r="C97">
        <v>4425.25</v>
      </c>
      <c r="D97" s="5">
        <v>-5581.88</v>
      </c>
      <c r="E97">
        <f>D97/MAX($B$2:B97,100000)</f>
        <v>-4.3803087469944567E-2</v>
      </c>
      <c r="G97" s="2"/>
      <c r="H97" s="5"/>
      <c r="K97" s="5"/>
    </row>
    <row r="98" spans="1:11" x14ac:dyDescent="0.25">
      <c r="A98" s="2">
        <v>37204</v>
      </c>
      <c r="B98">
        <v>122880.98</v>
      </c>
      <c r="C98">
        <v>4425.25</v>
      </c>
      <c r="D98" s="5">
        <v>-4550.22</v>
      </c>
      <c r="E98">
        <f>D98/MAX($B$2:B98,100000)</f>
        <v>-3.5707267921827622E-2</v>
      </c>
      <c r="G98" s="2"/>
      <c r="H98" s="5"/>
      <c r="K98" s="5"/>
    </row>
    <row r="99" spans="1:11" x14ac:dyDescent="0.25">
      <c r="A99" s="2">
        <v>37211</v>
      </c>
      <c r="B99">
        <v>120090.24000000001</v>
      </c>
      <c r="C99">
        <v>4425.25</v>
      </c>
      <c r="D99" s="5">
        <v>-7340.95</v>
      </c>
      <c r="E99">
        <f>D99/MAX($B$2:B99,100000)</f>
        <v>-5.7607163708730674E-2</v>
      </c>
      <c r="G99" s="2"/>
      <c r="H99" s="5"/>
      <c r="K99" s="5"/>
    </row>
    <row r="100" spans="1:11" x14ac:dyDescent="0.25">
      <c r="A100" s="2">
        <v>37218</v>
      </c>
      <c r="B100">
        <v>121247.98</v>
      </c>
      <c r="C100">
        <v>4425.25</v>
      </c>
      <c r="D100" s="5">
        <v>-6183.21</v>
      </c>
      <c r="E100">
        <f>D100/MAX($B$2:B100,100000)</f>
        <v>-4.8521947529333476E-2</v>
      </c>
      <c r="G100" s="2"/>
      <c r="H100" s="5"/>
      <c r="K100" s="5"/>
    </row>
    <row r="101" spans="1:11" x14ac:dyDescent="0.25">
      <c r="A101" s="2">
        <v>37225</v>
      </c>
      <c r="B101">
        <v>121404.76</v>
      </c>
      <c r="C101">
        <v>4425.25</v>
      </c>
      <c r="D101" s="5">
        <v>-6026.44</v>
      </c>
      <c r="E101">
        <f>D101/MAX($B$2:B101,100000)</f>
        <v>-4.7291715058792511E-2</v>
      </c>
      <c r="G101" s="2"/>
      <c r="H101" s="5"/>
      <c r="K101" s="5"/>
    </row>
    <row r="102" spans="1:11" x14ac:dyDescent="0.25">
      <c r="A102" s="2">
        <v>37232</v>
      </c>
      <c r="B102">
        <v>119602.09</v>
      </c>
      <c r="C102">
        <v>4425.25</v>
      </c>
      <c r="D102" s="5">
        <v>-7829.11</v>
      </c>
      <c r="E102">
        <f>D102/MAX($B$2:B102,100000)</f>
        <v>-6.1437936706238344E-2</v>
      </c>
      <c r="G102" s="2"/>
      <c r="H102" s="5"/>
      <c r="K102" s="5"/>
    </row>
    <row r="103" spans="1:11" x14ac:dyDescent="0.25">
      <c r="A103" s="2">
        <v>37239</v>
      </c>
      <c r="B103">
        <v>119588.59</v>
      </c>
      <c r="C103">
        <v>4425.25</v>
      </c>
      <c r="D103" s="5">
        <v>-7842.6</v>
      </c>
      <c r="E103">
        <f>D103/MAX($B$2:B103,100000)</f>
        <v>-6.1543797751257151E-2</v>
      </c>
      <c r="G103" s="2"/>
      <c r="H103" s="5"/>
      <c r="K103" s="5"/>
    </row>
    <row r="104" spans="1:11" x14ac:dyDescent="0.25">
      <c r="A104" s="2">
        <v>37246</v>
      </c>
      <c r="B104">
        <v>120691.17</v>
      </c>
      <c r="C104">
        <v>4425.25</v>
      </c>
      <c r="D104" s="5">
        <v>-6740.02</v>
      </c>
      <c r="E104">
        <f>D104/MAX($B$2:B104,100000)</f>
        <v>-5.2891442598045069E-2</v>
      </c>
      <c r="G104" s="2"/>
      <c r="H104" s="5"/>
      <c r="K104" s="5"/>
    </row>
    <row r="105" spans="1:11" x14ac:dyDescent="0.25">
      <c r="A105" s="2">
        <v>37253</v>
      </c>
      <c r="B105">
        <v>122563.32</v>
      </c>
      <c r="C105">
        <v>4425.25</v>
      </c>
      <c r="D105" s="5">
        <v>-4867.88</v>
      </c>
      <c r="E105">
        <f>D105/MAX($B$2:B105,100000)</f>
        <v>-3.8200064034553546E-2</v>
      </c>
      <c r="G105" s="2"/>
      <c r="H105" s="5"/>
      <c r="K105" s="5"/>
    </row>
    <row r="106" spans="1:11" x14ac:dyDescent="0.25">
      <c r="A106" s="2">
        <v>37260</v>
      </c>
      <c r="B106">
        <v>123035.08</v>
      </c>
      <c r="C106">
        <v>4425.25</v>
      </c>
      <c r="D106" s="5">
        <v>-4396.12</v>
      </c>
      <c r="E106">
        <f>D106/MAX($B$2:B106,100000)</f>
        <v>-3.4497987933881182E-2</v>
      </c>
      <c r="G106" s="2"/>
      <c r="H106" s="5"/>
      <c r="K106" s="5"/>
    </row>
    <row r="107" spans="1:11" x14ac:dyDescent="0.25">
      <c r="A107" s="2">
        <v>37267</v>
      </c>
      <c r="B107">
        <v>124023.65</v>
      </c>
      <c r="C107">
        <v>4425.25</v>
      </c>
      <c r="D107" s="5">
        <v>-3407.55</v>
      </c>
      <c r="E107">
        <f>D107/MAX($B$2:B107,100000)</f>
        <v>-2.6740311634827266E-2</v>
      </c>
      <c r="G107" s="2"/>
      <c r="H107" s="5"/>
      <c r="K107" s="5"/>
    </row>
    <row r="108" spans="1:11" x14ac:dyDescent="0.25">
      <c r="A108" s="2">
        <v>37274</v>
      </c>
      <c r="B108">
        <v>123126.73</v>
      </c>
      <c r="C108">
        <v>4425.25</v>
      </c>
      <c r="D108" s="5">
        <v>-4304.46</v>
      </c>
      <c r="E108">
        <f>D108/MAX($B$2:B108,100000)</f>
        <v>-3.3778697838519924E-2</v>
      </c>
      <c r="G108" s="2"/>
      <c r="H108" s="5"/>
      <c r="K108" s="5"/>
    </row>
    <row r="109" spans="1:11" x14ac:dyDescent="0.25">
      <c r="A109" s="2">
        <v>37281</v>
      </c>
      <c r="B109">
        <v>124539.58</v>
      </c>
      <c r="C109">
        <v>4425.25</v>
      </c>
      <c r="D109" s="5">
        <v>-2891.62</v>
      </c>
      <c r="E109">
        <f>D109/MAX($B$2:B109,100000)</f>
        <v>-2.2691617123592966E-2</v>
      </c>
      <c r="G109" s="2"/>
      <c r="H109" s="5"/>
      <c r="K109" s="5"/>
    </row>
    <row r="110" spans="1:11" x14ac:dyDescent="0.25">
      <c r="A110" s="2">
        <v>37288</v>
      </c>
      <c r="B110">
        <v>125265.45</v>
      </c>
      <c r="C110">
        <v>4425.25</v>
      </c>
      <c r="D110" s="5">
        <v>-2165.7399999999998</v>
      </c>
      <c r="E110">
        <f>D110/MAX($B$2:B110,100000)</f>
        <v>-1.6995366911713928E-2</v>
      </c>
      <c r="G110" s="2"/>
      <c r="H110" s="5"/>
      <c r="K110" s="5"/>
    </row>
    <row r="111" spans="1:11" x14ac:dyDescent="0.25">
      <c r="A111" s="2">
        <v>37295</v>
      </c>
      <c r="B111">
        <v>126881.67</v>
      </c>
      <c r="C111">
        <v>4425.25</v>
      </c>
      <c r="D111" s="5">
        <v>-549.52</v>
      </c>
      <c r="E111">
        <f>D111/MAX($B$2:B111,100000)</f>
        <v>-4.3122877285939392E-3</v>
      </c>
      <c r="G111" s="2"/>
      <c r="H111" s="5"/>
      <c r="K111" s="5"/>
    </row>
    <row r="112" spans="1:11" x14ac:dyDescent="0.25">
      <c r="A112" s="2">
        <v>37302</v>
      </c>
      <c r="B112">
        <v>128973.86</v>
      </c>
      <c r="C112">
        <v>4425.25</v>
      </c>
      <c r="D112" s="5">
        <v>0</v>
      </c>
      <c r="E112">
        <f>D112/MAX($B$2:B112,100000)</f>
        <v>0</v>
      </c>
      <c r="G112" s="2"/>
      <c r="H112" s="5"/>
      <c r="K112" s="5"/>
    </row>
    <row r="113" spans="1:11" x14ac:dyDescent="0.25">
      <c r="A113" s="2">
        <v>37309</v>
      </c>
      <c r="B113">
        <v>128653.6</v>
      </c>
      <c r="C113">
        <v>4425.25</v>
      </c>
      <c r="D113" s="5">
        <v>-320.26</v>
      </c>
      <c r="E113">
        <f>D113/MAX($B$2:B113,100000)</f>
        <v>-2.4831388313880038E-3</v>
      </c>
      <c r="G113" s="2"/>
      <c r="H113" s="5"/>
      <c r="K113" s="5"/>
    </row>
    <row r="114" spans="1:11" x14ac:dyDescent="0.25">
      <c r="A114" s="2">
        <v>37316</v>
      </c>
      <c r="B114">
        <v>130193.63</v>
      </c>
      <c r="C114">
        <v>4425.25</v>
      </c>
      <c r="D114" s="5">
        <v>0</v>
      </c>
      <c r="E114">
        <f>D114/MAX($B$2:B114,100000)</f>
        <v>0</v>
      </c>
      <c r="G114" s="2"/>
      <c r="H114" s="5"/>
      <c r="K114" s="5"/>
    </row>
    <row r="115" spans="1:11" x14ac:dyDescent="0.25">
      <c r="A115" s="2">
        <v>37323</v>
      </c>
      <c r="B115">
        <v>129217.56</v>
      </c>
      <c r="C115">
        <v>4425.25</v>
      </c>
      <c r="D115" s="5">
        <v>-976.06</v>
      </c>
      <c r="E115">
        <f>D115/MAX($B$2:B115,100000)</f>
        <v>-7.4969873718092042E-3</v>
      </c>
      <c r="G115" s="2"/>
      <c r="H115" s="5"/>
      <c r="K115" s="5"/>
    </row>
    <row r="116" spans="1:11" x14ac:dyDescent="0.25">
      <c r="A116" s="2">
        <v>37330</v>
      </c>
      <c r="B116">
        <v>128429.27</v>
      </c>
      <c r="C116">
        <v>4425.25</v>
      </c>
      <c r="D116" s="5">
        <v>-1764.36</v>
      </c>
      <c r="E116">
        <f>D116/MAX($B$2:B116,100000)</f>
        <v>-1.3551815092643164E-2</v>
      </c>
      <c r="G116" s="2"/>
      <c r="H116" s="5"/>
      <c r="K116" s="5"/>
    </row>
    <row r="117" spans="1:11" x14ac:dyDescent="0.25">
      <c r="A117" s="2">
        <v>37337</v>
      </c>
      <c r="B117">
        <v>129935.4</v>
      </c>
      <c r="C117">
        <v>4425.25</v>
      </c>
      <c r="D117" s="5">
        <v>-258.23</v>
      </c>
      <c r="E117">
        <f>D117/MAX($B$2:B117,100000)</f>
        <v>-1.9834303721311098E-3</v>
      </c>
      <c r="G117" s="2"/>
      <c r="H117" s="5"/>
      <c r="K117" s="5"/>
    </row>
    <row r="118" spans="1:11" x14ac:dyDescent="0.25">
      <c r="A118" s="2">
        <v>37343</v>
      </c>
      <c r="B118">
        <v>130038.47</v>
      </c>
      <c r="C118">
        <v>4425.25</v>
      </c>
      <c r="D118" s="5">
        <v>-155.16</v>
      </c>
      <c r="E118">
        <f>D118/MAX($B$2:B118,100000)</f>
        <v>-1.1917633758272198E-3</v>
      </c>
      <c r="G118" s="2"/>
      <c r="H118" s="5"/>
      <c r="K118" s="5"/>
    </row>
    <row r="119" spans="1:11" x14ac:dyDescent="0.25">
      <c r="A119" s="2">
        <v>37351</v>
      </c>
      <c r="B119">
        <v>128602.68</v>
      </c>
      <c r="C119">
        <v>4425.25</v>
      </c>
      <c r="D119" s="5">
        <v>-1590.95</v>
      </c>
      <c r="E119">
        <f>D119/MAX($B$2:B119,100000)</f>
        <v>-1.2219875887937067E-2</v>
      </c>
      <c r="G119" s="2"/>
      <c r="H119" s="5"/>
      <c r="K119" s="5"/>
    </row>
    <row r="120" spans="1:11" x14ac:dyDescent="0.25">
      <c r="A120" s="2">
        <v>37358</v>
      </c>
      <c r="B120">
        <v>128389.91</v>
      </c>
      <c r="C120">
        <v>4425.25</v>
      </c>
      <c r="D120" s="5">
        <v>-1803.71</v>
      </c>
      <c r="E120">
        <f>D120/MAX($B$2:B120,100000)</f>
        <v>-1.3854057222308034E-2</v>
      </c>
      <c r="G120" s="2"/>
      <c r="H120" s="5"/>
      <c r="K120" s="5"/>
    </row>
    <row r="121" spans="1:11" x14ac:dyDescent="0.25">
      <c r="A121" s="2">
        <v>37365</v>
      </c>
      <c r="B121">
        <v>129169.60000000001</v>
      </c>
      <c r="C121">
        <v>4425.25</v>
      </c>
      <c r="D121" s="5">
        <v>-1024.02</v>
      </c>
      <c r="E121">
        <f>D121/MAX($B$2:B121,100000)</f>
        <v>-7.8653617692355602E-3</v>
      </c>
      <c r="G121" s="2"/>
      <c r="H121" s="5"/>
      <c r="K121" s="5"/>
    </row>
    <row r="122" spans="1:11" x14ac:dyDescent="0.25">
      <c r="A122" s="2">
        <v>37372</v>
      </c>
      <c r="B122">
        <v>130359.52</v>
      </c>
      <c r="C122">
        <v>4425.25</v>
      </c>
      <c r="D122" s="5">
        <v>0</v>
      </c>
      <c r="E122">
        <f>D122/MAX($B$2:B122,100000)</f>
        <v>0</v>
      </c>
      <c r="G122" s="2"/>
      <c r="H122" s="5"/>
      <c r="K122" s="5"/>
    </row>
    <row r="123" spans="1:11" x14ac:dyDescent="0.25">
      <c r="A123" s="2">
        <v>37379</v>
      </c>
      <c r="B123">
        <v>131837.98000000001</v>
      </c>
      <c r="C123">
        <v>4425.25</v>
      </c>
      <c r="D123" s="5">
        <v>0</v>
      </c>
      <c r="E123">
        <f>D123/MAX($B$2:B123,100000)</f>
        <v>0</v>
      </c>
      <c r="G123" s="2"/>
      <c r="H123" s="5"/>
      <c r="K123" s="5"/>
    </row>
    <row r="124" spans="1:11" x14ac:dyDescent="0.25">
      <c r="A124" s="2">
        <v>37386</v>
      </c>
      <c r="B124">
        <v>131637.34</v>
      </c>
      <c r="C124">
        <v>4425.25</v>
      </c>
      <c r="D124" s="5">
        <v>-200.64</v>
      </c>
      <c r="E124">
        <f>D124/MAX($B$2:B124,100000)</f>
        <v>-1.5218679776495361E-3</v>
      </c>
      <c r="G124" s="2"/>
      <c r="H124" s="5"/>
      <c r="K124" s="5"/>
    </row>
    <row r="125" spans="1:11" x14ac:dyDescent="0.25">
      <c r="A125" s="2">
        <v>37393</v>
      </c>
      <c r="B125">
        <v>132146.53</v>
      </c>
      <c r="C125">
        <v>4425.25</v>
      </c>
      <c r="D125" s="5">
        <v>0</v>
      </c>
      <c r="E125">
        <f>D125/MAX($B$2:B125,100000)</f>
        <v>0</v>
      </c>
      <c r="G125" s="2"/>
      <c r="H125" s="5"/>
      <c r="K125" s="5"/>
    </row>
    <row r="126" spans="1:11" x14ac:dyDescent="0.25">
      <c r="A126" s="2">
        <v>37400</v>
      </c>
      <c r="B126">
        <v>133371.79999999999</v>
      </c>
      <c r="C126">
        <v>4425.25</v>
      </c>
      <c r="D126" s="5">
        <v>0</v>
      </c>
      <c r="E126">
        <f>D126/MAX($B$2:B126,100000)</f>
        <v>0</v>
      </c>
      <c r="G126" s="2"/>
      <c r="H126" s="5"/>
      <c r="K126" s="5"/>
    </row>
    <row r="127" spans="1:11" x14ac:dyDescent="0.25">
      <c r="A127" s="2">
        <v>37407</v>
      </c>
      <c r="B127">
        <v>134297.16</v>
      </c>
      <c r="C127">
        <v>4425.25</v>
      </c>
      <c r="D127" s="5">
        <v>0</v>
      </c>
      <c r="E127">
        <f>D127/MAX($B$2:B127,100000)</f>
        <v>0</v>
      </c>
      <c r="G127" s="2"/>
      <c r="H127" s="5"/>
      <c r="K127" s="5"/>
    </row>
    <row r="128" spans="1:11" x14ac:dyDescent="0.25">
      <c r="A128" s="2">
        <v>37414</v>
      </c>
      <c r="B128">
        <v>135461.91</v>
      </c>
      <c r="C128">
        <v>4425.25</v>
      </c>
      <c r="D128" s="5">
        <v>0</v>
      </c>
      <c r="E128">
        <f>D128/MAX($B$2:B128,100000)</f>
        <v>0</v>
      </c>
      <c r="G128" s="2"/>
      <c r="H128" s="5"/>
      <c r="K128" s="5"/>
    </row>
    <row r="129" spans="1:11" x14ac:dyDescent="0.25">
      <c r="A129" s="2">
        <v>37421</v>
      </c>
      <c r="B129">
        <v>134408.59</v>
      </c>
      <c r="C129">
        <v>4425.25</v>
      </c>
      <c r="D129" s="5">
        <v>-1053.31</v>
      </c>
      <c r="E129">
        <f>D129/MAX($B$2:B129,100000)</f>
        <v>-7.7756913364059304E-3</v>
      </c>
      <c r="G129" s="2"/>
      <c r="H129" s="5"/>
      <c r="K129" s="5"/>
    </row>
    <row r="130" spans="1:11" x14ac:dyDescent="0.25">
      <c r="A130" s="2">
        <v>37428</v>
      </c>
      <c r="B130">
        <v>134464.31</v>
      </c>
      <c r="C130">
        <v>4425.25</v>
      </c>
      <c r="D130" s="5">
        <v>-997.59</v>
      </c>
      <c r="E130">
        <f>D130/MAX($B$2:B130,100000)</f>
        <v>-7.3643579955428064E-3</v>
      </c>
      <c r="G130" s="2"/>
      <c r="H130" s="5"/>
      <c r="K130" s="5"/>
    </row>
    <row r="131" spans="1:11" x14ac:dyDescent="0.25">
      <c r="A131" s="2">
        <v>37435</v>
      </c>
      <c r="B131">
        <v>133357.92000000001</v>
      </c>
      <c r="C131">
        <v>4425.25</v>
      </c>
      <c r="D131" s="5">
        <v>-2103.98</v>
      </c>
      <c r="E131">
        <f>D131/MAX($B$2:B131,100000)</f>
        <v>-1.5531893799518994E-2</v>
      </c>
      <c r="G131" s="2"/>
      <c r="H131" s="5"/>
      <c r="K131" s="5"/>
    </row>
    <row r="132" spans="1:11" x14ac:dyDescent="0.25">
      <c r="A132" s="2">
        <v>37442</v>
      </c>
      <c r="B132">
        <v>133317.29999999999</v>
      </c>
      <c r="C132">
        <v>4425.25</v>
      </c>
      <c r="D132" s="5">
        <v>-2144.61</v>
      </c>
      <c r="E132">
        <f>D132/MAX($B$2:B132,100000)</f>
        <v>-1.5831830512355836E-2</v>
      </c>
      <c r="G132" s="2"/>
      <c r="H132" s="5"/>
      <c r="K132" s="5"/>
    </row>
    <row r="133" spans="1:11" x14ac:dyDescent="0.25">
      <c r="A133" s="2">
        <v>37449</v>
      </c>
      <c r="B133">
        <v>134965.92000000001</v>
      </c>
      <c r="C133">
        <v>4425.25</v>
      </c>
      <c r="D133" s="5">
        <v>-495.98</v>
      </c>
      <c r="E133">
        <f>D133/MAX($B$2:B133,100000)</f>
        <v>-3.6613982484079845E-3</v>
      </c>
      <c r="G133" s="2"/>
      <c r="H133" s="5"/>
      <c r="K133" s="5"/>
    </row>
    <row r="134" spans="1:11" x14ac:dyDescent="0.25">
      <c r="A134" s="2">
        <v>37456</v>
      </c>
      <c r="B134">
        <v>132286.73000000001</v>
      </c>
      <c r="C134">
        <v>15329.25</v>
      </c>
      <c r="D134" s="5">
        <v>-3175.17</v>
      </c>
      <c r="E134">
        <f>D134/MAX($B$2:B134,100000)</f>
        <v>-2.3439577959590265E-2</v>
      </c>
      <c r="G134" s="2"/>
      <c r="H134" s="5"/>
      <c r="K134" s="5"/>
    </row>
    <row r="135" spans="1:11" x14ac:dyDescent="0.25">
      <c r="A135" s="2">
        <v>37463</v>
      </c>
      <c r="B135">
        <v>131545.10999999999</v>
      </c>
      <c r="C135">
        <v>15329.25</v>
      </c>
      <c r="D135" s="5">
        <v>-3916.8</v>
      </c>
      <c r="E135">
        <f>D135/MAX($B$2:B135,100000)</f>
        <v>-2.8914401103601745E-2</v>
      </c>
      <c r="G135" s="2"/>
      <c r="H135" s="5"/>
      <c r="K135" s="5"/>
    </row>
    <row r="136" spans="1:11" x14ac:dyDescent="0.25">
      <c r="A136" s="2">
        <v>37470</v>
      </c>
      <c r="B136">
        <v>131975.34</v>
      </c>
      <c r="C136">
        <v>15329.25</v>
      </c>
      <c r="D136" s="5">
        <v>-3486.56</v>
      </c>
      <c r="E136">
        <f>D136/MAX($B$2:B136,100000)</f>
        <v>-2.5738305328782091E-2</v>
      </c>
      <c r="G136" s="2"/>
      <c r="H136" s="5"/>
      <c r="K136" s="5"/>
    </row>
    <row r="137" spans="1:11" x14ac:dyDescent="0.25">
      <c r="A137" s="2">
        <v>37477</v>
      </c>
      <c r="B137">
        <v>133032.57999999999</v>
      </c>
      <c r="C137">
        <v>15329.25</v>
      </c>
      <c r="D137" s="5">
        <v>-2429.33</v>
      </c>
      <c r="E137">
        <f>D137/MAX($B$2:B137,100000)</f>
        <v>-1.7933675968395839E-2</v>
      </c>
      <c r="G137" s="2"/>
      <c r="H137" s="5"/>
      <c r="K137" s="5"/>
    </row>
    <row r="138" spans="1:11" x14ac:dyDescent="0.25">
      <c r="A138" s="2">
        <v>37484</v>
      </c>
      <c r="B138">
        <v>134790.75</v>
      </c>
      <c r="C138">
        <v>15329.25</v>
      </c>
      <c r="D138" s="5">
        <v>-671.16</v>
      </c>
      <c r="E138">
        <f>D138/MAX($B$2:B138,100000)</f>
        <v>-4.9546031057734231E-3</v>
      </c>
      <c r="G138" s="2"/>
      <c r="H138" s="5"/>
      <c r="K138" s="5"/>
    </row>
    <row r="139" spans="1:11" x14ac:dyDescent="0.25">
      <c r="A139" s="2">
        <v>37491</v>
      </c>
      <c r="B139">
        <v>134250.13</v>
      </c>
      <c r="C139">
        <v>15329.25</v>
      </c>
      <c r="D139" s="5">
        <v>-1211.78</v>
      </c>
      <c r="E139">
        <f>D139/MAX($B$2:B139,100000)</f>
        <v>-8.9455404844062808E-3</v>
      </c>
      <c r="G139" s="2"/>
      <c r="H139" s="5"/>
      <c r="K139" s="5"/>
    </row>
    <row r="140" spans="1:11" x14ac:dyDescent="0.25">
      <c r="A140" s="2">
        <v>37498</v>
      </c>
      <c r="B140">
        <v>136249.89000000001</v>
      </c>
      <c r="C140">
        <v>15329.25</v>
      </c>
      <c r="D140" s="5">
        <v>0</v>
      </c>
      <c r="E140">
        <f>D140/MAX($B$2:B140,100000)</f>
        <v>0</v>
      </c>
      <c r="G140" s="2"/>
      <c r="H140" s="5"/>
      <c r="K140" s="5"/>
    </row>
    <row r="141" spans="1:11" x14ac:dyDescent="0.25">
      <c r="A141" s="2">
        <v>37505</v>
      </c>
      <c r="B141">
        <v>137162.76999999999</v>
      </c>
      <c r="C141">
        <v>15329.25</v>
      </c>
      <c r="D141" s="5">
        <v>0</v>
      </c>
      <c r="E141">
        <f>D141/MAX($B$2:B141,100000)</f>
        <v>0</v>
      </c>
      <c r="G141" s="2"/>
      <c r="H141" s="5"/>
      <c r="K141" s="5"/>
    </row>
    <row r="142" spans="1:11" x14ac:dyDescent="0.25">
      <c r="A142" s="2">
        <v>37512</v>
      </c>
      <c r="B142">
        <v>136474.89000000001</v>
      </c>
      <c r="C142">
        <v>15329.25</v>
      </c>
      <c r="D142" s="5">
        <v>-687.88</v>
      </c>
      <c r="E142">
        <f>D142/MAX($B$2:B142,100000)</f>
        <v>-5.0150634898959833E-3</v>
      </c>
      <c r="G142" s="2"/>
      <c r="H142" s="5"/>
      <c r="K142" s="5"/>
    </row>
    <row r="143" spans="1:11" x14ac:dyDescent="0.25">
      <c r="A143" s="2">
        <v>37519</v>
      </c>
      <c r="B143">
        <v>137223.07999999999</v>
      </c>
      <c r="C143">
        <v>15329.25</v>
      </c>
      <c r="D143" s="5">
        <v>0</v>
      </c>
      <c r="E143">
        <f>D143/MAX($B$2:B143,100000)</f>
        <v>0</v>
      </c>
      <c r="G143" s="2"/>
      <c r="H143" s="5"/>
      <c r="K143" s="5"/>
    </row>
    <row r="144" spans="1:11" x14ac:dyDescent="0.25">
      <c r="A144" s="2">
        <v>37526</v>
      </c>
      <c r="B144">
        <v>136674.69</v>
      </c>
      <c r="C144">
        <v>15329.25</v>
      </c>
      <c r="D144" s="5">
        <v>-548.39</v>
      </c>
      <c r="E144">
        <f>D144/MAX($B$2:B144,100000)</f>
        <v>-3.9963393913035623E-3</v>
      </c>
      <c r="G144" s="2"/>
      <c r="H144" s="5"/>
      <c r="K144" s="5"/>
    </row>
    <row r="145" spans="1:11" x14ac:dyDescent="0.25">
      <c r="A145" s="2">
        <v>37533</v>
      </c>
      <c r="B145">
        <v>136563.64000000001</v>
      </c>
      <c r="C145">
        <v>15329.25</v>
      </c>
      <c r="D145" s="5">
        <v>-659.44</v>
      </c>
      <c r="E145">
        <f>D145/MAX($B$2:B145,100000)</f>
        <v>-4.8056055876314696E-3</v>
      </c>
      <c r="G145" s="2"/>
      <c r="H145" s="5"/>
      <c r="K145" s="5"/>
    </row>
    <row r="146" spans="1:11" x14ac:dyDescent="0.25">
      <c r="A146" s="2">
        <v>37540</v>
      </c>
      <c r="B146">
        <v>136102.60999999999</v>
      </c>
      <c r="C146">
        <v>36932.480000000003</v>
      </c>
      <c r="D146" s="5">
        <v>-1120.47</v>
      </c>
      <c r="E146">
        <f>D146/MAX($B$2:B146,100000)</f>
        <v>-8.1653173795545198E-3</v>
      </c>
      <c r="G146" s="2"/>
      <c r="H146" s="5"/>
      <c r="K146" s="5"/>
    </row>
    <row r="147" spans="1:11" x14ac:dyDescent="0.25">
      <c r="A147" s="2">
        <v>37547</v>
      </c>
      <c r="B147">
        <v>137230.07999999999</v>
      </c>
      <c r="C147">
        <v>36932.480000000003</v>
      </c>
      <c r="D147" s="5">
        <v>0</v>
      </c>
      <c r="E147">
        <f>D147/MAX($B$2:B147,100000)</f>
        <v>0</v>
      </c>
      <c r="G147" s="2"/>
      <c r="H147" s="5"/>
      <c r="K147" s="5"/>
    </row>
    <row r="148" spans="1:11" x14ac:dyDescent="0.25">
      <c r="A148" s="2">
        <v>37554</v>
      </c>
      <c r="B148">
        <v>136620.45000000001</v>
      </c>
      <c r="C148">
        <v>36932.480000000003</v>
      </c>
      <c r="D148" s="5">
        <v>-609.63</v>
      </c>
      <c r="E148">
        <f>D148/MAX($B$2:B148,100000)</f>
        <v>-4.4423933878053557E-3</v>
      </c>
      <c r="G148" s="2"/>
      <c r="H148" s="5"/>
      <c r="K148" s="5"/>
    </row>
    <row r="149" spans="1:11" x14ac:dyDescent="0.25">
      <c r="A149" s="2">
        <v>37561</v>
      </c>
      <c r="B149">
        <v>136261.07999999999</v>
      </c>
      <c r="C149">
        <v>36932.480000000003</v>
      </c>
      <c r="D149" s="5">
        <v>-969</v>
      </c>
      <c r="E149">
        <f>D149/MAX($B$2:B149,100000)</f>
        <v>-7.061134118700507E-3</v>
      </c>
      <c r="G149" s="2"/>
      <c r="H149" s="5"/>
      <c r="K149" s="5"/>
    </row>
    <row r="150" spans="1:11" x14ac:dyDescent="0.25">
      <c r="A150" s="2">
        <v>37568</v>
      </c>
      <c r="B150">
        <v>135289.66</v>
      </c>
      <c r="C150">
        <v>36932.480000000003</v>
      </c>
      <c r="D150" s="5">
        <v>-1940.42</v>
      </c>
      <c r="E150">
        <f>D150/MAX($B$2:B150,100000)</f>
        <v>-1.413990285511748E-2</v>
      </c>
      <c r="G150" s="2"/>
      <c r="H150" s="5"/>
      <c r="K150" s="5"/>
    </row>
    <row r="151" spans="1:11" x14ac:dyDescent="0.25">
      <c r="A151" s="2">
        <v>37575</v>
      </c>
      <c r="B151">
        <v>136326.63</v>
      </c>
      <c r="C151">
        <v>36932.480000000003</v>
      </c>
      <c r="D151" s="5">
        <v>-903.45</v>
      </c>
      <c r="E151">
        <f>D151/MAX($B$2:B151,100000)</f>
        <v>-6.5834691636119441E-3</v>
      </c>
      <c r="G151" s="2"/>
      <c r="H151" s="5"/>
      <c r="K151" s="5"/>
    </row>
    <row r="152" spans="1:11" x14ac:dyDescent="0.25">
      <c r="A152" s="2">
        <v>37582</v>
      </c>
      <c r="B152">
        <v>137192.09</v>
      </c>
      <c r="C152">
        <v>36932.480000000003</v>
      </c>
      <c r="D152" s="5">
        <v>-37.979999999999997</v>
      </c>
      <c r="E152">
        <f>D152/MAX($B$2:B152,100000)</f>
        <v>-2.7676147969891149E-4</v>
      </c>
      <c r="G152" s="2"/>
      <c r="H152" s="5"/>
      <c r="K152" s="5"/>
    </row>
    <row r="153" spans="1:11" x14ac:dyDescent="0.25">
      <c r="A153" s="2">
        <v>37589</v>
      </c>
      <c r="B153">
        <v>137367.42000000001</v>
      </c>
      <c r="C153">
        <v>36932.480000000003</v>
      </c>
      <c r="D153" s="5">
        <v>0</v>
      </c>
      <c r="E153">
        <f>D153/MAX($B$2:B153,100000)</f>
        <v>0</v>
      </c>
      <c r="G153" s="2"/>
      <c r="H153" s="5"/>
      <c r="K153" s="5"/>
    </row>
    <row r="154" spans="1:11" x14ac:dyDescent="0.25">
      <c r="A154" s="2">
        <v>37596</v>
      </c>
      <c r="B154">
        <v>137360.25</v>
      </c>
      <c r="C154">
        <v>36932.480000000003</v>
      </c>
      <c r="D154" s="5">
        <v>-7.17</v>
      </c>
      <c r="E154">
        <f>D154/MAX($B$2:B154,100000)</f>
        <v>-5.2195782668117366E-5</v>
      </c>
      <c r="G154" s="2"/>
      <c r="H154" s="5"/>
      <c r="K154" s="5"/>
    </row>
    <row r="155" spans="1:11" x14ac:dyDescent="0.25">
      <c r="A155" s="2">
        <v>37603</v>
      </c>
      <c r="B155">
        <v>141073.72</v>
      </c>
      <c r="C155">
        <v>36932.480000000003</v>
      </c>
      <c r="D155" s="5">
        <v>0</v>
      </c>
      <c r="E155">
        <f>D155/MAX($B$2:B155,100000)</f>
        <v>0</v>
      </c>
      <c r="G155" s="2"/>
      <c r="H155" s="5"/>
      <c r="K155" s="5"/>
    </row>
    <row r="156" spans="1:11" x14ac:dyDescent="0.25">
      <c r="A156" s="2">
        <v>37610</v>
      </c>
      <c r="B156">
        <v>140910.76999999999</v>
      </c>
      <c r="C156">
        <v>36932.480000000003</v>
      </c>
      <c r="D156" s="5">
        <v>-162.94999999999999</v>
      </c>
      <c r="E156">
        <f>D156/MAX($B$2:B156,100000)</f>
        <v>-1.1550698457515687E-3</v>
      </c>
      <c r="G156" s="2"/>
      <c r="H156" s="5"/>
      <c r="K156" s="5"/>
    </row>
    <row r="157" spans="1:11" x14ac:dyDescent="0.25">
      <c r="A157" s="2">
        <v>37617</v>
      </c>
      <c r="B157">
        <v>141706.98000000001</v>
      </c>
      <c r="C157">
        <v>36932.480000000003</v>
      </c>
      <c r="D157" s="5">
        <v>0</v>
      </c>
      <c r="E157">
        <f>D157/MAX($B$2:B157,100000)</f>
        <v>0</v>
      </c>
      <c r="G157" s="2"/>
      <c r="H157" s="5"/>
      <c r="K157" s="5"/>
    </row>
    <row r="158" spans="1:11" x14ac:dyDescent="0.25">
      <c r="A158" s="2">
        <v>37624</v>
      </c>
      <c r="B158">
        <v>143022.48000000001</v>
      </c>
      <c r="C158">
        <v>15081.06</v>
      </c>
      <c r="D158" s="5">
        <v>0</v>
      </c>
      <c r="E158">
        <f>D158/MAX($B$2:B158,100000)</f>
        <v>0</v>
      </c>
      <c r="G158" s="2"/>
      <c r="H158" s="5"/>
      <c r="K158" s="5"/>
    </row>
    <row r="159" spans="1:11" x14ac:dyDescent="0.25">
      <c r="A159" s="2">
        <v>37631</v>
      </c>
      <c r="B159">
        <v>144079.60999999999</v>
      </c>
      <c r="C159">
        <v>4026.56</v>
      </c>
      <c r="D159" s="5">
        <v>0</v>
      </c>
      <c r="E159">
        <f>D159/MAX($B$2:B159,100000)</f>
        <v>0</v>
      </c>
      <c r="G159" s="2"/>
      <c r="H159" s="5"/>
      <c r="K159" s="5"/>
    </row>
    <row r="160" spans="1:11" x14ac:dyDescent="0.25">
      <c r="A160" s="2">
        <v>37638</v>
      </c>
      <c r="B160">
        <v>142439.06</v>
      </c>
      <c r="C160">
        <v>4026.56</v>
      </c>
      <c r="D160" s="5">
        <v>-1640.55</v>
      </c>
      <c r="E160">
        <f>D160/MAX($B$2:B160,100000)</f>
        <v>-1.1386413386321632E-2</v>
      </c>
      <c r="G160" s="2"/>
      <c r="H160" s="5"/>
      <c r="K160" s="5"/>
    </row>
    <row r="161" spans="1:11" x14ac:dyDescent="0.25">
      <c r="A161" s="2">
        <v>37645</v>
      </c>
      <c r="B161">
        <v>141774.72</v>
      </c>
      <c r="C161">
        <v>4026.56</v>
      </c>
      <c r="D161" s="5">
        <v>-2304.89</v>
      </c>
      <c r="E161">
        <f>D161/MAX($B$2:B161,100000)</f>
        <v>-1.5997336472523768E-2</v>
      </c>
      <c r="G161" s="2"/>
      <c r="H161" s="5"/>
      <c r="K161" s="5"/>
    </row>
    <row r="162" spans="1:11" x14ac:dyDescent="0.25">
      <c r="A162" s="2">
        <v>37652</v>
      </c>
      <c r="B162">
        <v>141607.92000000001</v>
      </c>
      <c r="C162">
        <v>4026.56</v>
      </c>
      <c r="D162" s="5">
        <v>-2471.69</v>
      </c>
      <c r="E162">
        <f>D162/MAX($B$2:B162,100000)</f>
        <v>-1.7155029778328803E-2</v>
      </c>
      <c r="G162" s="2"/>
      <c r="H162" s="5"/>
      <c r="K162" s="5"/>
    </row>
    <row r="163" spans="1:11" x14ac:dyDescent="0.25">
      <c r="A163" s="2">
        <v>37659</v>
      </c>
      <c r="B163">
        <v>141155.28</v>
      </c>
      <c r="C163">
        <v>4026.56</v>
      </c>
      <c r="D163" s="5">
        <v>-2924.33</v>
      </c>
      <c r="E163">
        <f>D163/MAX($B$2:B163,100000)</f>
        <v>-2.0296626288758002E-2</v>
      </c>
      <c r="G163" s="2"/>
      <c r="H163" s="5"/>
      <c r="K163" s="5"/>
    </row>
    <row r="164" spans="1:11" x14ac:dyDescent="0.25">
      <c r="A164" s="2">
        <v>37666</v>
      </c>
      <c r="B164">
        <v>140678.72</v>
      </c>
      <c r="C164">
        <v>4026.56</v>
      </c>
      <c r="D164" s="5">
        <v>-3400.89</v>
      </c>
      <c r="E164">
        <f>D164/MAX($B$2:B164,100000)</f>
        <v>-2.3604242126974109E-2</v>
      </c>
      <c r="G164" s="2"/>
      <c r="H164" s="5"/>
      <c r="K164" s="5"/>
    </row>
    <row r="165" spans="1:11" x14ac:dyDescent="0.25">
      <c r="A165" s="2">
        <v>37673</v>
      </c>
      <c r="B165">
        <v>142197.06</v>
      </c>
      <c r="C165">
        <v>4026.56</v>
      </c>
      <c r="D165" s="5">
        <v>-1882.55</v>
      </c>
      <c r="E165">
        <f>D165/MAX($B$2:B165,100000)</f>
        <v>-1.3066040364767785E-2</v>
      </c>
      <c r="G165" s="2"/>
      <c r="H165" s="5"/>
      <c r="K165" s="5"/>
    </row>
    <row r="166" spans="1:11" x14ac:dyDescent="0.25">
      <c r="A166" s="2">
        <v>37680</v>
      </c>
      <c r="B166">
        <v>140410.01999999999</v>
      </c>
      <c r="C166">
        <v>4026.56</v>
      </c>
      <c r="D166" s="5">
        <v>-3669.59</v>
      </c>
      <c r="E166">
        <f>D166/MAX($B$2:B166,100000)</f>
        <v>-2.5469183321637258E-2</v>
      </c>
      <c r="G166" s="2"/>
      <c r="H166" s="5"/>
      <c r="K166" s="5"/>
    </row>
    <row r="167" spans="1:11" x14ac:dyDescent="0.25">
      <c r="A167" s="2">
        <v>37687</v>
      </c>
      <c r="B167">
        <v>142967.14000000001</v>
      </c>
      <c r="C167">
        <v>4026.56</v>
      </c>
      <c r="D167" s="5">
        <v>-1112.47</v>
      </c>
      <c r="E167">
        <f>D167/MAX($B$2:B167,100000)</f>
        <v>-7.7212174574875659E-3</v>
      </c>
      <c r="G167" s="2"/>
      <c r="H167" s="5"/>
      <c r="K167" s="5"/>
    </row>
    <row r="168" spans="1:11" x14ac:dyDescent="0.25">
      <c r="A168" s="2">
        <v>37694</v>
      </c>
      <c r="B168">
        <v>141813.60999999999</v>
      </c>
      <c r="C168">
        <v>4026.56</v>
      </c>
      <c r="D168" s="5">
        <v>-2266</v>
      </c>
      <c r="E168">
        <f>D168/MAX($B$2:B168,100000)</f>
        <v>-1.5727416252723062E-2</v>
      </c>
      <c r="G168" s="2"/>
      <c r="H168" s="5"/>
      <c r="K168" s="5"/>
    </row>
    <row r="169" spans="1:11" x14ac:dyDescent="0.25">
      <c r="A169" s="2">
        <v>37701</v>
      </c>
      <c r="B169">
        <v>145390.28</v>
      </c>
      <c r="C169">
        <v>4026.56</v>
      </c>
      <c r="D169" s="5">
        <v>0</v>
      </c>
      <c r="E169">
        <f>D169/MAX($B$2:B169,100000)</f>
        <v>0</v>
      </c>
      <c r="G169" s="2"/>
      <c r="H169" s="5"/>
      <c r="K169" s="5"/>
    </row>
    <row r="170" spans="1:11" x14ac:dyDescent="0.25">
      <c r="A170" s="2">
        <v>37708</v>
      </c>
      <c r="B170">
        <v>148720.84</v>
      </c>
      <c r="C170">
        <v>4026.56</v>
      </c>
      <c r="D170" s="5">
        <v>0</v>
      </c>
      <c r="E170">
        <f>D170/MAX($B$2:B170,100000)</f>
        <v>0</v>
      </c>
      <c r="G170" s="2"/>
      <c r="H170" s="5"/>
      <c r="K170" s="5"/>
    </row>
    <row r="171" spans="1:11" x14ac:dyDescent="0.25">
      <c r="A171" s="2">
        <v>37715</v>
      </c>
      <c r="B171">
        <v>148356.67000000001</v>
      </c>
      <c r="C171">
        <v>4026.56</v>
      </c>
      <c r="D171" s="5">
        <v>-364.17</v>
      </c>
      <c r="E171">
        <f>D171/MAX($B$2:B171,100000)</f>
        <v>-2.4486817045949985E-3</v>
      </c>
      <c r="G171" s="2"/>
      <c r="H171" s="5"/>
      <c r="K171" s="5"/>
    </row>
    <row r="172" spans="1:11" x14ac:dyDescent="0.25">
      <c r="A172" s="2">
        <v>37722</v>
      </c>
      <c r="B172">
        <v>151760.13</v>
      </c>
      <c r="C172">
        <v>4026.56</v>
      </c>
      <c r="D172" s="5">
        <v>0</v>
      </c>
      <c r="E172">
        <f>D172/MAX($B$2:B172,100000)</f>
        <v>0</v>
      </c>
      <c r="G172" s="2"/>
      <c r="H172" s="5"/>
      <c r="K172" s="5"/>
    </row>
    <row r="173" spans="1:11" x14ac:dyDescent="0.25">
      <c r="A173" s="2">
        <v>37728</v>
      </c>
      <c r="B173">
        <v>150909.25</v>
      </c>
      <c r="C173">
        <v>5443.56</v>
      </c>
      <c r="D173" s="5">
        <v>-850.88</v>
      </c>
      <c r="E173">
        <f>D173/MAX($B$2:B173,100000)</f>
        <v>-5.6067426932225215E-3</v>
      </c>
      <c r="G173" s="2"/>
      <c r="H173" s="5"/>
      <c r="K173" s="5"/>
    </row>
    <row r="174" spans="1:11" x14ac:dyDescent="0.25">
      <c r="A174" s="2">
        <v>37735</v>
      </c>
      <c r="B174">
        <v>151163.17000000001</v>
      </c>
      <c r="C174">
        <v>5443.56</v>
      </c>
      <c r="D174" s="5">
        <v>-596.95000000000005</v>
      </c>
      <c r="E174">
        <f>D174/MAX($B$2:B174,100000)</f>
        <v>-3.9335100727707602E-3</v>
      </c>
      <c r="G174" s="2"/>
      <c r="H174" s="5"/>
      <c r="K174" s="5"/>
    </row>
    <row r="175" spans="1:11" x14ac:dyDescent="0.25">
      <c r="A175" s="2">
        <v>37743</v>
      </c>
      <c r="B175">
        <v>152667.29999999999</v>
      </c>
      <c r="C175">
        <v>5443.56</v>
      </c>
      <c r="D175" s="5">
        <v>0</v>
      </c>
      <c r="E175">
        <f>D175/MAX($B$2:B175,100000)</f>
        <v>0</v>
      </c>
      <c r="G175" s="2"/>
      <c r="H175" s="5"/>
      <c r="K175" s="5"/>
    </row>
    <row r="176" spans="1:11" x14ac:dyDescent="0.25">
      <c r="A176" s="2">
        <v>37750</v>
      </c>
      <c r="B176">
        <v>153137.69</v>
      </c>
      <c r="C176">
        <v>5443.56</v>
      </c>
      <c r="D176" s="5">
        <v>0</v>
      </c>
      <c r="E176">
        <f>D176/MAX($B$2:B176,100000)</f>
        <v>0</v>
      </c>
      <c r="G176" s="2"/>
      <c r="H176" s="5"/>
      <c r="K176" s="5"/>
    </row>
    <row r="177" spans="1:11" x14ac:dyDescent="0.25">
      <c r="A177" s="2">
        <v>37757</v>
      </c>
      <c r="B177">
        <v>151926.19</v>
      </c>
      <c r="C177">
        <v>5443.56</v>
      </c>
      <c r="D177" s="5">
        <v>-1211.5</v>
      </c>
      <c r="E177">
        <f>D177/MAX($B$2:B177,100000)</f>
        <v>-7.9111811076685301E-3</v>
      </c>
      <c r="G177" s="2"/>
      <c r="H177" s="5"/>
      <c r="K177" s="5"/>
    </row>
    <row r="178" spans="1:11" x14ac:dyDescent="0.25">
      <c r="A178" s="2">
        <v>37764</v>
      </c>
      <c r="B178">
        <v>155133.07999999999</v>
      </c>
      <c r="C178">
        <v>5443.56</v>
      </c>
      <c r="D178" s="5">
        <v>0</v>
      </c>
      <c r="E178">
        <f>D178/MAX($B$2:B178,100000)</f>
        <v>0</v>
      </c>
      <c r="G178" s="2"/>
      <c r="H178" s="5"/>
      <c r="K178" s="5"/>
    </row>
    <row r="179" spans="1:11" x14ac:dyDescent="0.25">
      <c r="A179" s="2">
        <v>37771</v>
      </c>
      <c r="B179">
        <v>155504.10999999999</v>
      </c>
      <c r="C179">
        <v>5443.56</v>
      </c>
      <c r="D179" s="5">
        <v>0</v>
      </c>
      <c r="E179">
        <f>D179/MAX($B$2:B179,100000)</f>
        <v>0</v>
      </c>
      <c r="G179" s="2"/>
      <c r="H179" s="5"/>
      <c r="K179" s="5"/>
    </row>
    <row r="180" spans="1:11" x14ac:dyDescent="0.25">
      <c r="A180" s="2">
        <v>37778</v>
      </c>
      <c r="B180">
        <v>155822.84</v>
      </c>
      <c r="C180">
        <v>5443.56</v>
      </c>
      <c r="D180" s="5">
        <v>0</v>
      </c>
      <c r="E180">
        <f>D180/MAX($B$2:B180,100000)</f>
        <v>0</v>
      </c>
      <c r="G180" s="2"/>
      <c r="H180" s="5"/>
      <c r="K180" s="5"/>
    </row>
    <row r="181" spans="1:11" x14ac:dyDescent="0.25">
      <c r="A181" s="2">
        <v>37785</v>
      </c>
      <c r="B181">
        <v>156945.07999999999</v>
      </c>
      <c r="C181">
        <v>5443.56</v>
      </c>
      <c r="D181" s="5">
        <v>0</v>
      </c>
      <c r="E181">
        <f>D181/MAX($B$2:B181,100000)</f>
        <v>0</v>
      </c>
      <c r="G181" s="2"/>
      <c r="H181" s="5"/>
      <c r="K181" s="5"/>
    </row>
    <row r="182" spans="1:11" x14ac:dyDescent="0.25">
      <c r="A182" s="2">
        <v>37792</v>
      </c>
      <c r="B182">
        <v>160806.76999999999</v>
      </c>
      <c r="C182">
        <v>5443.56</v>
      </c>
      <c r="D182" s="5">
        <v>0</v>
      </c>
      <c r="E182">
        <f>D182/MAX($B$2:B182,100000)</f>
        <v>0</v>
      </c>
      <c r="G182" s="2"/>
      <c r="H182" s="5"/>
      <c r="K182" s="5"/>
    </row>
    <row r="183" spans="1:11" x14ac:dyDescent="0.25">
      <c r="A183" s="2">
        <v>37799</v>
      </c>
      <c r="B183">
        <v>158493.32999999999</v>
      </c>
      <c r="C183">
        <v>5443.56</v>
      </c>
      <c r="D183" s="5">
        <v>-2313.44</v>
      </c>
      <c r="E183">
        <f>D183/MAX($B$2:B183,100000)</f>
        <v>-1.4386458978064171E-2</v>
      </c>
      <c r="G183" s="2"/>
      <c r="H183" s="5"/>
      <c r="K183" s="5"/>
    </row>
    <row r="184" spans="1:11" x14ac:dyDescent="0.25">
      <c r="A184" s="2">
        <v>37806</v>
      </c>
      <c r="B184">
        <v>157608.59</v>
      </c>
      <c r="C184">
        <v>5443.56</v>
      </c>
      <c r="D184" s="5">
        <v>-3198.17</v>
      </c>
      <c r="E184">
        <f>D184/MAX($B$2:B184,100000)</f>
        <v>-1.9888279579273933E-2</v>
      </c>
      <c r="G184" s="2"/>
      <c r="H184" s="5"/>
      <c r="K184" s="5"/>
    </row>
    <row r="185" spans="1:11" x14ac:dyDescent="0.25">
      <c r="A185" s="2">
        <v>37813</v>
      </c>
      <c r="B185">
        <v>157038.28</v>
      </c>
      <c r="C185">
        <v>5443.56</v>
      </c>
      <c r="D185" s="5">
        <v>-3768.48</v>
      </c>
      <c r="E185">
        <f>D185/MAX($B$2:B185,100000)</f>
        <v>-2.34348342423643E-2</v>
      </c>
      <c r="G185" s="2"/>
      <c r="H185" s="5"/>
      <c r="K185" s="5"/>
    </row>
    <row r="186" spans="1:11" x14ac:dyDescent="0.25">
      <c r="A186" s="2">
        <v>37820</v>
      </c>
      <c r="B186">
        <v>157584.01999999999</v>
      </c>
      <c r="C186">
        <v>5443.56</v>
      </c>
      <c r="D186" s="5">
        <v>-3222.75</v>
      </c>
      <c r="E186">
        <f>D186/MAX($B$2:B186,100000)</f>
        <v>-2.0041133840322769E-2</v>
      </c>
      <c r="G186" s="2"/>
      <c r="H186" s="5"/>
      <c r="K186" s="5"/>
    </row>
    <row r="187" spans="1:11" x14ac:dyDescent="0.25">
      <c r="A187" s="2">
        <v>37827</v>
      </c>
      <c r="B187">
        <v>156364.89000000001</v>
      </c>
      <c r="C187">
        <v>5443.56</v>
      </c>
      <c r="D187" s="5">
        <v>-4441.88</v>
      </c>
      <c r="E187">
        <f>D187/MAX($B$2:B187,100000)</f>
        <v>-2.7622468879886092E-2</v>
      </c>
      <c r="G187" s="2"/>
      <c r="H187" s="5"/>
      <c r="K187" s="5"/>
    </row>
    <row r="188" spans="1:11" x14ac:dyDescent="0.25">
      <c r="A188" s="2">
        <v>37834</v>
      </c>
      <c r="B188">
        <v>157744.63</v>
      </c>
      <c r="C188">
        <v>5992.15</v>
      </c>
      <c r="D188" s="5">
        <v>-3062.14</v>
      </c>
      <c r="E188">
        <f>D188/MAX($B$2:B188,100000)</f>
        <v>-1.9042357482834834E-2</v>
      </c>
      <c r="G188" s="2"/>
      <c r="H188" s="5"/>
      <c r="K188" s="5"/>
    </row>
    <row r="189" spans="1:11" x14ac:dyDescent="0.25">
      <c r="A189" s="2">
        <v>37841</v>
      </c>
      <c r="B189">
        <v>157422.29999999999</v>
      </c>
      <c r="C189">
        <v>5992.15</v>
      </c>
      <c r="D189" s="5">
        <v>-3384.47</v>
      </c>
      <c r="E189">
        <f>D189/MAX($B$2:B189,100000)</f>
        <v>-2.1046812892268157E-2</v>
      </c>
      <c r="G189" s="2"/>
      <c r="H189" s="5"/>
      <c r="K189" s="5"/>
    </row>
    <row r="190" spans="1:11" x14ac:dyDescent="0.25">
      <c r="A190" s="2">
        <v>37848</v>
      </c>
      <c r="B190">
        <v>158231.78</v>
      </c>
      <c r="C190">
        <v>5992.15</v>
      </c>
      <c r="D190" s="5">
        <v>-2574.98</v>
      </c>
      <c r="E190">
        <f>D190/MAX($B$2:B190,100000)</f>
        <v>-1.6012883039687946E-2</v>
      </c>
      <c r="G190" s="2"/>
      <c r="H190" s="5"/>
      <c r="K190" s="5"/>
    </row>
    <row r="191" spans="1:11" x14ac:dyDescent="0.25">
      <c r="A191" s="2">
        <v>37855</v>
      </c>
      <c r="B191">
        <v>158222.09</v>
      </c>
      <c r="C191">
        <v>8384.98</v>
      </c>
      <c r="D191" s="5">
        <v>-2584.67</v>
      </c>
      <c r="E191">
        <f>D191/MAX($B$2:B191,100000)</f>
        <v>-1.6073141696708416E-2</v>
      </c>
      <c r="G191" s="2"/>
      <c r="H191" s="5"/>
      <c r="K191" s="5"/>
    </row>
    <row r="192" spans="1:11" x14ac:dyDescent="0.25">
      <c r="A192" s="2">
        <v>37862</v>
      </c>
      <c r="B192">
        <v>154666.79999999999</v>
      </c>
      <c r="C192">
        <v>8384.98</v>
      </c>
      <c r="D192" s="5">
        <v>-6139.97</v>
      </c>
      <c r="E192">
        <f>D192/MAX($B$2:B192,100000)</f>
        <v>-3.8182285484622325E-2</v>
      </c>
      <c r="G192" s="2"/>
      <c r="H192" s="5"/>
      <c r="K192" s="5"/>
    </row>
    <row r="193" spans="1:11" x14ac:dyDescent="0.25">
      <c r="A193" s="2">
        <v>37869</v>
      </c>
      <c r="B193">
        <v>154655.28</v>
      </c>
      <c r="C193">
        <v>8384.98</v>
      </c>
      <c r="D193" s="5">
        <v>-6151.48</v>
      </c>
      <c r="E193">
        <f>D193/MAX($B$2:B193,100000)</f>
        <v>-3.8253862073095557E-2</v>
      </c>
      <c r="G193" s="2"/>
      <c r="H193" s="5"/>
      <c r="K193" s="5"/>
    </row>
    <row r="194" spans="1:11" x14ac:dyDescent="0.25">
      <c r="A194" s="2">
        <v>37876</v>
      </c>
      <c r="B194">
        <v>153981.79999999999</v>
      </c>
      <c r="C194">
        <v>8384.98</v>
      </c>
      <c r="D194" s="5">
        <v>-6824.97</v>
      </c>
      <c r="E194">
        <f>D194/MAX($B$2:B194,100000)</f>
        <v>-4.2442056388546333E-2</v>
      </c>
      <c r="G194" s="2"/>
      <c r="H194" s="5"/>
      <c r="K194" s="5"/>
    </row>
    <row r="195" spans="1:11" x14ac:dyDescent="0.25">
      <c r="A195" s="2">
        <v>37883</v>
      </c>
      <c r="B195">
        <v>155400.75</v>
      </c>
      <c r="C195">
        <v>8384.98</v>
      </c>
      <c r="D195" s="5">
        <v>-5406.02</v>
      </c>
      <c r="E195">
        <f>D195/MAX($B$2:B195,100000)</f>
        <v>-3.3618111973768273E-2</v>
      </c>
      <c r="G195" s="2"/>
      <c r="H195" s="5"/>
      <c r="K195" s="5"/>
    </row>
    <row r="196" spans="1:11" x14ac:dyDescent="0.25">
      <c r="A196" s="2">
        <v>37890</v>
      </c>
      <c r="B196">
        <v>153541.29999999999</v>
      </c>
      <c r="C196">
        <v>8384.98</v>
      </c>
      <c r="D196" s="5">
        <v>-7265.47</v>
      </c>
      <c r="E196">
        <f>D196/MAX($B$2:B196,100000)</f>
        <v>-4.5181368918733963E-2</v>
      </c>
      <c r="G196" s="2"/>
      <c r="H196" s="5"/>
      <c r="K196" s="5"/>
    </row>
    <row r="197" spans="1:11" x14ac:dyDescent="0.25">
      <c r="A197" s="2">
        <v>37897</v>
      </c>
      <c r="B197">
        <v>153871.70000000001</v>
      </c>
      <c r="C197">
        <v>8384.98</v>
      </c>
      <c r="D197" s="5">
        <v>-6935.06</v>
      </c>
      <c r="E197">
        <f>D197/MAX($B$2:B197,100000)</f>
        <v>-4.3126666868565304E-2</v>
      </c>
      <c r="G197" s="2"/>
      <c r="H197" s="5"/>
      <c r="K197" s="5"/>
    </row>
    <row r="198" spans="1:11" x14ac:dyDescent="0.25">
      <c r="A198" s="2">
        <v>37904</v>
      </c>
      <c r="B198">
        <v>157698</v>
      </c>
      <c r="C198">
        <v>8384.98</v>
      </c>
      <c r="D198" s="5">
        <v>-3108.77</v>
      </c>
      <c r="E198">
        <f>D198/MAX($B$2:B198,100000)</f>
        <v>-1.9332332836484434E-2</v>
      </c>
      <c r="G198" s="2"/>
      <c r="H198" s="5"/>
      <c r="K198" s="5"/>
    </row>
    <row r="199" spans="1:11" x14ac:dyDescent="0.25">
      <c r="A199" s="2">
        <v>37911</v>
      </c>
      <c r="B199">
        <v>157510.70000000001</v>
      </c>
      <c r="C199">
        <v>8384.98</v>
      </c>
      <c r="D199" s="5">
        <v>-3296.06</v>
      </c>
      <c r="E199">
        <f>D199/MAX($B$2:B199,100000)</f>
        <v>-2.0497022606697467E-2</v>
      </c>
      <c r="G199" s="2"/>
      <c r="H199" s="5"/>
      <c r="K199" s="5"/>
    </row>
    <row r="200" spans="1:11" x14ac:dyDescent="0.25">
      <c r="A200" s="2">
        <v>37918</v>
      </c>
      <c r="B200">
        <v>156888.48000000001</v>
      </c>
      <c r="C200">
        <v>8384.98</v>
      </c>
      <c r="D200" s="5">
        <v>-3918.28</v>
      </c>
      <c r="E200">
        <f>D200/MAX($B$2:B200,100000)</f>
        <v>-2.4366387061937757E-2</v>
      </c>
      <c r="G200" s="2"/>
      <c r="H200" s="5"/>
      <c r="K200" s="5"/>
    </row>
    <row r="201" spans="1:11" x14ac:dyDescent="0.25">
      <c r="A201" s="2">
        <v>37925</v>
      </c>
      <c r="B201">
        <v>152043.78</v>
      </c>
      <c r="C201">
        <v>8384.98</v>
      </c>
      <c r="D201" s="5">
        <v>-8762.98</v>
      </c>
      <c r="E201">
        <f>D201/MAX($B$2:B201,100000)</f>
        <v>-5.4493849979077372E-2</v>
      </c>
      <c r="G201" s="2"/>
      <c r="H201" s="5"/>
      <c r="K201" s="5"/>
    </row>
    <row r="202" spans="1:11" x14ac:dyDescent="0.25">
      <c r="A202" s="2">
        <v>37932</v>
      </c>
      <c r="B202">
        <v>150438.51999999999</v>
      </c>
      <c r="C202">
        <v>8384.98</v>
      </c>
      <c r="D202" s="5">
        <v>-10368.25</v>
      </c>
      <c r="E202">
        <f>D202/MAX($B$2:B202,100000)</f>
        <v>-6.4476452079722774E-2</v>
      </c>
      <c r="G202" s="2"/>
      <c r="H202" s="5"/>
      <c r="K202" s="5"/>
    </row>
    <row r="203" spans="1:11" x14ac:dyDescent="0.25">
      <c r="A203" s="2">
        <v>37939</v>
      </c>
      <c r="B203">
        <v>149549.31</v>
      </c>
      <c r="C203">
        <v>20795.240000000002</v>
      </c>
      <c r="D203" s="5">
        <v>-11257.45</v>
      </c>
      <c r="E203">
        <f>D203/MAX($B$2:B203,100000)</f>
        <v>-7.0006070018072006E-2</v>
      </c>
      <c r="G203" s="2"/>
      <c r="H203" s="5"/>
      <c r="K203" s="5"/>
    </row>
    <row r="204" spans="1:11" x14ac:dyDescent="0.25">
      <c r="A204" s="2">
        <v>37946</v>
      </c>
      <c r="B204">
        <v>150765.98000000001</v>
      </c>
      <c r="C204">
        <v>55010.63</v>
      </c>
      <c r="D204" s="5">
        <v>-10040.780000000001</v>
      </c>
      <c r="E204">
        <f>D204/MAX($B$2:B204,100000)</f>
        <v>-6.2440032841900882E-2</v>
      </c>
      <c r="G204" s="2"/>
      <c r="H204" s="5"/>
      <c r="K204" s="5"/>
    </row>
    <row r="205" spans="1:11" x14ac:dyDescent="0.25">
      <c r="A205" s="2">
        <v>37953</v>
      </c>
      <c r="B205">
        <v>151168.06</v>
      </c>
      <c r="C205">
        <v>55010.63</v>
      </c>
      <c r="D205" s="5">
        <v>-9638.7000000000007</v>
      </c>
      <c r="E205">
        <f>D205/MAX($B$2:B205,100000)</f>
        <v>-5.9939640600952318E-2</v>
      </c>
      <c r="G205" s="2"/>
      <c r="H205" s="5"/>
      <c r="K205" s="5"/>
    </row>
    <row r="206" spans="1:11" x14ac:dyDescent="0.25">
      <c r="A206" s="2">
        <v>37960</v>
      </c>
      <c r="B206">
        <v>152016.91</v>
      </c>
      <c r="C206">
        <v>55010.63</v>
      </c>
      <c r="D206" s="5">
        <v>-8789.86</v>
      </c>
      <c r="E206">
        <f>D206/MAX($B$2:B206,100000)</f>
        <v>-5.4661007120533553E-2</v>
      </c>
      <c r="G206" s="2"/>
      <c r="H206" s="5"/>
      <c r="K206" s="5"/>
    </row>
    <row r="207" spans="1:11" x14ac:dyDescent="0.25">
      <c r="A207" s="2">
        <v>37967</v>
      </c>
      <c r="B207">
        <v>151049.88</v>
      </c>
      <c r="C207">
        <v>55010.63</v>
      </c>
      <c r="D207" s="5">
        <v>-9756.89</v>
      </c>
      <c r="E207">
        <f>D207/MAX($B$2:B207,100000)</f>
        <v>-6.0674622094579723E-2</v>
      </c>
      <c r="G207" s="2"/>
      <c r="H207" s="5"/>
      <c r="K207" s="5"/>
    </row>
    <row r="208" spans="1:11" x14ac:dyDescent="0.25">
      <c r="A208" s="2">
        <v>37974</v>
      </c>
      <c r="B208">
        <v>152455.06</v>
      </c>
      <c r="C208">
        <v>55010.63</v>
      </c>
      <c r="D208" s="5">
        <v>-8351.7000000000007</v>
      </c>
      <c r="E208">
        <f>D208/MAX($B$2:B208,100000)</f>
        <v>-5.1936246216499476E-2</v>
      </c>
      <c r="G208" s="2"/>
      <c r="H208" s="5"/>
      <c r="K208" s="5"/>
    </row>
    <row r="209" spans="1:11" x14ac:dyDescent="0.25">
      <c r="A209" s="2">
        <v>37979</v>
      </c>
      <c r="B209">
        <v>152983.78</v>
      </c>
      <c r="C209">
        <v>31468.14</v>
      </c>
      <c r="D209" s="5">
        <v>-7822.98</v>
      </c>
      <c r="E209">
        <f>D209/MAX($B$2:B209,100000)</f>
        <v>-4.864832494303567E-2</v>
      </c>
      <c r="G209" s="2"/>
      <c r="H209" s="5"/>
      <c r="K209" s="5"/>
    </row>
    <row r="210" spans="1:11" x14ac:dyDescent="0.25">
      <c r="A210" s="2">
        <v>37988</v>
      </c>
      <c r="B210">
        <v>154183.23000000001</v>
      </c>
      <c r="C210">
        <v>31468.14</v>
      </c>
      <c r="D210" s="5">
        <v>-6623.53</v>
      </c>
      <c r="E210">
        <f>D210/MAX($B$2:B210,100000)</f>
        <v>-4.1189372810609901E-2</v>
      </c>
      <c r="G210" s="2"/>
      <c r="H210" s="5"/>
      <c r="K210" s="5"/>
    </row>
    <row r="211" spans="1:11" x14ac:dyDescent="0.25">
      <c r="A211" s="2">
        <v>37995</v>
      </c>
      <c r="B211">
        <v>155585.34</v>
      </c>
      <c r="C211">
        <v>31468.14</v>
      </c>
      <c r="D211" s="5">
        <v>-5221.42</v>
      </c>
      <c r="E211">
        <f>D211/MAX($B$2:B211,100000)</f>
        <v>-3.2470150354988167E-2</v>
      </c>
      <c r="G211" s="2"/>
      <c r="H211" s="5"/>
      <c r="K211" s="5"/>
    </row>
    <row r="212" spans="1:11" x14ac:dyDescent="0.25">
      <c r="A212" s="2">
        <v>38002</v>
      </c>
      <c r="B212">
        <v>155446.70000000001</v>
      </c>
      <c r="C212">
        <v>31468.14</v>
      </c>
      <c r="D212" s="5">
        <v>-5360.06</v>
      </c>
      <c r="E212">
        <f>D212/MAX($B$2:B212,100000)</f>
        <v>-3.3332303111367763E-2</v>
      </c>
      <c r="G212" s="2"/>
      <c r="H212" s="5"/>
      <c r="K212" s="5"/>
    </row>
    <row r="213" spans="1:11" x14ac:dyDescent="0.25">
      <c r="A213" s="2">
        <v>38009</v>
      </c>
      <c r="B213">
        <v>156362.54999999999</v>
      </c>
      <c r="C213">
        <v>31468.14</v>
      </c>
      <c r="D213" s="5">
        <v>-4444.22</v>
      </c>
      <c r="E213">
        <f>D213/MAX($B$2:B213,100000)</f>
        <v>-2.7637020506039642E-2</v>
      </c>
      <c r="G213" s="2"/>
      <c r="H213" s="5"/>
      <c r="K213" s="5"/>
    </row>
    <row r="214" spans="1:11" x14ac:dyDescent="0.25">
      <c r="A214" s="2">
        <v>38016</v>
      </c>
      <c r="B214">
        <v>152517.67000000001</v>
      </c>
      <c r="C214">
        <v>7416.44</v>
      </c>
      <c r="D214" s="5">
        <v>-8289.09</v>
      </c>
      <c r="E214">
        <f>D214/MAX($B$2:B214,100000)</f>
        <v>-5.1546896937237165E-2</v>
      </c>
      <c r="G214" s="2"/>
      <c r="H214" s="5"/>
      <c r="K214" s="5"/>
    </row>
    <row r="215" spans="1:11" x14ac:dyDescent="0.25">
      <c r="A215" s="2">
        <v>38023</v>
      </c>
      <c r="B215">
        <v>153078</v>
      </c>
      <c r="C215">
        <v>7416.44</v>
      </c>
      <c r="D215" s="5">
        <v>-7728.77</v>
      </c>
      <c r="E215">
        <f>D215/MAX($B$2:B215,100000)</f>
        <v>-4.806246652426388E-2</v>
      </c>
      <c r="G215" s="2"/>
      <c r="H215" s="5"/>
      <c r="K215" s="5"/>
    </row>
    <row r="216" spans="1:11" x14ac:dyDescent="0.25">
      <c r="A216" s="2">
        <v>38030</v>
      </c>
      <c r="B216">
        <v>154266.88</v>
      </c>
      <c r="C216">
        <v>17103.560000000001</v>
      </c>
      <c r="D216" s="5">
        <v>-6539.89</v>
      </c>
      <c r="E216">
        <f>D216/MAX($B$2:B216,100000)</f>
        <v>-4.0669245455275303E-2</v>
      </c>
      <c r="G216" s="2"/>
      <c r="H216" s="5"/>
      <c r="K216" s="5"/>
    </row>
    <row r="217" spans="1:11" x14ac:dyDescent="0.25">
      <c r="A217" s="2">
        <v>38037</v>
      </c>
      <c r="B217">
        <v>154588.76999999999</v>
      </c>
      <c r="C217">
        <v>17103.560000000001</v>
      </c>
      <c r="D217" s="5">
        <v>-6218</v>
      </c>
      <c r="E217">
        <f>D217/MAX($B$2:B217,100000)</f>
        <v>-3.8667526249050337E-2</v>
      </c>
      <c r="G217" s="2"/>
      <c r="H217" s="5"/>
      <c r="K217" s="5"/>
    </row>
    <row r="218" spans="1:11" x14ac:dyDescent="0.25">
      <c r="A218" s="2">
        <v>38044</v>
      </c>
      <c r="B218">
        <v>153686.73000000001</v>
      </c>
      <c r="C218">
        <v>5199.7700000000004</v>
      </c>
      <c r="D218" s="5">
        <v>-7120.03</v>
      </c>
      <c r="E218">
        <f>D218/MAX($B$2:B218,100000)</f>
        <v>-4.427692938549789E-2</v>
      </c>
      <c r="G218" s="2"/>
      <c r="H218" s="5"/>
      <c r="K218" s="5"/>
    </row>
    <row r="219" spans="1:11" x14ac:dyDescent="0.25">
      <c r="A219" s="2">
        <v>38051</v>
      </c>
      <c r="B219">
        <v>156553.42000000001</v>
      </c>
      <c r="C219">
        <v>5199.7700000000004</v>
      </c>
      <c r="D219" s="5">
        <v>-4253.34</v>
      </c>
      <c r="E219">
        <f>D219/MAX($B$2:B219,100000)</f>
        <v>-2.6450005805103854E-2</v>
      </c>
      <c r="G219" s="2"/>
      <c r="H219" s="5"/>
      <c r="K219" s="5"/>
    </row>
    <row r="220" spans="1:11" x14ac:dyDescent="0.25">
      <c r="A220" s="2">
        <v>38058</v>
      </c>
      <c r="B220">
        <v>155544.60999999999</v>
      </c>
      <c r="C220">
        <v>5199.7700000000004</v>
      </c>
      <c r="D220" s="5">
        <v>-5262.16</v>
      </c>
      <c r="E220">
        <f>D220/MAX($B$2:B220,100000)</f>
        <v>-3.2723497897507677E-2</v>
      </c>
      <c r="G220" s="2"/>
      <c r="H220" s="5"/>
      <c r="K220" s="5"/>
    </row>
    <row r="221" spans="1:11" x14ac:dyDescent="0.25">
      <c r="A221" s="2">
        <v>38065</v>
      </c>
      <c r="B221">
        <v>156416.16</v>
      </c>
      <c r="C221">
        <v>5199.7700000000004</v>
      </c>
      <c r="D221" s="5">
        <v>-4390.6099999999997</v>
      </c>
      <c r="E221">
        <f>D221/MAX($B$2:B221,100000)</f>
        <v>-2.7303639019675603E-2</v>
      </c>
      <c r="G221" s="2"/>
      <c r="H221" s="5"/>
      <c r="K221" s="5"/>
    </row>
    <row r="222" spans="1:11" x14ac:dyDescent="0.25">
      <c r="A222" s="2">
        <v>38072</v>
      </c>
      <c r="B222">
        <v>157680.57999999999</v>
      </c>
      <c r="C222">
        <v>5199.7700000000004</v>
      </c>
      <c r="D222" s="5">
        <v>-3126.19</v>
      </c>
      <c r="E222">
        <f>D222/MAX($B$2:B222,100000)</f>
        <v>-1.9440661608960869E-2</v>
      </c>
      <c r="G222" s="2"/>
      <c r="H222" s="5"/>
      <c r="K222" s="5"/>
    </row>
    <row r="223" spans="1:11" x14ac:dyDescent="0.25">
      <c r="A223" s="2">
        <v>38079</v>
      </c>
      <c r="B223">
        <v>157246.13</v>
      </c>
      <c r="C223">
        <v>5199.7700000000004</v>
      </c>
      <c r="D223" s="5">
        <v>-3560.64</v>
      </c>
      <c r="E223">
        <f>D223/MAX($B$2:B223,100000)</f>
        <v>-2.2142351345033544E-2</v>
      </c>
      <c r="G223" s="2"/>
      <c r="H223" s="5"/>
      <c r="K223" s="5"/>
    </row>
    <row r="224" spans="1:11" x14ac:dyDescent="0.25">
      <c r="A224" s="2">
        <v>38085</v>
      </c>
      <c r="B224">
        <v>155891.56</v>
      </c>
      <c r="C224">
        <v>5199.7700000000004</v>
      </c>
      <c r="D224" s="5">
        <v>-4915.2</v>
      </c>
      <c r="E224">
        <f>D224/MAX($B$2:B224,100000)</f>
        <v>-3.0565877294842749E-2</v>
      </c>
      <c r="G224" s="2"/>
      <c r="H224" s="5"/>
      <c r="K224" s="5"/>
    </row>
    <row r="225" spans="1:11" x14ac:dyDescent="0.25">
      <c r="A225" s="2">
        <v>38093</v>
      </c>
      <c r="B225">
        <v>156010</v>
      </c>
      <c r="C225">
        <v>5199.7700000000004</v>
      </c>
      <c r="D225" s="5">
        <v>-4796.7700000000004</v>
      </c>
      <c r="E225">
        <f>D225/MAX($B$2:B225,100000)</f>
        <v>-2.9829403326738051E-2</v>
      </c>
      <c r="G225" s="2"/>
      <c r="H225" s="5"/>
      <c r="K225" s="5"/>
    </row>
    <row r="226" spans="1:11" x14ac:dyDescent="0.25">
      <c r="A226" s="2">
        <v>38100</v>
      </c>
      <c r="B226">
        <v>157869.81</v>
      </c>
      <c r="C226">
        <v>5199.7700000000004</v>
      </c>
      <c r="D226" s="5">
        <v>-2936.95</v>
      </c>
      <c r="E226">
        <f>D226/MAX($B$2:B226,100000)</f>
        <v>-1.8263845483619874E-2</v>
      </c>
      <c r="G226" s="2"/>
      <c r="H226" s="5"/>
      <c r="K226" s="5"/>
    </row>
    <row r="227" spans="1:11" x14ac:dyDescent="0.25">
      <c r="A227" s="2">
        <v>38107</v>
      </c>
      <c r="B227">
        <v>155022.19</v>
      </c>
      <c r="C227">
        <v>5199.7700000000004</v>
      </c>
      <c r="D227" s="5">
        <v>-5784.58</v>
      </c>
      <c r="E227">
        <f>D227/MAX($B$2:B227,100000)</f>
        <v>-3.5972241715942682E-2</v>
      </c>
      <c r="G227" s="2"/>
      <c r="H227" s="5"/>
      <c r="K227" s="5"/>
    </row>
    <row r="228" spans="1:11" x14ac:dyDescent="0.25">
      <c r="A228" s="2">
        <v>38114</v>
      </c>
      <c r="B228">
        <v>156222.13</v>
      </c>
      <c r="C228">
        <v>5199.7700000000004</v>
      </c>
      <c r="D228" s="5">
        <v>-4584.6400000000003</v>
      </c>
      <c r="E228">
        <f>D228/MAX($B$2:B228,100000)</f>
        <v>-2.8510242448125788E-2</v>
      </c>
      <c r="G228" s="2"/>
      <c r="H228" s="5"/>
      <c r="K228" s="5"/>
    </row>
    <row r="229" spans="1:11" x14ac:dyDescent="0.25">
      <c r="A229" s="2">
        <v>38121</v>
      </c>
      <c r="B229">
        <v>156386.14000000001</v>
      </c>
      <c r="C229">
        <v>1293.9100000000001</v>
      </c>
      <c r="D229" s="5">
        <v>-4420.63</v>
      </c>
      <c r="E229">
        <f>D229/MAX($B$2:B229,100000)</f>
        <v>-2.7490322702209618E-2</v>
      </c>
      <c r="G229" s="2"/>
      <c r="H229" s="5"/>
      <c r="K229" s="5"/>
    </row>
    <row r="230" spans="1:11" x14ac:dyDescent="0.25">
      <c r="A230" s="2">
        <v>38128</v>
      </c>
      <c r="B230">
        <v>157329.07999999999</v>
      </c>
      <c r="C230">
        <v>1293.9100000000001</v>
      </c>
      <c r="D230" s="5">
        <v>-3477.69</v>
      </c>
      <c r="E230">
        <f>D230/MAX($B$2:B230,100000)</f>
        <v>-2.1626514853821145E-2</v>
      </c>
      <c r="G230" s="2"/>
      <c r="H230" s="5"/>
      <c r="K230" s="5"/>
    </row>
    <row r="231" spans="1:11" x14ac:dyDescent="0.25">
      <c r="A231" s="2">
        <v>38135</v>
      </c>
      <c r="B231">
        <v>162627.70000000001</v>
      </c>
      <c r="C231">
        <v>1293.9100000000001</v>
      </c>
      <c r="D231" s="5">
        <v>0</v>
      </c>
      <c r="E231">
        <f>D231/MAX($B$2:B231,100000)</f>
        <v>0</v>
      </c>
      <c r="G231" s="2"/>
      <c r="H231" s="5"/>
      <c r="K231" s="5"/>
    </row>
    <row r="232" spans="1:11" x14ac:dyDescent="0.25">
      <c r="A232" s="2">
        <v>38142</v>
      </c>
      <c r="B232">
        <v>162126.09</v>
      </c>
      <c r="C232">
        <v>1293.9100000000001</v>
      </c>
      <c r="D232" s="5">
        <v>-501.61</v>
      </c>
      <c r="E232">
        <f>D232/MAX($B$2:B232,100000)</f>
        <v>-3.0844068999315612E-3</v>
      </c>
      <c r="G232" s="2"/>
      <c r="H232" s="5"/>
      <c r="K232" s="5"/>
    </row>
    <row r="233" spans="1:11" x14ac:dyDescent="0.25">
      <c r="A233" s="2">
        <v>38149</v>
      </c>
      <c r="B233">
        <v>162534.32999999999</v>
      </c>
      <c r="C233">
        <v>1293.9100000000001</v>
      </c>
      <c r="D233" s="5">
        <v>-93.38</v>
      </c>
      <c r="E233">
        <f>D233/MAX($B$2:B233,100000)</f>
        <v>-5.7419492497280591E-4</v>
      </c>
      <c r="G233" s="2"/>
      <c r="H233" s="5"/>
      <c r="K233" s="5"/>
    </row>
    <row r="234" spans="1:11" x14ac:dyDescent="0.25">
      <c r="A234" s="2">
        <v>38156</v>
      </c>
      <c r="B234">
        <v>166811.84</v>
      </c>
      <c r="C234">
        <v>1293.9100000000001</v>
      </c>
      <c r="D234" s="5">
        <v>0</v>
      </c>
      <c r="E234">
        <f>D234/MAX($B$2:B234,100000)</f>
        <v>0</v>
      </c>
      <c r="G234" s="2"/>
      <c r="H234" s="5"/>
      <c r="K234" s="5"/>
    </row>
    <row r="235" spans="1:11" x14ac:dyDescent="0.25">
      <c r="A235" s="2">
        <v>38163</v>
      </c>
      <c r="B235">
        <v>166592.75</v>
      </c>
      <c r="C235">
        <v>1293.9100000000001</v>
      </c>
      <c r="D235" s="5">
        <v>-219.09</v>
      </c>
      <c r="E235">
        <f>D235/MAX($B$2:B235,100000)</f>
        <v>-1.3133959795659589E-3</v>
      </c>
      <c r="G235" s="2"/>
      <c r="H235" s="5"/>
      <c r="K235" s="5"/>
    </row>
    <row r="236" spans="1:11" x14ac:dyDescent="0.25">
      <c r="A236" s="2">
        <v>38170</v>
      </c>
      <c r="B236">
        <v>167356.34</v>
      </c>
      <c r="C236">
        <v>1293.9100000000001</v>
      </c>
      <c r="D236" s="5">
        <v>0</v>
      </c>
      <c r="E236">
        <f>D236/MAX($B$2:B236,100000)</f>
        <v>0</v>
      </c>
      <c r="G236" s="2"/>
      <c r="H236" s="5"/>
      <c r="K236" s="5"/>
    </row>
    <row r="237" spans="1:11" x14ac:dyDescent="0.25">
      <c r="A237" s="2">
        <v>38177</v>
      </c>
      <c r="B237">
        <v>170376.48</v>
      </c>
      <c r="C237">
        <v>5258.86</v>
      </c>
      <c r="D237" s="5">
        <v>0</v>
      </c>
      <c r="E237">
        <f>D237/MAX($B$2:B237,100000)</f>
        <v>0</v>
      </c>
      <c r="G237" s="2"/>
      <c r="H237" s="5"/>
      <c r="K237" s="5"/>
    </row>
    <row r="238" spans="1:11" x14ac:dyDescent="0.25">
      <c r="A238" s="2">
        <v>38184</v>
      </c>
      <c r="B238">
        <v>170114.06</v>
      </c>
      <c r="C238">
        <v>5258.86</v>
      </c>
      <c r="D238" s="5">
        <v>-262.42</v>
      </c>
      <c r="E238">
        <f>D238/MAX($B$2:B238,100000)</f>
        <v>-1.540236070143015E-3</v>
      </c>
      <c r="G238" s="2"/>
      <c r="H238" s="5"/>
      <c r="K238" s="5"/>
    </row>
    <row r="239" spans="1:11" x14ac:dyDescent="0.25">
      <c r="A239" s="2">
        <v>38191</v>
      </c>
      <c r="B239">
        <v>171781.5</v>
      </c>
      <c r="C239">
        <v>5258.86</v>
      </c>
      <c r="D239" s="5">
        <v>0</v>
      </c>
      <c r="E239">
        <f>D239/MAX($B$2:B239,100000)</f>
        <v>0</v>
      </c>
      <c r="G239" s="2"/>
      <c r="H239" s="5"/>
      <c r="K239" s="5"/>
    </row>
    <row r="240" spans="1:11" x14ac:dyDescent="0.25">
      <c r="A240" s="2">
        <v>38198</v>
      </c>
      <c r="B240">
        <v>174467.97</v>
      </c>
      <c r="C240">
        <v>5258.86</v>
      </c>
      <c r="D240" s="5">
        <v>0</v>
      </c>
      <c r="E240">
        <f>D240/MAX($B$2:B240,100000)</f>
        <v>0</v>
      </c>
      <c r="G240" s="2"/>
      <c r="H240" s="5"/>
      <c r="K240" s="5"/>
    </row>
    <row r="241" spans="1:11" x14ac:dyDescent="0.25">
      <c r="A241" s="2">
        <v>38205</v>
      </c>
      <c r="B241">
        <v>173812.78</v>
      </c>
      <c r="C241">
        <v>5258.86</v>
      </c>
      <c r="D241" s="5">
        <v>-655.19000000000005</v>
      </c>
      <c r="E241">
        <f>D241/MAX($B$2:B241,100000)</f>
        <v>-3.7553597946946939E-3</v>
      </c>
      <c r="G241" s="2"/>
      <c r="H241" s="5"/>
      <c r="K241" s="5"/>
    </row>
    <row r="242" spans="1:11" x14ac:dyDescent="0.25">
      <c r="A242" s="2">
        <v>38212</v>
      </c>
      <c r="B242">
        <v>173026.16</v>
      </c>
      <c r="C242">
        <v>5258.86</v>
      </c>
      <c r="D242" s="5">
        <v>-1441.81</v>
      </c>
      <c r="E242">
        <f>D242/MAX($B$2:B242,100000)</f>
        <v>-8.2640383790789796E-3</v>
      </c>
      <c r="G242" s="2"/>
      <c r="H242" s="5"/>
      <c r="K242" s="5"/>
    </row>
    <row r="243" spans="1:11" x14ac:dyDescent="0.25">
      <c r="A243" s="2">
        <v>38219</v>
      </c>
      <c r="B243">
        <v>176430.23</v>
      </c>
      <c r="C243">
        <v>5258.86</v>
      </c>
      <c r="D243" s="5">
        <v>0</v>
      </c>
      <c r="E243">
        <f>D243/MAX($B$2:B243,100000)</f>
        <v>0</v>
      </c>
      <c r="G243" s="2"/>
      <c r="H243" s="5"/>
      <c r="K243" s="5"/>
    </row>
    <row r="244" spans="1:11" x14ac:dyDescent="0.25">
      <c r="A244" s="2">
        <v>38226</v>
      </c>
      <c r="B244">
        <v>179100.53</v>
      </c>
      <c r="C244">
        <v>3156.25</v>
      </c>
      <c r="D244" s="5">
        <v>0</v>
      </c>
      <c r="E244">
        <f>D244/MAX($B$2:B244,100000)</f>
        <v>0</v>
      </c>
      <c r="G244" s="2"/>
      <c r="H244" s="5"/>
      <c r="K244" s="5"/>
    </row>
    <row r="245" spans="1:11" x14ac:dyDescent="0.25">
      <c r="A245" s="2">
        <v>38233</v>
      </c>
      <c r="B245">
        <v>178428.59</v>
      </c>
      <c r="C245">
        <v>3156.25</v>
      </c>
      <c r="D245" s="5">
        <v>-671.94</v>
      </c>
      <c r="E245">
        <f>D245/MAX($B$2:B245,100000)</f>
        <v>-3.7517476916455808E-3</v>
      </c>
      <c r="G245" s="2"/>
      <c r="H245" s="5"/>
      <c r="K245" s="5"/>
    </row>
    <row r="246" spans="1:11" x14ac:dyDescent="0.25">
      <c r="A246" s="2">
        <v>38240</v>
      </c>
      <c r="B246">
        <v>181375.61</v>
      </c>
      <c r="C246">
        <v>3156.25</v>
      </c>
      <c r="D246" s="5">
        <v>0</v>
      </c>
      <c r="E246">
        <f>D246/MAX($B$2:B246,100000)</f>
        <v>0</v>
      </c>
      <c r="G246" s="2"/>
      <c r="H246" s="5"/>
      <c r="K246" s="5"/>
    </row>
    <row r="247" spans="1:11" x14ac:dyDescent="0.25">
      <c r="A247" s="2">
        <v>38247</v>
      </c>
      <c r="B247">
        <v>181623.64</v>
      </c>
      <c r="C247">
        <v>3156.25</v>
      </c>
      <c r="D247" s="5">
        <v>0</v>
      </c>
      <c r="E247">
        <f>D247/MAX($B$2:B247,100000)</f>
        <v>0</v>
      </c>
      <c r="G247" s="2"/>
      <c r="H247" s="5"/>
      <c r="K247" s="5"/>
    </row>
    <row r="248" spans="1:11" x14ac:dyDescent="0.25">
      <c r="A248" s="2">
        <v>38254</v>
      </c>
      <c r="B248">
        <v>183824.72</v>
      </c>
      <c r="C248">
        <v>3156.25</v>
      </c>
      <c r="D248" s="5">
        <v>0</v>
      </c>
      <c r="E248">
        <f>D248/MAX($B$2:B248,100000)</f>
        <v>0</v>
      </c>
      <c r="G248" s="2"/>
      <c r="H248" s="5"/>
      <c r="K248" s="5"/>
    </row>
    <row r="249" spans="1:11" x14ac:dyDescent="0.25">
      <c r="A249" s="2">
        <v>38261</v>
      </c>
      <c r="B249">
        <v>183198.55</v>
      </c>
      <c r="C249">
        <v>3156.25</v>
      </c>
      <c r="D249" s="5">
        <v>-626.16999999999996</v>
      </c>
      <c r="E249">
        <f>D249/MAX($B$2:B249,100000)</f>
        <v>-3.4063427377993556E-3</v>
      </c>
      <c r="G249" s="2"/>
      <c r="H249" s="5"/>
      <c r="K249" s="5"/>
    </row>
    <row r="250" spans="1:11" x14ac:dyDescent="0.25">
      <c r="A250" s="2">
        <v>38268</v>
      </c>
      <c r="B250">
        <v>188170.97</v>
      </c>
      <c r="C250">
        <v>3156.25</v>
      </c>
      <c r="D250" s="5">
        <v>0</v>
      </c>
      <c r="E250">
        <f>D250/MAX($B$2:B250,100000)</f>
        <v>0</v>
      </c>
      <c r="G250" s="2"/>
      <c r="H250" s="5"/>
      <c r="K250" s="5"/>
    </row>
    <row r="251" spans="1:11" x14ac:dyDescent="0.25">
      <c r="A251" s="2">
        <v>38275</v>
      </c>
      <c r="B251">
        <v>193946.91</v>
      </c>
      <c r="C251">
        <v>3156.25</v>
      </c>
      <c r="D251" s="5">
        <v>0</v>
      </c>
      <c r="E251">
        <f>D251/MAX($B$2:B251,100000)</f>
        <v>0</v>
      </c>
      <c r="G251" s="2"/>
      <c r="H251" s="5"/>
      <c r="K251" s="5"/>
    </row>
    <row r="252" spans="1:11" x14ac:dyDescent="0.25">
      <c r="A252" s="2">
        <v>38282</v>
      </c>
      <c r="B252">
        <v>197830.92</v>
      </c>
      <c r="C252">
        <v>3156.25</v>
      </c>
      <c r="D252" s="5">
        <v>0</v>
      </c>
      <c r="E252">
        <f>D252/MAX($B$2:B252,100000)</f>
        <v>0</v>
      </c>
      <c r="G252" s="2"/>
      <c r="H252" s="5"/>
      <c r="K252" s="5"/>
    </row>
    <row r="253" spans="1:11" x14ac:dyDescent="0.25">
      <c r="A253" s="2">
        <v>38289</v>
      </c>
      <c r="B253">
        <v>199633.36</v>
      </c>
      <c r="C253">
        <v>3156.25</v>
      </c>
      <c r="D253" s="5">
        <v>0</v>
      </c>
      <c r="E253">
        <f>D253/MAX($B$2:B253,100000)</f>
        <v>0</v>
      </c>
      <c r="G253" s="2"/>
      <c r="H253" s="5"/>
      <c r="K253" s="5"/>
    </row>
    <row r="254" spans="1:11" x14ac:dyDescent="0.25">
      <c r="A254" s="2">
        <v>38296</v>
      </c>
      <c r="B254">
        <v>200397.16</v>
      </c>
      <c r="C254">
        <v>3156.25</v>
      </c>
      <c r="D254" s="5">
        <v>0</v>
      </c>
      <c r="E254">
        <f>D254/MAX($B$2:B254,100000)</f>
        <v>0</v>
      </c>
      <c r="G254" s="2"/>
      <c r="H254" s="5"/>
      <c r="K254" s="5"/>
    </row>
    <row r="255" spans="1:11" x14ac:dyDescent="0.25">
      <c r="A255" s="2">
        <v>38303</v>
      </c>
      <c r="B255">
        <v>205540.98</v>
      </c>
      <c r="C255">
        <v>3156.25</v>
      </c>
      <c r="D255" s="5">
        <v>0</v>
      </c>
      <c r="E255">
        <f>D255/MAX($B$2:B255,100000)</f>
        <v>0</v>
      </c>
      <c r="G255" s="2"/>
      <c r="H255" s="5"/>
      <c r="K255" s="5"/>
    </row>
    <row r="256" spans="1:11" x14ac:dyDescent="0.25">
      <c r="A256" s="2">
        <v>38310</v>
      </c>
      <c r="B256">
        <v>204926.66</v>
      </c>
      <c r="C256">
        <v>3156.25</v>
      </c>
      <c r="D256" s="5">
        <v>-614.33000000000004</v>
      </c>
      <c r="E256">
        <f>D256/MAX($B$2:B256,100000)</f>
        <v>-2.9888443657318359E-3</v>
      </c>
      <c r="G256" s="2"/>
      <c r="H256" s="5"/>
      <c r="K256" s="5"/>
    </row>
    <row r="257" spans="1:11" x14ac:dyDescent="0.25">
      <c r="A257" s="2">
        <v>38317</v>
      </c>
      <c r="B257">
        <v>208704.48</v>
      </c>
      <c r="C257">
        <v>3156.25</v>
      </c>
      <c r="D257" s="5">
        <v>0</v>
      </c>
      <c r="E257">
        <f>D257/MAX($B$2:B257,100000)</f>
        <v>0</v>
      </c>
      <c r="G257" s="2"/>
      <c r="H257" s="5"/>
      <c r="K257" s="5"/>
    </row>
    <row r="258" spans="1:11" x14ac:dyDescent="0.25">
      <c r="A258" s="2">
        <v>38324</v>
      </c>
      <c r="B258">
        <v>209646.3</v>
      </c>
      <c r="C258">
        <v>3156.25</v>
      </c>
      <c r="D258" s="5">
        <v>0</v>
      </c>
      <c r="E258">
        <f>D258/MAX($B$2:B258,100000)</f>
        <v>0</v>
      </c>
      <c r="G258" s="2"/>
      <c r="H258" s="5"/>
      <c r="K258" s="5"/>
    </row>
    <row r="259" spans="1:11" x14ac:dyDescent="0.25">
      <c r="A259" s="2">
        <v>38331</v>
      </c>
      <c r="B259">
        <v>206469.94</v>
      </c>
      <c r="C259">
        <v>3156.25</v>
      </c>
      <c r="D259" s="5">
        <v>-3176.36</v>
      </c>
      <c r="E259">
        <f>D259/MAX($B$2:B259,100000)</f>
        <v>-1.5151042493952912E-2</v>
      </c>
      <c r="G259" s="2"/>
      <c r="H259" s="5"/>
      <c r="K259" s="5"/>
    </row>
    <row r="260" spans="1:11" x14ac:dyDescent="0.25">
      <c r="A260" s="2">
        <v>38338</v>
      </c>
      <c r="B260">
        <v>208773.91</v>
      </c>
      <c r="C260">
        <v>3156.25</v>
      </c>
      <c r="D260" s="5">
        <v>-872.39</v>
      </c>
      <c r="E260">
        <f>D260/MAX($B$2:B260,100000)</f>
        <v>-4.161246823817067E-3</v>
      </c>
      <c r="G260" s="2"/>
      <c r="H260" s="5"/>
      <c r="K260" s="5"/>
    </row>
    <row r="261" spans="1:11" x14ac:dyDescent="0.25">
      <c r="A261" s="2">
        <v>38345</v>
      </c>
      <c r="B261">
        <v>213527.95</v>
      </c>
      <c r="C261">
        <v>3156.25</v>
      </c>
      <c r="D261" s="5">
        <v>0</v>
      </c>
      <c r="E261">
        <f>D261/MAX($B$2:B261,100000)</f>
        <v>0</v>
      </c>
      <c r="G261" s="2"/>
      <c r="H261" s="5"/>
      <c r="K261" s="5"/>
    </row>
    <row r="262" spans="1:11" x14ac:dyDescent="0.25">
      <c r="A262" s="2">
        <v>38352</v>
      </c>
      <c r="B262">
        <v>214413.25</v>
      </c>
      <c r="C262">
        <v>18182.37</v>
      </c>
      <c r="D262" s="5">
        <v>0</v>
      </c>
      <c r="E262">
        <f>D262/MAX($B$2:B262,100000)</f>
        <v>0</v>
      </c>
      <c r="G262" s="2"/>
      <c r="H262" s="5"/>
      <c r="K262" s="5"/>
    </row>
    <row r="263" spans="1:11" x14ac:dyDescent="0.25">
      <c r="A263" s="2">
        <v>38359</v>
      </c>
      <c r="B263">
        <v>219272.36</v>
      </c>
      <c r="C263">
        <v>18182.37</v>
      </c>
      <c r="D263" s="5">
        <v>0</v>
      </c>
      <c r="E263">
        <f>D263/MAX($B$2:B263,100000)</f>
        <v>0</v>
      </c>
      <c r="G263" s="2"/>
      <c r="H263" s="5"/>
      <c r="K263" s="5"/>
    </row>
    <row r="264" spans="1:11" x14ac:dyDescent="0.25">
      <c r="A264" s="2">
        <v>38366</v>
      </c>
      <c r="B264">
        <v>222124.2</v>
      </c>
      <c r="C264">
        <v>1008.89</v>
      </c>
      <c r="D264" s="5">
        <v>0</v>
      </c>
      <c r="E264">
        <f>D264/MAX($B$2:B264,100000)</f>
        <v>0</v>
      </c>
      <c r="G264" s="2"/>
      <c r="H264" s="5"/>
      <c r="K264" s="5"/>
    </row>
    <row r="265" spans="1:11" x14ac:dyDescent="0.25">
      <c r="A265" s="2">
        <v>38373</v>
      </c>
      <c r="B265">
        <v>221730.16</v>
      </c>
      <c r="C265">
        <v>1008.89</v>
      </c>
      <c r="D265" s="5">
        <v>-394.05</v>
      </c>
      <c r="E265">
        <f>D265/MAX($B$2:B265,100000)</f>
        <v>-1.7740075147147406E-3</v>
      </c>
      <c r="G265" s="2"/>
      <c r="H265" s="5"/>
      <c r="K265" s="5"/>
    </row>
    <row r="266" spans="1:11" x14ac:dyDescent="0.25">
      <c r="A266" s="2">
        <v>38380</v>
      </c>
      <c r="B266">
        <v>225469.69</v>
      </c>
      <c r="C266">
        <v>1008.89</v>
      </c>
      <c r="D266" s="5">
        <v>0</v>
      </c>
      <c r="E266">
        <f>D266/MAX($B$2:B266,100000)</f>
        <v>0</v>
      </c>
      <c r="G266" s="2"/>
      <c r="H266" s="5"/>
      <c r="K266" s="5"/>
    </row>
    <row r="267" spans="1:11" x14ac:dyDescent="0.25">
      <c r="A267" s="2">
        <v>38387</v>
      </c>
      <c r="B267">
        <v>230286.3</v>
      </c>
      <c r="C267">
        <v>1008.89</v>
      </c>
      <c r="D267" s="5">
        <v>0</v>
      </c>
      <c r="E267">
        <f>D267/MAX($B$2:B267,100000)</f>
        <v>0</v>
      </c>
      <c r="G267" s="2"/>
      <c r="H267" s="5"/>
      <c r="K267" s="5"/>
    </row>
    <row r="268" spans="1:11" x14ac:dyDescent="0.25">
      <c r="A268" s="2">
        <v>38394</v>
      </c>
      <c r="B268">
        <v>232969.14</v>
      </c>
      <c r="C268">
        <v>1008.89</v>
      </c>
      <c r="D268" s="5">
        <v>0</v>
      </c>
      <c r="E268">
        <f>D268/MAX($B$2:B268,100000)</f>
        <v>0</v>
      </c>
      <c r="G268" s="2"/>
      <c r="H268" s="5"/>
      <c r="K268" s="5"/>
    </row>
    <row r="269" spans="1:11" x14ac:dyDescent="0.25">
      <c r="A269" s="2">
        <v>38401</v>
      </c>
      <c r="B269">
        <v>230090.64</v>
      </c>
      <c r="C269">
        <v>20285.96</v>
      </c>
      <c r="D269" s="5">
        <v>-2878.5</v>
      </c>
      <c r="E269">
        <f>D269/MAX($B$2:B269,100000)</f>
        <v>-1.2355713722426926E-2</v>
      </c>
      <c r="G269" s="2"/>
      <c r="H269" s="5"/>
      <c r="K269" s="5"/>
    </row>
    <row r="270" spans="1:11" x14ac:dyDescent="0.25">
      <c r="A270" s="2">
        <v>38408</v>
      </c>
      <c r="B270">
        <v>228647.16</v>
      </c>
      <c r="C270">
        <v>20285.96</v>
      </c>
      <c r="D270" s="5">
        <v>-4321.9799999999996</v>
      </c>
      <c r="E270">
        <f>D270/MAX($B$2:B270,100000)</f>
        <v>-1.8551727494894813E-2</v>
      </c>
      <c r="G270" s="2"/>
      <c r="H270" s="5"/>
      <c r="K270" s="5"/>
    </row>
    <row r="271" spans="1:11" x14ac:dyDescent="0.25">
      <c r="A271" s="2">
        <v>38415</v>
      </c>
      <c r="B271">
        <v>235304.34</v>
      </c>
      <c r="C271">
        <v>2559.06</v>
      </c>
      <c r="D271" s="5">
        <v>0</v>
      </c>
      <c r="E271">
        <f>D271/MAX($B$2:B271,100000)</f>
        <v>0</v>
      </c>
      <c r="G271" s="2"/>
      <c r="H271" s="5"/>
      <c r="K271" s="5"/>
    </row>
    <row r="272" spans="1:11" x14ac:dyDescent="0.25">
      <c r="A272" s="2">
        <v>38422</v>
      </c>
      <c r="B272">
        <v>236546.25</v>
      </c>
      <c r="C272">
        <v>2559.06</v>
      </c>
      <c r="D272" s="5">
        <v>0</v>
      </c>
      <c r="E272">
        <f>D272/MAX($B$2:B272,100000)</f>
        <v>0</v>
      </c>
      <c r="G272" s="2"/>
      <c r="H272" s="5"/>
      <c r="K272" s="5"/>
    </row>
    <row r="273" spans="1:11" x14ac:dyDescent="0.25">
      <c r="A273" s="2">
        <v>38429</v>
      </c>
      <c r="B273">
        <v>240203.13</v>
      </c>
      <c r="C273">
        <v>2559.06</v>
      </c>
      <c r="D273" s="5">
        <v>0</v>
      </c>
      <c r="E273">
        <f>D273/MAX($B$2:B273,100000)</f>
        <v>0</v>
      </c>
      <c r="G273" s="2"/>
      <c r="H273" s="5"/>
      <c r="K273" s="5"/>
    </row>
    <row r="274" spans="1:11" x14ac:dyDescent="0.25">
      <c r="A274" s="2">
        <v>38435</v>
      </c>
      <c r="B274">
        <v>234650.16</v>
      </c>
      <c r="C274">
        <v>2559.06</v>
      </c>
      <c r="D274" s="5">
        <v>-5552.97</v>
      </c>
      <c r="E274">
        <f>D274/MAX($B$2:B274,100000)</f>
        <v>-2.3117808664691424E-2</v>
      </c>
      <c r="G274" s="2"/>
      <c r="H274" s="5"/>
      <c r="K274" s="5"/>
    </row>
    <row r="275" spans="1:11" x14ac:dyDescent="0.25">
      <c r="A275" s="2">
        <v>38443</v>
      </c>
      <c r="B275">
        <v>235634.14</v>
      </c>
      <c r="C275">
        <v>2559.06</v>
      </c>
      <c r="D275" s="5">
        <v>-4568.9799999999996</v>
      </c>
      <c r="E275">
        <f>D275/MAX($B$2:B275,100000)</f>
        <v>-1.902131749906839E-2</v>
      </c>
      <c r="G275" s="2"/>
      <c r="H275" s="5"/>
      <c r="K275" s="5"/>
    </row>
    <row r="276" spans="1:11" x14ac:dyDescent="0.25">
      <c r="A276" s="2">
        <v>38450</v>
      </c>
      <c r="B276">
        <v>241394.13</v>
      </c>
      <c r="C276">
        <v>2559.06</v>
      </c>
      <c r="D276" s="5">
        <v>0</v>
      </c>
      <c r="E276">
        <f>D276/MAX($B$2:B276,100000)</f>
        <v>0</v>
      </c>
      <c r="G276" s="2"/>
      <c r="H276" s="5"/>
      <c r="K276" s="5"/>
    </row>
    <row r="277" spans="1:11" x14ac:dyDescent="0.25">
      <c r="A277" s="2">
        <v>38457</v>
      </c>
      <c r="B277">
        <v>236318.56</v>
      </c>
      <c r="C277">
        <v>2559.06</v>
      </c>
      <c r="D277" s="5">
        <v>-5075.5600000000004</v>
      </c>
      <c r="E277">
        <f>D277/MAX($B$2:B277,100000)</f>
        <v>-2.1026029091925309E-2</v>
      </c>
      <c r="G277" s="2"/>
      <c r="H277" s="5"/>
      <c r="K277" s="5"/>
    </row>
    <row r="278" spans="1:11" x14ac:dyDescent="0.25">
      <c r="A278" s="2">
        <v>38464</v>
      </c>
      <c r="B278">
        <v>235856.39</v>
      </c>
      <c r="C278">
        <v>2559.06</v>
      </c>
      <c r="D278" s="5">
        <v>-5537.73</v>
      </c>
      <c r="E278">
        <f>D278/MAX($B$2:B278,100000)</f>
        <v>-2.2940615830219235E-2</v>
      </c>
      <c r="G278" s="2"/>
      <c r="H278" s="5"/>
      <c r="K278" s="5"/>
    </row>
    <row r="279" spans="1:11" x14ac:dyDescent="0.25">
      <c r="A279" s="2">
        <v>38471</v>
      </c>
      <c r="B279">
        <v>235366.44</v>
      </c>
      <c r="C279">
        <v>2559.06</v>
      </c>
      <c r="D279" s="5">
        <v>-6027.69</v>
      </c>
      <c r="E279">
        <f>D279/MAX($B$2:B279,100000)</f>
        <v>-2.4970325500458523E-2</v>
      </c>
      <c r="G279" s="2"/>
      <c r="H279" s="5"/>
      <c r="K279" s="5"/>
    </row>
    <row r="280" spans="1:11" x14ac:dyDescent="0.25">
      <c r="A280" s="2">
        <v>38478</v>
      </c>
      <c r="B280">
        <v>229725.2</v>
      </c>
      <c r="C280">
        <v>2559.06</v>
      </c>
      <c r="D280" s="5">
        <v>-11668.92</v>
      </c>
      <c r="E280">
        <f>D280/MAX($B$2:B280,100000)</f>
        <v>-4.8339700720974446E-2</v>
      </c>
      <c r="G280" s="2"/>
      <c r="H280" s="5"/>
      <c r="K280" s="5"/>
    </row>
    <row r="281" spans="1:11" x14ac:dyDescent="0.25">
      <c r="A281" s="2">
        <v>38485</v>
      </c>
      <c r="B281">
        <v>231370.02</v>
      </c>
      <c r="C281">
        <v>2559.06</v>
      </c>
      <c r="D281" s="5">
        <v>-10024.11</v>
      </c>
      <c r="E281">
        <f>D281/MAX($B$2:B281,100000)</f>
        <v>-4.1525906201613109E-2</v>
      </c>
      <c r="G281" s="2"/>
      <c r="H281" s="5"/>
      <c r="K281" s="5"/>
    </row>
    <row r="282" spans="1:11" x14ac:dyDescent="0.25">
      <c r="A282" s="2">
        <v>38492</v>
      </c>
      <c r="B282">
        <v>234867.63</v>
      </c>
      <c r="C282">
        <v>40288.660000000003</v>
      </c>
      <c r="D282" s="5">
        <v>-6526.5</v>
      </c>
      <c r="E282">
        <f>D282/MAX($B$2:B282,100000)</f>
        <v>-2.7036697205520283E-2</v>
      </c>
      <c r="G282" s="2"/>
      <c r="H282" s="5"/>
      <c r="K282" s="5"/>
    </row>
    <row r="283" spans="1:11" x14ac:dyDescent="0.25">
      <c r="A283" s="2">
        <v>38499</v>
      </c>
      <c r="B283">
        <v>236918.95</v>
      </c>
      <c r="C283">
        <v>40288.660000000003</v>
      </c>
      <c r="D283" s="5">
        <v>-4475.17</v>
      </c>
      <c r="E283">
        <f>D283/MAX($B$2:B283,100000)</f>
        <v>-1.8538851793952073E-2</v>
      </c>
      <c r="G283" s="2"/>
      <c r="H283" s="5"/>
      <c r="K283" s="5"/>
    </row>
    <row r="284" spans="1:11" x14ac:dyDescent="0.25">
      <c r="A284" s="2">
        <v>38506</v>
      </c>
      <c r="B284">
        <v>243291.92</v>
      </c>
      <c r="C284">
        <v>40288.660000000003</v>
      </c>
      <c r="D284" s="5">
        <v>0</v>
      </c>
      <c r="E284">
        <f>D284/MAX($B$2:B284,100000)</f>
        <v>0</v>
      </c>
      <c r="G284" s="2"/>
      <c r="H284" s="5"/>
      <c r="K284" s="5"/>
    </row>
    <row r="285" spans="1:11" x14ac:dyDescent="0.25">
      <c r="A285" s="2">
        <v>38513</v>
      </c>
      <c r="B285">
        <v>248141.13</v>
      </c>
      <c r="C285">
        <v>2653.33</v>
      </c>
      <c r="D285" s="5">
        <v>0</v>
      </c>
      <c r="E285">
        <f>D285/MAX($B$2:B285,100000)</f>
        <v>0</v>
      </c>
      <c r="G285" s="2"/>
      <c r="H285" s="5"/>
      <c r="K285" s="5"/>
    </row>
    <row r="286" spans="1:11" x14ac:dyDescent="0.25">
      <c r="A286" s="2">
        <v>38520</v>
      </c>
      <c r="B286">
        <v>252138.7</v>
      </c>
      <c r="C286">
        <v>2653.33</v>
      </c>
      <c r="D286" s="5">
        <v>0</v>
      </c>
      <c r="E286">
        <f>D286/MAX($B$2:B286,100000)</f>
        <v>0</v>
      </c>
      <c r="G286" s="2"/>
      <c r="H286" s="5"/>
      <c r="K286" s="5"/>
    </row>
    <row r="287" spans="1:11" x14ac:dyDescent="0.25">
      <c r="A287" s="2">
        <v>38527</v>
      </c>
      <c r="B287">
        <v>248748.14</v>
      </c>
      <c r="C287">
        <v>2653.33</v>
      </c>
      <c r="D287" s="5">
        <v>-3390.56</v>
      </c>
      <c r="E287">
        <f>D287/MAX($B$2:B287,100000)</f>
        <v>-1.3447201877379394E-2</v>
      </c>
      <c r="G287" s="2"/>
      <c r="H287" s="5"/>
      <c r="K287" s="5"/>
    </row>
    <row r="288" spans="1:11" x14ac:dyDescent="0.25">
      <c r="A288" s="2">
        <v>38534</v>
      </c>
      <c r="B288">
        <v>250673.27</v>
      </c>
      <c r="C288">
        <v>2653.33</v>
      </c>
      <c r="D288" s="5">
        <v>-1465.44</v>
      </c>
      <c r="E288">
        <f>D288/MAX($B$2:B288,100000)</f>
        <v>-5.8120391673313144E-3</v>
      </c>
      <c r="G288" s="2"/>
      <c r="H288" s="5"/>
      <c r="K288" s="5"/>
    </row>
    <row r="289" spans="1:11" x14ac:dyDescent="0.25">
      <c r="A289" s="2">
        <v>38541</v>
      </c>
      <c r="B289">
        <v>252919.36</v>
      </c>
      <c r="C289">
        <v>2653.33</v>
      </c>
      <c r="D289" s="5">
        <v>0</v>
      </c>
      <c r="E289">
        <f>D289/MAX($B$2:B289,100000)</f>
        <v>0</v>
      </c>
      <c r="G289" s="2"/>
      <c r="H289" s="5"/>
      <c r="K289" s="5"/>
    </row>
    <row r="290" spans="1:11" x14ac:dyDescent="0.25">
      <c r="A290" s="2">
        <v>38548</v>
      </c>
      <c r="B290">
        <v>254414.42</v>
      </c>
      <c r="C290">
        <v>2653.33</v>
      </c>
      <c r="D290" s="5">
        <v>0</v>
      </c>
      <c r="E290">
        <f>D290/MAX($B$2:B290,100000)</f>
        <v>0</v>
      </c>
      <c r="G290" s="2"/>
      <c r="H290" s="5"/>
      <c r="K290" s="5"/>
    </row>
    <row r="291" spans="1:11" x14ac:dyDescent="0.25">
      <c r="A291" s="2">
        <v>38555</v>
      </c>
      <c r="B291">
        <v>260556.72</v>
      </c>
      <c r="C291">
        <v>2653.33</v>
      </c>
      <c r="D291" s="5">
        <v>0</v>
      </c>
      <c r="E291">
        <f>D291/MAX($B$2:B291,100000)</f>
        <v>0</v>
      </c>
      <c r="G291" s="2"/>
      <c r="H291" s="5"/>
      <c r="K291" s="5"/>
    </row>
    <row r="292" spans="1:11" x14ac:dyDescent="0.25">
      <c r="A292" s="2">
        <v>38562</v>
      </c>
      <c r="B292">
        <v>261307.7</v>
      </c>
      <c r="C292">
        <v>2653.33</v>
      </c>
      <c r="D292" s="5">
        <v>0</v>
      </c>
      <c r="E292">
        <f>D292/MAX($B$2:B292,100000)</f>
        <v>0</v>
      </c>
      <c r="G292" s="2"/>
      <c r="H292" s="5"/>
      <c r="K292" s="5"/>
    </row>
    <row r="293" spans="1:11" x14ac:dyDescent="0.25">
      <c r="A293" s="2">
        <v>38569</v>
      </c>
      <c r="B293">
        <v>263854.03000000003</v>
      </c>
      <c r="C293">
        <v>2653.33</v>
      </c>
      <c r="D293" s="5">
        <v>0</v>
      </c>
      <c r="E293">
        <f>D293/MAX($B$2:B293,100000)</f>
        <v>0</v>
      </c>
      <c r="G293" s="2"/>
      <c r="H293" s="5"/>
      <c r="K293" s="5"/>
    </row>
    <row r="294" spans="1:11" x14ac:dyDescent="0.25">
      <c r="A294" s="2">
        <v>38576</v>
      </c>
      <c r="B294">
        <v>268121.15999999997</v>
      </c>
      <c r="C294">
        <v>2653.33</v>
      </c>
      <c r="D294" s="5">
        <v>0</v>
      </c>
      <c r="E294">
        <f>D294/MAX($B$2:B294,100000)</f>
        <v>0</v>
      </c>
      <c r="G294" s="2"/>
      <c r="H294" s="5"/>
      <c r="K294" s="5"/>
    </row>
    <row r="295" spans="1:11" x14ac:dyDescent="0.25">
      <c r="A295" s="2">
        <v>38583</v>
      </c>
      <c r="B295">
        <v>265423.13</v>
      </c>
      <c r="C295">
        <v>2653.33</v>
      </c>
      <c r="D295" s="5">
        <v>-2698.03</v>
      </c>
      <c r="E295">
        <f>D295/MAX($B$2:B295,100000)</f>
        <v>-1.0062726865719962E-2</v>
      </c>
      <c r="G295" s="2"/>
      <c r="H295" s="5"/>
      <c r="K295" s="5"/>
    </row>
    <row r="296" spans="1:11" x14ac:dyDescent="0.25">
      <c r="A296" s="2">
        <v>38590</v>
      </c>
      <c r="B296">
        <v>269189.15999999997</v>
      </c>
      <c r="C296">
        <v>2653.33</v>
      </c>
      <c r="D296" s="5">
        <v>0</v>
      </c>
      <c r="E296">
        <f>D296/MAX($B$2:B296,100000)</f>
        <v>0</v>
      </c>
      <c r="G296" s="2"/>
      <c r="H296" s="5"/>
      <c r="K296" s="5"/>
    </row>
    <row r="297" spans="1:11" x14ac:dyDescent="0.25">
      <c r="A297" s="2">
        <v>38597</v>
      </c>
      <c r="B297">
        <v>271360.31</v>
      </c>
      <c r="C297">
        <v>2653.33</v>
      </c>
      <c r="D297" s="5">
        <v>0</v>
      </c>
      <c r="E297">
        <f>D297/MAX($B$2:B297,100000)</f>
        <v>0</v>
      </c>
      <c r="G297" s="2"/>
      <c r="H297" s="5"/>
      <c r="K297" s="5"/>
    </row>
    <row r="298" spans="1:11" x14ac:dyDescent="0.25">
      <c r="A298" s="2">
        <v>38604</v>
      </c>
      <c r="B298">
        <v>271032.71999999997</v>
      </c>
      <c r="C298">
        <v>2653.33</v>
      </c>
      <c r="D298" s="5">
        <v>-327.58999999999997</v>
      </c>
      <c r="E298">
        <f>D298/MAX($B$2:B298,100000)</f>
        <v>-1.2072141279614547E-3</v>
      </c>
      <c r="G298" s="2"/>
      <c r="H298" s="5"/>
      <c r="K298" s="5"/>
    </row>
    <row r="299" spans="1:11" x14ac:dyDescent="0.25">
      <c r="A299" s="2">
        <v>38611</v>
      </c>
      <c r="B299">
        <v>275021.5</v>
      </c>
      <c r="C299">
        <v>2653.33</v>
      </c>
      <c r="D299" s="5">
        <v>0</v>
      </c>
      <c r="E299">
        <f>D299/MAX($B$2:B299,100000)</f>
        <v>0</v>
      </c>
      <c r="G299" s="2"/>
      <c r="H299" s="5"/>
      <c r="K299" s="5"/>
    </row>
    <row r="300" spans="1:11" x14ac:dyDescent="0.25">
      <c r="A300" s="2">
        <v>38618</v>
      </c>
      <c r="B300">
        <v>277059.25</v>
      </c>
      <c r="C300">
        <v>2653.33</v>
      </c>
      <c r="D300" s="5">
        <v>0</v>
      </c>
      <c r="E300">
        <f>D300/MAX($B$2:B300,100000)</f>
        <v>0</v>
      </c>
      <c r="G300" s="2"/>
      <c r="H300" s="5"/>
      <c r="K300" s="5"/>
    </row>
    <row r="301" spans="1:11" x14ac:dyDescent="0.25">
      <c r="A301" s="2">
        <v>38625</v>
      </c>
      <c r="B301">
        <v>279557.28000000003</v>
      </c>
      <c r="C301">
        <v>2653.33</v>
      </c>
      <c r="D301" s="5">
        <v>0</v>
      </c>
      <c r="E301">
        <f>D301/MAX($B$2:B301,100000)</f>
        <v>0</v>
      </c>
      <c r="G301" s="2"/>
      <c r="H301" s="5"/>
      <c r="K301" s="5"/>
    </row>
    <row r="302" spans="1:11" x14ac:dyDescent="0.25">
      <c r="A302" s="2">
        <v>38632</v>
      </c>
      <c r="B302">
        <v>268571.90999999997</v>
      </c>
      <c r="C302">
        <v>2653.33</v>
      </c>
      <c r="D302" s="5">
        <v>-10985.38</v>
      </c>
      <c r="E302">
        <f>D302/MAX($B$2:B302,100000)</f>
        <v>-3.9295632007866142E-2</v>
      </c>
      <c r="G302" s="2"/>
      <c r="H302" s="5"/>
      <c r="K302" s="5"/>
    </row>
    <row r="303" spans="1:11" x14ac:dyDescent="0.25">
      <c r="A303" s="2">
        <v>38639</v>
      </c>
      <c r="B303">
        <v>270708.31</v>
      </c>
      <c r="C303">
        <v>2653.33</v>
      </c>
      <c r="D303" s="5">
        <v>-8848.9699999999993</v>
      </c>
      <c r="E303">
        <f>D303/MAX($B$2:B303,100000)</f>
        <v>-3.1653513011716233E-2</v>
      </c>
      <c r="G303" s="2"/>
      <c r="H303" s="5"/>
      <c r="K303" s="5"/>
    </row>
    <row r="304" spans="1:11" x14ac:dyDescent="0.25">
      <c r="A304" s="2">
        <v>38646</v>
      </c>
      <c r="B304">
        <v>268774.75</v>
      </c>
      <c r="C304">
        <v>2653.33</v>
      </c>
      <c r="D304" s="5">
        <v>-10782.53</v>
      </c>
      <c r="E304">
        <f>D304/MAX($B$2:B304,100000)</f>
        <v>-3.8570020426583057E-2</v>
      </c>
      <c r="G304" s="2"/>
      <c r="H304" s="5"/>
      <c r="K304" s="5"/>
    </row>
    <row r="305" spans="1:11" x14ac:dyDescent="0.25">
      <c r="A305" s="2">
        <v>38653</v>
      </c>
      <c r="B305">
        <v>265537.59000000003</v>
      </c>
      <c r="C305">
        <v>45549.120000000003</v>
      </c>
      <c r="D305" s="5">
        <v>-14019.69</v>
      </c>
      <c r="E305">
        <f>D305/MAX($B$2:B305,100000)</f>
        <v>-5.0149615134329535E-2</v>
      </c>
      <c r="G305" s="2"/>
      <c r="H305" s="5"/>
      <c r="K305" s="5"/>
    </row>
    <row r="306" spans="1:11" x14ac:dyDescent="0.25">
      <c r="A306" s="2">
        <v>38660</v>
      </c>
      <c r="B306">
        <v>267573</v>
      </c>
      <c r="C306">
        <v>45549.120000000003</v>
      </c>
      <c r="D306" s="5">
        <v>-11984.28</v>
      </c>
      <c r="E306">
        <f>D306/MAX($B$2:B306,100000)</f>
        <v>-4.2868781667928658E-2</v>
      </c>
      <c r="G306" s="2"/>
      <c r="H306" s="5"/>
      <c r="K306" s="5"/>
    </row>
    <row r="307" spans="1:11" x14ac:dyDescent="0.25">
      <c r="A307" s="2">
        <v>38667</v>
      </c>
      <c r="B307">
        <v>269788.69</v>
      </c>
      <c r="C307">
        <v>67410.59</v>
      </c>
      <c r="D307" s="5">
        <v>-9768.59</v>
      </c>
      <c r="E307">
        <f>D307/MAX($B$2:B307,100000)</f>
        <v>-3.4943071416348018E-2</v>
      </c>
      <c r="G307" s="2"/>
      <c r="H307" s="5"/>
      <c r="K307" s="5"/>
    </row>
    <row r="308" spans="1:11" x14ac:dyDescent="0.25">
      <c r="A308" s="2">
        <v>38674</v>
      </c>
      <c r="B308">
        <v>271479.81</v>
      </c>
      <c r="C308">
        <v>67410.59</v>
      </c>
      <c r="D308" s="5">
        <v>-8077.47</v>
      </c>
      <c r="E308">
        <f>D308/MAX($B$2:B308,100000)</f>
        <v>-2.8893792356257005E-2</v>
      </c>
      <c r="G308" s="2"/>
      <c r="H308" s="5"/>
      <c r="K308" s="5"/>
    </row>
    <row r="309" spans="1:11" x14ac:dyDescent="0.25">
      <c r="A309" s="2">
        <v>38681</v>
      </c>
      <c r="B309">
        <v>271274.21999999997</v>
      </c>
      <c r="C309">
        <v>46486.76</v>
      </c>
      <c r="D309" s="5">
        <v>-8283.06</v>
      </c>
      <c r="E309">
        <f>D309/MAX($B$2:B309,100000)</f>
        <v>-2.9629205148941205E-2</v>
      </c>
      <c r="G309" s="2"/>
      <c r="H309" s="5"/>
      <c r="K309" s="5"/>
    </row>
    <row r="310" spans="1:11" x14ac:dyDescent="0.25">
      <c r="A310" s="2">
        <v>38688</v>
      </c>
      <c r="B310">
        <v>272424.38</v>
      </c>
      <c r="C310">
        <v>25501.59</v>
      </c>
      <c r="D310" s="5">
        <v>-7132.91</v>
      </c>
      <c r="E310">
        <f>D310/MAX($B$2:B310,100000)</f>
        <v>-2.5515021465368382E-2</v>
      </c>
      <c r="G310" s="2"/>
      <c r="H310" s="5"/>
      <c r="K310" s="5"/>
    </row>
    <row r="311" spans="1:11" x14ac:dyDescent="0.25">
      <c r="A311" s="2">
        <v>38695</v>
      </c>
      <c r="B311">
        <v>271017.56</v>
      </c>
      <c r="C311">
        <v>25501.59</v>
      </c>
      <c r="D311" s="5">
        <v>-8539.7199999999993</v>
      </c>
      <c r="E311">
        <f>D311/MAX($B$2:B311,100000)</f>
        <v>-3.0547299644638117E-2</v>
      </c>
      <c r="G311" s="2"/>
      <c r="H311" s="5"/>
      <c r="K311" s="5"/>
    </row>
    <row r="312" spans="1:11" x14ac:dyDescent="0.25">
      <c r="A312" s="2">
        <v>38702</v>
      </c>
      <c r="B312">
        <v>273831.94</v>
      </c>
      <c r="C312">
        <v>4634.22</v>
      </c>
      <c r="D312" s="5">
        <v>-5725.34</v>
      </c>
      <c r="E312">
        <f>D312/MAX($B$2:B312,100000)</f>
        <v>-2.0480024701914398E-2</v>
      </c>
      <c r="G312" s="2"/>
      <c r="H312" s="5"/>
      <c r="K312" s="5"/>
    </row>
    <row r="313" spans="1:11" x14ac:dyDescent="0.25">
      <c r="A313" s="2">
        <v>38709</v>
      </c>
      <c r="B313">
        <v>278858.59000000003</v>
      </c>
      <c r="C313">
        <v>4634.22</v>
      </c>
      <c r="D313" s="5">
        <v>-698.69</v>
      </c>
      <c r="E313">
        <f>D313/MAX($B$2:B313,100000)</f>
        <v>-2.4992731364391584E-3</v>
      </c>
      <c r="G313" s="2"/>
      <c r="H313" s="5"/>
      <c r="K313" s="5"/>
    </row>
    <row r="314" spans="1:11" x14ac:dyDescent="0.25">
      <c r="A314" s="2">
        <v>38716</v>
      </c>
      <c r="B314">
        <v>285892.59000000003</v>
      </c>
      <c r="C314">
        <v>4634.22</v>
      </c>
      <c r="D314" s="5">
        <v>0</v>
      </c>
      <c r="E314">
        <f>D314/MAX($B$2:B314,100000)</f>
        <v>0</v>
      </c>
      <c r="G314" s="2"/>
      <c r="H314" s="5"/>
      <c r="K314" s="5"/>
    </row>
    <row r="315" spans="1:11" x14ac:dyDescent="0.25">
      <c r="A315" s="2">
        <v>38723</v>
      </c>
      <c r="B315">
        <v>284934.53000000003</v>
      </c>
      <c r="C315">
        <v>4634.22</v>
      </c>
      <c r="D315" s="5">
        <v>-958.06</v>
      </c>
      <c r="E315">
        <f>D315/MAX($B$2:B315,100000)</f>
        <v>-3.3511186841183953E-3</v>
      </c>
      <c r="G315" s="2"/>
      <c r="H315" s="5"/>
      <c r="K315" s="5"/>
    </row>
    <row r="316" spans="1:11" x14ac:dyDescent="0.25">
      <c r="A316" s="2">
        <v>38730</v>
      </c>
      <c r="B316">
        <v>285875.63</v>
      </c>
      <c r="C316">
        <v>4634.22</v>
      </c>
      <c r="D316" s="5">
        <v>-16.97</v>
      </c>
      <c r="E316">
        <f>D316/MAX($B$2:B316,100000)</f>
        <v>-5.9357956776704137E-5</v>
      </c>
      <c r="G316" s="2"/>
      <c r="H316" s="5"/>
      <c r="K316" s="5"/>
    </row>
    <row r="317" spans="1:11" x14ac:dyDescent="0.25">
      <c r="A317" s="2">
        <v>38737</v>
      </c>
      <c r="B317">
        <v>289206.38</v>
      </c>
      <c r="C317">
        <v>4634.22</v>
      </c>
      <c r="D317" s="5">
        <v>0</v>
      </c>
      <c r="E317">
        <f>D317/MAX($B$2:B317,100000)</f>
        <v>0</v>
      </c>
      <c r="G317" s="2"/>
      <c r="H317" s="5"/>
      <c r="K317" s="5"/>
    </row>
    <row r="318" spans="1:11" x14ac:dyDescent="0.25">
      <c r="A318" s="2">
        <v>38744</v>
      </c>
      <c r="B318">
        <v>297211.78000000003</v>
      </c>
      <c r="C318">
        <v>4634.22</v>
      </c>
      <c r="D318" s="5">
        <v>0</v>
      </c>
      <c r="E318">
        <f>D318/MAX($B$2:B318,100000)</f>
        <v>0</v>
      </c>
      <c r="G318" s="2"/>
      <c r="H318" s="5"/>
      <c r="K318" s="5"/>
    </row>
    <row r="319" spans="1:11" x14ac:dyDescent="0.25">
      <c r="A319" s="2">
        <v>38751</v>
      </c>
      <c r="B319">
        <v>300786.31</v>
      </c>
      <c r="C319">
        <v>4634.22</v>
      </c>
      <c r="D319" s="5">
        <v>0</v>
      </c>
      <c r="E319">
        <f>D319/MAX($B$2:B319,100000)</f>
        <v>0</v>
      </c>
      <c r="G319" s="2"/>
      <c r="H319" s="5"/>
      <c r="K319" s="5"/>
    </row>
    <row r="320" spans="1:11" x14ac:dyDescent="0.25">
      <c r="A320" s="2">
        <v>38758</v>
      </c>
      <c r="B320">
        <v>294938.75</v>
      </c>
      <c r="C320">
        <v>4634.22</v>
      </c>
      <c r="D320" s="5">
        <v>-5847.56</v>
      </c>
      <c r="E320">
        <f>D320/MAX($B$2:B320,100000)</f>
        <v>-1.9440911389883405E-2</v>
      </c>
      <c r="G320" s="2"/>
      <c r="H320" s="5"/>
      <c r="K320" s="5"/>
    </row>
    <row r="321" spans="1:11" x14ac:dyDescent="0.25">
      <c r="A321" s="2">
        <v>38765</v>
      </c>
      <c r="B321">
        <v>292114.21999999997</v>
      </c>
      <c r="C321">
        <v>4634.22</v>
      </c>
      <c r="D321" s="5">
        <v>-8672.09</v>
      </c>
      <c r="E321">
        <f>D321/MAX($B$2:B321,100000)</f>
        <v>-2.8831398609863595E-2</v>
      </c>
      <c r="G321" s="2"/>
      <c r="H321" s="5"/>
      <c r="K321" s="5"/>
    </row>
    <row r="322" spans="1:11" x14ac:dyDescent="0.25">
      <c r="A322" s="2">
        <v>38772</v>
      </c>
      <c r="B322">
        <v>293995.96999999997</v>
      </c>
      <c r="C322">
        <v>4634.22</v>
      </c>
      <c r="D322" s="5">
        <v>-6790.34</v>
      </c>
      <c r="E322">
        <f>D322/MAX($B$2:B322,100000)</f>
        <v>-2.2575296063175217E-2</v>
      </c>
      <c r="G322" s="2"/>
      <c r="H322" s="5"/>
      <c r="K322" s="5"/>
    </row>
    <row r="323" spans="1:11" x14ac:dyDescent="0.25">
      <c r="A323" s="2">
        <v>38779</v>
      </c>
      <c r="B323">
        <v>295843.84000000003</v>
      </c>
      <c r="C323">
        <v>4634.22</v>
      </c>
      <c r="D323" s="5">
        <v>-4942.47</v>
      </c>
      <c r="E323">
        <f>D323/MAX($B$2:B323,100000)</f>
        <v>-1.6431831621592088E-2</v>
      </c>
      <c r="G323" s="2"/>
      <c r="H323" s="5"/>
      <c r="K323" s="5"/>
    </row>
    <row r="324" spans="1:11" x14ac:dyDescent="0.25">
      <c r="A324" s="2">
        <v>38786</v>
      </c>
      <c r="B324">
        <v>293565.03000000003</v>
      </c>
      <c r="C324">
        <v>4634.22</v>
      </c>
      <c r="D324" s="5">
        <v>-7221.28</v>
      </c>
      <c r="E324">
        <f>D324/MAX($B$2:B324,100000)</f>
        <v>-2.400800754529021E-2</v>
      </c>
      <c r="G324" s="2"/>
      <c r="H324" s="5"/>
      <c r="K324" s="5"/>
    </row>
    <row r="325" spans="1:11" x14ac:dyDescent="0.25">
      <c r="A325" s="2">
        <v>38793</v>
      </c>
      <c r="B325">
        <v>302553.75</v>
      </c>
      <c r="C325">
        <v>4634.22</v>
      </c>
      <c r="D325" s="5">
        <v>0</v>
      </c>
      <c r="E325">
        <f>D325/MAX($B$2:B325,100000)</f>
        <v>0</v>
      </c>
      <c r="G325" s="2"/>
      <c r="H325" s="5"/>
      <c r="K325" s="5"/>
    </row>
    <row r="326" spans="1:11" x14ac:dyDescent="0.25">
      <c r="A326" s="2">
        <v>38800</v>
      </c>
      <c r="B326">
        <v>307274.03000000003</v>
      </c>
      <c r="C326">
        <v>4634.22</v>
      </c>
      <c r="D326" s="5">
        <v>0</v>
      </c>
      <c r="E326">
        <f>D326/MAX($B$2:B326,100000)</f>
        <v>0</v>
      </c>
      <c r="G326" s="2"/>
      <c r="H326" s="5"/>
      <c r="K326" s="5"/>
    </row>
    <row r="327" spans="1:11" x14ac:dyDescent="0.25">
      <c r="A327" s="2">
        <v>38807</v>
      </c>
      <c r="B327">
        <v>312027.03000000003</v>
      </c>
      <c r="C327">
        <v>4634.22</v>
      </c>
      <c r="D327" s="5">
        <v>0</v>
      </c>
      <c r="E327">
        <f>D327/MAX($B$2:B327,100000)</f>
        <v>0</v>
      </c>
      <c r="G327" s="2"/>
      <c r="H327" s="5"/>
      <c r="K327" s="5"/>
    </row>
    <row r="328" spans="1:11" x14ac:dyDescent="0.25">
      <c r="A328" s="2">
        <v>38814</v>
      </c>
      <c r="B328">
        <v>314397.84000000003</v>
      </c>
      <c r="C328">
        <v>4634.22</v>
      </c>
      <c r="D328" s="5">
        <v>0</v>
      </c>
      <c r="E328">
        <f>D328/MAX($B$2:B328,100000)</f>
        <v>0</v>
      </c>
      <c r="G328" s="2"/>
      <c r="H328" s="5"/>
      <c r="K328" s="5"/>
    </row>
    <row r="329" spans="1:11" x14ac:dyDescent="0.25">
      <c r="A329" s="2">
        <v>38820</v>
      </c>
      <c r="B329">
        <v>310569.09000000003</v>
      </c>
      <c r="C329">
        <v>4634.22</v>
      </c>
      <c r="D329" s="5">
        <v>-3828.75</v>
      </c>
      <c r="E329">
        <f>D329/MAX($B$2:B329,100000)</f>
        <v>-1.2178041681202388E-2</v>
      </c>
      <c r="G329" s="2"/>
      <c r="H329" s="5"/>
      <c r="K329" s="5"/>
    </row>
    <row r="330" spans="1:11" x14ac:dyDescent="0.25">
      <c r="A330" s="2">
        <v>38828</v>
      </c>
      <c r="B330">
        <v>312680.84000000003</v>
      </c>
      <c r="C330">
        <v>4634.22</v>
      </c>
      <c r="D330" s="5">
        <v>-1717</v>
      </c>
      <c r="E330">
        <f>D330/MAX($B$2:B330,100000)</f>
        <v>-5.4612334486776369E-3</v>
      </c>
      <c r="G330" s="2"/>
      <c r="H330" s="5"/>
      <c r="K330" s="5"/>
    </row>
    <row r="331" spans="1:11" x14ac:dyDescent="0.25">
      <c r="A331" s="2">
        <v>38835</v>
      </c>
      <c r="B331">
        <v>307260.56</v>
      </c>
      <c r="C331">
        <v>4634.22</v>
      </c>
      <c r="D331" s="5">
        <v>-7137.28</v>
      </c>
      <c r="E331">
        <f>D331/MAX($B$2:B331,100000)</f>
        <v>-2.2701428228641771E-2</v>
      </c>
      <c r="G331" s="2"/>
      <c r="H331" s="5"/>
      <c r="K331" s="5"/>
    </row>
    <row r="332" spans="1:11" x14ac:dyDescent="0.25">
      <c r="A332" s="2">
        <v>38842</v>
      </c>
      <c r="B332">
        <v>301542.25</v>
      </c>
      <c r="C332">
        <v>4634.22</v>
      </c>
      <c r="D332" s="5">
        <v>-12855.59</v>
      </c>
      <c r="E332">
        <f>D332/MAX($B$2:B332,100000)</f>
        <v>-4.0889562091139045E-2</v>
      </c>
      <c r="G332" s="2"/>
      <c r="H332" s="5"/>
      <c r="K332" s="5"/>
    </row>
    <row r="333" spans="1:11" x14ac:dyDescent="0.25">
      <c r="A333" s="2">
        <v>38849</v>
      </c>
      <c r="B333">
        <v>307193.65999999997</v>
      </c>
      <c r="C333">
        <v>4634.22</v>
      </c>
      <c r="D333" s="5">
        <v>-7204.19</v>
      </c>
      <c r="E333">
        <f>D333/MAX($B$2:B333,100000)</f>
        <v>-2.2914247756918429E-2</v>
      </c>
      <c r="G333" s="2"/>
      <c r="H333" s="5"/>
      <c r="K333" s="5"/>
    </row>
    <row r="334" spans="1:11" x14ac:dyDescent="0.25">
      <c r="A334" s="2">
        <v>38856</v>
      </c>
      <c r="B334">
        <v>297999.69</v>
      </c>
      <c r="C334">
        <v>4634.22</v>
      </c>
      <c r="D334" s="5">
        <v>-16398.16</v>
      </c>
      <c r="E334">
        <f>D334/MAX($B$2:B334,100000)</f>
        <v>-5.2157355788449433E-2</v>
      </c>
      <c r="G334" s="2"/>
      <c r="H334" s="5"/>
      <c r="K334" s="5"/>
    </row>
    <row r="335" spans="1:11" x14ac:dyDescent="0.25">
      <c r="A335" s="2">
        <v>38863</v>
      </c>
      <c r="B335">
        <v>294688.78000000003</v>
      </c>
      <c r="C335">
        <v>4634.22</v>
      </c>
      <c r="D335" s="5">
        <v>-19709.060000000001</v>
      </c>
      <c r="E335">
        <f>D335/MAX($B$2:B335,100000)</f>
        <v>-6.2688280555617051E-2</v>
      </c>
      <c r="G335" s="2"/>
      <c r="H335" s="5"/>
      <c r="K335" s="5"/>
    </row>
    <row r="336" spans="1:11" x14ac:dyDescent="0.25">
      <c r="A336" s="2">
        <v>38870</v>
      </c>
      <c r="B336">
        <v>300292.40999999997</v>
      </c>
      <c r="C336">
        <v>4634.22</v>
      </c>
      <c r="D336" s="5">
        <v>-14105.44</v>
      </c>
      <c r="E336">
        <f>D336/MAX($B$2:B336,100000)</f>
        <v>-4.4864939275664234E-2</v>
      </c>
      <c r="G336" s="2"/>
      <c r="H336" s="5"/>
      <c r="K336" s="5"/>
    </row>
    <row r="337" spans="1:11" x14ac:dyDescent="0.25">
      <c r="A337" s="2">
        <v>38877</v>
      </c>
      <c r="B337">
        <v>294403.88</v>
      </c>
      <c r="C337">
        <v>4634.22</v>
      </c>
      <c r="D337" s="5">
        <v>-19993.97</v>
      </c>
      <c r="E337">
        <f>D337/MAX($B$2:B337,100000)</f>
        <v>-6.359448907155342E-2</v>
      </c>
      <c r="G337" s="2"/>
      <c r="H337" s="5"/>
      <c r="K337" s="5"/>
    </row>
    <row r="338" spans="1:11" x14ac:dyDescent="0.25">
      <c r="A338" s="2">
        <v>38884</v>
      </c>
      <c r="B338">
        <v>296059.44</v>
      </c>
      <c r="C338">
        <v>4634.22</v>
      </c>
      <c r="D338" s="5">
        <v>-18338.41</v>
      </c>
      <c r="E338">
        <f>D338/MAX($B$2:B338,100000)</f>
        <v>-5.832867681279235E-2</v>
      </c>
      <c r="G338" s="2"/>
      <c r="H338" s="5"/>
      <c r="K338" s="5"/>
    </row>
    <row r="339" spans="1:11" x14ac:dyDescent="0.25">
      <c r="A339" s="2">
        <v>38891</v>
      </c>
      <c r="B339">
        <v>292500.40999999997</v>
      </c>
      <c r="C339">
        <v>33146.480000000003</v>
      </c>
      <c r="D339" s="5">
        <v>-21897.439999999999</v>
      </c>
      <c r="E339">
        <f>D339/MAX($B$2:B339,100000)</f>
        <v>-6.9648824559354464E-2</v>
      </c>
      <c r="G339" s="2"/>
      <c r="H339" s="5"/>
      <c r="K339" s="5"/>
    </row>
    <row r="340" spans="1:11" x14ac:dyDescent="0.25">
      <c r="A340" s="2">
        <v>38898</v>
      </c>
      <c r="B340">
        <v>300174.13</v>
      </c>
      <c r="C340">
        <v>71918.06</v>
      </c>
      <c r="D340" s="5">
        <v>-14223.72</v>
      </c>
      <c r="E340">
        <f>D340/MAX($B$2:B340,100000)</f>
        <v>-4.5241150511721069E-2</v>
      </c>
      <c r="G340" s="2"/>
      <c r="H340" s="5"/>
      <c r="K340" s="5"/>
    </row>
    <row r="341" spans="1:11" x14ac:dyDescent="0.25">
      <c r="A341" s="2">
        <v>38905</v>
      </c>
      <c r="B341">
        <v>302697.15999999997</v>
      </c>
      <c r="C341">
        <v>71918.06</v>
      </c>
      <c r="D341" s="5">
        <v>-11700.69</v>
      </c>
      <c r="E341">
        <f>D341/MAX($B$2:B341,100000)</f>
        <v>-3.7216190798257394E-2</v>
      </c>
      <c r="G341" s="2"/>
      <c r="H341" s="5"/>
      <c r="K341" s="5"/>
    </row>
    <row r="342" spans="1:11" x14ac:dyDescent="0.25">
      <c r="A342" s="2">
        <v>38912</v>
      </c>
      <c r="B342">
        <v>298015.81</v>
      </c>
      <c r="C342">
        <v>71918.06</v>
      </c>
      <c r="D342" s="5">
        <v>-16382.03</v>
      </c>
      <c r="E342">
        <f>D342/MAX($B$2:B342,100000)</f>
        <v>-5.2106051364729476E-2</v>
      </c>
      <c r="G342" s="2"/>
      <c r="H342" s="5"/>
      <c r="K342" s="5"/>
    </row>
    <row r="343" spans="1:11" x14ac:dyDescent="0.25">
      <c r="A343" s="2">
        <v>38919</v>
      </c>
      <c r="B343">
        <v>299706.63</v>
      </c>
      <c r="C343">
        <v>71918.06</v>
      </c>
      <c r="D343" s="5">
        <v>-14691.22</v>
      </c>
      <c r="E343">
        <f>D343/MAX($B$2:B343,100000)</f>
        <v>-4.6728120015073892E-2</v>
      </c>
      <c r="G343" s="2"/>
      <c r="H343" s="5"/>
      <c r="K343" s="5"/>
    </row>
    <row r="344" spans="1:11" x14ac:dyDescent="0.25">
      <c r="A344" s="2">
        <v>38926</v>
      </c>
      <c r="B344">
        <v>300034.40999999997</v>
      </c>
      <c r="C344">
        <v>71918.06</v>
      </c>
      <c r="D344" s="5">
        <v>-14363.44</v>
      </c>
      <c r="E344">
        <f>D344/MAX($B$2:B344,100000)</f>
        <v>-4.5685555600509214E-2</v>
      </c>
      <c r="G344" s="2"/>
      <c r="H344" s="5"/>
      <c r="K344" s="5"/>
    </row>
    <row r="345" spans="1:11" x14ac:dyDescent="0.25">
      <c r="A345" s="2">
        <v>38933</v>
      </c>
      <c r="B345">
        <v>298153.59000000003</v>
      </c>
      <c r="C345">
        <v>71918.06</v>
      </c>
      <c r="D345" s="5">
        <v>-16244.25</v>
      </c>
      <c r="E345">
        <f>D345/MAX($B$2:B345,100000)</f>
        <v>-5.1667816801794816E-2</v>
      </c>
      <c r="G345" s="2"/>
      <c r="H345" s="5"/>
      <c r="K345" s="5"/>
    </row>
    <row r="346" spans="1:11" x14ac:dyDescent="0.25">
      <c r="A346" s="2">
        <v>38940</v>
      </c>
      <c r="B346">
        <v>298423.90999999997</v>
      </c>
      <c r="C346">
        <v>71918.06</v>
      </c>
      <c r="D346" s="5">
        <v>-15973.94</v>
      </c>
      <c r="E346">
        <f>D346/MAX($B$2:B346,100000)</f>
        <v>-5.0808046263931074E-2</v>
      </c>
      <c r="G346" s="2"/>
      <c r="H346" s="5"/>
      <c r="K346" s="5"/>
    </row>
    <row r="347" spans="1:11" x14ac:dyDescent="0.25">
      <c r="A347" s="2">
        <v>38947</v>
      </c>
      <c r="B347">
        <v>304758.28000000003</v>
      </c>
      <c r="C347">
        <v>71918.06</v>
      </c>
      <c r="D347" s="5">
        <v>-9639.56</v>
      </c>
      <c r="E347">
        <f>D347/MAX($B$2:B347,100000)</f>
        <v>-3.0660388760940592E-2</v>
      </c>
      <c r="G347" s="2"/>
      <c r="H347" s="5"/>
      <c r="K347" s="5"/>
    </row>
    <row r="348" spans="1:11" x14ac:dyDescent="0.25">
      <c r="A348" s="2">
        <v>38954</v>
      </c>
      <c r="B348">
        <v>303497.09000000003</v>
      </c>
      <c r="C348">
        <v>91067.91</v>
      </c>
      <c r="D348" s="5">
        <v>-10900.75</v>
      </c>
      <c r="E348">
        <f>D348/MAX($B$2:B348,100000)</f>
        <v>-3.4671834895557807E-2</v>
      </c>
      <c r="G348" s="2"/>
      <c r="H348" s="5"/>
      <c r="K348" s="5"/>
    </row>
    <row r="349" spans="1:11" x14ac:dyDescent="0.25">
      <c r="A349" s="2">
        <v>38961</v>
      </c>
      <c r="B349">
        <v>307247.84000000003</v>
      </c>
      <c r="C349">
        <v>67675.72</v>
      </c>
      <c r="D349" s="5">
        <v>-7150</v>
      </c>
      <c r="E349">
        <f>D349/MAX($B$2:B349,100000)</f>
        <v>-2.2741886521866688E-2</v>
      </c>
      <c r="G349" s="2"/>
      <c r="H349" s="5"/>
      <c r="K349" s="5"/>
    </row>
    <row r="350" spans="1:11" x14ac:dyDescent="0.25">
      <c r="A350" s="2">
        <v>38968</v>
      </c>
      <c r="B350">
        <v>307510.09000000003</v>
      </c>
      <c r="C350">
        <v>20315.47</v>
      </c>
      <c r="D350" s="5">
        <v>-6887.75</v>
      </c>
      <c r="E350">
        <f>D350/MAX($B$2:B350,100000)</f>
        <v>-2.1907752292445775E-2</v>
      </c>
      <c r="G350" s="2"/>
      <c r="H350" s="5"/>
      <c r="K350" s="5"/>
    </row>
    <row r="351" spans="1:11" x14ac:dyDescent="0.25">
      <c r="A351" s="2">
        <v>38975</v>
      </c>
      <c r="B351">
        <v>307053.59000000003</v>
      </c>
      <c r="C351">
        <v>20315.47</v>
      </c>
      <c r="D351" s="5">
        <v>-7344.25</v>
      </c>
      <c r="E351">
        <f>D351/MAX($B$2:B351,100000)</f>
        <v>-2.3359734278072645E-2</v>
      </c>
      <c r="G351" s="2"/>
      <c r="H351" s="5"/>
      <c r="K351" s="5"/>
    </row>
    <row r="352" spans="1:11" x14ac:dyDescent="0.25">
      <c r="A352" s="2">
        <v>38982</v>
      </c>
      <c r="B352">
        <v>305215.63</v>
      </c>
      <c r="C352">
        <v>20315.47</v>
      </c>
      <c r="D352" s="5">
        <v>-9182.2199999999993</v>
      </c>
      <c r="E352">
        <f>D352/MAX($B$2:B352,100000)</f>
        <v>-2.920573500123283E-2</v>
      </c>
      <c r="G352" s="2"/>
      <c r="H352" s="5"/>
      <c r="K352" s="5"/>
    </row>
    <row r="353" spans="1:11" x14ac:dyDescent="0.25">
      <c r="A353" s="2">
        <v>38989</v>
      </c>
      <c r="B353">
        <v>316526.81</v>
      </c>
      <c r="C353">
        <v>20315.47</v>
      </c>
      <c r="D353" s="5">
        <v>0</v>
      </c>
      <c r="E353">
        <f>D353/MAX($B$2:B353,100000)</f>
        <v>0</v>
      </c>
      <c r="G353" s="2"/>
      <c r="H353" s="5"/>
      <c r="K353" s="5"/>
    </row>
    <row r="354" spans="1:11" x14ac:dyDescent="0.25">
      <c r="A354" s="2">
        <v>38996</v>
      </c>
      <c r="B354">
        <v>323211.69</v>
      </c>
      <c r="C354">
        <v>20315.47</v>
      </c>
      <c r="D354" s="5">
        <v>0</v>
      </c>
      <c r="E354">
        <f>D354/MAX($B$2:B354,100000)</f>
        <v>0</v>
      </c>
      <c r="G354" s="2"/>
      <c r="H354" s="5"/>
      <c r="K354" s="5"/>
    </row>
    <row r="355" spans="1:11" x14ac:dyDescent="0.25">
      <c r="A355" s="2">
        <v>39003</v>
      </c>
      <c r="B355">
        <v>327315.78000000003</v>
      </c>
      <c r="C355">
        <v>20315.47</v>
      </c>
      <c r="D355" s="5">
        <v>0</v>
      </c>
      <c r="E355">
        <f>D355/MAX($B$2:B355,100000)</f>
        <v>0</v>
      </c>
      <c r="G355" s="2"/>
      <c r="H355" s="5"/>
      <c r="K355" s="5"/>
    </row>
    <row r="356" spans="1:11" x14ac:dyDescent="0.25">
      <c r="A356" s="2">
        <v>39010</v>
      </c>
      <c r="B356">
        <v>326457.44</v>
      </c>
      <c r="C356">
        <v>20315.47</v>
      </c>
      <c r="D356" s="5">
        <v>-858.34</v>
      </c>
      <c r="E356">
        <f>D356/MAX($B$2:B356,100000)</f>
        <v>-2.6223605840207274E-3</v>
      </c>
      <c r="G356" s="2"/>
      <c r="H356" s="5"/>
      <c r="K356" s="5"/>
    </row>
    <row r="357" spans="1:11" x14ac:dyDescent="0.25">
      <c r="A357" s="2">
        <v>39017</v>
      </c>
      <c r="B357">
        <v>329296.31</v>
      </c>
      <c r="C357">
        <v>20315.47</v>
      </c>
      <c r="D357" s="5">
        <v>0</v>
      </c>
      <c r="E357">
        <f>D357/MAX($B$2:B357,100000)</f>
        <v>0</v>
      </c>
      <c r="G357" s="2"/>
      <c r="H357" s="5"/>
      <c r="K357" s="5"/>
    </row>
    <row r="358" spans="1:11" x14ac:dyDescent="0.25">
      <c r="A358" s="2">
        <v>39024</v>
      </c>
      <c r="B358">
        <v>332482.15999999997</v>
      </c>
      <c r="C358">
        <v>20315.47</v>
      </c>
      <c r="D358" s="5">
        <v>0</v>
      </c>
      <c r="E358">
        <f>D358/MAX($B$2:B358,100000)</f>
        <v>0</v>
      </c>
      <c r="G358" s="2"/>
      <c r="H358" s="5"/>
      <c r="K358" s="5"/>
    </row>
    <row r="359" spans="1:11" x14ac:dyDescent="0.25">
      <c r="A359" s="2">
        <v>39031</v>
      </c>
      <c r="B359">
        <v>333142.21999999997</v>
      </c>
      <c r="C359">
        <v>20315.47</v>
      </c>
      <c r="D359" s="5">
        <v>0</v>
      </c>
      <c r="E359">
        <f>D359/MAX($B$2:B359,100000)</f>
        <v>0</v>
      </c>
      <c r="G359" s="2"/>
      <c r="H359" s="5"/>
      <c r="K359" s="5"/>
    </row>
    <row r="360" spans="1:11" x14ac:dyDescent="0.25">
      <c r="A360" s="2">
        <v>39038</v>
      </c>
      <c r="B360">
        <v>328476.25</v>
      </c>
      <c r="C360">
        <v>20315.47</v>
      </c>
      <c r="D360" s="5">
        <v>-4665.97</v>
      </c>
      <c r="E360">
        <f>D360/MAX($B$2:B360,100000)</f>
        <v>-1.4005940165734624E-2</v>
      </c>
      <c r="G360" s="2"/>
      <c r="H360" s="5"/>
      <c r="K360" s="5"/>
    </row>
    <row r="361" spans="1:11" x14ac:dyDescent="0.25">
      <c r="A361" s="2">
        <v>39045</v>
      </c>
      <c r="B361">
        <v>337834.72</v>
      </c>
      <c r="C361">
        <v>44979.21</v>
      </c>
      <c r="D361" s="5">
        <v>0</v>
      </c>
      <c r="E361">
        <f>D361/MAX($B$2:B361,100000)</f>
        <v>0</v>
      </c>
      <c r="G361" s="2"/>
      <c r="H361" s="5"/>
      <c r="K361" s="5"/>
    </row>
    <row r="362" spans="1:11" x14ac:dyDescent="0.25">
      <c r="A362" s="2">
        <v>39052</v>
      </c>
      <c r="B362">
        <v>336619.84</v>
      </c>
      <c r="C362">
        <v>18922.560000000001</v>
      </c>
      <c r="D362" s="5">
        <v>-1214.8800000000001</v>
      </c>
      <c r="E362">
        <f>D362/MAX($B$2:B362,100000)</f>
        <v>-3.5960779874845317E-3</v>
      </c>
      <c r="G362" s="2"/>
      <c r="H362" s="5"/>
      <c r="K362" s="5"/>
    </row>
    <row r="363" spans="1:11" x14ac:dyDescent="0.25">
      <c r="A363" s="2">
        <v>39059</v>
      </c>
      <c r="B363">
        <v>335896.63</v>
      </c>
      <c r="C363">
        <v>18922.560000000001</v>
      </c>
      <c r="D363" s="5">
        <v>-1938.09</v>
      </c>
      <c r="E363">
        <f>D363/MAX($B$2:B363,100000)</f>
        <v>-5.7367993437737836E-3</v>
      </c>
      <c r="G363" s="2"/>
      <c r="H363" s="5"/>
      <c r="K363" s="5"/>
    </row>
    <row r="364" spans="1:11" x14ac:dyDescent="0.25">
      <c r="A364" s="2">
        <v>39066</v>
      </c>
      <c r="B364">
        <v>342779.72</v>
      </c>
      <c r="C364">
        <v>18922.560000000001</v>
      </c>
      <c r="D364" s="5">
        <v>0</v>
      </c>
      <c r="E364">
        <f>D364/MAX($B$2:B364,100000)</f>
        <v>0</v>
      </c>
      <c r="G364" s="2"/>
      <c r="H364" s="5"/>
      <c r="K364" s="5"/>
    </row>
    <row r="365" spans="1:11" x14ac:dyDescent="0.25">
      <c r="A365" s="2">
        <v>39073</v>
      </c>
      <c r="B365">
        <v>345842.19</v>
      </c>
      <c r="C365">
        <v>18922.560000000001</v>
      </c>
      <c r="D365" s="5">
        <v>0</v>
      </c>
      <c r="E365">
        <f>D365/MAX($B$2:B365,100000)</f>
        <v>0</v>
      </c>
      <c r="G365" s="2"/>
      <c r="H365" s="5"/>
      <c r="K365" s="5"/>
    </row>
    <row r="366" spans="1:11" x14ac:dyDescent="0.25">
      <c r="A366" s="2">
        <v>39080</v>
      </c>
      <c r="B366">
        <v>352218.09</v>
      </c>
      <c r="C366">
        <v>18922.560000000001</v>
      </c>
      <c r="D366" s="5">
        <v>0</v>
      </c>
      <c r="E366">
        <f>D366/MAX($B$2:B366,100000)</f>
        <v>0</v>
      </c>
      <c r="G366" s="2"/>
      <c r="H366" s="5"/>
      <c r="K366" s="5"/>
    </row>
    <row r="367" spans="1:11" x14ac:dyDescent="0.25">
      <c r="A367" s="2">
        <v>39087</v>
      </c>
      <c r="B367">
        <v>343816.94</v>
      </c>
      <c r="C367">
        <v>18922.560000000001</v>
      </c>
      <c r="D367" s="5">
        <v>-8401.16</v>
      </c>
      <c r="E367">
        <f>D367/MAX($B$2:B367,100000)</f>
        <v>-2.3852153647190576E-2</v>
      </c>
      <c r="G367" s="2"/>
      <c r="H367" s="5"/>
      <c r="K367" s="5"/>
    </row>
    <row r="368" spans="1:11" x14ac:dyDescent="0.25">
      <c r="A368" s="2">
        <v>39094</v>
      </c>
      <c r="B368">
        <v>346947.19</v>
      </c>
      <c r="C368">
        <v>18922.560000000001</v>
      </c>
      <c r="D368" s="5">
        <v>-5270.91</v>
      </c>
      <c r="E368">
        <f>D368/MAX($B$2:B368,100000)</f>
        <v>-1.4964904272804384E-2</v>
      </c>
      <c r="G368" s="2"/>
      <c r="H368" s="5"/>
      <c r="K368" s="5"/>
    </row>
    <row r="369" spans="1:11" x14ac:dyDescent="0.25">
      <c r="A369" s="2">
        <v>39101</v>
      </c>
      <c r="B369">
        <v>351079.78</v>
      </c>
      <c r="C369">
        <v>18922.560000000001</v>
      </c>
      <c r="D369" s="5">
        <v>-1138.31</v>
      </c>
      <c r="E369">
        <f>D369/MAX($B$2:B369,100000)</f>
        <v>-3.2318328680960135E-3</v>
      </c>
      <c r="G369" s="2"/>
      <c r="H369" s="5"/>
      <c r="K369" s="5"/>
    </row>
    <row r="370" spans="1:11" x14ac:dyDescent="0.25">
      <c r="A370" s="2">
        <v>39107</v>
      </c>
      <c r="B370">
        <v>354931.34</v>
      </c>
      <c r="C370">
        <v>18922.560000000001</v>
      </c>
      <c r="D370" s="5">
        <v>0</v>
      </c>
      <c r="E370">
        <f>D370/MAX($B$2:B370,100000)</f>
        <v>0</v>
      </c>
      <c r="G370" s="2"/>
      <c r="H370" s="5"/>
      <c r="K370" s="5"/>
    </row>
    <row r="371" spans="1:11" x14ac:dyDescent="0.25">
      <c r="A371" s="2">
        <v>39115</v>
      </c>
      <c r="B371">
        <v>356755.16</v>
      </c>
      <c r="C371">
        <v>18922.560000000001</v>
      </c>
      <c r="D371" s="5">
        <v>0</v>
      </c>
      <c r="E371">
        <f>D371/MAX($B$2:B371,100000)</f>
        <v>0</v>
      </c>
      <c r="G371" s="2"/>
      <c r="H371" s="5"/>
      <c r="K371" s="5"/>
    </row>
    <row r="372" spans="1:11" x14ac:dyDescent="0.25">
      <c r="A372" s="2">
        <v>39122</v>
      </c>
      <c r="B372">
        <v>360928.53</v>
      </c>
      <c r="C372">
        <v>18922.560000000001</v>
      </c>
      <c r="D372" s="5">
        <v>0</v>
      </c>
      <c r="E372">
        <f>D372/MAX($B$2:B372,100000)</f>
        <v>0</v>
      </c>
      <c r="G372" s="2"/>
      <c r="H372" s="5"/>
      <c r="K372" s="5"/>
    </row>
    <row r="373" spans="1:11" x14ac:dyDescent="0.25">
      <c r="A373" s="2">
        <v>39129</v>
      </c>
      <c r="B373">
        <v>362466.47</v>
      </c>
      <c r="C373">
        <v>18922.560000000001</v>
      </c>
      <c r="D373" s="5">
        <v>0</v>
      </c>
      <c r="E373">
        <f>D373/MAX($B$2:B373,100000)</f>
        <v>0</v>
      </c>
      <c r="G373" s="2"/>
      <c r="H373" s="5"/>
      <c r="K373" s="5"/>
    </row>
    <row r="374" spans="1:11" x14ac:dyDescent="0.25">
      <c r="A374" s="2">
        <v>39136</v>
      </c>
      <c r="B374">
        <v>365706.19</v>
      </c>
      <c r="C374">
        <v>18922.560000000001</v>
      </c>
      <c r="D374" s="5">
        <v>0</v>
      </c>
      <c r="E374">
        <f>D374/MAX($B$2:B374,100000)</f>
        <v>0</v>
      </c>
      <c r="G374" s="2"/>
      <c r="H374" s="5"/>
      <c r="K374" s="5"/>
    </row>
    <row r="375" spans="1:11" x14ac:dyDescent="0.25">
      <c r="A375" s="2">
        <v>39143</v>
      </c>
      <c r="B375">
        <v>358283.66</v>
      </c>
      <c r="C375">
        <v>18922.560000000001</v>
      </c>
      <c r="D375" s="5">
        <v>-7422.53</v>
      </c>
      <c r="E375">
        <f>D375/MAX($B$2:B375,100000)</f>
        <v>-2.029642976510734E-2</v>
      </c>
      <c r="G375" s="2"/>
      <c r="H375" s="5"/>
      <c r="K375" s="5"/>
    </row>
    <row r="376" spans="1:11" x14ac:dyDescent="0.25">
      <c r="A376" s="2">
        <v>39150</v>
      </c>
      <c r="B376">
        <v>366229.31</v>
      </c>
      <c r="C376">
        <v>18922.560000000001</v>
      </c>
      <c r="D376" s="5">
        <v>0</v>
      </c>
      <c r="E376">
        <f>D376/MAX($B$2:B376,100000)</f>
        <v>0</v>
      </c>
      <c r="G376" s="2"/>
      <c r="H376" s="5"/>
      <c r="K376" s="5"/>
    </row>
    <row r="377" spans="1:11" x14ac:dyDescent="0.25">
      <c r="A377" s="2">
        <v>39157</v>
      </c>
      <c r="B377">
        <v>363464.09</v>
      </c>
      <c r="C377">
        <v>18922.560000000001</v>
      </c>
      <c r="D377" s="5">
        <v>-2765.22</v>
      </c>
      <c r="E377">
        <f>D377/MAX($B$2:B377,100000)</f>
        <v>-7.5505152768903169E-3</v>
      </c>
      <c r="G377" s="2"/>
      <c r="H377" s="5"/>
      <c r="K377" s="5"/>
    </row>
    <row r="378" spans="1:11" x14ac:dyDescent="0.25">
      <c r="A378" s="2">
        <v>39164</v>
      </c>
      <c r="B378">
        <v>375344.28</v>
      </c>
      <c r="C378">
        <v>18922.560000000001</v>
      </c>
      <c r="D378" s="5">
        <v>0</v>
      </c>
      <c r="E378">
        <f>D378/MAX($B$2:B378,100000)</f>
        <v>0</v>
      </c>
      <c r="G378" s="2"/>
      <c r="H378" s="5"/>
      <c r="K378" s="5"/>
    </row>
    <row r="379" spans="1:11" x14ac:dyDescent="0.25">
      <c r="A379" s="2">
        <v>39171</v>
      </c>
      <c r="B379">
        <v>376106.44</v>
      </c>
      <c r="C379">
        <v>18922.560000000001</v>
      </c>
      <c r="D379" s="5">
        <v>0</v>
      </c>
      <c r="E379">
        <f>D379/MAX($B$2:B379,100000)</f>
        <v>0</v>
      </c>
      <c r="G379" s="2"/>
      <c r="H379" s="5"/>
      <c r="K379" s="5"/>
    </row>
    <row r="380" spans="1:11" x14ac:dyDescent="0.25">
      <c r="A380" s="2">
        <v>39177</v>
      </c>
      <c r="B380">
        <v>385522.66</v>
      </c>
      <c r="C380">
        <v>18922.560000000001</v>
      </c>
      <c r="D380" s="5">
        <v>0</v>
      </c>
      <c r="E380">
        <f>D380/MAX($B$2:B380,100000)</f>
        <v>0</v>
      </c>
      <c r="G380" s="2"/>
      <c r="H380" s="5"/>
      <c r="K380" s="5"/>
    </row>
    <row r="381" spans="1:11" x14ac:dyDescent="0.25">
      <c r="A381" s="2">
        <v>39185</v>
      </c>
      <c r="B381">
        <v>390462.03</v>
      </c>
      <c r="C381">
        <v>18922.560000000001</v>
      </c>
      <c r="D381" s="5">
        <v>0</v>
      </c>
      <c r="E381">
        <f>D381/MAX($B$2:B381,100000)</f>
        <v>0</v>
      </c>
      <c r="G381" s="2"/>
      <c r="H381" s="5"/>
      <c r="K381" s="5"/>
    </row>
    <row r="382" spans="1:11" x14ac:dyDescent="0.25">
      <c r="A382" s="2">
        <v>39192</v>
      </c>
      <c r="B382">
        <v>387789.53</v>
      </c>
      <c r="C382">
        <v>18922.560000000001</v>
      </c>
      <c r="D382" s="5">
        <v>-2672.5</v>
      </c>
      <c r="E382">
        <f>D382/MAX($B$2:B382,100000)</f>
        <v>-6.8444555287488513E-3</v>
      </c>
      <c r="G382" s="2"/>
      <c r="H382" s="5"/>
      <c r="K382" s="5"/>
    </row>
    <row r="383" spans="1:11" x14ac:dyDescent="0.25">
      <c r="A383" s="2">
        <v>39199</v>
      </c>
      <c r="B383">
        <v>391426.81</v>
      </c>
      <c r="C383">
        <v>18922.560000000001</v>
      </c>
      <c r="D383" s="5">
        <v>0</v>
      </c>
      <c r="E383">
        <f>D383/MAX($B$2:B383,100000)</f>
        <v>0</v>
      </c>
      <c r="G383" s="2"/>
      <c r="H383" s="5"/>
      <c r="K383" s="5"/>
    </row>
    <row r="384" spans="1:11" x14ac:dyDescent="0.25">
      <c r="A384" s="2">
        <v>39206</v>
      </c>
      <c r="B384">
        <v>404830.53</v>
      </c>
      <c r="C384">
        <v>18922.560000000001</v>
      </c>
      <c r="D384" s="5">
        <v>0</v>
      </c>
      <c r="E384">
        <f>D384/MAX($B$2:B384,100000)</f>
        <v>0</v>
      </c>
      <c r="G384" s="2"/>
      <c r="H384" s="5"/>
      <c r="K384" s="5"/>
    </row>
    <row r="385" spans="1:11" x14ac:dyDescent="0.25">
      <c r="A385" s="2">
        <v>39213</v>
      </c>
      <c r="B385">
        <v>404282.44</v>
      </c>
      <c r="C385">
        <v>18922.560000000001</v>
      </c>
      <c r="D385" s="5">
        <v>-548.09</v>
      </c>
      <c r="E385">
        <f>D385/MAX($B$2:B385,100000)</f>
        <v>-1.3538751635159532E-3</v>
      </c>
      <c r="G385" s="2"/>
      <c r="H385" s="5"/>
      <c r="K385" s="5"/>
    </row>
    <row r="386" spans="1:11" x14ac:dyDescent="0.25">
      <c r="A386" s="2">
        <v>39220</v>
      </c>
      <c r="B386">
        <v>409689.44</v>
      </c>
      <c r="C386">
        <v>18922.560000000001</v>
      </c>
      <c r="D386" s="5">
        <v>0</v>
      </c>
      <c r="E386">
        <f>D386/MAX($B$2:B386,100000)</f>
        <v>0</v>
      </c>
      <c r="G386" s="2"/>
      <c r="H386" s="5"/>
      <c r="K386" s="5"/>
    </row>
    <row r="387" spans="1:11" x14ac:dyDescent="0.25">
      <c r="A387" s="2">
        <v>39227</v>
      </c>
      <c r="B387">
        <v>402122.44</v>
      </c>
      <c r="C387">
        <v>18922.560000000001</v>
      </c>
      <c r="D387" s="5">
        <v>-7567</v>
      </c>
      <c r="E387">
        <f>D387/MAX($B$2:B387,100000)</f>
        <v>-1.8470087976883171E-2</v>
      </c>
      <c r="G387" s="2"/>
      <c r="H387" s="5"/>
      <c r="K387" s="5"/>
    </row>
    <row r="388" spans="1:11" x14ac:dyDescent="0.25">
      <c r="A388" s="2">
        <v>39234</v>
      </c>
      <c r="B388">
        <v>410414.09</v>
      </c>
      <c r="C388">
        <v>18922.560000000001</v>
      </c>
      <c r="D388" s="5">
        <v>0</v>
      </c>
      <c r="E388">
        <f>D388/MAX($B$2:B388,100000)</f>
        <v>0</v>
      </c>
      <c r="G388" s="2"/>
      <c r="H388" s="5"/>
      <c r="K388" s="5"/>
    </row>
    <row r="389" spans="1:11" x14ac:dyDescent="0.25">
      <c r="A389" s="2">
        <v>39241</v>
      </c>
      <c r="B389">
        <v>401190.72</v>
      </c>
      <c r="C389">
        <v>18922.560000000001</v>
      </c>
      <c r="D389" s="5">
        <v>-9223.3799999999992</v>
      </c>
      <c r="E389">
        <f>D389/MAX($B$2:B389,100000)</f>
        <v>-2.247335124386202E-2</v>
      </c>
      <c r="G389" s="2"/>
      <c r="H389" s="5"/>
      <c r="K389" s="5"/>
    </row>
    <row r="390" spans="1:11" x14ac:dyDescent="0.25">
      <c r="A390" s="2">
        <v>39248</v>
      </c>
      <c r="B390">
        <v>392951.69</v>
      </c>
      <c r="C390">
        <v>18922.560000000001</v>
      </c>
      <c r="D390" s="5">
        <v>-17462.41</v>
      </c>
      <c r="E390">
        <f>D390/MAX($B$2:B390,100000)</f>
        <v>-4.2548271186303568E-2</v>
      </c>
      <c r="G390" s="2"/>
      <c r="H390" s="5"/>
      <c r="K390" s="5"/>
    </row>
    <row r="391" spans="1:11" x14ac:dyDescent="0.25">
      <c r="A391" s="2">
        <v>39255</v>
      </c>
      <c r="B391">
        <v>404049.81</v>
      </c>
      <c r="C391">
        <v>18922.560000000001</v>
      </c>
      <c r="D391" s="5">
        <v>-6364.28</v>
      </c>
      <c r="E391">
        <f>D391/MAX($B$2:B391,100000)</f>
        <v>-1.5506972482353127E-2</v>
      </c>
      <c r="G391" s="2"/>
      <c r="H391" s="5"/>
      <c r="K391" s="5"/>
    </row>
    <row r="392" spans="1:11" x14ac:dyDescent="0.25">
      <c r="A392" s="2">
        <v>39262</v>
      </c>
      <c r="B392">
        <v>403187.94</v>
      </c>
      <c r="C392">
        <v>18922.560000000001</v>
      </c>
      <c r="D392" s="5">
        <v>-7226.16</v>
      </c>
      <c r="E392">
        <f>D392/MAX($B$2:B392,100000)</f>
        <v>-1.760699784941594E-2</v>
      </c>
      <c r="G392" s="2"/>
      <c r="H392" s="5"/>
      <c r="K392" s="5"/>
    </row>
    <row r="393" spans="1:11" x14ac:dyDescent="0.25">
      <c r="A393" s="2">
        <v>39269</v>
      </c>
      <c r="B393">
        <v>403103.94</v>
      </c>
      <c r="C393">
        <v>18922.560000000001</v>
      </c>
      <c r="D393" s="5">
        <v>-7310.16</v>
      </c>
      <c r="E393">
        <f>D393/MAX($B$2:B393,100000)</f>
        <v>-1.781166918513933E-2</v>
      </c>
      <c r="G393" s="2"/>
      <c r="H393" s="5"/>
      <c r="K393" s="5"/>
    </row>
    <row r="394" spans="1:11" x14ac:dyDescent="0.25">
      <c r="A394" s="2">
        <v>39276</v>
      </c>
      <c r="B394">
        <v>405987.97</v>
      </c>
      <c r="C394">
        <v>18922.560000000001</v>
      </c>
      <c r="D394" s="5">
        <v>-4426.13</v>
      </c>
      <c r="E394">
        <f>D394/MAX($B$2:B394,100000)</f>
        <v>-1.0784546895063958E-2</v>
      </c>
      <c r="G394" s="2"/>
      <c r="H394" s="5"/>
      <c r="K394" s="5"/>
    </row>
    <row r="395" spans="1:11" x14ac:dyDescent="0.25">
      <c r="A395" s="2">
        <v>39283</v>
      </c>
      <c r="B395">
        <v>403245.72</v>
      </c>
      <c r="C395">
        <v>18922.560000000001</v>
      </c>
      <c r="D395" s="5">
        <v>-7168.38</v>
      </c>
      <c r="E395">
        <f>D395/MAX($B$2:B395,100000)</f>
        <v>-1.7466213209200492E-2</v>
      </c>
      <c r="G395" s="2"/>
      <c r="H395" s="5"/>
      <c r="K395" s="5"/>
    </row>
    <row r="396" spans="1:11" x14ac:dyDescent="0.25">
      <c r="A396" s="2">
        <v>39290</v>
      </c>
      <c r="B396">
        <v>389550.41</v>
      </c>
      <c r="C396">
        <v>51014.23</v>
      </c>
      <c r="D396" s="5">
        <v>-20863.689999999999</v>
      </c>
      <c r="E396">
        <f>D396/MAX($B$2:B396,100000)</f>
        <v>-5.0835705957366126E-2</v>
      </c>
      <c r="G396" s="2"/>
      <c r="H396" s="5"/>
      <c r="K396" s="5"/>
    </row>
    <row r="397" spans="1:11" x14ac:dyDescent="0.25">
      <c r="A397" s="2">
        <v>39297</v>
      </c>
      <c r="B397">
        <v>387641.22</v>
      </c>
      <c r="C397">
        <v>51014.23</v>
      </c>
      <c r="D397" s="5">
        <v>-22772.880000000001</v>
      </c>
      <c r="E397">
        <f>D397/MAX($B$2:B397,100000)</f>
        <v>-5.5487568665101142E-2</v>
      </c>
      <c r="G397" s="2"/>
      <c r="H397" s="5"/>
      <c r="K397" s="5"/>
    </row>
    <row r="398" spans="1:11" x14ac:dyDescent="0.25">
      <c r="A398" s="2">
        <v>39304</v>
      </c>
      <c r="B398">
        <v>386648.38</v>
      </c>
      <c r="C398">
        <v>132947.09</v>
      </c>
      <c r="D398" s="5">
        <v>-23765.72</v>
      </c>
      <c r="E398">
        <f>D398/MAX($B$2:B398,100000)</f>
        <v>-5.7906686390810799E-2</v>
      </c>
      <c r="G398" s="2"/>
      <c r="H398" s="5"/>
      <c r="K398" s="5"/>
    </row>
    <row r="399" spans="1:11" x14ac:dyDescent="0.25">
      <c r="A399" s="2">
        <v>39311</v>
      </c>
      <c r="B399">
        <v>371825.91</v>
      </c>
      <c r="C399">
        <v>147131.59</v>
      </c>
      <c r="D399" s="5">
        <v>-38588.19</v>
      </c>
      <c r="E399">
        <f>D399/MAX($B$2:B399,100000)</f>
        <v>-9.4022576076761885E-2</v>
      </c>
      <c r="G399" s="2"/>
      <c r="H399" s="5"/>
      <c r="K399" s="5"/>
    </row>
    <row r="400" spans="1:11" x14ac:dyDescent="0.25">
      <c r="A400" s="2">
        <v>39318</v>
      </c>
      <c r="B400">
        <v>380619.91</v>
      </c>
      <c r="C400">
        <v>147131.59</v>
      </c>
      <c r="D400" s="5">
        <v>-29794.19</v>
      </c>
      <c r="E400">
        <f>D400/MAX($B$2:B400,100000)</f>
        <v>-7.2595436477339251E-2</v>
      </c>
      <c r="G400" s="2"/>
      <c r="H400" s="5"/>
      <c r="K400" s="5"/>
    </row>
    <row r="401" spans="1:11" x14ac:dyDescent="0.25">
      <c r="A401" s="2">
        <v>39325</v>
      </c>
      <c r="B401">
        <v>384548.06</v>
      </c>
      <c r="C401">
        <v>272507.75</v>
      </c>
      <c r="D401" s="5">
        <v>-25866.03</v>
      </c>
      <c r="E401">
        <f>D401/MAX($B$2:B401,100000)</f>
        <v>-6.3024225118586935E-2</v>
      </c>
      <c r="G401" s="2"/>
      <c r="H401" s="5"/>
      <c r="K401" s="5"/>
    </row>
    <row r="402" spans="1:11" x14ac:dyDescent="0.25">
      <c r="A402" s="2">
        <v>39332</v>
      </c>
      <c r="B402">
        <v>387012.63</v>
      </c>
      <c r="C402">
        <v>272507.75</v>
      </c>
      <c r="D402" s="5">
        <v>-23401.47</v>
      </c>
      <c r="E402">
        <f>D402/MAX($B$2:B402,100000)</f>
        <v>-5.7019168128462645E-2</v>
      </c>
      <c r="G402" s="2"/>
      <c r="H402" s="5"/>
      <c r="K402" s="5"/>
    </row>
    <row r="403" spans="1:11" x14ac:dyDescent="0.25">
      <c r="A403" s="2">
        <v>39339</v>
      </c>
      <c r="B403">
        <v>388653.28</v>
      </c>
      <c r="C403">
        <v>242875.2</v>
      </c>
      <c r="D403" s="5">
        <v>-21760.81</v>
      </c>
      <c r="E403">
        <f>D403/MAX($B$2:B403,100000)</f>
        <v>-5.3021595822891947E-2</v>
      </c>
      <c r="G403" s="2"/>
      <c r="H403" s="5"/>
      <c r="K403" s="5"/>
    </row>
    <row r="404" spans="1:11" x14ac:dyDescent="0.25">
      <c r="A404" s="2">
        <v>39346</v>
      </c>
      <c r="B404">
        <v>386140.06</v>
      </c>
      <c r="C404">
        <v>242875.2</v>
      </c>
      <c r="D404" s="5">
        <v>-24274.03</v>
      </c>
      <c r="E404">
        <f>D404/MAX($B$2:B404,100000)</f>
        <v>-5.9145215993924569E-2</v>
      </c>
      <c r="G404" s="2"/>
      <c r="H404" s="5"/>
      <c r="K404" s="5"/>
    </row>
    <row r="405" spans="1:11" x14ac:dyDescent="0.25">
      <c r="A405" s="2">
        <v>39353</v>
      </c>
      <c r="B405">
        <v>387734.81</v>
      </c>
      <c r="C405">
        <v>242875.2</v>
      </c>
      <c r="D405" s="5">
        <v>-22679.279999999999</v>
      </c>
      <c r="E405">
        <f>D405/MAX($B$2:B405,100000)</f>
        <v>-5.5259506319580785E-2</v>
      </c>
      <c r="G405" s="2"/>
      <c r="H405" s="5"/>
      <c r="K405" s="5"/>
    </row>
    <row r="406" spans="1:11" x14ac:dyDescent="0.25">
      <c r="A406" s="2">
        <v>39360</v>
      </c>
      <c r="B406">
        <v>386635.88</v>
      </c>
      <c r="C406">
        <v>242875.2</v>
      </c>
      <c r="D406" s="5">
        <v>-23778.22</v>
      </c>
      <c r="E406">
        <f>D406/MAX($B$2:B406,100000)</f>
        <v>-5.7937143434817262E-2</v>
      </c>
      <c r="G406" s="2"/>
      <c r="H406" s="5"/>
      <c r="K406" s="5"/>
    </row>
    <row r="407" spans="1:11" x14ac:dyDescent="0.25">
      <c r="A407" s="2">
        <v>39367</v>
      </c>
      <c r="B407">
        <v>385687.22</v>
      </c>
      <c r="C407">
        <v>242875.2</v>
      </c>
      <c r="D407" s="5">
        <v>-24726.880000000001</v>
      </c>
      <c r="E407">
        <f>D407/MAX($B$2:B407,100000)</f>
        <v>-6.0248613784190497E-2</v>
      </c>
      <c r="G407" s="2"/>
      <c r="H407" s="5"/>
      <c r="K407" s="5"/>
    </row>
    <row r="408" spans="1:11" x14ac:dyDescent="0.25">
      <c r="A408" s="2">
        <v>39374</v>
      </c>
      <c r="B408">
        <v>382655.22</v>
      </c>
      <c r="C408">
        <v>242875.2</v>
      </c>
      <c r="D408" s="5">
        <v>-27758.880000000001</v>
      </c>
      <c r="E408">
        <f>D408/MAX($B$2:B408,100000)</f>
        <v>-6.7636274378396699E-2</v>
      </c>
      <c r="G408" s="2"/>
      <c r="H408" s="5"/>
      <c r="K408" s="5"/>
    </row>
    <row r="409" spans="1:11" x14ac:dyDescent="0.25">
      <c r="A409" s="2">
        <v>39381</v>
      </c>
      <c r="B409">
        <v>382843.34</v>
      </c>
      <c r="C409">
        <v>242875.2</v>
      </c>
      <c r="D409" s="5">
        <v>-27570.75</v>
      </c>
      <c r="E409">
        <f>D409/MAX($B$2:B409,100000)</f>
        <v>-6.7177883683281925E-2</v>
      </c>
      <c r="G409" s="2"/>
      <c r="H409" s="5"/>
      <c r="K409" s="5"/>
    </row>
    <row r="410" spans="1:11" x14ac:dyDescent="0.25">
      <c r="A410" s="2">
        <v>39388</v>
      </c>
      <c r="B410">
        <v>380392</v>
      </c>
      <c r="C410">
        <v>242875.2</v>
      </c>
      <c r="D410" s="5">
        <v>-30022.09</v>
      </c>
      <c r="E410">
        <f>D410/MAX($B$2:B410,100000)</f>
        <v>-7.315072930366498E-2</v>
      </c>
      <c r="G410" s="2"/>
      <c r="H410" s="5"/>
      <c r="K410" s="5"/>
    </row>
    <row r="411" spans="1:11" x14ac:dyDescent="0.25">
      <c r="A411" s="2">
        <v>39395</v>
      </c>
      <c r="B411">
        <v>377339.5</v>
      </c>
      <c r="C411">
        <v>213537.45</v>
      </c>
      <c r="D411" s="5">
        <v>-33074.589999999997</v>
      </c>
      <c r="E411">
        <f>D411/MAX($B$2:B411,100000)</f>
        <v>-8.0588339450041777E-2</v>
      </c>
      <c r="G411" s="2"/>
      <c r="H411" s="5"/>
      <c r="K411" s="5"/>
    </row>
    <row r="412" spans="1:11" x14ac:dyDescent="0.25">
      <c r="A412" s="2">
        <v>39402</v>
      </c>
      <c r="B412">
        <v>378102.03</v>
      </c>
      <c r="C412">
        <v>213537.45</v>
      </c>
      <c r="D412" s="5">
        <v>-32312.06</v>
      </c>
      <c r="E412">
        <f>D412/MAX($B$2:B412,100000)</f>
        <v>-7.8730386668742297E-2</v>
      </c>
      <c r="G412" s="2"/>
      <c r="H412" s="5"/>
      <c r="K412" s="5"/>
    </row>
    <row r="413" spans="1:11" x14ac:dyDescent="0.25">
      <c r="A413" s="2">
        <v>39409</v>
      </c>
      <c r="B413">
        <v>376121.53</v>
      </c>
      <c r="C413">
        <v>213537.45</v>
      </c>
      <c r="D413" s="5">
        <v>-34292.559999999998</v>
      </c>
      <c r="E413">
        <f>D413/MAX($B$2:B413,100000)</f>
        <v>-8.3556000721125331E-2</v>
      </c>
      <c r="G413" s="2"/>
      <c r="H413" s="5"/>
      <c r="K413" s="5"/>
    </row>
    <row r="414" spans="1:11" x14ac:dyDescent="0.25">
      <c r="A414" s="2">
        <v>39416</v>
      </c>
      <c r="B414">
        <v>379164.15999999997</v>
      </c>
      <c r="C414">
        <v>213537.45</v>
      </c>
      <c r="D414" s="5">
        <v>-31249.94</v>
      </c>
      <c r="E414">
        <f>D414/MAX($B$2:B414,100000)</f>
        <v>-7.6142463822331238E-2</v>
      </c>
      <c r="G414" s="2"/>
      <c r="H414" s="5"/>
      <c r="K414" s="5"/>
    </row>
    <row r="415" spans="1:11" x14ac:dyDescent="0.25">
      <c r="A415" s="2">
        <v>39423</v>
      </c>
      <c r="B415">
        <v>381992.63</v>
      </c>
      <c r="C415">
        <v>184369.2</v>
      </c>
      <c r="D415" s="5">
        <v>-28421.47</v>
      </c>
      <c r="E415">
        <f>D415/MAX($B$2:B415,100000)</f>
        <v>-6.9250717001455769E-2</v>
      </c>
      <c r="G415" s="2"/>
      <c r="H415" s="5"/>
      <c r="K415" s="5"/>
    </row>
    <row r="416" spans="1:11" x14ac:dyDescent="0.25">
      <c r="A416" s="2">
        <v>39430</v>
      </c>
      <c r="B416">
        <v>376806.31</v>
      </c>
      <c r="C416">
        <v>184369.2</v>
      </c>
      <c r="D416" s="5">
        <v>-33607.78</v>
      </c>
      <c r="E416">
        <f>D416/MAX($B$2:B416,100000)</f>
        <v>-8.1887490753545997E-2</v>
      </c>
      <c r="G416" s="2"/>
      <c r="H416" s="5"/>
      <c r="K416" s="5"/>
    </row>
    <row r="417" spans="1:11" x14ac:dyDescent="0.25">
      <c r="A417" s="2">
        <v>39437</v>
      </c>
      <c r="B417">
        <v>373995.28</v>
      </c>
      <c r="C417">
        <v>184369.2</v>
      </c>
      <c r="D417" s="5">
        <v>-36418.81</v>
      </c>
      <c r="E417">
        <f>D417/MAX($B$2:B417,100000)</f>
        <v>-8.8736743906623658E-2</v>
      </c>
      <c r="G417" s="2"/>
      <c r="H417" s="5"/>
      <c r="K417" s="5"/>
    </row>
    <row r="418" spans="1:11" x14ac:dyDescent="0.25">
      <c r="A418" s="2">
        <v>39444</v>
      </c>
      <c r="B418">
        <v>375897.03</v>
      </c>
      <c r="C418">
        <v>205893.77</v>
      </c>
      <c r="D418" s="5">
        <v>-34517.06</v>
      </c>
      <c r="E418">
        <f>D418/MAX($B$2:B418,100000)</f>
        <v>-8.4103009231481299E-2</v>
      </c>
      <c r="G418" s="2"/>
      <c r="H418" s="5"/>
      <c r="K418" s="5"/>
    </row>
    <row r="419" spans="1:11" x14ac:dyDescent="0.25">
      <c r="A419" s="2">
        <v>39451</v>
      </c>
      <c r="B419">
        <v>375068.09</v>
      </c>
      <c r="C419">
        <v>205893.77</v>
      </c>
      <c r="D419" s="5">
        <v>-35346</v>
      </c>
      <c r="E419">
        <f>D419/MAX($B$2:B419,100000)</f>
        <v>-8.6122774196178295E-2</v>
      </c>
      <c r="G419" s="2"/>
      <c r="H419" s="5"/>
      <c r="K419" s="5"/>
    </row>
    <row r="420" spans="1:11" x14ac:dyDescent="0.25">
      <c r="A420" s="2">
        <v>39458</v>
      </c>
      <c r="B420">
        <v>367466.94</v>
      </c>
      <c r="C420">
        <v>205893.77</v>
      </c>
      <c r="D420" s="5">
        <v>-42947.16</v>
      </c>
      <c r="E420">
        <f>D420/MAX($B$2:B420,100000)</f>
        <v>-0.10464348336578795</v>
      </c>
      <c r="G420" s="2"/>
      <c r="H420" s="5"/>
      <c r="K420" s="5"/>
    </row>
    <row r="421" spans="1:11" x14ac:dyDescent="0.25">
      <c r="A421" s="2">
        <v>39465</v>
      </c>
      <c r="B421">
        <v>366972.19</v>
      </c>
      <c r="C421">
        <v>205893.77</v>
      </c>
      <c r="D421" s="5">
        <v>-43441.91</v>
      </c>
      <c r="E421">
        <f>D421/MAX($B$2:B421,100000)</f>
        <v>-0.10584897316756352</v>
      </c>
      <c r="G421" s="2"/>
      <c r="H421" s="5"/>
      <c r="K421" s="5"/>
    </row>
    <row r="422" spans="1:11" x14ac:dyDescent="0.25">
      <c r="A422" s="2">
        <v>39472</v>
      </c>
      <c r="B422">
        <v>367731.09</v>
      </c>
      <c r="C422">
        <v>205893.77</v>
      </c>
      <c r="D422" s="5">
        <v>-42683</v>
      </c>
      <c r="E422">
        <f>D422/MAX($B$2:B422,100000)</f>
        <v>-0.10399984074620829</v>
      </c>
      <c r="G422" s="2"/>
      <c r="H422" s="5"/>
      <c r="K422" s="5"/>
    </row>
    <row r="423" spans="1:11" x14ac:dyDescent="0.25">
      <c r="A423" s="2">
        <v>39479</v>
      </c>
      <c r="B423">
        <v>367102</v>
      </c>
      <c r="C423">
        <v>229347.95</v>
      </c>
      <c r="D423" s="5">
        <v>-43312.09</v>
      </c>
      <c r="E423">
        <f>D423/MAX($B$2:B423,100000)</f>
        <v>-0.10553265849133005</v>
      </c>
      <c r="G423" s="2"/>
      <c r="H423" s="5"/>
      <c r="K423" s="5"/>
    </row>
    <row r="424" spans="1:11" x14ac:dyDescent="0.25">
      <c r="A424" s="2">
        <v>39486</v>
      </c>
      <c r="B424">
        <v>365403.97</v>
      </c>
      <c r="C424">
        <v>229347.95</v>
      </c>
      <c r="D424" s="5">
        <v>-45010.13</v>
      </c>
      <c r="E424">
        <f>D424/MAX($B$2:B424,100000)</f>
        <v>-0.10967004081170799</v>
      </c>
      <c r="G424" s="2"/>
      <c r="H424" s="5"/>
      <c r="K424" s="5"/>
    </row>
    <row r="425" spans="1:11" x14ac:dyDescent="0.25">
      <c r="A425" s="2">
        <v>39493</v>
      </c>
      <c r="B425">
        <v>367904.44</v>
      </c>
      <c r="C425">
        <v>229347.95</v>
      </c>
      <c r="D425" s="5">
        <v>-42509.66</v>
      </c>
      <c r="E425">
        <f>D425/MAX($B$2:B425,100000)</f>
        <v>-0.10357748682556196</v>
      </c>
      <c r="G425" s="2"/>
      <c r="H425" s="5"/>
      <c r="K425" s="5"/>
    </row>
    <row r="426" spans="1:11" x14ac:dyDescent="0.25">
      <c r="A426" s="2">
        <v>39500</v>
      </c>
      <c r="B426">
        <v>367452.91</v>
      </c>
      <c r="C426">
        <v>229347.95</v>
      </c>
      <c r="D426" s="5">
        <v>-42961.19</v>
      </c>
      <c r="E426">
        <f>D426/MAX($B$2:B426,100000)</f>
        <v>-0.10467766835198079</v>
      </c>
      <c r="G426" s="2"/>
      <c r="H426" s="5"/>
      <c r="K426" s="5"/>
    </row>
    <row r="427" spans="1:11" x14ac:dyDescent="0.25">
      <c r="A427" s="2">
        <v>39507</v>
      </c>
      <c r="B427">
        <v>367959.59</v>
      </c>
      <c r="C427">
        <v>258871.59</v>
      </c>
      <c r="D427" s="5">
        <v>-42454.5</v>
      </c>
      <c r="E427">
        <f>D427/MAX($B$2:B427,100000)</f>
        <v>-0.10344308598177025</v>
      </c>
      <c r="G427" s="2"/>
      <c r="H427" s="5"/>
      <c r="K427" s="5"/>
    </row>
    <row r="428" spans="1:11" x14ac:dyDescent="0.25">
      <c r="A428" s="2">
        <v>39514</v>
      </c>
      <c r="B428">
        <v>364045.72</v>
      </c>
      <c r="C428">
        <v>277518.38</v>
      </c>
      <c r="D428" s="5">
        <v>-46368.38</v>
      </c>
      <c r="E428">
        <f>D428/MAX($B$2:B428,100000)</f>
        <v>-0.1129795032134496</v>
      </c>
      <c r="G428" s="2"/>
      <c r="H428" s="5"/>
      <c r="K428" s="5"/>
    </row>
    <row r="429" spans="1:11" x14ac:dyDescent="0.25">
      <c r="A429" s="2">
        <v>39521</v>
      </c>
      <c r="B429">
        <v>359947.16</v>
      </c>
      <c r="C429">
        <v>277518.38</v>
      </c>
      <c r="D429" s="5">
        <v>-50466.94</v>
      </c>
      <c r="E429">
        <f>D429/MAX($B$2:B429,100000)</f>
        <v>-0.12296590499609797</v>
      </c>
      <c r="G429" s="2"/>
      <c r="H429" s="5"/>
      <c r="K429" s="5"/>
    </row>
    <row r="430" spans="1:11" x14ac:dyDescent="0.25">
      <c r="A430" s="2">
        <v>39527</v>
      </c>
      <c r="B430">
        <v>358137.78</v>
      </c>
      <c r="C430">
        <v>277518.38</v>
      </c>
      <c r="D430" s="5">
        <v>-52276.31</v>
      </c>
      <c r="E430">
        <f>D430/MAX($B$2:B430,100000)</f>
        <v>-0.12737454993321501</v>
      </c>
      <c r="G430" s="2"/>
      <c r="H430" s="5"/>
      <c r="K430" s="5"/>
    </row>
    <row r="431" spans="1:11" x14ac:dyDescent="0.25">
      <c r="A431" s="2">
        <v>39535</v>
      </c>
      <c r="B431">
        <v>359735.81</v>
      </c>
      <c r="C431">
        <v>301934.46999999997</v>
      </c>
      <c r="D431" s="5">
        <v>-50678.28</v>
      </c>
      <c r="E431">
        <f>D431/MAX($B$2:B431,100000)</f>
        <v>-0.12348084833052392</v>
      </c>
      <c r="G431" s="2"/>
      <c r="H431" s="5"/>
      <c r="K431" s="5"/>
    </row>
    <row r="432" spans="1:11" x14ac:dyDescent="0.25">
      <c r="A432" s="2">
        <v>39542</v>
      </c>
      <c r="B432">
        <v>364835.31</v>
      </c>
      <c r="C432">
        <v>301934.46999999997</v>
      </c>
      <c r="D432" s="5">
        <v>-45578.78</v>
      </c>
      <c r="E432">
        <f>D432/MAX($B$2:B432,100000)</f>
        <v>-0.11105559265764973</v>
      </c>
      <c r="G432" s="2"/>
      <c r="H432" s="5"/>
      <c r="K432" s="5"/>
    </row>
    <row r="433" spans="1:11" x14ac:dyDescent="0.25">
      <c r="A433" s="2">
        <v>39549</v>
      </c>
      <c r="B433">
        <v>363878.84</v>
      </c>
      <c r="C433">
        <v>301934.46999999997</v>
      </c>
      <c r="D433" s="5">
        <v>-46535.25</v>
      </c>
      <c r="E433">
        <f>D433/MAX($B$2:B433,100000)</f>
        <v>-0.11338609256811821</v>
      </c>
      <c r="G433" s="2"/>
      <c r="H433" s="5"/>
      <c r="K433" s="5"/>
    </row>
    <row r="434" spans="1:11" x14ac:dyDescent="0.25">
      <c r="A434" s="2">
        <v>39556</v>
      </c>
      <c r="B434">
        <v>366862.28</v>
      </c>
      <c r="C434">
        <v>301934.46999999997</v>
      </c>
      <c r="D434" s="5">
        <v>-43551.81</v>
      </c>
      <c r="E434">
        <f>D434/MAX($B$2:B434,100000)</f>
        <v>-0.10611675149846828</v>
      </c>
      <c r="G434" s="2"/>
      <c r="H434" s="5"/>
      <c r="K434" s="5"/>
    </row>
    <row r="435" spans="1:11" x14ac:dyDescent="0.25">
      <c r="A435" s="2">
        <v>39562</v>
      </c>
      <c r="B435">
        <v>366169.72</v>
      </c>
      <c r="C435">
        <v>301934.46999999997</v>
      </c>
      <c r="D435" s="5">
        <v>-44244.38</v>
      </c>
      <c r="E435">
        <f>D435/MAX($B$2:B435,100000)</f>
        <v>-0.10780424229587243</v>
      </c>
      <c r="G435" s="2"/>
      <c r="H435" s="5"/>
      <c r="K435" s="5"/>
    </row>
    <row r="436" spans="1:11" x14ac:dyDescent="0.25">
      <c r="A436" s="2">
        <v>39570</v>
      </c>
      <c r="B436">
        <v>366426</v>
      </c>
      <c r="C436">
        <v>301934.46999999997</v>
      </c>
      <c r="D436" s="5">
        <v>-43988.09</v>
      </c>
      <c r="E436">
        <f>D436/MAX($B$2:B436,100000)</f>
        <v>-0.10717977543119923</v>
      </c>
      <c r="G436" s="2"/>
      <c r="H436" s="5"/>
      <c r="K436" s="5"/>
    </row>
    <row r="437" spans="1:11" x14ac:dyDescent="0.25">
      <c r="A437" s="2">
        <v>39577</v>
      </c>
      <c r="B437">
        <v>369239.72</v>
      </c>
      <c r="C437">
        <v>273632.65999999997</v>
      </c>
      <c r="D437" s="5">
        <v>-41174.379999999997</v>
      </c>
      <c r="E437">
        <f>D437/MAX($B$2:B437,100000)</f>
        <v>-0.10032399228788659</v>
      </c>
      <c r="G437" s="2"/>
      <c r="H437" s="5"/>
      <c r="K437" s="5"/>
    </row>
    <row r="438" spans="1:11" x14ac:dyDescent="0.25">
      <c r="A438" s="2">
        <v>39584</v>
      </c>
      <c r="B438">
        <v>369380.66</v>
      </c>
      <c r="C438">
        <v>273632.65999999997</v>
      </c>
      <c r="D438" s="5">
        <v>-41033.440000000002</v>
      </c>
      <c r="E438">
        <f>D438/MAX($B$2:B438,100000)</f>
        <v>-9.9980583025305006E-2</v>
      </c>
      <c r="G438" s="2"/>
      <c r="H438" s="5"/>
      <c r="K438" s="5"/>
    </row>
    <row r="439" spans="1:11" x14ac:dyDescent="0.25">
      <c r="A439" s="2">
        <v>39591</v>
      </c>
      <c r="B439">
        <v>364147.03</v>
      </c>
      <c r="C439">
        <v>216788.92</v>
      </c>
      <c r="D439" s="5">
        <v>-46267.06</v>
      </c>
      <c r="E439">
        <f>D439/MAX($B$2:B439,100000)</f>
        <v>-0.11273263059755087</v>
      </c>
      <c r="G439" s="2"/>
      <c r="H439" s="5"/>
      <c r="K439" s="5"/>
    </row>
    <row r="440" spans="1:11" x14ac:dyDescent="0.25">
      <c r="A440" s="2">
        <v>39598</v>
      </c>
      <c r="B440">
        <v>365392.91</v>
      </c>
      <c r="C440">
        <v>216788.92</v>
      </c>
      <c r="D440" s="5">
        <v>-45021.19</v>
      </c>
      <c r="E440">
        <f>D440/MAX($B$2:B440,100000)</f>
        <v>-0.10969698920424491</v>
      </c>
      <c r="G440" s="2"/>
      <c r="H440" s="5"/>
      <c r="K440" s="5"/>
    </row>
    <row r="441" spans="1:11" x14ac:dyDescent="0.25">
      <c r="A441" s="2">
        <v>39605</v>
      </c>
      <c r="B441">
        <v>366794.5</v>
      </c>
      <c r="C441">
        <v>216788.92</v>
      </c>
      <c r="D441" s="5">
        <v>-43619.59</v>
      </c>
      <c r="E441">
        <f>D441/MAX($B$2:B441,100000)</f>
        <v>-0.10628190177388888</v>
      </c>
      <c r="G441" s="2"/>
      <c r="H441" s="5"/>
      <c r="K441" s="5"/>
    </row>
    <row r="442" spans="1:11" x14ac:dyDescent="0.25">
      <c r="A442" s="2">
        <v>39612</v>
      </c>
      <c r="B442">
        <v>360285.69</v>
      </c>
      <c r="C442">
        <v>188659.59</v>
      </c>
      <c r="D442" s="5">
        <v>-50128.41</v>
      </c>
      <c r="E442">
        <f>D442/MAX($B$2:B442,100000)</f>
        <v>-0.1221410551474975</v>
      </c>
      <c r="G442" s="2"/>
      <c r="H442" s="5"/>
      <c r="K442" s="5"/>
    </row>
    <row r="443" spans="1:11" x14ac:dyDescent="0.25">
      <c r="A443" s="2">
        <v>39619</v>
      </c>
      <c r="B443">
        <v>358080.22</v>
      </c>
      <c r="C443">
        <v>188659.59</v>
      </c>
      <c r="D443" s="5">
        <v>-52333.88</v>
      </c>
      <c r="E443">
        <f>D443/MAX($B$2:B443,100000)</f>
        <v>-0.12751482289509114</v>
      </c>
      <c r="G443" s="2"/>
      <c r="H443" s="5"/>
      <c r="K443" s="5"/>
    </row>
    <row r="444" spans="1:11" x14ac:dyDescent="0.25">
      <c r="A444" s="2">
        <v>39626</v>
      </c>
      <c r="B444">
        <v>355558.06</v>
      </c>
      <c r="C444">
        <v>212080.61</v>
      </c>
      <c r="D444" s="5">
        <v>-54856.03</v>
      </c>
      <c r="E444">
        <f>D444/MAX($B$2:B444,100000)</f>
        <v>-0.13366020157836198</v>
      </c>
      <c r="G444" s="2"/>
      <c r="H444" s="5"/>
      <c r="K444" s="5"/>
    </row>
    <row r="445" spans="1:11" x14ac:dyDescent="0.25">
      <c r="A445" s="2">
        <v>39633</v>
      </c>
      <c r="B445">
        <v>349918.09</v>
      </c>
      <c r="C445">
        <v>237224.77</v>
      </c>
      <c r="D445" s="5">
        <v>-60496</v>
      </c>
      <c r="E445">
        <f>D445/MAX($B$2:B445,100000)</f>
        <v>-0.14740234673716976</v>
      </c>
      <c r="G445" s="2"/>
      <c r="H445" s="5"/>
      <c r="K445" s="5"/>
    </row>
    <row r="446" spans="1:11" x14ac:dyDescent="0.25">
      <c r="A446" s="2">
        <v>39640</v>
      </c>
      <c r="B446">
        <v>350283.84</v>
      </c>
      <c r="C446">
        <v>259939.84</v>
      </c>
      <c r="D446" s="5">
        <v>-60130.25</v>
      </c>
      <c r="E446">
        <f>D446/MAX($B$2:B446,100000)</f>
        <v>-0.14651117362954083</v>
      </c>
      <c r="G446" s="2"/>
      <c r="H446" s="5"/>
      <c r="K446" s="5"/>
    </row>
    <row r="447" spans="1:11" x14ac:dyDescent="0.25">
      <c r="A447" s="2">
        <v>39647</v>
      </c>
      <c r="B447">
        <v>348962.22</v>
      </c>
      <c r="C447">
        <v>322277.88</v>
      </c>
      <c r="D447" s="5">
        <v>-61451.88</v>
      </c>
      <c r="E447">
        <f>D447/MAX($B$2:B447,100000)</f>
        <v>-0.14973140907516111</v>
      </c>
      <c r="G447" s="2"/>
      <c r="H447" s="5"/>
      <c r="K447" s="5"/>
    </row>
    <row r="448" spans="1:11" x14ac:dyDescent="0.25">
      <c r="A448" s="2">
        <v>39654</v>
      </c>
      <c r="B448">
        <v>349969.16</v>
      </c>
      <c r="C448">
        <v>322277.88</v>
      </c>
      <c r="D448" s="5">
        <v>-60444.94</v>
      </c>
      <c r="E448">
        <f>D448/MAX($B$2:B448,100000)</f>
        <v>-0.14727793580381218</v>
      </c>
      <c r="G448" s="2"/>
      <c r="H448" s="5"/>
      <c r="K448" s="5"/>
    </row>
    <row r="449" spans="1:11" x14ac:dyDescent="0.25">
      <c r="A449" s="2">
        <v>39661</v>
      </c>
      <c r="B449">
        <v>350724.38</v>
      </c>
      <c r="C449">
        <v>322277.88</v>
      </c>
      <c r="D449" s="5">
        <v>-59689.72</v>
      </c>
      <c r="E449">
        <f>D449/MAX($B$2:B449,100000)</f>
        <v>-0.14543779430184767</v>
      </c>
      <c r="G449" s="2"/>
      <c r="H449" s="5"/>
      <c r="K449" s="5"/>
    </row>
    <row r="450" spans="1:11" x14ac:dyDescent="0.25">
      <c r="A450" s="2">
        <v>39668</v>
      </c>
      <c r="B450">
        <v>350850.25</v>
      </c>
      <c r="C450">
        <v>322277.88</v>
      </c>
      <c r="D450" s="5">
        <v>-59563.839999999997</v>
      </c>
      <c r="E450">
        <f>D450/MAX($B$2:B450,100000)</f>
        <v>-0.14513107968588504</v>
      </c>
      <c r="G450" s="2"/>
      <c r="H450" s="5"/>
      <c r="K450" s="5"/>
    </row>
    <row r="451" spans="1:11" x14ac:dyDescent="0.25">
      <c r="A451" s="2">
        <v>39675</v>
      </c>
      <c r="B451">
        <v>350095.03</v>
      </c>
      <c r="C451">
        <v>322277.88</v>
      </c>
      <c r="D451" s="5">
        <v>-60319.06</v>
      </c>
      <c r="E451">
        <f>D451/MAX($B$2:B451,100000)</f>
        <v>-0.14697122118784955</v>
      </c>
      <c r="G451" s="2"/>
      <c r="H451" s="5"/>
      <c r="K451" s="5"/>
    </row>
    <row r="452" spans="1:11" x14ac:dyDescent="0.25">
      <c r="A452" s="2">
        <v>39682</v>
      </c>
      <c r="B452">
        <v>349213.94</v>
      </c>
      <c r="C452">
        <v>322277.88</v>
      </c>
      <c r="D452" s="5">
        <v>-61200.160000000003</v>
      </c>
      <c r="E452">
        <f>D452/MAX($B$2:B452,100000)</f>
        <v>-0.1491180773057767</v>
      </c>
      <c r="G452" s="2"/>
      <c r="H452" s="5"/>
      <c r="K452" s="5"/>
    </row>
    <row r="453" spans="1:11" x14ac:dyDescent="0.25">
      <c r="A453" s="2">
        <v>39689</v>
      </c>
      <c r="B453">
        <v>350580.28</v>
      </c>
      <c r="C453">
        <v>322277.88</v>
      </c>
      <c r="D453" s="5">
        <v>-59833.81</v>
      </c>
      <c r="E453">
        <f>D453/MAX($B$2:B453,100000)</f>
        <v>-0.1457888787395189</v>
      </c>
      <c r="G453" s="2"/>
      <c r="H453" s="5"/>
      <c r="K453" s="5"/>
    </row>
    <row r="454" spans="1:11" x14ac:dyDescent="0.25">
      <c r="A454" s="2">
        <v>39696</v>
      </c>
      <c r="B454">
        <v>350059.75</v>
      </c>
      <c r="C454">
        <v>322277.88</v>
      </c>
      <c r="D454" s="5">
        <v>-60354.34</v>
      </c>
      <c r="E454">
        <f>D454/MAX($B$2:B454,100000)</f>
        <v>-0.14705718314885338</v>
      </c>
      <c r="G454" s="2"/>
      <c r="H454" s="5"/>
      <c r="K454" s="5"/>
    </row>
    <row r="455" spans="1:11" x14ac:dyDescent="0.25">
      <c r="A455" s="2">
        <v>39703</v>
      </c>
      <c r="B455">
        <v>350124.81</v>
      </c>
      <c r="C455">
        <v>322277.88</v>
      </c>
      <c r="D455" s="5">
        <v>-60289.279999999999</v>
      </c>
      <c r="E455">
        <f>D455/MAX($B$2:B455,100000)</f>
        <v>-0.14689866032620857</v>
      </c>
      <c r="G455" s="2"/>
      <c r="H455" s="5"/>
      <c r="K455" s="5"/>
    </row>
    <row r="456" spans="1:11" x14ac:dyDescent="0.25">
      <c r="A456" s="2">
        <v>39710</v>
      </c>
      <c r="B456">
        <v>349148.88</v>
      </c>
      <c r="C456">
        <v>322277.88</v>
      </c>
      <c r="D456" s="5">
        <v>-61265.22</v>
      </c>
      <c r="E456">
        <f>D456/MAX($B$2:B456,100000)</f>
        <v>-0.1492766001284215</v>
      </c>
      <c r="G456" s="2"/>
      <c r="H456" s="5"/>
      <c r="K456" s="5"/>
    </row>
    <row r="457" spans="1:11" x14ac:dyDescent="0.25">
      <c r="A457" s="2">
        <v>39717</v>
      </c>
      <c r="B457">
        <v>349604.31</v>
      </c>
      <c r="C457">
        <v>322277.88</v>
      </c>
      <c r="D457" s="5">
        <v>-60809.78</v>
      </c>
      <c r="E457">
        <f>D457/MAX($B$2:B457,100000)</f>
        <v>-0.14816689163863744</v>
      </c>
      <c r="G457" s="2"/>
      <c r="H457" s="5"/>
      <c r="K457" s="5"/>
    </row>
    <row r="458" spans="1:11" x14ac:dyDescent="0.25">
      <c r="A458" s="2">
        <v>39724</v>
      </c>
      <c r="B458">
        <v>350775.44</v>
      </c>
      <c r="C458">
        <v>322277.88</v>
      </c>
      <c r="D458" s="5">
        <v>-59638.66</v>
      </c>
      <c r="E458">
        <f>D458/MAX($B$2:B458,100000)</f>
        <v>-0.14531338336849009</v>
      </c>
      <c r="G458" s="2"/>
      <c r="H458" s="5"/>
      <c r="K458" s="5"/>
    </row>
    <row r="459" spans="1:11" x14ac:dyDescent="0.25">
      <c r="A459" s="2">
        <v>39731</v>
      </c>
      <c r="B459">
        <v>347652.44</v>
      </c>
      <c r="C459">
        <v>322277.88</v>
      </c>
      <c r="D459" s="5">
        <v>-62761.66</v>
      </c>
      <c r="E459">
        <f>D459/MAX($B$2:B459,100000)</f>
        <v>-0.1529227712430633</v>
      </c>
      <c r="G459" s="2"/>
      <c r="H459" s="5"/>
      <c r="K459" s="5"/>
    </row>
    <row r="460" spans="1:11" x14ac:dyDescent="0.25">
      <c r="A460" s="2">
        <v>39738</v>
      </c>
      <c r="B460">
        <v>348758.5</v>
      </c>
      <c r="C460">
        <v>322277.88</v>
      </c>
      <c r="D460" s="5">
        <v>-61655.59</v>
      </c>
      <c r="E460">
        <f>D460/MAX($B$2:B460,100000)</f>
        <v>-0.15022776142992555</v>
      </c>
      <c r="G460" s="2"/>
      <c r="H460" s="5"/>
      <c r="K460" s="5"/>
    </row>
    <row r="461" spans="1:11" x14ac:dyDescent="0.25">
      <c r="A461" s="2">
        <v>39745</v>
      </c>
      <c r="B461">
        <v>348758.5</v>
      </c>
      <c r="C461">
        <v>348758.5</v>
      </c>
      <c r="D461" s="5">
        <v>-61655.59</v>
      </c>
      <c r="E461">
        <f>D461/MAX($B$2:B461,100000)</f>
        <v>-0.15022776142992555</v>
      </c>
      <c r="G461" s="2"/>
      <c r="H461" s="5"/>
      <c r="K461" s="5"/>
    </row>
    <row r="462" spans="1:11" x14ac:dyDescent="0.25">
      <c r="A462" s="2">
        <v>39752</v>
      </c>
      <c r="B462">
        <v>348758.5</v>
      </c>
      <c r="C462">
        <v>348758.5</v>
      </c>
      <c r="D462" s="5">
        <v>-61655.59</v>
      </c>
      <c r="E462">
        <f>D462/MAX($B$2:B462,100000)</f>
        <v>-0.15022776142992555</v>
      </c>
      <c r="G462" s="2"/>
      <c r="H462" s="5"/>
      <c r="K462" s="5"/>
    </row>
    <row r="463" spans="1:11" x14ac:dyDescent="0.25">
      <c r="A463" s="2">
        <v>39759</v>
      </c>
      <c r="B463">
        <v>348758.5</v>
      </c>
      <c r="C463">
        <v>348758.5</v>
      </c>
      <c r="D463" s="5">
        <v>-61655.59</v>
      </c>
      <c r="E463">
        <f>D463/MAX($B$2:B463,100000)</f>
        <v>-0.15022776142992555</v>
      </c>
      <c r="G463" s="2"/>
      <c r="H463" s="5"/>
      <c r="K463" s="5"/>
    </row>
    <row r="464" spans="1:11" x14ac:dyDescent="0.25">
      <c r="A464" s="2">
        <v>39766</v>
      </c>
      <c r="B464">
        <v>348758.5</v>
      </c>
      <c r="C464">
        <v>348758.5</v>
      </c>
      <c r="D464" s="5">
        <v>-61655.59</v>
      </c>
      <c r="E464">
        <f>D464/MAX($B$2:B464,100000)</f>
        <v>-0.15022776142992555</v>
      </c>
      <c r="G464" s="2"/>
      <c r="H464" s="5"/>
      <c r="K464" s="5"/>
    </row>
    <row r="465" spans="1:11" x14ac:dyDescent="0.25">
      <c r="A465" s="2">
        <v>39773</v>
      </c>
      <c r="B465">
        <v>348758.5</v>
      </c>
      <c r="C465">
        <v>348758.5</v>
      </c>
      <c r="D465" s="5">
        <v>-61655.59</v>
      </c>
      <c r="E465">
        <f>D465/MAX($B$2:B465,100000)</f>
        <v>-0.15022776142992555</v>
      </c>
      <c r="G465" s="2"/>
      <c r="H465" s="5"/>
      <c r="K465" s="5"/>
    </row>
    <row r="466" spans="1:11" x14ac:dyDescent="0.25">
      <c r="A466" s="2">
        <v>39780</v>
      </c>
      <c r="B466">
        <v>348758.5</v>
      </c>
      <c r="C466">
        <v>348758.5</v>
      </c>
      <c r="D466" s="5">
        <v>-61655.59</v>
      </c>
      <c r="E466">
        <f>D466/MAX($B$2:B466,100000)</f>
        <v>-0.15022776142992555</v>
      </c>
      <c r="G466" s="2"/>
      <c r="H466" s="5"/>
      <c r="K466" s="5"/>
    </row>
    <row r="467" spans="1:11" x14ac:dyDescent="0.25">
      <c r="A467" s="2">
        <v>39787</v>
      </c>
      <c r="B467">
        <v>348758.5</v>
      </c>
      <c r="C467">
        <v>348758.5</v>
      </c>
      <c r="D467" s="5">
        <v>-61655.59</v>
      </c>
      <c r="E467">
        <f>D467/MAX($B$2:B467,100000)</f>
        <v>-0.15022776142992555</v>
      </c>
      <c r="G467" s="2"/>
      <c r="H467" s="5"/>
      <c r="K467" s="5"/>
    </row>
    <row r="468" spans="1:11" x14ac:dyDescent="0.25">
      <c r="A468" s="2">
        <v>39794</v>
      </c>
      <c r="B468">
        <v>348758.5</v>
      </c>
      <c r="C468">
        <v>348758.5</v>
      </c>
      <c r="D468" s="5">
        <v>-61655.59</v>
      </c>
      <c r="E468">
        <f>D468/MAX($B$2:B468,100000)</f>
        <v>-0.15022776142992555</v>
      </c>
      <c r="G468" s="2"/>
      <c r="H468" s="5"/>
      <c r="K468" s="5"/>
    </row>
    <row r="469" spans="1:11" x14ac:dyDescent="0.25">
      <c r="A469" s="2">
        <v>39801</v>
      </c>
      <c r="B469">
        <v>348758.5</v>
      </c>
      <c r="C469">
        <v>348758.5</v>
      </c>
      <c r="D469" s="5">
        <v>-61655.59</v>
      </c>
      <c r="E469">
        <f>D469/MAX($B$2:B469,100000)</f>
        <v>-0.15022776142992555</v>
      </c>
      <c r="G469" s="2"/>
      <c r="H469" s="5"/>
      <c r="K469" s="5"/>
    </row>
    <row r="470" spans="1:11" x14ac:dyDescent="0.25">
      <c r="A470" s="2">
        <v>39806</v>
      </c>
      <c r="B470">
        <v>348758.5</v>
      </c>
      <c r="C470">
        <v>348758.5</v>
      </c>
      <c r="D470" s="5">
        <v>-61655.59</v>
      </c>
      <c r="E470">
        <f>D470/MAX($B$2:B470,100000)</f>
        <v>-0.15022776142992555</v>
      </c>
      <c r="G470" s="2"/>
      <c r="H470" s="5"/>
      <c r="K470" s="5"/>
    </row>
    <row r="471" spans="1:11" x14ac:dyDescent="0.25">
      <c r="A471" s="2">
        <v>39815</v>
      </c>
      <c r="B471">
        <v>348758.5</v>
      </c>
      <c r="C471">
        <v>348758.5</v>
      </c>
      <c r="D471" s="5">
        <v>-61655.59</v>
      </c>
      <c r="E471">
        <f>D471/MAX($B$2:B471,100000)</f>
        <v>-0.15022776142992555</v>
      </c>
      <c r="G471" s="2"/>
      <c r="H471" s="5"/>
      <c r="K471" s="5"/>
    </row>
    <row r="472" spans="1:11" x14ac:dyDescent="0.25">
      <c r="A472" s="2">
        <v>39822</v>
      </c>
      <c r="B472">
        <v>348758.5</v>
      </c>
      <c r="C472">
        <v>348758.5</v>
      </c>
      <c r="D472" s="5">
        <v>-61655.59</v>
      </c>
      <c r="E472">
        <f>D472/MAX($B$2:B472,100000)</f>
        <v>-0.15022776142992555</v>
      </c>
      <c r="G472" s="2"/>
      <c r="H472" s="5"/>
      <c r="K472" s="5"/>
    </row>
    <row r="473" spans="1:11" x14ac:dyDescent="0.25">
      <c r="A473" s="2">
        <v>39829</v>
      </c>
      <c r="B473">
        <v>348758.5</v>
      </c>
      <c r="C473">
        <v>348758.5</v>
      </c>
      <c r="D473" s="5">
        <v>-61655.59</v>
      </c>
      <c r="E473">
        <f>D473/MAX($B$2:B473,100000)</f>
        <v>-0.15022776142992555</v>
      </c>
      <c r="G473" s="2"/>
      <c r="H473" s="5"/>
      <c r="K473" s="5"/>
    </row>
    <row r="474" spans="1:11" x14ac:dyDescent="0.25">
      <c r="A474" s="2">
        <v>39836</v>
      </c>
      <c r="B474">
        <v>348758.5</v>
      </c>
      <c r="C474">
        <v>348758.5</v>
      </c>
      <c r="D474" s="5">
        <v>-61655.59</v>
      </c>
      <c r="E474">
        <f>D474/MAX($B$2:B474,100000)</f>
        <v>-0.15022776142992555</v>
      </c>
      <c r="G474" s="2"/>
      <c r="H474" s="5"/>
      <c r="K474" s="5"/>
    </row>
    <row r="475" spans="1:11" x14ac:dyDescent="0.25">
      <c r="A475" s="2">
        <v>39843</v>
      </c>
      <c r="B475">
        <v>348758.5</v>
      </c>
      <c r="C475">
        <v>348758.5</v>
      </c>
      <c r="D475" s="5">
        <v>-61655.59</v>
      </c>
      <c r="E475">
        <f>D475/MAX($B$2:B475,100000)</f>
        <v>-0.15022776142992555</v>
      </c>
      <c r="G475" s="2"/>
      <c r="H475" s="5"/>
      <c r="K475" s="5"/>
    </row>
    <row r="476" spans="1:11" x14ac:dyDescent="0.25">
      <c r="A476" s="2">
        <v>39850</v>
      </c>
      <c r="B476">
        <v>348758.5</v>
      </c>
      <c r="C476">
        <v>348758.5</v>
      </c>
      <c r="D476" s="5">
        <v>-61655.59</v>
      </c>
      <c r="E476">
        <f>D476/MAX($B$2:B476,100000)</f>
        <v>-0.15022776142992555</v>
      </c>
      <c r="G476" s="2"/>
      <c r="H476" s="5"/>
      <c r="K476" s="5"/>
    </row>
    <row r="477" spans="1:11" x14ac:dyDescent="0.25">
      <c r="A477" s="2">
        <v>39857</v>
      </c>
      <c r="B477">
        <v>348758.5</v>
      </c>
      <c r="C477">
        <v>348758.5</v>
      </c>
      <c r="D477" s="5">
        <v>-61655.59</v>
      </c>
      <c r="E477">
        <f>D477/MAX($B$2:B477,100000)</f>
        <v>-0.15022776142992555</v>
      </c>
      <c r="G477" s="2"/>
      <c r="H477" s="5"/>
      <c r="K477" s="5"/>
    </row>
    <row r="478" spans="1:11" x14ac:dyDescent="0.25">
      <c r="A478" s="2">
        <v>39864</v>
      </c>
      <c r="B478">
        <v>348758.5</v>
      </c>
      <c r="C478">
        <v>348758.5</v>
      </c>
      <c r="D478" s="5">
        <v>-61655.59</v>
      </c>
      <c r="E478">
        <f>D478/MAX($B$2:B478,100000)</f>
        <v>-0.15022776142992555</v>
      </c>
      <c r="G478" s="2"/>
      <c r="H478" s="5"/>
      <c r="K478" s="5"/>
    </row>
    <row r="479" spans="1:11" x14ac:dyDescent="0.25">
      <c r="A479" s="2">
        <v>39871</v>
      </c>
      <c r="B479">
        <v>348758.5</v>
      </c>
      <c r="C479">
        <v>348758.5</v>
      </c>
      <c r="D479" s="5">
        <v>-61655.59</v>
      </c>
      <c r="E479">
        <f>D479/MAX($B$2:B479,100000)</f>
        <v>-0.15022776142992555</v>
      </c>
      <c r="G479" s="2"/>
      <c r="H479" s="5"/>
      <c r="K479" s="5"/>
    </row>
    <row r="480" spans="1:11" x14ac:dyDescent="0.25">
      <c r="A480" s="2">
        <v>39878</v>
      </c>
      <c r="B480">
        <v>348758.5</v>
      </c>
      <c r="C480">
        <v>348758.5</v>
      </c>
      <c r="D480" s="5">
        <v>-61655.59</v>
      </c>
      <c r="E480">
        <f>D480/MAX($B$2:B480,100000)</f>
        <v>-0.15022776142992555</v>
      </c>
      <c r="G480" s="2"/>
      <c r="H480" s="5"/>
      <c r="K480" s="5"/>
    </row>
    <row r="481" spans="1:11" x14ac:dyDescent="0.25">
      <c r="A481" s="2">
        <v>39885</v>
      </c>
      <c r="B481">
        <v>348758.5</v>
      </c>
      <c r="C481">
        <v>348758.5</v>
      </c>
      <c r="D481" s="5">
        <v>-61655.59</v>
      </c>
      <c r="E481">
        <f>D481/MAX($B$2:B481,100000)</f>
        <v>-0.15022776142992555</v>
      </c>
      <c r="G481" s="2"/>
      <c r="H481" s="5"/>
      <c r="K481" s="5"/>
    </row>
    <row r="482" spans="1:11" x14ac:dyDescent="0.25">
      <c r="A482" s="2">
        <v>39892</v>
      </c>
      <c r="B482">
        <v>348758.5</v>
      </c>
      <c r="C482">
        <v>348758.5</v>
      </c>
      <c r="D482" s="5">
        <v>-61655.59</v>
      </c>
      <c r="E482">
        <f>D482/MAX($B$2:B482,100000)</f>
        <v>-0.15022776142992555</v>
      </c>
      <c r="G482" s="2"/>
      <c r="H482" s="5"/>
      <c r="K482" s="5"/>
    </row>
    <row r="483" spans="1:11" x14ac:dyDescent="0.25">
      <c r="A483" s="2">
        <v>39899</v>
      </c>
      <c r="B483">
        <v>348758.5</v>
      </c>
      <c r="C483">
        <v>348758.5</v>
      </c>
      <c r="D483" s="5">
        <v>-61655.59</v>
      </c>
      <c r="E483">
        <f>D483/MAX($B$2:B483,100000)</f>
        <v>-0.15022776142992555</v>
      </c>
      <c r="G483" s="2"/>
      <c r="H483" s="5"/>
      <c r="K483" s="5"/>
    </row>
    <row r="484" spans="1:11" x14ac:dyDescent="0.25">
      <c r="A484" s="2">
        <v>39906</v>
      </c>
      <c r="B484">
        <v>350581.47</v>
      </c>
      <c r="C484">
        <v>268211.40999999997</v>
      </c>
      <c r="D484" s="5">
        <v>-59832.63</v>
      </c>
      <c r="E484">
        <f>D484/MAX($B$2:B484,100000)</f>
        <v>-0.14578600359456467</v>
      </c>
      <c r="G484" s="2"/>
      <c r="H484" s="5"/>
      <c r="K484" s="5"/>
    </row>
    <row r="485" spans="1:11" x14ac:dyDescent="0.25">
      <c r="A485" s="2">
        <v>39912</v>
      </c>
      <c r="B485">
        <v>357733.34</v>
      </c>
      <c r="C485">
        <v>131261.01999999999</v>
      </c>
      <c r="D485" s="5">
        <v>-52680.75</v>
      </c>
      <c r="E485">
        <f>D485/MAX($B$2:B485,100000)</f>
        <v>-0.12835999368345272</v>
      </c>
      <c r="G485" s="2"/>
      <c r="H485" s="5"/>
      <c r="K485" s="5"/>
    </row>
    <row r="486" spans="1:11" x14ac:dyDescent="0.25">
      <c r="A486" s="2">
        <v>39920</v>
      </c>
      <c r="B486">
        <v>365639.38</v>
      </c>
      <c r="C486">
        <v>20043.7</v>
      </c>
      <c r="D486" s="5">
        <v>-44774.720000000001</v>
      </c>
      <c r="E486">
        <f>D486/MAX($B$2:B486,100000)</f>
        <v>-0.10909644939334319</v>
      </c>
      <c r="G486" s="2"/>
      <c r="H486" s="5"/>
      <c r="K486" s="5"/>
    </row>
    <row r="487" spans="1:11" x14ac:dyDescent="0.25">
      <c r="A487" s="2">
        <v>39927</v>
      </c>
      <c r="B487">
        <v>358566.09</v>
      </c>
      <c r="C487">
        <v>20043.7</v>
      </c>
      <c r="D487" s="5">
        <v>-51848</v>
      </c>
      <c r="E487">
        <f>D487/MAX($B$2:B487,100000)</f>
        <v>-0.12633094541174256</v>
      </c>
      <c r="G487" s="2"/>
      <c r="H487" s="5"/>
      <c r="K487" s="5"/>
    </row>
    <row r="488" spans="1:11" x14ac:dyDescent="0.25">
      <c r="A488" s="2">
        <v>39934</v>
      </c>
      <c r="B488">
        <v>359027.38</v>
      </c>
      <c r="C488">
        <v>20043.7</v>
      </c>
      <c r="D488" s="5">
        <v>-51386.720000000001</v>
      </c>
      <c r="E488">
        <f>D488/MAX($B$2:B488,100000)</f>
        <v>-0.12520700739099869</v>
      </c>
      <c r="G488" s="2"/>
      <c r="H488" s="5"/>
      <c r="K488" s="5"/>
    </row>
    <row r="489" spans="1:11" x14ac:dyDescent="0.25">
      <c r="A489" s="2">
        <v>39941</v>
      </c>
      <c r="B489">
        <v>379246.25</v>
      </c>
      <c r="C489">
        <v>20043.7</v>
      </c>
      <c r="D489" s="5">
        <v>-31167.84</v>
      </c>
      <c r="E489">
        <f>D489/MAX($B$2:B489,100000)</f>
        <v>-7.5942421957296835E-2</v>
      </c>
      <c r="G489" s="2"/>
      <c r="H489" s="5"/>
      <c r="K489" s="5"/>
    </row>
    <row r="490" spans="1:11" x14ac:dyDescent="0.25">
      <c r="A490" s="2">
        <v>39948</v>
      </c>
      <c r="B490">
        <v>361464.47</v>
      </c>
      <c r="C490">
        <v>20043.7</v>
      </c>
      <c r="D490" s="5">
        <v>-48949.63</v>
      </c>
      <c r="E490">
        <f>D490/MAX($B$2:B490,100000)</f>
        <v>-0.11926888280078297</v>
      </c>
      <c r="G490" s="2"/>
      <c r="H490" s="5"/>
      <c r="K490" s="5"/>
    </row>
    <row r="491" spans="1:11" x14ac:dyDescent="0.25">
      <c r="A491" s="2">
        <v>39955</v>
      </c>
      <c r="B491">
        <v>365612.09</v>
      </c>
      <c r="C491">
        <v>20043.7</v>
      </c>
      <c r="D491" s="5">
        <v>-44802</v>
      </c>
      <c r="E491">
        <f>D491/MAX($B$2:B491,100000)</f>
        <v>-0.10916291884618289</v>
      </c>
      <c r="G491" s="2"/>
      <c r="H491" s="5"/>
      <c r="K491" s="5"/>
    </row>
    <row r="492" spans="1:11" x14ac:dyDescent="0.25">
      <c r="A492" s="2">
        <v>39962</v>
      </c>
      <c r="B492">
        <v>370538.47</v>
      </c>
      <c r="C492">
        <v>20043.7</v>
      </c>
      <c r="D492" s="5">
        <v>-39875.629999999997</v>
      </c>
      <c r="E492">
        <f>D492/MAX($B$2:B492,100000)</f>
        <v>-9.7159505415615716E-2</v>
      </c>
      <c r="G492" s="2"/>
      <c r="H492" s="5"/>
      <c r="K492" s="5"/>
    </row>
    <row r="493" spans="1:11" x14ac:dyDescent="0.25">
      <c r="A493" s="2">
        <v>39969</v>
      </c>
      <c r="B493">
        <v>379630.94</v>
      </c>
      <c r="C493">
        <v>20043.7</v>
      </c>
      <c r="D493" s="5">
        <v>-30783.16</v>
      </c>
      <c r="E493">
        <f>D493/MAX($B$2:B493,100000)</f>
        <v>-7.5005124702224521E-2</v>
      </c>
      <c r="G493" s="2"/>
      <c r="H493" s="5"/>
      <c r="K493" s="5"/>
    </row>
    <row r="494" spans="1:11" x14ac:dyDescent="0.25">
      <c r="A494" s="2">
        <v>39976</v>
      </c>
      <c r="B494">
        <v>387904.13</v>
      </c>
      <c r="C494">
        <v>20043.7</v>
      </c>
      <c r="D494" s="5">
        <v>-22509.97</v>
      </c>
      <c r="E494">
        <f>D494/MAX($B$2:B494,100000)</f>
        <v>-5.4846971749922133E-2</v>
      </c>
      <c r="G494" s="2"/>
      <c r="H494" s="5"/>
      <c r="K494" s="5"/>
    </row>
    <row r="495" spans="1:11" x14ac:dyDescent="0.25">
      <c r="A495" s="2">
        <v>39983</v>
      </c>
      <c r="B495">
        <v>369681.28</v>
      </c>
      <c r="C495">
        <v>20043.7</v>
      </c>
      <c r="D495" s="5">
        <v>-40732.81</v>
      </c>
      <c r="E495">
        <f>D495/MAX($B$2:B495,100000)</f>
        <v>-9.9248078934132095E-2</v>
      </c>
      <c r="G495" s="2"/>
      <c r="H495" s="5"/>
      <c r="K495" s="5"/>
    </row>
    <row r="496" spans="1:11" x14ac:dyDescent="0.25">
      <c r="A496" s="2">
        <v>39990</v>
      </c>
      <c r="B496">
        <v>382938.53</v>
      </c>
      <c r="C496">
        <v>20043.7</v>
      </c>
      <c r="D496" s="5">
        <v>-27475.56</v>
      </c>
      <c r="E496">
        <f>D496/MAX($B$2:B496,100000)</f>
        <v>-6.6945947201763958E-2</v>
      </c>
      <c r="G496" s="2"/>
      <c r="H496" s="5"/>
      <c r="K496" s="5"/>
    </row>
    <row r="497" spans="1:11" x14ac:dyDescent="0.25">
      <c r="A497" s="2">
        <v>39997</v>
      </c>
      <c r="B497">
        <v>376092.59</v>
      </c>
      <c r="C497">
        <v>20043.7</v>
      </c>
      <c r="D497" s="5">
        <v>-34321.5</v>
      </c>
      <c r="E497">
        <f>D497/MAX($B$2:B497,100000)</f>
        <v>-8.3626514869409085E-2</v>
      </c>
      <c r="G497" s="2"/>
      <c r="H497" s="5"/>
      <c r="K497" s="5"/>
    </row>
    <row r="498" spans="1:11" x14ac:dyDescent="0.25">
      <c r="A498" s="2">
        <v>40004</v>
      </c>
      <c r="B498">
        <v>371444.06</v>
      </c>
      <c r="C498">
        <v>83.16</v>
      </c>
      <c r="D498" s="5">
        <v>-38970.03</v>
      </c>
      <c r="E498">
        <f>D498/MAX($B$2:B498,100000)</f>
        <v>-9.4952953491435926E-2</v>
      </c>
      <c r="G498" s="2"/>
      <c r="H498" s="5"/>
      <c r="K498" s="5"/>
    </row>
    <row r="499" spans="1:11" x14ac:dyDescent="0.25">
      <c r="A499" s="2">
        <v>40011</v>
      </c>
      <c r="B499">
        <v>391320.38</v>
      </c>
      <c r="C499">
        <v>83.16</v>
      </c>
      <c r="D499" s="5">
        <v>-19093.72</v>
      </c>
      <c r="E499">
        <f>D499/MAX($B$2:B499,100000)</f>
        <v>-4.652306162295744E-2</v>
      </c>
      <c r="G499" s="2"/>
      <c r="H499" s="5"/>
      <c r="K499" s="5"/>
    </row>
    <row r="500" spans="1:11" x14ac:dyDescent="0.25">
      <c r="A500" s="2">
        <v>40018</v>
      </c>
      <c r="B500">
        <v>396749.19</v>
      </c>
      <c r="C500">
        <v>7738.73</v>
      </c>
      <c r="D500" s="5">
        <v>-13664.91</v>
      </c>
      <c r="E500">
        <f>D500/MAX($B$2:B500,100000)</f>
        <v>-3.3295421217141935E-2</v>
      </c>
      <c r="G500" s="2"/>
      <c r="H500" s="5"/>
      <c r="K500" s="5"/>
    </row>
    <row r="501" spans="1:11" x14ac:dyDescent="0.25">
      <c r="A501" s="2">
        <v>40025</v>
      </c>
      <c r="B501">
        <v>429883.28</v>
      </c>
      <c r="C501">
        <v>7738.73</v>
      </c>
      <c r="D501" s="5">
        <v>0</v>
      </c>
      <c r="E501">
        <f>D501/MAX($B$2:B501,100000)</f>
        <v>0</v>
      </c>
      <c r="G501" s="2"/>
      <c r="H501" s="5"/>
      <c r="K501" s="5"/>
    </row>
    <row r="502" spans="1:11" x14ac:dyDescent="0.25">
      <c r="A502" s="2">
        <v>40032</v>
      </c>
      <c r="B502">
        <v>435678.78</v>
      </c>
      <c r="C502">
        <v>7738.73</v>
      </c>
      <c r="D502" s="5">
        <v>0</v>
      </c>
      <c r="E502">
        <f>D502/MAX($B$2:B502,100000)</f>
        <v>0</v>
      </c>
      <c r="G502" s="2"/>
      <c r="H502" s="5"/>
      <c r="K502" s="5"/>
    </row>
    <row r="503" spans="1:11" x14ac:dyDescent="0.25">
      <c r="A503" s="2">
        <v>40039</v>
      </c>
      <c r="B503">
        <v>446476.94</v>
      </c>
      <c r="C503">
        <v>7738.73</v>
      </c>
      <c r="D503" s="5">
        <v>0</v>
      </c>
      <c r="E503">
        <f>D503/MAX($B$2:B503,100000)</f>
        <v>0</v>
      </c>
      <c r="G503" s="2"/>
      <c r="H503" s="5"/>
      <c r="K503" s="5"/>
    </row>
    <row r="504" spans="1:11" x14ac:dyDescent="0.25">
      <c r="A504" s="2">
        <v>40046</v>
      </c>
      <c r="B504">
        <v>441480.56</v>
      </c>
      <c r="C504">
        <v>7738.73</v>
      </c>
      <c r="D504" s="5">
        <v>-4996.38</v>
      </c>
      <c r="E504">
        <f>D504/MAX($B$2:B504,100000)</f>
        <v>-1.1190678739197595E-2</v>
      </c>
      <c r="G504" s="2"/>
      <c r="H504" s="5"/>
      <c r="K504" s="5"/>
    </row>
    <row r="505" spans="1:11" x14ac:dyDescent="0.25">
      <c r="A505" s="2">
        <v>40053</v>
      </c>
      <c r="B505">
        <v>464794.41</v>
      </c>
      <c r="C505">
        <v>7738.73</v>
      </c>
      <c r="D505" s="5">
        <v>0</v>
      </c>
      <c r="E505">
        <f>D505/MAX($B$2:B505,100000)</f>
        <v>0</v>
      </c>
      <c r="G505" s="2"/>
      <c r="H505" s="5"/>
      <c r="K505" s="5"/>
    </row>
    <row r="506" spans="1:11" x14ac:dyDescent="0.25">
      <c r="A506" s="2">
        <v>40060</v>
      </c>
      <c r="B506">
        <v>457285.56</v>
      </c>
      <c r="C506">
        <v>7738.73</v>
      </c>
      <c r="D506" s="5">
        <v>-7508.84</v>
      </c>
      <c r="E506">
        <f>D506/MAX($B$2:B506,100000)</f>
        <v>-1.6155185687366593E-2</v>
      </c>
      <c r="G506" s="2"/>
      <c r="H506" s="5"/>
      <c r="K506" s="5"/>
    </row>
    <row r="507" spans="1:11" x14ac:dyDescent="0.25">
      <c r="A507" s="2">
        <v>40067</v>
      </c>
      <c r="B507">
        <v>482934</v>
      </c>
      <c r="C507">
        <v>7738.73</v>
      </c>
      <c r="D507" s="5">
        <v>0</v>
      </c>
      <c r="E507">
        <f>D507/MAX($B$2:B507,100000)</f>
        <v>0</v>
      </c>
      <c r="G507" s="2"/>
      <c r="H507" s="5"/>
      <c r="K507" s="5"/>
    </row>
    <row r="508" spans="1:11" x14ac:dyDescent="0.25">
      <c r="A508" s="2">
        <v>40074</v>
      </c>
      <c r="B508">
        <v>492503.78</v>
      </c>
      <c r="C508">
        <v>7738.73</v>
      </c>
      <c r="D508" s="5">
        <v>0</v>
      </c>
      <c r="E508">
        <f>D508/MAX($B$2:B508,100000)</f>
        <v>0</v>
      </c>
      <c r="G508" s="2"/>
      <c r="H508" s="5"/>
      <c r="K508" s="5"/>
    </row>
    <row r="509" spans="1:11" x14ac:dyDescent="0.25">
      <c r="A509" s="2">
        <v>40081</v>
      </c>
      <c r="B509">
        <v>490469.78</v>
      </c>
      <c r="C509">
        <v>7738.73</v>
      </c>
      <c r="D509" s="5">
        <v>-2034</v>
      </c>
      <c r="E509">
        <f>D509/MAX($B$2:B509,100000)</f>
        <v>-4.1299175409374523E-3</v>
      </c>
      <c r="G509" s="2"/>
      <c r="H509" s="5"/>
      <c r="K509" s="5"/>
    </row>
    <row r="510" spans="1:11" x14ac:dyDescent="0.25">
      <c r="A510" s="2">
        <v>40088</v>
      </c>
      <c r="B510">
        <v>485038.81</v>
      </c>
      <c r="C510">
        <v>7738.73</v>
      </c>
      <c r="D510" s="5">
        <v>-7464.97</v>
      </c>
      <c r="E510">
        <f>D510/MAX($B$2:B510,100000)</f>
        <v>-1.5157183159081541E-2</v>
      </c>
      <c r="G510" s="2"/>
      <c r="H510" s="5"/>
      <c r="K510" s="5"/>
    </row>
    <row r="511" spans="1:11" x14ac:dyDescent="0.25">
      <c r="A511" s="2">
        <v>40095</v>
      </c>
      <c r="B511">
        <v>497295.66</v>
      </c>
      <c r="C511">
        <v>7738.73</v>
      </c>
      <c r="D511" s="5">
        <v>0</v>
      </c>
      <c r="E511">
        <f>D511/MAX($B$2:B511,100000)</f>
        <v>0</v>
      </c>
      <c r="G511" s="2"/>
      <c r="H511" s="5"/>
      <c r="K511" s="5"/>
    </row>
    <row r="512" spans="1:11" x14ac:dyDescent="0.25">
      <c r="A512" s="2">
        <v>40102</v>
      </c>
      <c r="B512">
        <v>502609.56</v>
      </c>
      <c r="C512">
        <v>7738.73</v>
      </c>
      <c r="D512" s="5">
        <v>0</v>
      </c>
      <c r="E512">
        <f>D512/MAX($B$2:B512,100000)</f>
        <v>0</v>
      </c>
      <c r="G512" s="2"/>
      <c r="H512" s="5"/>
      <c r="K512" s="5"/>
    </row>
    <row r="513" spans="1:11" x14ac:dyDescent="0.25">
      <c r="A513" s="2">
        <v>40109</v>
      </c>
      <c r="B513">
        <v>501421.88</v>
      </c>
      <c r="C513">
        <v>7738.73</v>
      </c>
      <c r="D513" s="5">
        <v>-1187.69</v>
      </c>
      <c r="E513">
        <f>D513/MAX($B$2:B513,100000)</f>
        <v>-2.3630469742756187E-3</v>
      </c>
      <c r="G513" s="2"/>
      <c r="H513" s="5"/>
      <c r="K513" s="5"/>
    </row>
    <row r="514" spans="1:11" x14ac:dyDescent="0.25">
      <c r="A514" s="2">
        <v>40116</v>
      </c>
      <c r="B514">
        <v>481605.47</v>
      </c>
      <c r="C514">
        <v>7738.73</v>
      </c>
      <c r="D514" s="5">
        <v>-21004.09</v>
      </c>
      <c r="E514">
        <f>D514/MAX($B$2:B514,100000)</f>
        <v>-4.1790072596311144E-2</v>
      </c>
      <c r="G514" s="2"/>
      <c r="H514" s="5"/>
      <c r="K514" s="5"/>
    </row>
    <row r="515" spans="1:11" x14ac:dyDescent="0.25">
      <c r="A515" s="2">
        <v>40123</v>
      </c>
      <c r="B515">
        <v>472341.28</v>
      </c>
      <c r="C515">
        <v>7738.73</v>
      </c>
      <c r="D515" s="5">
        <v>-30268.28</v>
      </c>
      <c r="E515">
        <f>D515/MAX($B$2:B515,100000)</f>
        <v>-6.022225283577972E-2</v>
      </c>
      <c r="G515" s="2"/>
      <c r="H515" s="5"/>
      <c r="K515" s="5"/>
    </row>
    <row r="516" spans="1:11" x14ac:dyDescent="0.25">
      <c r="A516" s="2">
        <v>40130</v>
      </c>
      <c r="B516">
        <v>483751.88</v>
      </c>
      <c r="C516">
        <v>7738.73</v>
      </c>
      <c r="D516" s="5">
        <v>-18857.689999999999</v>
      </c>
      <c r="E516">
        <f>D516/MAX($B$2:B516,100000)</f>
        <v>-3.7519560909267224E-2</v>
      </c>
      <c r="G516" s="2"/>
      <c r="H516" s="5"/>
      <c r="K516" s="5"/>
    </row>
    <row r="517" spans="1:11" x14ac:dyDescent="0.25">
      <c r="A517" s="2">
        <v>40137</v>
      </c>
      <c r="B517">
        <v>480843.03</v>
      </c>
      <c r="C517">
        <v>7738.73</v>
      </c>
      <c r="D517" s="5">
        <v>-21766.53</v>
      </c>
      <c r="E517">
        <f>D517/MAX($B$2:B517,100000)</f>
        <v>-4.3307035385478934E-2</v>
      </c>
      <c r="G517" s="2"/>
      <c r="H517" s="5"/>
      <c r="K517" s="5"/>
    </row>
    <row r="518" spans="1:11" x14ac:dyDescent="0.25">
      <c r="A518" s="2">
        <v>40144</v>
      </c>
      <c r="B518">
        <v>465543.03</v>
      </c>
      <c r="C518">
        <v>7738.73</v>
      </c>
      <c r="D518" s="5">
        <v>-37066.53</v>
      </c>
      <c r="E518">
        <f>D518/MAX($B$2:B518,100000)</f>
        <v>-7.3748159505760288E-2</v>
      </c>
      <c r="G518" s="2"/>
      <c r="H518" s="5"/>
      <c r="K518" s="5"/>
    </row>
    <row r="519" spans="1:11" x14ac:dyDescent="0.25">
      <c r="A519" s="2">
        <v>40151</v>
      </c>
      <c r="B519">
        <v>473626.16</v>
      </c>
      <c r="C519">
        <v>7738.73</v>
      </c>
      <c r="D519" s="5">
        <v>-28983.41</v>
      </c>
      <c r="E519">
        <f>D519/MAX($B$2:B519,100000)</f>
        <v>-5.7665854982941432E-2</v>
      </c>
      <c r="G519" s="2"/>
      <c r="H519" s="5"/>
      <c r="K519" s="5"/>
    </row>
    <row r="520" spans="1:11" x14ac:dyDescent="0.25">
      <c r="A520" s="2">
        <v>40158</v>
      </c>
      <c r="B520">
        <v>468831.16</v>
      </c>
      <c r="C520">
        <v>75046.66</v>
      </c>
      <c r="D520" s="5">
        <v>-33778.410000000003</v>
      </c>
      <c r="E520">
        <f>D520/MAX($B$2:B520,100000)</f>
        <v>-6.7206063489918505E-2</v>
      </c>
      <c r="G520" s="2"/>
      <c r="H520" s="5"/>
      <c r="K520" s="5"/>
    </row>
    <row r="521" spans="1:11" x14ac:dyDescent="0.25">
      <c r="A521" s="2">
        <v>40165</v>
      </c>
      <c r="B521">
        <v>468474.28</v>
      </c>
      <c r="C521">
        <v>118417.73</v>
      </c>
      <c r="D521" s="5">
        <v>-34135.279999999999</v>
      </c>
      <c r="E521">
        <f>D521/MAX($B$2:B521,100000)</f>
        <v>-6.7916097735984171E-2</v>
      </c>
      <c r="G521" s="2"/>
      <c r="H521" s="5"/>
      <c r="K521" s="5"/>
    </row>
    <row r="522" spans="1:11" x14ac:dyDescent="0.25">
      <c r="A522" s="2">
        <v>40171</v>
      </c>
      <c r="B522">
        <v>488193.81</v>
      </c>
      <c r="C522">
        <v>118417.73</v>
      </c>
      <c r="D522" s="5">
        <v>-14415.75</v>
      </c>
      <c r="E522">
        <f>D522/MAX($B$2:B522,100000)</f>
        <v>-2.8681806211565096E-2</v>
      </c>
      <c r="G522" s="2"/>
      <c r="H522" s="5"/>
      <c r="K522" s="5"/>
    </row>
    <row r="523" spans="1:11" x14ac:dyDescent="0.25">
      <c r="A523" s="2">
        <v>40178</v>
      </c>
      <c r="B523">
        <v>501979.19</v>
      </c>
      <c r="C523">
        <v>5156.4399999999996</v>
      </c>
      <c r="D523" s="5">
        <v>-630.38</v>
      </c>
      <c r="E523">
        <f>D523/MAX($B$2:B523,100000)</f>
        <v>-1.2542141060747033E-3</v>
      </c>
      <c r="G523" s="2"/>
      <c r="H523" s="5"/>
      <c r="K523" s="5"/>
    </row>
    <row r="524" spans="1:11" x14ac:dyDescent="0.25">
      <c r="A524" s="2">
        <v>40186</v>
      </c>
      <c r="B524">
        <v>509754.44</v>
      </c>
      <c r="C524">
        <v>5156.4399999999996</v>
      </c>
      <c r="D524" s="5">
        <v>0</v>
      </c>
      <c r="E524">
        <f>D524/MAX($B$2:B524,100000)</f>
        <v>0</v>
      </c>
      <c r="G524" s="2"/>
      <c r="H524" s="5"/>
      <c r="K524" s="5"/>
    </row>
    <row r="525" spans="1:11" x14ac:dyDescent="0.25">
      <c r="A525" s="2">
        <v>40193</v>
      </c>
      <c r="B525">
        <v>509890</v>
      </c>
      <c r="C525">
        <v>5156.4399999999996</v>
      </c>
      <c r="D525" s="5">
        <v>0</v>
      </c>
      <c r="E525">
        <f>D525/MAX($B$2:B525,100000)</f>
        <v>0</v>
      </c>
      <c r="G525" s="2"/>
      <c r="H525" s="5"/>
      <c r="K525" s="5"/>
    </row>
    <row r="526" spans="1:11" x14ac:dyDescent="0.25">
      <c r="A526" s="2">
        <v>40200</v>
      </c>
      <c r="B526">
        <v>493083.66</v>
      </c>
      <c r="C526">
        <v>5156.4399999999996</v>
      </c>
      <c r="D526" s="5">
        <v>-16806.34</v>
      </c>
      <c r="E526">
        <f>D526/MAX($B$2:B526,100000)</f>
        <v>-3.2960717017395912E-2</v>
      </c>
      <c r="G526" s="2"/>
      <c r="H526" s="5"/>
      <c r="K526" s="5"/>
    </row>
    <row r="527" spans="1:11" x14ac:dyDescent="0.25">
      <c r="A527" s="2">
        <v>40207</v>
      </c>
      <c r="B527">
        <v>479871.69</v>
      </c>
      <c r="C527">
        <v>5156.4399999999996</v>
      </c>
      <c r="D527" s="5">
        <v>-30018.31</v>
      </c>
      <c r="E527">
        <f>D527/MAX($B$2:B527,100000)</f>
        <v>-5.8872129282786484E-2</v>
      </c>
      <c r="G527" s="2"/>
      <c r="H527" s="5"/>
      <c r="K527" s="5"/>
    </row>
    <row r="528" spans="1:11" x14ac:dyDescent="0.25">
      <c r="A528" s="2">
        <v>40214</v>
      </c>
      <c r="B528">
        <v>470757.59</v>
      </c>
      <c r="C528">
        <v>5156.4399999999996</v>
      </c>
      <c r="D528" s="5">
        <v>-39132.410000000003</v>
      </c>
      <c r="E528">
        <f>D528/MAX($B$2:B528,100000)</f>
        <v>-7.6746768910941579E-2</v>
      </c>
      <c r="G528" s="2"/>
      <c r="H528" s="5"/>
      <c r="K528" s="5"/>
    </row>
    <row r="529" spans="1:11" x14ac:dyDescent="0.25">
      <c r="A529" s="2">
        <v>40221</v>
      </c>
      <c r="B529">
        <v>470152.75</v>
      </c>
      <c r="C529">
        <v>113848.98</v>
      </c>
      <c r="D529" s="5">
        <v>-39737.25</v>
      </c>
      <c r="E529">
        <f>D529/MAX($B$2:B529,100000)</f>
        <v>-7.7932985545902056E-2</v>
      </c>
      <c r="G529" s="2"/>
      <c r="H529" s="5"/>
      <c r="K529" s="5"/>
    </row>
    <row r="530" spans="1:11" x14ac:dyDescent="0.25">
      <c r="A530" s="2">
        <v>40228</v>
      </c>
      <c r="B530">
        <v>483101.03</v>
      </c>
      <c r="C530">
        <v>113848.98</v>
      </c>
      <c r="D530" s="5">
        <v>-26788.97</v>
      </c>
      <c r="E530">
        <f>D530/MAX($B$2:B530,100000)</f>
        <v>-5.2538724038518114E-2</v>
      </c>
      <c r="G530" s="2"/>
      <c r="H530" s="5"/>
      <c r="K530" s="5"/>
    </row>
    <row r="531" spans="1:11" x14ac:dyDescent="0.25">
      <c r="A531" s="2">
        <v>40235</v>
      </c>
      <c r="B531">
        <v>485889.5</v>
      </c>
      <c r="C531">
        <v>113848.98</v>
      </c>
      <c r="D531" s="5">
        <v>-24000.5</v>
      </c>
      <c r="E531">
        <f>D531/MAX($B$2:B531,100000)</f>
        <v>-4.7069956265076783E-2</v>
      </c>
      <c r="G531" s="2"/>
      <c r="H531" s="5"/>
      <c r="K531" s="5"/>
    </row>
    <row r="532" spans="1:11" x14ac:dyDescent="0.25">
      <c r="A532" s="2">
        <v>40242</v>
      </c>
      <c r="B532">
        <v>495489.38</v>
      </c>
      <c r="C532">
        <v>113848.98</v>
      </c>
      <c r="D532" s="5">
        <v>-14400.63</v>
      </c>
      <c r="E532">
        <f>D532/MAX($B$2:B532,100000)</f>
        <v>-2.8242620957461412E-2</v>
      </c>
      <c r="G532" s="2"/>
      <c r="H532" s="5"/>
      <c r="K532" s="5"/>
    </row>
    <row r="533" spans="1:11" x14ac:dyDescent="0.25">
      <c r="A533" s="2">
        <v>40249</v>
      </c>
      <c r="B533">
        <v>491525.66</v>
      </c>
      <c r="C533">
        <v>37189.980000000003</v>
      </c>
      <c r="D533" s="5">
        <v>-18364.34</v>
      </c>
      <c r="E533">
        <f>D533/MAX($B$2:B533,100000)</f>
        <v>-3.6016278020749574E-2</v>
      </c>
      <c r="G533" s="2"/>
      <c r="H533" s="5"/>
      <c r="K533" s="5"/>
    </row>
    <row r="534" spans="1:11" x14ac:dyDescent="0.25">
      <c r="A534" s="2">
        <v>40256</v>
      </c>
      <c r="B534">
        <v>493634.53</v>
      </c>
      <c r="C534">
        <v>37189.980000000003</v>
      </c>
      <c r="D534" s="5">
        <v>-16255.47</v>
      </c>
      <c r="E534">
        <f>D534/MAX($B$2:B534,100000)</f>
        <v>-3.1880346741454041E-2</v>
      </c>
      <c r="G534" s="2"/>
      <c r="H534" s="5"/>
      <c r="K534" s="5"/>
    </row>
    <row r="535" spans="1:11" x14ac:dyDescent="0.25">
      <c r="A535" s="2">
        <v>40263</v>
      </c>
      <c r="B535">
        <v>495178.66</v>
      </c>
      <c r="C535">
        <v>37189.980000000003</v>
      </c>
      <c r="D535" s="5">
        <v>-14711.34</v>
      </c>
      <c r="E535">
        <f>D535/MAX($B$2:B535,100000)</f>
        <v>-2.8851987683618036E-2</v>
      </c>
      <c r="G535" s="2"/>
      <c r="H535" s="5"/>
      <c r="K535" s="5"/>
    </row>
    <row r="536" spans="1:11" x14ac:dyDescent="0.25">
      <c r="A536" s="2">
        <v>40269</v>
      </c>
      <c r="B536">
        <v>495886.69</v>
      </c>
      <c r="C536">
        <v>37189.980000000003</v>
      </c>
      <c r="D536" s="5">
        <v>-14003.31</v>
      </c>
      <c r="E536">
        <f>D536/MAX($B$2:B536,100000)</f>
        <v>-2.746339406538665E-2</v>
      </c>
      <c r="G536" s="2"/>
      <c r="H536" s="5"/>
      <c r="K536" s="5"/>
    </row>
    <row r="537" spans="1:11" x14ac:dyDescent="0.25">
      <c r="A537" s="2">
        <v>40277</v>
      </c>
      <c r="B537">
        <v>504543.97</v>
      </c>
      <c r="C537">
        <v>79842.48</v>
      </c>
      <c r="D537" s="5">
        <v>-5346.03</v>
      </c>
      <c r="E537">
        <f>D537/MAX($B$2:B537,100000)</f>
        <v>-1.048467316480025E-2</v>
      </c>
      <c r="G537" s="2"/>
      <c r="H537" s="5"/>
      <c r="K537" s="5"/>
    </row>
    <row r="538" spans="1:11" x14ac:dyDescent="0.25">
      <c r="A538" s="2">
        <v>40284</v>
      </c>
      <c r="B538">
        <v>508382.71999999997</v>
      </c>
      <c r="C538">
        <v>1628.7</v>
      </c>
      <c r="D538" s="5">
        <v>-1507.28</v>
      </c>
      <c r="E538">
        <f>D538/MAX($B$2:B538,100000)</f>
        <v>-2.9560885681225364E-3</v>
      </c>
      <c r="G538" s="2"/>
      <c r="H538" s="5"/>
      <c r="K538" s="5"/>
    </row>
    <row r="539" spans="1:11" x14ac:dyDescent="0.25">
      <c r="A539" s="2">
        <v>40291</v>
      </c>
      <c r="B539">
        <v>510554.22</v>
      </c>
      <c r="C539">
        <v>1628.7</v>
      </c>
      <c r="D539" s="5">
        <v>0</v>
      </c>
      <c r="E539">
        <f>D539/MAX($B$2:B539,100000)</f>
        <v>0</v>
      </c>
      <c r="G539" s="2"/>
      <c r="H539" s="5"/>
      <c r="K539" s="5"/>
    </row>
    <row r="540" spans="1:11" x14ac:dyDescent="0.25">
      <c r="A540" s="2">
        <v>40298</v>
      </c>
      <c r="B540">
        <v>501328.56</v>
      </c>
      <c r="C540">
        <v>1628.7</v>
      </c>
      <c r="D540" s="5">
        <v>-9225.66</v>
      </c>
      <c r="E540">
        <f>D540/MAX($B$2:B540,100000)</f>
        <v>-1.8069892753016518E-2</v>
      </c>
      <c r="G540" s="2"/>
      <c r="H540" s="5"/>
      <c r="K540" s="5"/>
    </row>
    <row r="541" spans="1:11" x14ac:dyDescent="0.25">
      <c r="A541" s="2">
        <v>40305</v>
      </c>
      <c r="B541">
        <v>468258.63</v>
      </c>
      <c r="C541">
        <v>1628.7</v>
      </c>
      <c r="D541" s="5">
        <v>-42295.59</v>
      </c>
      <c r="E541">
        <f>D541/MAX($B$2:B541,100000)</f>
        <v>-8.2842503975385812E-2</v>
      </c>
      <c r="G541" s="2"/>
      <c r="H541" s="5"/>
      <c r="K541" s="5"/>
    </row>
    <row r="542" spans="1:11" x14ac:dyDescent="0.25">
      <c r="A542" s="2">
        <v>40312</v>
      </c>
      <c r="B542">
        <v>479700.63</v>
      </c>
      <c r="C542">
        <v>1628.7</v>
      </c>
      <c r="D542" s="5">
        <v>-30853.59</v>
      </c>
      <c r="E542">
        <f>D542/MAX($B$2:B542,100000)</f>
        <v>-6.0431563958084612E-2</v>
      </c>
      <c r="G542" s="2"/>
      <c r="H542" s="5"/>
      <c r="K542" s="5"/>
    </row>
    <row r="543" spans="1:11" x14ac:dyDescent="0.25">
      <c r="A543" s="2">
        <v>40319</v>
      </c>
      <c r="B543">
        <v>458997.66</v>
      </c>
      <c r="C543">
        <v>176573.8</v>
      </c>
      <c r="D543" s="5">
        <v>-51556.56</v>
      </c>
      <c r="E543">
        <f>D543/MAX($B$2:B543,100000)</f>
        <v>-0.10098155686579184</v>
      </c>
      <c r="G543" s="2"/>
      <c r="H543" s="5"/>
      <c r="K543" s="5"/>
    </row>
    <row r="544" spans="1:11" x14ac:dyDescent="0.25">
      <c r="A544" s="2">
        <v>40326</v>
      </c>
      <c r="B544">
        <v>462577.81</v>
      </c>
      <c r="C544">
        <v>176573.8</v>
      </c>
      <c r="D544" s="5">
        <v>-47976.41</v>
      </c>
      <c r="E544">
        <f>D544/MAX($B$2:B544,100000)</f>
        <v>-9.3969275192750348E-2</v>
      </c>
      <c r="G544" s="2"/>
      <c r="H544" s="5"/>
      <c r="K544" s="5"/>
    </row>
    <row r="545" spans="1:11" x14ac:dyDescent="0.25">
      <c r="A545" s="2">
        <v>40333</v>
      </c>
      <c r="B545">
        <v>464685.34</v>
      </c>
      <c r="C545">
        <v>244428.13</v>
      </c>
      <c r="D545" s="5">
        <v>-45868.88</v>
      </c>
      <c r="E545">
        <f>D545/MAX($B$2:B545,100000)</f>
        <v>-8.9841349269427245E-2</v>
      </c>
      <c r="G545" s="2"/>
      <c r="H545" s="5"/>
      <c r="K545" s="5"/>
    </row>
    <row r="546" spans="1:11" x14ac:dyDescent="0.25">
      <c r="A546" s="2">
        <v>40340</v>
      </c>
      <c r="B546">
        <v>464264.16</v>
      </c>
      <c r="C546">
        <v>244428.13</v>
      </c>
      <c r="D546" s="5">
        <v>-46290.06</v>
      </c>
      <c r="E546">
        <f>D546/MAX($B$2:B546,100000)</f>
        <v>-9.0666295932290988E-2</v>
      </c>
      <c r="G546" s="2"/>
      <c r="H546" s="5"/>
      <c r="K546" s="5"/>
    </row>
    <row r="547" spans="1:11" x14ac:dyDescent="0.25">
      <c r="A547" s="2">
        <v>40347</v>
      </c>
      <c r="B547">
        <v>472923.91</v>
      </c>
      <c r="C547">
        <v>244428.13</v>
      </c>
      <c r="D547" s="5">
        <v>-37630.31</v>
      </c>
      <c r="E547">
        <f>D547/MAX($B$2:B547,100000)</f>
        <v>-7.3704826100546184E-2</v>
      </c>
      <c r="G547" s="2"/>
      <c r="H547" s="5"/>
      <c r="K547" s="5"/>
    </row>
    <row r="548" spans="1:11" x14ac:dyDescent="0.25">
      <c r="A548" s="2">
        <v>40354</v>
      </c>
      <c r="B548">
        <v>469198.94</v>
      </c>
      <c r="C548">
        <v>244428.13</v>
      </c>
      <c r="D548" s="5">
        <v>-41355.279999999999</v>
      </c>
      <c r="E548">
        <f>D548/MAX($B$2:B548,100000)</f>
        <v>-8.100076031102045E-2</v>
      </c>
      <c r="G548" s="2"/>
      <c r="H548" s="5"/>
      <c r="K548" s="5"/>
    </row>
    <row r="549" spans="1:11" x14ac:dyDescent="0.25">
      <c r="A549" s="2">
        <v>40361</v>
      </c>
      <c r="B549">
        <v>463425.25</v>
      </c>
      <c r="C549">
        <v>244428.13</v>
      </c>
      <c r="D549" s="5">
        <v>-47128.97</v>
      </c>
      <c r="E549">
        <f>D549/MAX($B$2:B549,100000)</f>
        <v>-9.2309431895401833E-2</v>
      </c>
      <c r="G549" s="2"/>
      <c r="H549" s="5"/>
      <c r="K549" s="5"/>
    </row>
    <row r="550" spans="1:11" x14ac:dyDescent="0.25">
      <c r="A550" s="2">
        <v>40368</v>
      </c>
      <c r="B550">
        <v>475370.03</v>
      </c>
      <c r="C550">
        <v>244428.13</v>
      </c>
      <c r="D550" s="5">
        <v>-35184.19</v>
      </c>
      <c r="E550">
        <f>D550/MAX($B$2:B550,100000)</f>
        <v>-6.8913718899434429E-2</v>
      </c>
      <c r="G550" s="2"/>
      <c r="H550" s="5"/>
      <c r="K550" s="5"/>
    </row>
    <row r="551" spans="1:11" x14ac:dyDescent="0.25">
      <c r="A551" s="2">
        <v>40375</v>
      </c>
      <c r="B551">
        <v>477976.75</v>
      </c>
      <c r="C551">
        <v>244428.13</v>
      </c>
      <c r="D551" s="5">
        <v>-32577.47</v>
      </c>
      <c r="E551">
        <f>D551/MAX($B$2:B551,100000)</f>
        <v>-6.3808051571878105E-2</v>
      </c>
      <c r="G551" s="2"/>
      <c r="H551" s="5"/>
      <c r="K551" s="5"/>
    </row>
    <row r="552" spans="1:11" x14ac:dyDescent="0.25">
      <c r="A552" s="2">
        <v>40382</v>
      </c>
      <c r="B552">
        <v>479297.06</v>
      </c>
      <c r="C552">
        <v>244428.13</v>
      </c>
      <c r="D552" s="5">
        <v>-31257.16</v>
      </c>
      <c r="E552">
        <f>D552/MAX($B$2:B552,100000)</f>
        <v>-6.1222018691765981E-2</v>
      </c>
      <c r="G552" s="2"/>
      <c r="H552" s="5"/>
      <c r="K552" s="5"/>
    </row>
    <row r="553" spans="1:11" x14ac:dyDescent="0.25">
      <c r="A553" s="2">
        <v>40389</v>
      </c>
      <c r="B553">
        <v>480240.06</v>
      </c>
      <c r="C553">
        <v>244428.13</v>
      </c>
      <c r="D553" s="5">
        <v>-30314.16</v>
      </c>
      <c r="E553">
        <f>D553/MAX($B$2:B553,100000)</f>
        <v>-5.9375006243215463E-2</v>
      </c>
      <c r="G553" s="2"/>
      <c r="H553" s="5"/>
      <c r="K553" s="5"/>
    </row>
    <row r="554" spans="1:11" x14ac:dyDescent="0.25">
      <c r="A554" s="2">
        <v>40396</v>
      </c>
      <c r="B554">
        <v>483088.94</v>
      </c>
      <c r="C554">
        <v>244428.13</v>
      </c>
      <c r="D554" s="5">
        <v>-27465.279999999999</v>
      </c>
      <c r="E554">
        <f>D554/MAX($B$2:B554,100000)</f>
        <v>-5.3795030819645366E-2</v>
      </c>
      <c r="G554" s="2"/>
      <c r="H554" s="5"/>
      <c r="K554" s="5"/>
    </row>
    <row r="555" spans="1:11" x14ac:dyDescent="0.25">
      <c r="A555" s="2">
        <v>40403</v>
      </c>
      <c r="B555">
        <v>476051.84</v>
      </c>
      <c r="C555">
        <v>207334.67</v>
      </c>
      <c r="D555" s="5">
        <v>-34502.379999999997</v>
      </c>
      <c r="E555">
        <f>D555/MAX($B$2:B555,100000)</f>
        <v>-6.757828776735994E-2</v>
      </c>
      <c r="G555" s="2"/>
      <c r="H555" s="5"/>
      <c r="K555" s="5"/>
    </row>
    <row r="556" spans="1:11" x14ac:dyDescent="0.25">
      <c r="A556" s="2">
        <v>40410</v>
      </c>
      <c r="B556">
        <v>478366.66</v>
      </c>
      <c r="C556">
        <v>207334.67</v>
      </c>
      <c r="D556" s="5">
        <v>-32187.56</v>
      </c>
      <c r="E556">
        <f>D556/MAX($B$2:B556,100000)</f>
        <v>-6.3044352076846999E-2</v>
      </c>
      <c r="G556" s="2"/>
      <c r="H556" s="5"/>
      <c r="K556" s="5"/>
    </row>
    <row r="557" spans="1:11" x14ac:dyDescent="0.25">
      <c r="A557" s="2">
        <v>40417</v>
      </c>
      <c r="B557">
        <v>477612.94</v>
      </c>
      <c r="C557">
        <v>207334.67</v>
      </c>
      <c r="D557" s="5">
        <v>-32941.279999999999</v>
      </c>
      <c r="E557">
        <f>D557/MAX($B$2:B557,100000)</f>
        <v>-6.4520630149722397E-2</v>
      </c>
      <c r="G557" s="2"/>
      <c r="H557" s="5"/>
      <c r="K557" s="5"/>
    </row>
    <row r="558" spans="1:11" x14ac:dyDescent="0.25">
      <c r="A558" s="2">
        <v>40424</v>
      </c>
      <c r="B558">
        <v>491167.56</v>
      </c>
      <c r="C558">
        <v>207334.67</v>
      </c>
      <c r="D558" s="5">
        <v>-19386.66</v>
      </c>
      <c r="E558">
        <f>D558/MAX($B$2:B558,100000)</f>
        <v>-3.797179465091876E-2</v>
      </c>
      <c r="G558" s="2"/>
      <c r="H558" s="5"/>
      <c r="K558" s="5"/>
    </row>
    <row r="559" spans="1:11" x14ac:dyDescent="0.25">
      <c r="A559" s="2">
        <v>40431</v>
      </c>
      <c r="B559">
        <v>486368.5</v>
      </c>
      <c r="C559">
        <v>17741.46</v>
      </c>
      <c r="D559" s="5">
        <v>-24185.72</v>
      </c>
      <c r="E559">
        <f>D559/MAX($B$2:B559,100000)</f>
        <v>-4.7371501502817867E-2</v>
      </c>
      <c r="G559" s="2"/>
      <c r="H559" s="5"/>
      <c r="K559" s="5"/>
    </row>
    <row r="560" spans="1:11" x14ac:dyDescent="0.25">
      <c r="A560" s="2">
        <v>40438</v>
      </c>
      <c r="B560">
        <v>489644.31</v>
      </c>
      <c r="C560">
        <v>17741.46</v>
      </c>
      <c r="D560" s="5">
        <v>-20909.91</v>
      </c>
      <c r="E560">
        <f>D560/MAX($B$2:B560,100000)</f>
        <v>-4.0955317145356281E-2</v>
      </c>
      <c r="G560" s="2"/>
      <c r="H560" s="5"/>
      <c r="K560" s="5"/>
    </row>
    <row r="561" spans="1:11" x14ac:dyDescent="0.25">
      <c r="A561" s="2">
        <v>40445</v>
      </c>
      <c r="B561">
        <v>484736.94</v>
      </c>
      <c r="C561">
        <v>17741.46</v>
      </c>
      <c r="D561" s="5">
        <v>-25817.279999999999</v>
      </c>
      <c r="E561">
        <f>D561/MAX($B$2:B561,100000)</f>
        <v>-5.0567166010301513E-2</v>
      </c>
      <c r="G561" s="2"/>
      <c r="H561" s="5"/>
      <c r="K561" s="5"/>
    </row>
    <row r="562" spans="1:11" x14ac:dyDescent="0.25">
      <c r="A562" s="2">
        <v>40452</v>
      </c>
      <c r="B562">
        <v>484477.72</v>
      </c>
      <c r="C562">
        <v>17741.46</v>
      </c>
      <c r="D562" s="5">
        <v>-26076.5</v>
      </c>
      <c r="E562">
        <f>D562/MAX($B$2:B562,100000)</f>
        <v>-5.1074888774790661E-2</v>
      </c>
      <c r="G562" s="2"/>
      <c r="H562" s="5"/>
      <c r="K562" s="5"/>
    </row>
    <row r="563" spans="1:11" x14ac:dyDescent="0.25">
      <c r="A563" s="2">
        <v>40459</v>
      </c>
      <c r="B563">
        <v>497409.72</v>
      </c>
      <c r="C563">
        <v>17741.46</v>
      </c>
      <c r="D563" s="5">
        <v>-13144.5</v>
      </c>
      <c r="E563">
        <f>D563/MAX($B$2:B563,100000)</f>
        <v>-2.5745551569429787E-2</v>
      </c>
      <c r="G563" s="2"/>
      <c r="H563" s="5"/>
      <c r="K563" s="5"/>
    </row>
    <row r="564" spans="1:11" x14ac:dyDescent="0.25">
      <c r="A564" s="2">
        <v>40466</v>
      </c>
      <c r="B564">
        <v>503402.16</v>
      </c>
      <c r="C564">
        <v>17741.46</v>
      </c>
      <c r="D564" s="5">
        <v>-7152.06</v>
      </c>
      <c r="E564">
        <f>D564/MAX($B$2:B564,100000)</f>
        <v>-1.400842402203629E-2</v>
      </c>
      <c r="G564" s="2"/>
      <c r="H564" s="5"/>
      <c r="K564" s="5"/>
    </row>
    <row r="565" spans="1:11" x14ac:dyDescent="0.25">
      <c r="A565" s="2">
        <v>40473</v>
      </c>
      <c r="B565">
        <v>501898.97</v>
      </c>
      <c r="C565">
        <v>17741.46</v>
      </c>
      <c r="D565" s="5">
        <v>-8655.25</v>
      </c>
      <c r="E565">
        <f>D565/MAX($B$2:B565,100000)</f>
        <v>-1.69526558805057E-2</v>
      </c>
      <c r="G565" s="2"/>
      <c r="H565" s="5"/>
      <c r="K565" s="5"/>
    </row>
    <row r="566" spans="1:11" x14ac:dyDescent="0.25">
      <c r="A566" s="2">
        <v>40480</v>
      </c>
      <c r="B566">
        <v>507682.31</v>
      </c>
      <c r="C566">
        <v>17741.46</v>
      </c>
      <c r="D566" s="5">
        <v>-2871.91</v>
      </c>
      <c r="E566">
        <f>D566/MAX($B$2:B566,100000)</f>
        <v>-5.6250832673560118E-3</v>
      </c>
      <c r="G566" s="2"/>
      <c r="H566" s="5"/>
      <c r="K566" s="5"/>
    </row>
    <row r="567" spans="1:11" x14ac:dyDescent="0.25">
      <c r="A567" s="2">
        <v>40487</v>
      </c>
      <c r="B567">
        <v>519179.03</v>
      </c>
      <c r="C567">
        <v>17741.46</v>
      </c>
      <c r="D567" s="5">
        <v>0</v>
      </c>
      <c r="E567">
        <f>D567/MAX($B$2:B567,100000)</f>
        <v>0</v>
      </c>
      <c r="G567" s="2"/>
      <c r="H567" s="5"/>
      <c r="K567" s="5"/>
    </row>
    <row r="568" spans="1:11" x14ac:dyDescent="0.25">
      <c r="A568" s="2">
        <v>40494</v>
      </c>
      <c r="B568">
        <v>503014.31</v>
      </c>
      <c r="C568">
        <v>17741.46</v>
      </c>
      <c r="D568" s="5">
        <v>-16164.72</v>
      </c>
      <c r="E568">
        <f>D568/MAX($B$2:B568,100000)</f>
        <v>-3.1135155824764338E-2</v>
      </c>
      <c r="G568" s="2"/>
      <c r="H568" s="5"/>
      <c r="K568" s="5"/>
    </row>
    <row r="569" spans="1:11" x14ac:dyDescent="0.25">
      <c r="A569" s="2">
        <v>40501</v>
      </c>
      <c r="B569">
        <v>497342.38</v>
      </c>
      <c r="C569">
        <v>17741.46</v>
      </c>
      <c r="D569" s="5">
        <v>-21836.66</v>
      </c>
      <c r="E569">
        <f>D569/MAX($B$2:B569,100000)</f>
        <v>-4.2059980735354427E-2</v>
      </c>
      <c r="G569" s="2"/>
      <c r="H569" s="5"/>
      <c r="K569" s="5"/>
    </row>
    <row r="570" spans="1:11" x14ac:dyDescent="0.25">
      <c r="A570" s="2">
        <v>40508</v>
      </c>
      <c r="B570">
        <v>493328.31</v>
      </c>
      <c r="C570">
        <v>17741.46</v>
      </c>
      <c r="D570" s="5">
        <v>-25850.720000000001</v>
      </c>
      <c r="E570">
        <f>D570/MAX($B$2:B570,100000)</f>
        <v>-4.9791533375298305E-2</v>
      </c>
      <c r="G570" s="2"/>
      <c r="H570" s="5"/>
      <c r="K570" s="5"/>
    </row>
    <row r="571" spans="1:11" x14ac:dyDescent="0.25">
      <c r="A571" s="2">
        <v>40515</v>
      </c>
      <c r="B571">
        <v>497522.44</v>
      </c>
      <c r="C571">
        <v>17741.46</v>
      </c>
      <c r="D571" s="5">
        <v>-21656.59</v>
      </c>
      <c r="E571">
        <f>D571/MAX($B$2:B571,100000)</f>
        <v>-4.1713144693074369E-2</v>
      </c>
      <c r="G571" s="2"/>
      <c r="H571" s="5"/>
      <c r="K571" s="5"/>
    </row>
    <row r="572" spans="1:11" x14ac:dyDescent="0.25">
      <c r="A572" s="2">
        <v>40522</v>
      </c>
      <c r="B572">
        <v>498486.47</v>
      </c>
      <c r="C572">
        <v>10240.370000000001</v>
      </c>
      <c r="D572" s="5">
        <v>-20692.560000000001</v>
      </c>
      <c r="E572">
        <f>D572/MAX($B$2:B572,100000)</f>
        <v>-3.985630929662163E-2</v>
      </c>
      <c r="G572" s="2"/>
      <c r="H572" s="5"/>
      <c r="K572" s="5"/>
    </row>
    <row r="573" spans="1:11" x14ac:dyDescent="0.25">
      <c r="A573" s="2">
        <v>40529</v>
      </c>
      <c r="B573">
        <v>504704.06</v>
      </c>
      <c r="C573">
        <v>10240.370000000001</v>
      </c>
      <c r="D573" s="5">
        <v>-14474.97</v>
      </c>
      <c r="E573">
        <f>D573/MAX($B$2:B573,100000)</f>
        <v>-2.7880498178056226E-2</v>
      </c>
      <c r="G573" s="2"/>
      <c r="H573" s="5"/>
      <c r="K573" s="5"/>
    </row>
    <row r="574" spans="1:11" x14ac:dyDescent="0.25">
      <c r="A574" s="2">
        <v>40536</v>
      </c>
      <c r="B574">
        <v>511643.53</v>
      </c>
      <c r="C574">
        <v>10240.370000000001</v>
      </c>
      <c r="D574" s="5">
        <v>-7535.5</v>
      </c>
      <c r="E574">
        <f>D574/MAX($B$2:B574,100000)</f>
        <v>-1.4514261101801434E-2</v>
      </c>
      <c r="G574" s="2"/>
      <c r="H574" s="5"/>
      <c r="K574" s="5"/>
    </row>
    <row r="575" spans="1:11" x14ac:dyDescent="0.25">
      <c r="A575" s="2">
        <v>40543</v>
      </c>
      <c r="B575">
        <v>511335.34</v>
      </c>
      <c r="C575">
        <v>10240.370000000001</v>
      </c>
      <c r="D575" s="5">
        <v>-7843.69</v>
      </c>
      <c r="E575">
        <f>D575/MAX($B$2:B575,100000)</f>
        <v>-1.5107871363756735E-2</v>
      </c>
      <c r="G575" s="2"/>
      <c r="H575" s="5"/>
      <c r="K575" s="5"/>
    </row>
    <row r="576" spans="1:11" x14ac:dyDescent="0.25">
      <c r="A576" s="2">
        <v>40550</v>
      </c>
      <c r="B576">
        <v>506601.69</v>
      </c>
      <c r="C576">
        <v>10240.370000000001</v>
      </c>
      <c r="D576" s="5">
        <v>-12577.34</v>
      </c>
      <c r="E576">
        <f>D576/MAX($B$2:B576,100000)</f>
        <v>-2.4225439151500397E-2</v>
      </c>
      <c r="G576" s="2"/>
      <c r="H576" s="5"/>
      <c r="K576" s="5"/>
    </row>
    <row r="577" spans="1:11" x14ac:dyDescent="0.25">
      <c r="A577" s="2">
        <v>40557</v>
      </c>
      <c r="B577">
        <v>519785.41</v>
      </c>
      <c r="C577">
        <v>10240.370000000001</v>
      </c>
      <c r="D577" s="5">
        <v>0</v>
      </c>
      <c r="E577">
        <f>D577/MAX($B$2:B577,100000)</f>
        <v>0</v>
      </c>
      <c r="G577" s="2"/>
      <c r="H577" s="5"/>
      <c r="K577" s="5"/>
    </row>
    <row r="578" spans="1:11" x14ac:dyDescent="0.25">
      <c r="A578" s="2">
        <v>40564</v>
      </c>
      <c r="B578">
        <v>523786.44</v>
      </c>
      <c r="C578">
        <v>10240.370000000001</v>
      </c>
      <c r="D578" s="5">
        <v>0</v>
      </c>
      <c r="E578">
        <f>D578/MAX($B$2:B578,100000)</f>
        <v>0</v>
      </c>
      <c r="G578" s="2"/>
      <c r="H578" s="5"/>
      <c r="K578" s="5"/>
    </row>
    <row r="579" spans="1:11" x14ac:dyDescent="0.25">
      <c r="A579" s="2">
        <v>40571</v>
      </c>
      <c r="B579">
        <v>523437.94</v>
      </c>
      <c r="C579">
        <v>10240.370000000001</v>
      </c>
      <c r="D579" s="5">
        <v>-348.5</v>
      </c>
      <c r="E579">
        <f>D579/MAX($B$2:B579,100000)</f>
        <v>-6.6534750307778109E-4</v>
      </c>
      <c r="G579" s="2"/>
      <c r="H579" s="5"/>
      <c r="K579" s="5"/>
    </row>
    <row r="580" spans="1:11" x14ac:dyDescent="0.25">
      <c r="A580" s="2">
        <v>40578</v>
      </c>
      <c r="B580">
        <v>527342</v>
      </c>
      <c r="C580">
        <v>10240.370000000001</v>
      </c>
      <c r="D580" s="5">
        <v>0</v>
      </c>
      <c r="E580">
        <f>D580/MAX($B$2:B580,100000)</f>
        <v>0</v>
      </c>
      <c r="G580" s="2"/>
      <c r="H580" s="5"/>
      <c r="K580" s="5"/>
    </row>
    <row r="581" spans="1:11" x14ac:dyDescent="0.25">
      <c r="A581" s="2">
        <v>40585</v>
      </c>
      <c r="B581">
        <v>523351</v>
      </c>
      <c r="C581">
        <v>10240.370000000001</v>
      </c>
      <c r="D581" s="5">
        <v>-3991</v>
      </c>
      <c r="E581">
        <f>D581/MAX($B$2:B581,100000)</f>
        <v>-7.568143633543317E-3</v>
      </c>
      <c r="G581" s="2"/>
      <c r="H581" s="5"/>
      <c r="K581" s="5"/>
    </row>
    <row r="582" spans="1:11" x14ac:dyDescent="0.25">
      <c r="A582" s="2">
        <v>40592</v>
      </c>
      <c r="B582">
        <v>532855.88</v>
      </c>
      <c r="C582">
        <v>10240.370000000001</v>
      </c>
      <c r="D582" s="5">
        <v>0</v>
      </c>
      <c r="E582">
        <f>D582/MAX($B$2:B582,100000)</f>
        <v>0</v>
      </c>
      <c r="G582" s="2"/>
      <c r="H582" s="5"/>
      <c r="K582" s="5"/>
    </row>
    <row r="583" spans="1:11" x14ac:dyDescent="0.25">
      <c r="A583" s="2">
        <v>40599</v>
      </c>
      <c r="B583">
        <v>514298.78</v>
      </c>
      <c r="C583">
        <v>10240.370000000001</v>
      </c>
      <c r="D583" s="5">
        <v>-18557.09</v>
      </c>
      <c r="E583">
        <f>D583/MAX($B$2:B583,100000)</f>
        <v>-3.4825720605729263E-2</v>
      </c>
      <c r="G583" s="2"/>
      <c r="H583" s="5"/>
      <c r="K583" s="5"/>
    </row>
    <row r="584" spans="1:11" x14ac:dyDescent="0.25">
      <c r="A584" s="2">
        <v>40606</v>
      </c>
      <c r="B584">
        <v>520463.59</v>
      </c>
      <c r="C584">
        <v>10240.370000000001</v>
      </c>
      <c r="D584" s="5">
        <v>-12392.28</v>
      </c>
      <c r="E584">
        <f>D584/MAX($B$2:B584,100000)</f>
        <v>-2.3256344661149279E-2</v>
      </c>
      <c r="G584" s="2"/>
      <c r="H584" s="5"/>
      <c r="K584" s="5"/>
    </row>
    <row r="585" spans="1:11" x14ac:dyDescent="0.25">
      <c r="A585" s="2">
        <v>40613</v>
      </c>
      <c r="B585">
        <v>496158.16</v>
      </c>
      <c r="C585">
        <v>10240.370000000001</v>
      </c>
      <c r="D585" s="5">
        <v>-36697.72</v>
      </c>
      <c r="E585">
        <f>D585/MAX($B$2:B585,100000)</f>
        <v>-6.8869879037461307E-2</v>
      </c>
      <c r="G585" s="2"/>
      <c r="H585" s="5"/>
      <c r="K585" s="5"/>
    </row>
    <row r="586" spans="1:11" x14ac:dyDescent="0.25">
      <c r="A586" s="2">
        <v>40620</v>
      </c>
      <c r="B586">
        <v>495208.94</v>
      </c>
      <c r="C586">
        <v>10240.370000000001</v>
      </c>
      <c r="D586" s="5">
        <v>-37646.94</v>
      </c>
      <c r="E586">
        <f>D586/MAX($B$2:B586,100000)</f>
        <v>-7.0651261275375257E-2</v>
      </c>
      <c r="G586" s="2"/>
      <c r="H586" s="5"/>
      <c r="K586" s="5"/>
    </row>
    <row r="587" spans="1:11" x14ac:dyDescent="0.25">
      <c r="A587" s="2">
        <v>40627</v>
      </c>
      <c r="B587">
        <v>502702.88</v>
      </c>
      <c r="C587">
        <v>71509.919999999998</v>
      </c>
      <c r="D587" s="5">
        <v>-30153</v>
      </c>
      <c r="E587">
        <f>D587/MAX($B$2:B587,100000)</f>
        <v>-5.6587533574744449E-2</v>
      </c>
      <c r="G587" s="2"/>
      <c r="H587" s="5"/>
      <c r="K587" s="5"/>
    </row>
    <row r="588" spans="1:11" x14ac:dyDescent="0.25">
      <c r="A588" s="2">
        <v>40634</v>
      </c>
      <c r="B588">
        <v>509249.84</v>
      </c>
      <c r="C588">
        <v>99940.84</v>
      </c>
      <c r="D588" s="5">
        <v>-23606.03</v>
      </c>
      <c r="E588">
        <f>D588/MAX($B$2:B588,100000)</f>
        <v>-4.4300965581913064E-2</v>
      </c>
      <c r="G588" s="2"/>
      <c r="H588" s="5"/>
      <c r="K588" s="5"/>
    </row>
    <row r="589" spans="1:11" x14ac:dyDescent="0.25">
      <c r="A589" s="2">
        <v>40641</v>
      </c>
      <c r="B589">
        <v>515294.84</v>
      </c>
      <c r="C589">
        <v>21595.48</v>
      </c>
      <c r="D589" s="5">
        <v>-17561.03</v>
      </c>
      <c r="E589">
        <f>D589/MAX($B$2:B589,100000)</f>
        <v>-3.2956434674231233E-2</v>
      </c>
      <c r="G589" s="2"/>
      <c r="H589" s="5"/>
      <c r="K589" s="5"/>
    </row>
    <row r="590" spans="1:11" x14ac:dyDescent="0.25">
      <c r="A590" s="2">
        <v>40648</v>
      </c>
      <c r="B590">
        <v>507510.06</v>
      </c>
      <c r="C590">
        <v>21595.48</v>
      </c>
      <c r="D590" s="5">
        <v>-25345.81</v>
      </c>
      <c r="E590">
        <f>D590/MAX($B$2:B590,100000)</f>
        <v>-4.756597600086538E-2</v>
      </c>
      <c r="G590" s="2"/>
      <c r="H590" s="5"/>
      <c r="K590" s="5"/>
    </row>
    <row r="591" spans="1:11" x14ac:dyDescent="0.25">
      <c r="A591" s="2">
        <v>40654</v>
      </c>
      <c r="B591">
        <v>515649.59</v>
      </c>
      <c r="C591">
        <v>21595.48</v>
      </c>
      <c r="D591" s="5">
        <v>-17206.28</v>
      </c>
      <c r="E591">
        <f>D591/MAX($B$2:B591,100000)</f>
        <v>-3.2290682426174971E-2</v>
      </c>
      <c r="G591" s="2"/>
      <c r="H591" s="5"/>
      <c r="K591" s="5"/>
    </row>
    <row r="592" spans="1:11" x14ac:dyDescent="0.25">
      <c r="A592" s="2">
        <v>40662</v>
      </c>
      <c r="B592">
        <v>511361.19</v>
      </c>
      <c r="C592">
        <v>21595.48</v>
      </c>
      <c r="D592" s="5">
        <v>-21494.69</v>
      </c>
      <c r="E592">
        <f>D592/MAX($B$2:B592,100000)</f>
        <v>-4.0338655923248888E-2</v>
      </c>
      <c r="G592" s="2"/>
      <c r="H592" s="5"/>
      <c r="K592" s="5"/>
    </row>
    <row r="593" spans="1:11" x14ac:dyDescent="0.25">
      <c r="A593" s="2">
        <v>40669</v>
      </c>
      <c r="B593">
        <v>501188.16</v>
      </c>
      <c r="C593">
        <v>21595.48</v>
      </c>
      <c r="D593" s="5">
        <v>-31667.72</v>
      </c>
      <c r="E593">
        <f>D593/MAX($B$2:B593,100000)</f>
        <v>-5.9430178381441524E-2</v>
      </c>
      <c r="G593" s="2"/>
      <c r="H593" s="5"/>
      <c r="K593" s="5"/>
    </row>
    <row r="594" spans="1:11" x14ac:dyDescent="0.25">
      <c r="A594" s="2">
        <v>40676</v>
      </c>
      <c r="B594">
        <v>500540.69</v>
      </c>
      <c r="C594">
        <v>21595.48</v>
      </c>
      <c r="D594" s="5">
        <v>-32315.19</v>
      </c>
      <c r="E594">
        <f>D594/MAX($B$2:B594,100000)</f>
        <v>-6.0645272413996816E-2</v>
      </c>
      <c r="G594" s="2"/>
      <c r="H594" s="5"/>
      <c r="K594" s="5"/>
    </row>
    <row r="595" spans="1:11" x14ac:dyDescent="0.25">
      <c r="A595" s="2">
        <v>40683</v>
      </c>
      <c r="B595">
        <v>506411.44</v>
      </c>
      <c r="C595">
        <v>21595.48</v>
      </c>
      <c r="D595" s="5">
        <v>-26444.44</v>
      </c>
      <c r="E595">
        <f>D595/MAX($B$2:B595,100000)</f>
        <v>-4.9627753005184065E-2</v>
      </c>
      <c r="G595" s="2"/>
      <c r="H595" s="5"/>
      <c r="K595" s="5"/>
    </row>
    <row r="596" spans="1:11" x14ac:dyDescent="0.25">
      <c r="A596" s="2">
        <v>40690</v>
      </c>
      <c r="B596">
        <v>505603.44</v>
      </c>
      <c r="C596">
        <v>21595.48</v>
      </c>
      <c r="D596" s="5">
        <v>-27252.44</v>
      </c>
      <c r="E596">
        <f>D596/MAX($B$2:B596,100000)</f>
        <v>-5.1144110486310103E-2</v>
      </c>
      <c r="G596" s="2"/>
      <c r="H596" s="5"/>
      <c r="K596" s="5"/>
    </row>
    <row r="597" spans="1:11" x14ac:dyDescent="0.25">
      <c r="A597" s="2">
        <v>40697</v>
      </c>
      <c r="B597">
        <v>503663.84</v>
      </c>
      <c r="C597">
        <v>21595.48</v>
      </c>
      <c r="D597" s="5">
        <v>-29192.03</v>
      </c>
      <c r="E597">
        <f>D597/MAX($B$2:B597,100000)</f>
        <v>-5.4784100346232455E-2</v>
      </c>
      <c r="G597" s="2"/>
      <c r="H597" s="5"/>
      <c r="K597" s="5"/>
    </row>
    <row r="598" spans="1:11" x14ac:dyDescent="0.25">
      <c r="A598" s="2">
        <v>40704</v>
      </c>
      <c r="B598">
        <v>506184.25</v>
      </c>
      <c r="C598">
        <v>21595.48</v>
      </c>
      <c r="D598" s="5">
        <v>-26671.63</v>
      </c>
      <c r="E598">
        <f>D598/MAX($B$2:B598,100000)</f>
        <v>-5.0054115945947712E-2</v>
      </c>
      <c r="G598" s="2"/>
      <c r="H598" s="5"/>
      <c r="K598" s="5"/>
    </row>
    <row r="599" spans="1:11" x14ac:dyDescent="0.25">
      <c r="A599" s="2">
        <v>40711</v>
      </c>
      <c r="B599">
        <v>506044.66</v>
      </c>
      <c r="C599">
        <v>21595.48</v>
      </c>
      <c r="D599" s="5">
        <v>-26811.22</v>
      </c>
      <c r="E599">
        <f>D599/MAX($B$2:B599,100000)</f>
        <v>-5.0316081714252642E-2</v>
      </c>
      <c r="G599" s="2"/>
      <c r="H599" s="5"/>
      <c r="K599" s="5"/>
    </row>
    <row r="600" spans="1:11" x14ac:dyDescent="0.25">
      <c r="A600" s="2">
        <v>40718</v>
      </c>
      <c r="B600">
        <v>513659.75</v>
      </c>
      <c r="C600">
        <v>21595.48</v>
      </c>
      <c r="D600" s="5">
        <v>-19196.13</v>
      </c>
      <c r="E600">
        <f>D600/MAX($B$2:B600,100000)</f>
        <v>-3.6024994225455485E-2</v>
      </c>
      <c r="G600" s="2"/>
      <c r="H600" s="5"/>
      <c r="K600" s="5"/>
    </row>
    <row r="601" spans="1:11" x14ac:dyDescent="0.25">
      <c r="A601" s="2">
        <v>40725</v>
      </c>
      <c r="B601">
        <v>514784.69</v>
      </c>
      <c r="C601">
        <v>21595.48</v>
      </c>
      <c r="D601" s="5">
        <v>-18071.189999999999</v>
      </c>
      <c r="E601">
        <f>D601/MAX($B$2:B601,100000)</f>
        <v>-3.391384176899765E-2</v>
      </c>
      <c r="G601" s="2"/>
      <c r="H601" s="5"/>
      <c r="K601" s="5"/>
    </row>
    <row r="602" spans="1:11" x14ac:dyDescent="0.25">
      <c r="A602" s="2">
        <v>40732</v>
      </c>
      <c r="B602">
        <v>516608.72</v>
      </c>
      <c r="C602">
        <v>21595.48</v>
      </c>
      <c r="D602" s="5">
        <v>-16247.16</v>
      </c>
      <c r="E602">
        <f>D602/MAX($B$2:B602,100000)</f>
        <v>-3.049072105575714E-2</v>
      </c>
      <c r="G602" s="2"/>
      <c r="H602" s="5"/>
      <c r="K602" s="5"/>
    </row>
    <row r="603" spans="1:11" x14ac:dyDescent="0.25">
      <c r="A603" s="2">
        <v>40739</v>
      </c>
      <c r="B603">
        <v>502347.66</v>
      </c>
      <c r="C603">
        <v>21595.48</v>
      </c>
      <c r="D603" s="5">
        <v>-30508.22</v>
      </c>
      <c r="E603">
        <f>D603/MAX($B$2:B603,100000)</f>
        <v>-5.725416786242464E-2</v>
      </c>
      <c r="G603" s="2"/>
      <c r="H603" s="5"/>
      <c r="K603" s="5"/>
    </row>
    <row r="604" spans="1:11" x14ac:dyDescent="0.25">
      <c r="A604" s="2">
        <v>40746</v>
      </c>
      <c r="B604">
        <v>508507.53</v>
      </c>
      <c r="C604">
        <v>21595.48</v>
      </c>
      <c r="D604" s="5">
        <v>-24348.34</v>
      </c>
      <c r="E604">
        <f>D604/MAX($B$2:B604,100000)</f>
        <v>-4.5694043950495582E-2</v>
      </c>
      <c r="G604" s="2"/>
      <c r="H604" s="5"/>
      <c r="K604" s="5"/>
    </row>
    <row r="605" spans="1:11" x14ac:dyDescent="0.25">
      <c r="A605" s="2">
        <v>40753</v>
      </c>
      <c r="B605">
        <v>496845.75</v>
      </c>
      <c r="C605">
        <v>62023.27</v>
      </c>
      <c r="D605" s="5">
        <v>-36010.129999999997</v>
      </c>
      <c r="E605">
        <f>D605/MAX($B$2:B605,100000)</f>
        <v>-6.757949260126396E-2</v>
      </c>
      <c r="G605" s="2"/>
      <c r="H605" s="5"/>
      <c r="K605" s="5"/>
    </row>
    <row r="606" spans="1:11" x14ac:dyDescent="0.25">
      <c r="A606" s="2">
        <v>40760</v>
      </c>
      <c r="B606">
        <v>475168.13</v>
      </c>
      <c r="C606">
        <v>62023.27</v>
      </c>
      <c r="D606" s="5">
        <v>-57687.75</v>
      </c>
      <c r="E606">
        <f>D606/MAX($B$2:B606,100000)</f>
        <v>-0.10826144960622373</v>
      </c>
      <c r="G606" s="2"/>
      <c r="H606" s="5"/>
      <c r="K606" s="5"/>
    </row>
    <row r="607" spans="1:11" x14ac:dyDescent="0.25">
      <c r="A607" s="2">
        <v>40767</v>
      </c>
      <c r="B607">
        <v>465041.72</v>
      </c>
      <c r="C607">
        <v>62023.27</v>
      </c>
      <c r="D607" s="5">
        <v>-67814.16</v>
      </c>
      <c r="E607">
        <f>D607/MAX($B$2:B607,100000)</f>
        <v>-0.12726548124044348</v>
      </c>
      <c r="G607" s="2"/>
      <c r="H607" s="5"/>
      <c r="K607" s="5"/>
    </row>
    <row r="608" spans="1:11" x14ac:dyDescent="0.25">
      <c r="A608" s="2">
        <v>40774</v>
      </c>
      <c r="B608">
        <v>471124.66</v>
      </c>
      <c r="C608">
        <v>88807.77</v>
      </c>
      <c r="D608" s="5">
        <v>-61731.22</v>
      </c>
      <c r="E608">
        <f>D608/MAX($B$2:B608,100000)</f>
        <v>-0.11584974909163055</v>
      </c>
      <c r="G608" s="2"/>
      <c r="H608" s="5"/>
      <c r="K608" s="5"/>
    </row>
    <row r="609" spans="1:11" x14ac:dyDescent="0.25">
      <c r="A609" s="2">
        <v>40781</v>
      </c>
      <c r="B609">
        <v>474898.47</v>
      </c>
      <c r="C609">
        <v>157813.94</v>
      </c>
      <c r="D609" s="5">
        <v>-57957.41</v>
      </c>
      <c r="E609">
        <f>D609/MAX($B$2:B609,100000)</f>
        <v>-0.10876751514874905</v>
      </c>
      <c r="G609" s="2"/>
      <c r="H609" s="5"/>
      <c r="K609" s="5"/>
    </row>
    <row r="610" spans="1:11" x14ac:dyDescent="0.25">
      <c r="A610" s="2">
        <v>40788</v>
      </c>
      <c r="B610">
        <v>482887.94</v>
      </c>
      <c r="C610">
        <v>157813.94</v>
      </c>
      <c r="D610" s="5">
        <v>-49967.94</v>
      </c>
      <c r="E610">
        <f>D610/MAX($B$2:B610,100000)</f>
        <v>-9.3773836182496476E-2</v>
      </c>
      <c r="G610" s="2"/>
      <c r="H610" s="5"/>
      <c r="K610" s="5"/>
    </row>
    <row r="611" spans="1:11" x14ac:dyDescent="0.25">
      <c r="A611" s="2">
        <v>40795</v>
      </c>
      <c r="B611">
        <v>485914.81</v>
      </c>
      <c r="C611">
        <v>157813.94</v>
      </c>
      <c r="D611" s="5">
        <v>-46941.06</v>
      </c>
      <c r="E611">
        <f>D611/MAX($B$2:B611,100000)</f>
        <v>-8.8093350870032616E-2</v>
      </c>
      <c r="G611" s="2"/>
      <c r="H611" s="5"/>
      <c r="K611" s="5"/>
    </row>
    <row r="612" spans="1:11" x14ac:dyDescent="0.25">
      <c r="A612" s="2">
        <v>40802</v>
      </c>
      <c r="B612">
        <v>485321.94</v>
      </c>
      <c r="C612">
        <v>157813.94</v>
      </c>
      <c r="D612" s="5">
        <v>-47533.94</v>
      </c>
      <c r="E612">
        <f>D612/MAX($B$2:B612,100000)</f>
        <v>-8.9205996938609367E-2</v>
      </c>
      <c r="G612" s="2"/>
      <c r="H612" s="5"/>
      <c r="K612" s="5"/>
    </row>
    <row r="613" spans="1:11" x14ac:dyDescent="0.25">
      <c r="A613" s="2">
        <v>40809</v>
      </c>
      <c r="B613">
        <v>474720.38</v>
      </c>
      <c r="C613">
        <v>157813.94</v>
      </c>
      <c r="D613" s="5">
        <v>-58135.5</v>
      </c>
      <c r="E613">
        <f>D613/MAX($B$2:B613,100000)</f>
        <v>-0.10910173309901357</v>
      </c>
      <c r="G613" s="2"/>
      <c r="H613" s="5"/>
      <c r="K613" s="5"/>
    </row>
    <row r="614" spans="1:11" x14ac:dyDescent="0.25">
      <c r="A614" s="2">
        <v>40816</v>
      </c>
      <c r="B614">
        <v>475701.56</v>
      </c>
      <c r="C614">
        <v>188083.5</v>
      </c>
      <c r="D614" s="5">
        <v>-57154.31</v>
      </c>
      <c r="E614">
        <f>D614/MAX($B$2:B614,100000)</f>
        <v>-0.1072603533998724</v>
      </c>
      <c r="G614" s="2"/>
      <c r="H614" s="5"/>
      <c r="K614" s="5"/>
    </row>
    <row r="615" spans="1:11" x14ac:dyDescent="0.25">
      <c r="A615" s="2">
        <v>40823</v>
      </c>
      <c r="B615">
        <v>485108.34</v>
      </c>
      <c r="C615">
        <v>188083.5</v>
      </c>
      <c r="D615" s="5">
        <v>-47747.53</v>
      </c>
      <c r="E615">
        <f>D615/MAX($B$2:B615,100000)</f>
        <v>-8.9606837030680786E-2</v>
      </c>
      <c r="G615" s="2"/>
      <c r="H615" s="5"/>
      <c r="K615" s="5"/>
    </row>
    <row r="616" spans="1:11" x14ac:dyDescent="0.25">
      <c r="A616" s="2">
        <v>40830</v>
      </c>
      <c r="B616">
        <v>482254.69</v>
      </c>
      <c r="C616">
        <v>188083.5</v>
      </c>
      <c r="D616" s="5">
        <v>-50601.19</v>
      </c>
      <c r="E616">
        <f>D616/MAX($B$2:B616,100000)</f>
        <v>-9.4962243824727996E-2</v>
      </c>
      <c r="G616" s="2"/>
      <c r="H616" s="5"/>
      <c r="K616" s="5"/>
    </row>
    <row r="617" spans="1:11" x14ac:dyDescent="0.25">
      <c r="A617" s="2">
        <v>40837</v>
      </c>
      <c r="B617">
        <v>479758</v>
      </c>
      <c r="C617">
        <v>188083.5</v>
      </c>
      <c r="D617" s="5">
        <v>-53097.88</v>
      </c>
      <c r="E617">
        <f>D617/MAX($B$2:B617,100000)</f>
        <v>-9.9647732141005932E-2</v>
      </c>
      <c r="G617" s="2"/>
      <c r="H617" s="5"/>
      <c r="K617" s="5"/>
    </row>
    <row r="618" spans="1:11" x14ac:dyDescent="0.25">
      <c r="A618" s="2">
        <v>40844</v>
      </c>
      <c r="B618">
        <v>484831.44</v>
      </c>
      <c r="C618">
        <v>188083.5</v>
      </c>
      <c r="D618" s="5">
        <v>-48024.44</v>
      </c>
      <c r="E618">
        <f>D618/MAX($B$2:B618,100000)</f>
        <v>-9.012650850357512E-2</v>
      </c>
      <c r="G618" s="2"/>
      <c r="H618" s="5"/>
      <c r="K618" s="5"/>
    </row>
    <row r="619" spans="1:11" x14ac:dyDescent="0.25">
      <c r="A619" s="2">
        <v>40851</v>
      </c>
      <c r="B619">
        <v>478324.59</v>
      </c>
      <c r="C619">
        <v>1960.32</v>
      </c>
      <c r="D619" s="5">
        <v>-54531.28</v>
      </c>
      <c r="E619">
        <f>D619/MAX($B$2:B619,100000)</f>
        <v>-0.10233776532596393</v>
      </c>
      <c r="G619" s="2"/>
      <c r="H619" s="5"/>
      <c r="K619" s="5"/>
    </row>
    <row r="620" spans="1:11" x14ac:dyDescent="0.25">
      <c r="A620" s="2">
        <v>40858</v>
      </c>
      <c r="B620">
        <v>485020.38</v>
      </c>
      <c r="C620">
        <v>1960.32</v>
      </c>
      <c r="D620" s="5">
        <v>-47835.5</v>
      </c>
      <c r="E620">
        <f>D620/MAX($B$2:B620,100000)</f>
        <v>-8.9771928574758339E-2</v>
      </c>
      <c r="G620" s="2"/>
      <c r="H620" s="5"/>
      <c r="K620" s="5"/>
    </row>
    <row r="621" spans="1:11" x14ac:dyDescent="0.25">
      <c r="A621" s="2">
        <v>40865</v>
      </c>
      <c r="B621">
        <v>478266.78</v>
      </c>
      <c r="C621">
        <v>1960.32</v>
      </c>
      <c r="D621" s="5">
        <v>-54589.09</v>
      </c>
      <c r="E621">
        <f>D621/MAX($B$2:B621,100000)</f>
        <v>-0.10244625619970638</v>
      </c>
      <c r="G621" s="2"/>
      <c r="H621" s="5"/>
      <c r="K621" s="5"/>
    </row>
    <row r="622" spans="1:11" x14ac:dyDescent="0.25">
      <c r="A622" s="2">
        <v>40872</v>
      </c>
      <c r="B622">
        <v>461180.81</v>
      </c>
      <c r="C622">
        <v>1960.32</v>
      </c>
      <c r="D622" s="5">
        <v>-71675.06</v>
      </c>
      <c r="E622">
        <f>D622/MAX($B$2:B622,100000)</f>
        <v>-0.13451115524895774</v>
      </c>
      <c r="G622" s="2"/>
      <c r="H622" s="5"/>
      <c r="K622" s="5"/>
    </row>
    <row r="623" spans="1:11" x14ac:dyDescent="0.25">
      <c r="A623" s="2">
        <v>40879</v>
      </c>
      <c r="B623">
        <v>484345.34</v>
      </c>
      <c r="C623">
        <v>1960.32</v>
      </c>
      <c r="D623" s="5">
        <v>-48510.53</v>
      </c>
      <c r="E623">
        <f>D623/MAX($B$2:B623,100000)</f>
        <v>-9.1038743909516398E-2</v>
      </c>
      <c r="G623" s="2"/>
      <c r="H623" s="5"/>
      <c r="K623" s="5"/>
    </row>
    <row r="624" spans="1:11" x14ac:dyDescent="0.25">
      <c r="A624" s="2">
        <v>40886</v>
      </c>
      <c r="B624">
        <v>475202.34</v>
      </c>
      <c r="C624">
        <v>26561.06</v>
      </c>
      <c r="D624" s="5">
        <v>-57653.53</v>
      </c>
      <c r="E624">
        <f>D624/MAX($B$2:B624,100000)</f>
        <v>-0.10819722961488198</v>
      </c>
      <c r="G624" s="2"/>
      <c r="H624" s="5"/>
      <c r="K624" s="5"/>
    </row>
    <row r="625" spans="1:11" x14ac:dyDescent="0.25">
      <c r="A625" s="2">
        <v>40893</v>
      </c>
      <c r="B625">
        <v>484114.94</v>
      </c>
      <c r="C625">
        <v>26561.06</v>
      </c>
      <c r="D625" s="5">
        <v>-48740.94</v>
      </c>
      <c r="E625">
        <f>D625/MAX($B$2:B625,100000)</f>
        <v>-9.1471149760043932E-2</v>
      </c>
      <c r="G625" s="2"/>
      <c r="H625" s="5"/>
      <c r="K625" s="5"/>
    </row>
    <row r="626" spans="1:11" x14ac:dyDescent="0.25">
      <c r="A626" s="2">
        <v>40900</v>
      </c>
      <c r="B626">
        <v>484895.72</v>
      </c>
      <c r="C626">
        <v>26561.06</v>
      </c>
      <c r="D626" s="5">
        <v>-47960.160000000003</v>
      </c>
      <c r="E626">
        <f>D626/MAX($B$2:B626,100000)</f>
        <v>-9.0005875509903355E-2</v>
      </c>
      <c r="G626" s="2"/>
      <c r="H626" s="5"/>
      <c r="K626" s="5"/>
    </row>
    <row r="627" spans="1:11" x14ac:dyDescent="0.25">
      <c r="A627" s="2">
        <v>40907</v>
      </c>
      <c r="B627">
        <v>477379.16</v>
      </c>
      <c r="C627">
        <v>26561.06</v>
      </c>
      <c r="D627" s="5">
        <v>-55476.72</v>
      </c>
      <c r="E627">
        <f>D627/MAX($B$2:B627,100000)</f>
        <v>-0.10411205371328548</v>
      </c>
      <c r="G627" s="2"/>
      <c r="H627" s="5"/>
      <c r="K627" s="5"/>
    </row>
    <row r="628" spans="1:11" x14ac:dyDescent="0.25">
      <c r="A628" s="2">
        <v>40914</v>
      </c>
      <c r="B628">
        <v>478492.28</v>
      </c>
      <c r="C628">
        <v>58638.41</v>
      </c>
      <c r="D628" s="5">
        <v>-54363.59</v>
      </c>
      <c r="E628">
        <f>D628/MAX($B$2:B628,100000)</f>
        <v>-0.10202306484822875</v>
      </c>
      <c r="G628" s="2"/>
      <c r="H628" s="5"/>
      <c r="K628" s="5"/>
    </row>
    <row r="629" spans="1:11" x14ac:dyDescent="0.25">
      <c r="A629" s="2">
        <v>40921</v>
      </c>
      <c r="B629">
        <v>482599.44</v>
      </c>
      <c r="C629">
        <v>58638.41</v>
      </c>
      <c r="D629" s="5">
        <v>-50256.44</v>
      </c>
      <c r="E629">
        <f>D629/MAX($B$2:B629,100000)</f>
        <v>-9.4315258377180716E-2</v>
      </c>
      <c r="G629" s="2"/>
      <c r="H629" s="5"/>
      <c r="K629" s="5"/>
    </row>
    <row r="630" spans="1:11" x14ac:dyDescent="0.25">
      <c r="A630" s="2">
        <v>40928</v>
      </c>
      <c r="B630">
        <v>480391.81</v>
      </c>
      <c r="C630">
        <v>21722.799999999999</v>
      </c>
      <c r="D630" s="5">
        <v>-52464.06</v>
      </c>
      <c r="E630">
        <f>D630/MAX($B$2:B630,100000)</f>
        <v>-9.8458254791145394E-2</v>
      </c>
      <c r="G630" s="2"/>
      <c r="H630" s="5"/>
      <c r="K630" s="5"/>
    </row>
    <row r="631" spans="1:11" x14ac:dyDescent="0.25">
      <c r="A631" s="2">
        <v>40935</v>
      </c>
      <c r="B631">
        <v>481527.38</v>
      </c>
      <c r="C631">
        <v>21722.799999999999</v>
      </c>
      <c r="D631" s="5">
        <v>-51328.5</v>
      </c>
      <c r="E631">
        <f>D631/MAX($B$2:B631,100000)</f>
        <v>-9.6327171992547034E-2</v>
      </c>
      <c r="G631" s="2"/>
      <c r="H631" s="5"/>
      <c r="K631" s="5"/>
    </row>
    <row r="632" spans="1:11" x14ac:dyDescent="0.25">
      <c r="A632" s="2">
        <v>40942</v>
      </c>
      <c r="B632">
        <v>477061.69</v>
      </c>
      <c r="C632">
        <v>21722.799999999999</v>
      </c>
      <c r="D632" s="5">
        <v>-55794.19</v>
      </c>
      <c r="E632">
        <f>D632/MAX($B$2:B632,100000)</f>
        <v>-0.10470784332904425</v>
      </c>
      <c r="G632" s="2"/>
      <c r="H632" s="5"/>
      <c r="K632" s="5"/>
    </row>
    <row r="633" spans="1:11" x14ac:dyDescent="0.25">
      <c r="A633" s="2">
        <v>40949</v>
      </c>
      <c r="B633">
        <v>478153.38</v>
      </c>
      <c r="C633">
        <v>21722.799999999999</v>
      </c>
      <c r="D633" s="5">
        <v>-54702.5</v>
      </c>
      <c r="E633">
        <f>D633/MAX($B$2:B633,100000)</f>
        <v>-0.10265909048427879</v>
      </c>
      <c r="G633" s="2"/>
      <c r="H633" s="5"/>
      <c r="K633" s="5"/>
    </row>
    <row r="634" spans="1:11" x14ac:dyDescent="0.25">
      <c r="A634" s="2">
        <v>40956</v>
      </c>
      <c r="B634">
        <v>479028.25</v>
      </c>
      <c r="C634">
        <v>21722.799999999999</v>
      </c>
      <c r="D634" s="5">
        <v>-53827.63</v>
      </c>
      <c r="E634">
        <f>D634/MAX($B$2:B634,100000)</f>
        <v>-0.10101723940814915</v>
      </c>
      <c r="G634" s="2"/>
      <c r="H634" s="5"/>
      <c r="K634" s="5"/>
    </row>
    <row r="635" spans="1:11" x14ac:dyDescent="0.25">
      <c r="A635" s="2">
        <v>40963</v>
      </c>
      <c r="B635">
        <v>486918.72</v>
      </c>
      <c r="C635">
        <v>21722.799999999999</v>
      </c>
      <c r="D635" s="5">
        <v>-45937.16</v>
      </c>
      <c r="E635">
        <f>D635/MAX($B$2:B635,100000)</f>
        <v>-8.620935176693556E-2</v>
      </c>
      <c r="G635" s="2"/>
      <c r="H635" s="5"/>
      <c r="K635" s="5"/>
    </row>
    <row r="636" spans="1:11" x14ac:dyDescent="0.25">
      <c r="A636" s="2">
        <v>40970</v>
      </c>
      <c r="B636">
        <v>487033.09</v>
      </c>
      <c r="C636">
        <v>21722.799999999999</v>
      </c>
      <c r="D636" s="5">
        <v>-45822.78</v>
      </c>
      <c r="E636">
        <f>D636/MAX($B$2:B636,100000)</f>
        <v>-8.5994697102713777E-2</v>
      </c>
      <c r="G636" s="2"/>
      <c r="H636" s="5"/>
      <c r="K636" s="5"/>
    </row>
    <row r="637" spans="1:11" x14ac:dyDescent="0.25">
      <c r="A637" s="2">
        <v>40977</v>
      </c>
      <c r="B637">
        <v>483502.09</v>
      </c>
      <c r="C637">
        <v>21722.799999999999</v>
      </c>
      <c r="D637" s="5">
        <v>-49353.78</v>
      </c>
      <c r="E637">
        <f>D637/MAX($B$2:B637,100000)</f>
        <v>-9.2621254362436609E-2</v>
      </c>
      <c r="G637" s="2"/>
      <c r="H637" s="5"/>
      <c r="K637" s="5"/>
    </row>
    <row r="638" spans="1:11" x14ac:dyDescent="0.25">
      <c r="A638" s="2">
        <v>40984</v>
      </c>
      <c r="B638">
        <v>490615.13</v>
      </c>
      <c r="C638">
        <v>21722.799999999999</v>
      </c>
      <c r="D638" s="5">
        <v>-42240.75</v>
      </c>
      <c r="E638">
        <f>D638/MAX($B$2:B638,100000)</f>
        <v>-7.9272372859993584E-2</v>
      </c>
      <c r="G638" s="2"/>
      <c r="H638" s="5"/>
      <c r="K638" s="5"/>
    </row>
    <row r="639" spans="1:11" x14ac:dyDescent="0.25">
      <c r="A639" s="2">
        <v>40991</v>
      </c>
      <c r="B639">
        <v>492581.88</v>
      </c>
      <c r="C639">
        <v>21722.799999999999</v>
      </c>
      <c r="D639" s="5">
        <v>-40274</v>
      </c>
      <c r="E639">
        <f>D639/MAX($B$2:B639,100000)</f>
        <v>-7.5581412369888828E-2</v>
      </c>
      <c r="G639" s="2"/>
      <c r="H639" s="5"/>
      <c r="K639" s="5"/>
    </row>
    <row r="640" spans="1:11" x14ac:dyDescent="0.25">
      <c r="A640" s="2">
        <v>40998</v>
      </c>
      <c r="B640">
        <v>499984.59</v>
      </c>
      <c r="C640">
        <v>21722.799999999999</v>
      </c>
      <c r="D640" s="5">
        <v>-32871.279999999999</v>
      </c>
      <c r="E640">
        <f>D640/MAX($B$2:B640,100000)</f>
        <v>-6.1688875423501002E-2</v>
      </c>
      <c r="G640" s="2"/>
      <c r="H640" s="5"/>
      <c r="K640" s="5"/>
    </row>
    <row r="641" spans="1:11" x14ac:dyDescent="0.25">
      <c r="A641" s="2">
        <v>41004</v>
      </c>
      <c r="B641">
        <v>494251.41</v>
      </c>
      <c r="C641">
        <v>21722.799999999999</v>
      </c>
      <c r="D641" s="5">
        <v>-38604.47</v>
      </c>
      <c r="E641">
        <f>D641/MAX($B$2:B641,100000)</f>
        <v>-7.2448238724512157E-2</v>
      </c>
      <c r="G641" s="2"/>
      <c r="H641" s="5"/>
      <c r="K641" s="5"/>
    </row>
    <row r="642" spans="1:11" x14ac:dyDescent="0.25">
      <c r="A642" s="2">
        <v>41012</v>
      </c>
      <c r="B642">
        <v>494455.88</v>
      </c>
      <c r="C642">
        <v>21722.799999999999</v>
      </c>
      <c r="D642" s="5">
        <v>-38400</v>
      </c>
      <c r="E642">
        <f>D642/MAX($B$2:B642,100000)</f>
        <v>-7.2064513954504916E-2</v>
      </c>
      <c r="G642" s="2"/>
      <c r="H642" s="5"/>
      <c r="K642" s="5"/>
    </row>
    <row r="643" spans="1:11" x14ac:dyDescent="0.25">
      <c r="A643" s="2">
        <v>41019</v>
      </c>
      <c r="B643">
        <v>498819.53</v>
      </c>
      <c r="C643">
        <v>21722.799999999999</v>
      </c>
      <c r="D643" s="5">
        <v>-34036.339999999997</v>
      </c>
      <c r="E643">
        <f>D643/MAX($B$2:B643,100000)</f>
        <v>-6.3875320283600878E-2</v>
      </c>
      <c r="G643" s="2"/>
      <c r="H643" s="5"/>
      <c r="K643" s="5"/>
    </row>
    <row r="644" spans="1:11" x14ac:dyDescent="0.25">
      <c r="A644" s="2">
        <v>41026</v>
      </c>
      <c r="B644">
        <v>503695.59</v>
      </c>
      <c r="C644">
        <v>21722.799999999999</v>
      </c>
      <c r="D644" s="5">
        <v>-29160.28</v>
      </c>
      <c r="E644">
        <f>D644/MAX($B$2:B644,100000)</f>
        <v>-5.4724515754616426E-2</v>
      </c>
      <c r="G644" s="2"/>
      <c r="H644" s="5"/>
      <c r="K644" s="5"/>
    </row>
    <row r="645" spans="1:11" x14ac:dyDescent="0.25">
      <c r="A645" s="2">
        <v>41033</v>
      </c>
      <c r="B645">
        <v>505460.09</v>
      </c>
      <c r="C645">
        <v>21722.799999999999</v>
      </c>
      <c r="D645" s="5">
        <v>-27395.78</v>
      </c>
      <c r="E645">
        <f>D645/MAX($B$2:B645,100000)</f>
        <v>-5.1413113804805906E-2</v>
      </c>
      <c r="G645" s="2"/>
      <c r="H645" s="5"/>
      <c r="K645" s="5"/>
    </row>
    <row r="646" spans="1:11" x14ac:dyDescent="0.25">
      <c r="A646" s="2">
        <v>41040</v>
      </c>
      <c r="B646">
        <v>507625.38</v>
      </c>
      <c r="C646">
        <v>21722.799999999999</v>
      </c>
      <c r="D646" s="5">
        <v>-25230.5</v>
      </c>
      <c r="E646">
        <f>D646/MAX($B$2:B646,100000)</f>
        <v>-4.734957602419626E-2</v>
      </c>
      <c r="G646" s="2"/>
      <c r="H646" s="5"/>
      <c r="K646" s="5"/>
    </row>
    <row r="647" spans="1:11" x14ac:dyDescent="0.25">
      <c r="A647" s="2">
        <v>41047</v>
      </c>
      <c r="B647">
        <v>508276.28</v>
      </c>
      <c r="C647">
        <v>21722.799999999999</v>
      </c>
      <c r="D647" s="5">
        <v>-24579.59</v>
      </c>
      <c r="E647">
        <f>D647/MAX($B$2:B647,100000)</f>
        <v>-4.6128026212265874E-2</v>
      </c>
      <c r="G647" s="2"/>
      <c r="H647" s="5"/>
      <c r="K647" s="5"/>
    </row>
    <row r="648" spans="1:11" x14ac:dyDescent="0.25">
      <c r="A648" s="2">
        <v>41054</v>
      </c>
      <c r="B648">
        <v>507675.75</v>
      </c>
      <c r="C648">
        <v>21722.799999999999</v>
      </c>
      <c r="D648" s="5">
        <v>-25180.13</v>
      </c>
      <c r="E648">
        <f>D648/MAX($B$2:B648,100000)</f>
        <v>-4.7255047650032501E-2</v>
      </c>
      <c r="G648" s="2"/>
      <c r="H648" s="5"/>
      <c r="K648" s="5"/>
    </row>
    <row r="649" spans="1:11" x14ac:dyDescent="0.25">
      <c r="A649" s="2">
        <v>41061</v>
      </c>
      <c r="B649">
        <v>512113.72</v>
      </c>
      <c r="C649">
        <v>21722.799999999999</v>
      </c>
      <c r="D649" s="5">
        <v>-20742.16</v>
      </c>
      <c r="E649">
        <f>D649/MAX($B$2:B649,100000)</f>
        <v>-3.8926397884546195E-2</v>
      </c>
      <c r="G649" s="2"/>
      <c r="H649" s="5"/>
      <c r="K649" s="5"/>
    </row>
    <row r="650" spans="1:11" x14ac:dyDescent="0.25">
      <c r="A650" s="2">
        <v>41068</v>
      </c>
      <c r="B650">
        <v>514085.59</v>
      </c>
      <c r="C650">
        <v>21722.799999999999</v>
      </c>
      <c r="D650" s="5">
        <v>-18770.28</v>
      </c>
      <c r="E650">
        <f>D650/MAX($B$2:B650,100000)</f>
        <v>-3.5225810025780326E-2</v>
      </c>
      <c r="G650" s="2"/>
      <c r="H650" s="5"/>
      <c r="K650" s="5"/>
    </row>
    <row r="651" spans="1:11" x14ac:dyDescent="0.25">
      <c r="A651" s="2">
        <v>41075</v>
      </c>
      <c r="B651">
        <v>517012.78</v>
      </c>
      <c r="C651">
        <v>21722.799999999999</v>
      </c>
      <c r="D651" s="5">
        <v>-15843.09</v>
      </c>
      <c r="E651">
        <f>D651/MAX($B$2:B651,100000)</f>
        <v>-2.9732410947590555E-2</v>
      </c>
      <c r="G651" s="2"/>
      <c r="H651" s="5"/>
      <c r="K651" s="5"/>
    </row>
    <row r="652" spans="1:11" x14ac:dyDescent="0.25">
      <c r="A652" s="2">
        <v>41082</v>
      </c>
      <c r="B652">
        <v>517861.41</v>
      </c>
      <c r="C652">
        <v>21722.799999999999</v>
      </c>
      <c r="D652" s="5">
        <v>-14994.47</v>
      </c>
      <c r="E652">
        <f>D652/MAX($B$2:B652,100000)</f>
        <v>-2.8139822722797015E-2</v>
      </c>
      <c r="G652" s="2"/>
      <c r="H652" s="5"/>
      <c r="K652" s="5"/>
    </row>
    <row r="653" spans="1:11" x14ac:dyDescent="0.25">
      <c r="A653" s="2">
        <v>41089</v>
      </c>
      <c r="B653">
        <v>521287.19</v>
      </c>
      <c r="C653">
        <v>21722.799999999999</v>
      </c>
      <c r="D653" s="5">
        <v>-11568.69</v>
      </c>
      <c r="E653">
        <f>D653/MAX($B$2:B653,100000)</f>
        <v>-2.1710729738029729E-2</v>
      </c>
      <c r="G653" s="2"/>
      <c r="H653" s="5"/>
      <c r="K653" s="5"/>
    </row>
    <row r="654" spans="1:11" x14ac:dyDescent="0.25">
      <c r="A654" s="2">
        <v>41096</v>
      </c>
      <c r="B654">
        <v>525187.18999999994</v>
      </c>
      <c r="C654">
        <v>21722.799999999999</v>
      </c>
      <c r="D654" s="5">
        <v>-7668.69</v>
      </c>
      <c r="E654">
        <f>D654/MAX($B$2:B654,100000)</f>
        <v>-1.4391677539525321E-2</v>
      </c>
      <c r="G654" s="2"/>
      <c r="H654" s="5"/>
      <c r="K654" s="5"/>
    </row>
    <row r="655" spans="1:11" x14ac:dyDescent="0.25">
      <c r="A655" s="2">
        <v>41103</v>
      </c>
      <c r="B655">
        <v>525911.38</v>
      </c>
      <c r="C655">
        <v>48921.75</v>
      </c>
      <c r="D655" s="5">
        <v>-6944.5</v>
      </c>
      <c r="E655">
        <f>D655/MAX($B$2:B655,100000)</f>
        <v>-1.3032604613465089E-2</v>
      </c>
      <c r="G655" s="2"/>
      <c r="H655" s="5"/>
      <c r="K655" s="5"/>
    </row>
    <row r="656" spans="1:11" x14ac:dyDescent="0.25">
      <c r="A656" s="2">
        <v>41110</v>
      </c>
      <c r="B656">
        <v>539107.63</v>
      </c>
      <c r="C656">
        <v>48921.75</v>
      </c>
      <c r="D656" s="5">
        <v>0</v>
      </c>
      <c r="E656">
        <f>D656/MAX($B$2:B656,100000)</f>
        <v>0</v>
      </c>
      <c r="G656" s="2"/>
      <c r="H656" s="5"/>
      <c r="K656" s="5"/>
    </row>
    <row r="657" spans="1:11" x14ac:dyDescent="0.25">
      <c r="A657" s="2">
        <v>41117</v>
      </c>
      <c r="B657">
        <v>543134.43999999994</v>
      </c>
      <c r="C657">
        <v>7457.09</v>
      </c>
      <c r="D657" s="5">
        <v>0</v>
      </c>
      <c r="E657">
        <f>D657/MAX($B$2:B657,100000)</f>
        <v>0</v>
      </c>
      <c r="G657" s="2"/>
      <c r="H657" s="5"/>
      <c r="K657" s="5"/>
    </row>
    <row r="658" spans="1:11" x14ac:dyDescent="0.25">
      <c r="A658" s="2">
        <v>41124</v>
      </c>
      <c r="B658">
        <v>540700.93999999994</v>
      </c>
      <c r="C658">
        <v>7457.09</v>
      </c>
      <c r="D658" s="5">
        <v>-2433.5</v>
      </c>
      <c r="E658">
        <f>D658/MAX($B$2:B658,100000)</f>
        <v>-4.4804744843652345E-3</v>
      </c>
      <c r="G658" s="2"/>
      <c r="H658" s="5"/>
      <c r="K658" s="5"/>
    </row>
    <row r="659" spans="1:11" x14ac:dyDescent="0.25">
      <c r="A659" s="2">
        <v>41131</v>
      </c>
      <c r="B659">
        <v>539347.13</v>
      </c>
      <c r="C659">
        <v>7457.09</v>
      </c>
      <c r="D659" s="5">
        <v>-3787.31</v>
      </c>
      <c r="E659">
        <f>D659/MAX($B$2:B659,100000)</f>
        <v>-6.9730617708573224E-3</v>
      </c>
      <c r="G659" s="2"/>
      <c r="H659" s="5"/>
      <c r="K659" s="5"/>
    </row>
    <row r="660" spans="1:11" x14ac:dyDescent="0.25">
      <c r="A660" s="2">
        <v>41138</v>
      </c>
      <c r="B660">
        <v>550841.5</v>
      </c>
      <c r="C660">
        <v>7457.09</v>
      </c>
      <c r="D660" s="5">
        <v>0</v>
      </c>
      <c r="E660">
        <f>D660/MAX($B$2:B660,100000)</f>
        <v>0</v>
      </c>
      <c r="G660" s="2"/>
      <c r="H660" s="5"/>
      <c r="K660" s="5"/>
    </row>
    <row r="661" spans="1:11" x14ac:dyDescent="0.25">
      <c r="A661" s="2">
        <v>41145</v>
      </c>
      <c r="B661">
        <v>553258.63</v>
      </c>
      <c r="C661">
        <v>7457.09</v>
      </c>
      <c r="D661" s="5">
        <v>0</v>
      </c>
      <c r="E661">
        <f>D661/MAX($B$2:B661,100000)</f>
        <v>0</v>
      </c>
      <c r="G661" s="2"/>
      <c r="H661" s="5"/>
      <c r="K661" s="5"/>
    </row>
    <row r="662" spans="1:11" x14ac:dyDescent="0.25">
      <c r="A662" s="2">
        <v>41152</v>
      </c>
      <c r="B662">
        <v>553140.5</v>
      </c>
      <c r="C662">
        <v>7457.09</v>
      </c>
      <c r="D662" s="5">
        <v>-118.13</v>
      </c>
      <c r="E662">
        <f>D662/MAX($B$2:B662,100000)</f>
        <v>-2.1351677785848546E-4</v>
      </c>
      <c r="G662" s="2"/>
      <c r="H662" s="5"/>
      <c r="K662" s="5"/>
    </row>
    <row r="663" spans="1:11" x14ac:dyDescent="0.25">
      <c r="A663" s="2">
        <v>41159</v>
      </c>
      <c r="B663">
        <v>565011.56000000006</v>
      </c>
      <c r="C663">
        <v>7457.09</v>
      </c>
      <c r="D663" s="5">
        <v>0</v>
      </c>
      <c r="E663">
        <f>D663/MAX($B$2:B663,100000)</f>
        <v>0</v>
      </c>
      <c r="G663" s="2"/>
      <c r="H663" s="5"/>
      <c r="K663" s="5"/>
    </row>
    <row r="664" spans="1:11" x14ac:dyDescent="0.25">
      <c r="A664" s="2">
        <v>41166</v>
      </c>
      <c r="B664">
        <v>558917.18999999994</v>
      </c>
      <c r="C664">
        <v>7457.09</v>
      </c>
      <c r="D664" s="5">
        <v>-6094.38</v>
      </c>
      <c r="E664">
        <f>D664/MAX($B$2:B664,100000)</f>
        <v>-1.0786292584880917E-2</v>
      </c>
      <c r="G664" s="2"/>
      <c r="H664" s="5"/>
      <c r="K664" s="5"/>
    </row>
    <row r="665" spans="1:11" x14ac:dyDescent="0.25">
      <c r="A665" s="2">
        <v>41173</v>
      </c>
      <c r="B665">
        <v>550824</v>
      </c>
      <c r="C665">
        <v>7457.09</v>
      </c>
      <c r="D665" s="5">
        <v>-14187.56</v>
      </c>
      <c r="E665">
        <f>D665/MAX($B$2:B665,100000)</f>
        <v>-2.5110211904336963E-2</v>
      </c>
      <c r="G665" s="2"/>
      <c r="H665" s="5"/>
      <c r="K665" s="5"/>
    </row>
    <row r="666" spans="1:11" x14ac:dyDescent="0.25">
      <c r="A666" s="2">
        <v>41180</v>
      </c>
      <c r="B666">
        <v>552027.56000000006</v>
      </c>
      <c r="C666">
        <v>7457.09</v>
      </c>
      <c r="D666" s="5">
        <v>-12984</v>
      </c>
      <c r="E666">
        <f>D666/MAX($B$2:B666,100000)</f>
        <v>-2.2980060797340145E-2</v>
      </c>
      <c r="G666" s="2"/>
      <c r="H666" s="5"/>
      <c r="K666" s="5"/>
    </row>
    <row r="667" spans="1:11" x14ac:dyDescent="0.25">
      <c r="A667" s="2">
        <v>41187</v>
      </c>
      <c r="B667">
        <v>568869.18999999994</v>
      </c>
      <c r="C667">
        <v>7457.09</v>
      </c>
      <c r="D667" s="5">
        <v>0</v>
      </c>
      <c r="E667">
        <f>D667/MAX($B$2:B667,100000)</f>
        <v>0</v>
      </c>
      <c r="G667" s="2"/>
      <c r="H667" s="5"/>
      <c r="K667" s="5"/>
    </row>
    <row r="668" spans="1:11" x14ac:dyDescent="0.25">
      <c r="A668" s="2">
        <v>41194</v>
      </c>
      <c r="B668">
        <v>567222.25</v>
      </c>
      <c r="C668">
        <v>7457.09</v>
      </c>
      <c r="D668" s="5">
        <v>-1646.94</v>
      </c>
      <c r="E668">
        <f>D668/MAX($B$2:B668,100000)</f>
        <v>-2.8951119676563961E-3</v>
      </c>
      <c r="G668" s="2"/>
      <c r="H668" s="5"/>
      <c r="K668" s="5"/>
    </row>
    <row r="669" spans="1:11" x14ac:dyDescent="0.25">
      <c r="A669" s="2">
        <v>41201</v>
      </c>
      <c r="B669">
        <v>572322</v>
      </c>
      <c r="C669">
        <v>7457.09</v>
      </c>
      <c r="D669" s="5">
        <v>0</v>
      </c>
      <c r="E669">
        <f>D669/MAX($B$2:B669,100000)</f>
        <v>0</v>
      </c>
      <c r="G669" s="2"/>
      <c r="H669" s="5"/>
      <c r="K669" s="5"/>
    </row>
    <row r="670" spans="1:11" x14ac:dyDescent="0.25">
      <c r="A670" s="2">
        <v>41208</v>
      </c>
      <c r="B670">
        <v>570016.5</v>
      </c>
      <c r="C670">
        <v>7457.09</v>
      </c>
      <c r="D670" s="5">
        <v>-2305.5</v>
      </c>
      <c r="E670">
        <f>D670/MAX($B$2:B670,100000)</f>
        <v>-4.0283267111870594E-3</v>
      </c>
      <c r="G670" s="2"/>
      <c r="H670" s="5"/>
      <c r="K670" s="5"/>
    </row>
    <row r="671" spans="1:11" x14ac:dyDescent="0.25">
      <c r="A671" s="2">
        <v>41215</v>
      </c>
      <c r="B671">
        <v>573658.25</v>
      </c>
      <c r="C671">
        <v>7457.09</v>
      </c>
      <c r="D671" s="5">
        <v>0</v>
      </c>
      <c r="E671">
        <f>D671/MAX($B$2:B671,100000)</f>
        <v>0</v>
      </c>
      <c r="G671" s="2"/>
      <c r="H671" s="5"/>
      <c r="K671" s="5"/>
    </row>
    <row r="672" spans="1:11" x14ac:dyDescent="0.25">
      <c r="A672" s="2">
        <v>41222</v>
      </c>
      <c r="B672">
        <v>574983.38</v>
      </c>
      <c r="C672">
        <v>7457.09</v>
      </c>
      <c r="D672" s="5">
        <v>0</v>
      </c>
      <c r="E672">
        <f>D672/MAX($B$2:B672,100000)</f>
        <v>0</v>
      </c>
      <c r="G672" s="2"/>
      <c r="H672" s="5"/>
      <c r="K672" s="5"/>
    </row>
    <row r="673" spans="1:11" x14ac:dyDescent="0.25">
      <c r="A673" s="2">
        <v>41229</v>
      </c>
      <c r="B673">
        <v>567156.06000000006</v>
      </c>
      <c r="C673">
        <v>7457.09</v>
      </c>
      <c r="D673" s="5">
        <v>-7827.31</v>
      </c>
      <c r="E673">
        <f>D673/MAX($B$2:B673,100000)</f>
        <v>-1.3613106521444152E-2</v>
      </c>
      <c r="G673" s="2"/>
      <c r="H673" s="5"/>
      <c r="K673" s="5"/>
    </row>
    <row r="674" spans="1:11" x14ac:dyDescent="0.25">
      <c r="A674" s="2">
        <v>41236</v>
      </c>
      <c r="B674">
        <v>567891.56000000006</v>
      </c>
      <c r="C674">
        <v>7457.09</v>
      </c>
      <c r="D674" s="5">
        <v>-7091.81</v>
      </c>
      <c r="E674">
        <f>D674/MAX($B$2:B674,100000)</f>
        <v>-1.2333939113161845E-2</v>
      </c>
      <c r="G674" s="2"/>
      <c r="H674" s="5"/>
      <c r="K674" s="5"/>
    </row>
    <row r="675" spans="1:11" x14ac:dyDescent="0.25">
      <c r="A675" s="2">
        <v>41243</v>
      </c>
      <c r="B675">
        <v>574664.68999999994</v>
      </c>
      <c r="C675">
        <v>117710.76</v>
      </c>
      <c r="D675" s="5">
        <v>-318.69</v>
      </c>
      <c r="E675">
        <f>D675/MAX($B$2:B675,100000)</f>
        <v>-5.5425949877020795E-4</v>
      </c>
      <c r="G675" s="2"/>
      <c r="H675" s="5"/>
      <c r="K675" s="5"/>
    </row>
    <row r="676" spans="1:11" x14ac:dyDescent="0.25">
      <c r="A676" s="2">
        <v>41250</v>
      </c>
      <c r="B676">
        <v>576941.43999999994</v>
      </c>
      <c r="C676">
        <v>61920.76</v>
      </c>
      <c r="D676" s="5">
        <v>0</v>
      </c>
      <c r="E676">
        <f>D676/MAX($B$2:B676,100000)</f>
        <v>0</v>
      </c>
      <c r="G676" s="2"/>
      <c r="H676" s="5"/>
      <c r="K676" s="5"/>
    </row>
    <row r="677" spans="1:11" x14ac:dyDescent="0.25">
      <c r="A677" s="2">
        <v>41257</v>
      </c>
      <c r="B677">
        <v>580866.06000000006</v>
      </c>
      <c r="C677">
        <v>61920.76</v>
      </c>
      <c r="D677" s="5">
        <v>0</v>
      </c>
      <c r="E677">
        <f>D677/MAX($B$2:B677,100000)</f>
        <v>0</v>
      </c>
      <c r="G677" s="2"/>
      <c r="H677" s="5"/>
      <c r="K677" s="5"/>
    </row>
    <row r="678" spans="1:11" x14ac:dyDescent="0.25">
      <c r="A678" s="2">
        <v>41264</v>
      </c>
      <c r="B678">
        <v>586777.81000000006</v>
      </c>
      <c r="C678">
        <v>16903.43</v>
      </c>
      <c r="D678" s="5">
        <v>0</v>
      </c>
      <c r="E678">
        <f>D678/MAX($B$2:B678,100000)</f>
        <v>0</v>
      </c>
      <c r="G678" s="2"/>
      <c r="H678" s="5"/>
      <c r="K678" s="5"/>
    </row>
    <row r="679" spans="1:11" x14ac:dyDescent="0.25">
      <c r="A679" s="2">
        <v>41271</v>
      </c>
      <c r="B679">
        <v>597214.5</v>
      </c>
      <c r="C679">
        <v>16903.43</v>
      </c>
      <c r="D679" s="5">
        <v>0</v>
      </c>
      <c r="E679">
        <f>D679/MAX($B$2:B679,100000)</f>
        <v>0</v>
      </c>
      <c r="G679" s="2"/>
      <c r="H679" s="5"/>
      <c r="K679" s="5"/>
    </row>
    <row r="680" spans="1:11" x14ac:dyDescent="0.25">
      <c r="A680" s="2">
        <v>41278</v>
      </c>
      <c r="B680">
        <v>600790.88</v>
      </c>
      <c r="C680">
        <v>16903.43</v>
      </c>
      <c r="D680" s="5">
        <v>0</v>
      </c>
      <c r="E680">
        <f>D680/MAX($B$2:B680,100000)</f>
        <v>0</v>
      </c>
      <c r="G680" s="2"/>
      <c r="H680" s="5"/>
      <c r="K680" s="5"/>
    </row>
    <row r="681" spans="1:11" x14ac:dyDescent="0.25">
      <c r="A681" s="2">
        <v>41285</v>
      </c>
      <c r="B681">
        <v>599545.93999999994</v>
      </c>
      <c r="C681">
        <v>16903.43</v>
      </c>
      <c r="D681" s="5">
        <v>-1244.94</v>
      </c>
      <c r="E681">
        <f>D681/MAX($B$2:B681,100000)</f>
        <v>-2.0721686054888185E-3</v>
      </c>
      <c r="G681" s="2"/>
      <c r="H681" s="5"/>
      <c r="K681" s="5"/>
    </row>
    <row r="682" spans="1:11" x14ac:dyDescent="0.25">
      <c r="A682" s="2">
        <v>41292</v>
      </c>
      <c r="B682">
        <v>607044.56000000006</v>
      </c>
      <c r="C682">
        <v>16903.43</v>
      </c>
      <c r="D682" s="5">
        <v>0</v>
      </c>
      <c r="E682">
        <f>D682/MAX($B$2:B682,100000)</f>
        <v>0</v>
      </c>
      <c r="G682" s="2"/>
      <c r="H682" s="5"/>
      <c r="K682" s="5"/>
    </row>
    <row r="683" spans="1:11" x14ac:dyDescent="0.25">
      <c r="A683" s="2">
        <v>41299</v>
      </c>
      <c r="B683">
        <v>613573.68999999994</v>
      </c>
      <c r="C683">
        <v>16903.43</v>
      </c>
      <c r="D683" s="5">
        <v>0</v>
      </c>
      <c r="E683">
        <f>D683/MAX($B$2:B683,100000)</f>
        <v>0</v>
      </c>
      <c r="G683" s="2"/>
      <c r="H683" s="5"/>
      <c r="K683" s="5"/>
    </row>
    <row r="684" spans="1:11" x14ac:dyDescent="0.25">
      <c r="A684" s="2">
        <v>41306</v>
      </c>
      <c r="B684">
        <v>627782.43999999994</v>
      </c>
      <c r="C684">
        <v>16903.43</v>
      </c>
      <c r="D684" s="5">
        <v>0</v>
      </c>
      <c r="E684">
        <f>D684/MAX($B$2:B684,100000)</f>
        <v>0</v>
      </c>
      <c r="G684" s="2"/>
      <c r="H684" s="5"/>
      <c r="K684" s="5"/>
    </row>
    <row r="685" spans="1:11" x14ac:dyDescent="0.25">
      <c r="A685" s="2">
        <v>41313</v>
      </c>
      <c r="B685">
        <v>644181.5</v>
      </c>
      <c r="C685">
        <v>16903.43</v>
      </c>
      <c r="D685" s="5">
        <v>0</v>
      </c>
      <c r="E685">
        <f>D685/MAX($B$2:B685,100000)</f>
        <v>0</v>
      </c>
      <c r="G685" s="2"/>
      <c r="H685" s="5"/>
      <c r="K685" s="5"/>
    </row>
    <row r="686" spans="1:11" x14ac:dyDescent="0.25">
      <c r="A686" s="2">
        <v>41320</v>
      </c>
      <c r="B686">
        <v>643681.68999999994</v>
      </c>
      <c r="C686">
        <v>16903.43</v>
      </c>
      <c r="D686" s="5">
        <v>-499.81</v>
      </c>
      <c r="E686">
        <f>D686/MAX($B$2:B686,100000)</f>
        <v>-7.7588381535328163E-4</v>
      </c>
      <c r="G686" s="2"/>
      <c r="H686" s="5"/>
      <c r="K686" s="5"/>
    </row>
    <row r="687" spans="1:11" x14ac:dyDescent="0.25">
      <c r="A687" s="2">
        <v>41327</v>
      </c>
      <c r="B687">
        <v>641197.88</v>
      </c>
      <c r="C687">
        <v>16903.43</v>
      </c>
      <c r="D687" s="5">
        <v>-2983.63</v>
      </c>
      <c r="E687">
        <f>D687/MAX($B$2:B687,100000)</f>
        <v>-4.6316604869900795E-3</v>
      </c>
      <c r="G687" s="2"/>
      <c r="H687" s="5"/>
      <c r="K687" s="5"/>
    </row>
    <row r="688" spans="1:11" x14ac:dyDescent="0.25">
      <c r="A688" s="2">
        <v>41334</v>
      </c>
      <c r="B688">
        <v>645619.18999999994</v>
      </c>
      <c r="C688">
        <v>16903.43</v>
      </c>
      <c r="D688" s="5">
        <v>0</v>
      </c>
      <c r="E688">
        <f>D688/MAX($B$2:B688,100000)</f>
        <v>0</v>
      </c>
      <c r="G688" s="2"/>
      <c r="H688" s="5"/>
      <c r="K688" s="5"/>
    </row>
    <row r="689" spans="1:11" x14ac:dyDescent="0.25">
      <c r="A689" s="2">
        <v>41341</v>
      </c>
      <c r="B689">
        <v>653623.68999999994</v>
      </c>
      <c r="C689">
        <v>16903.43</v>
      </c>
      <c r="D689" s="5">
        <v>0</v>
      </c>
      <c r="E689">
        <f>D689/MAX($B$2:B689,100000)</f>
        <v>0</v>
      </c>
      <c r="G689" s="2"/>
      <c r="H689" s="5"/>
      <c r="K689" s="5"/>
    </row>
    <row r="690" spans="1:11" x14ac:dyDescent="0.25">
      <c r="A690" s="2">
        <v>41348</v>
      </c>
      <c r="B690">
        <v>659019.56000000006</v>
      </c>
      <c r="C690">
        <v>16903.43</v>
      </c>
      <c r="D690" s="5">
        <v>0</v>
      </c>
      <c r="E690">
        <f>D690/MAX($B$2:B690,100000)</f>
        <v>0</v>
      </c>
      <c r="G690" s="2"/>
      <c r="H690" s="5"/>
      <c r="K690" s="5"/>
    </row>
    <row r="691" spans="1:11" x14ac:dyDescent="0.25">
      <c r="A691" s="2">
        <v>41355</v>
      </c>
      <c r="B691">
        <v>642002.88</v>
      </c>
      <c r="C691">
        <v>16903.43</v>
      </c>
      <c r="D691" s="5">
        <v>-17016.689999999999</v>
      </c>
      <c r="E691">
        <f>D691/MAX($B$2:B691,100000)</f>
        <v>-2.5821221452061296E-2</v>
      </c>
      <c r="G691" s="2"/>
      <c r="H691" s="5"/>
      <c r="K691" s="5"/>
    </row>
    <row r="692" spans="1:11" x14ac:dyDescent="0.25">
      <c r="A692" s="2">
        <v>41361</v>
      </c>
      <c r="B692">
        <v>641123.88</v>
      </c>
      <c r="C692">
        <v>16903.43</v>
      </c>
      <c r="D692" s="5">
        <v>-17895.689999999999</v>
      </c>
      <c r="E692">
        <f>D692/MAX($B$2:B692,100000)</f>
        <v>-2.7155021013336837E-2</v>
      </c>
      <c r="G692" s="2"/>
      <c r="H692" s="5"/>
      <c r="K692" s="5"/>
    </row>
    <row r="693" spans="1:11" x14ac:dyDescent="0.25">
      <c r="A693" s="2">
        <v>41369</v>
      </c>
      <c r="B693">
        <v>637849.56000000006</v>
      </c>
      <c r="C693">
        <v>16903.43</v>
      </c>
      <c r="D693" s="5">
        <v>-21170</v>
      </c>
      <c r="E693">
        <f>D693/MAX($B$2:B693,100000)</f>
        <v>-3.2123477488285777E-2</v>
      </c>
      <c r="G693" s="2"/>
      <c r="H693" s="5"/>
      <c r="K693" s="5"/>
    </row>
    <row r="694" spans="1:11" x14ac:dyDescent="0.25">
      <c r="A694" s="2">
        <v>41376</v>
      </c>
      <c r="B694">
        <v>648502.63</v>
      </c>
      <c r="C694">
        <v>16903.43</v>
      </c>
      <c r="D694" s="5">
        <v>-10516.94</v>
      </c>
      <c r="E694">
        <f>D694/MAX($B$2:B694,100000)</f>
        <v>-1.5958464115996798E-2</v>
      </c>
      <c r="G694" s="2"/>
      <c r="H694" s="5"/>
      <c r="K694" s="5"/>
    </row>
    <row r="695" spans="1:11" x14ac:dyDescent="0.25">
      <c r="A695" s="2">
        <v>41383</v>
      </c>
      <c r="B695">
        <v>645318</v>
      </c>
      <c r="C695">
        <v>71668.59</v>
      </c>
      <c r="D695" s="5">
        <v>-13701.56</v>
      </c>
      <c r="E695">
        <f>D695/MAX($B$2:B695,100000)</f>
        <v>-2.0790824478715015E-2</v>
      </c>
      <c r="G695" s="2"/>
      <c r="H695" s="5"/>
      <c r="K695" s="5"/>
    </row>
    <row r="696" spans="1:11" x14ac:dyDescent="0.25">
      <c r="A696" s="2">
        <v>41390</v>
      </c>
      <c r="B696">
        <v>659345.81000000006</v>
      </c>
      <c r="C696">
        <v>71668.59</v>
      </c>
      <c r="D696" s="5">
        <v>0</v>
      </c>
      <c r="E696">
        <f>D696/MAX($B$2:B696,100000)</f>
        <v>0</v>
      </c>
      <c r="G696" s="2"/>
      <c r="H696" s="5"/>
      <c r="K696" s="5"/>
    </row>
    <row r="697" spans="1:11" x14ac:dyDescent="0.25">
      <c r="A697" s="2">
        <v>41397</v>
      </c>
      <c r="B697">
        <v>660274.88</v>
      </c>
      <c r="C697">
        <v>71668.59</v>
      </c>
      <c r="D697" s="5">
        <v>0</v>
      </c>
      <c r="E697">
        <f>D697/MAX($B$2:B697,100000)</f>
        <v>0</v>
      </c>
      <c r="G697" s="2"/>
      <c r="H697" s="5"/>
      <c r="K697" s="5"/>
    </row>
    <row r="698" spans="1:11" x14ac:dyDescent="0.25">
      <c r="A698" s="2">
        <v>41404</v>
      </c>
      <c r="B698">
        <v>681687.94</v>
      </c>
      <c r="C698">
        <v>20564.57</v>
      </c>
      <c r="D698" s="5">
        <v>0</v>
      </c>
      <c r="E698">
        <f>D698/MAX($B$2:B698,100000)</f>
        <v>0</v>
      </c>
      <c r="G698" s="2"/>
      <c r="H698" s="5"/>
      <c r="K698" s="5"/>
    </row>
    <row r="699" spans="1:11" x14ac:dyDescent="0.25">
      <c r="A699" s="2">
        <v>41411</v>
      </c>
      <c r="B699">
        <v>679626.69</v>
      </c>
      <c r="C699">
        <v>20564.57</v>
      </c>
      <c r="D699" s="5">
        <v>-2061.25</v>
      </c>
      <c r="E699">
        <f>D699/MAX($B$2:B699,100000)</f>
        <v>-3.0237442663280799E-3</v>
      </c>
      <c r="G699" s="2"/>
      <c r="H699" s="5"/>
      <c r="K699" s="5"/>
    </row>
    <row r="700" spans="1:11" x14ac:dyDescent="0.25">
      <c r="A700" s="2">
        <v>41418</v>
      </c>
      <c r="B700">
        <v>657601.63</v>
      </c>
      <c r="C700">
        <v>20564.57</v>
      </c>
      <c r="D700" s="5">
        <v>-24086.31</v>
      </c>
      <c r="E700">
        <f>D700/MAX($B$2:B700,100000)</f>
        <v>-3.5333337421225325E-2</v>
      </c>
      <c r="G700" s="2"/>
      <c r="H700" s="5"/>
      <c r="K700" s="5"/>
    </row>
    <row r="701" spans="1:11" x14ac:dyDescent="0.25">
      <c r="A701" s="2">
        <v>41425</v>
      </c>
      <c r="B701">
        <v>650674.5</v>
      </c>
      <c r="C701">
        <v>20564.57</v>
      </c>
      <c r="D701" s="5">
        <v>-31013.439999999999</v>
      </c>
      <c r="E701">
        <f>D701/MAX($B$2:B701,100000)</f>
        <v>-4.5495069195444472E-2</v>
      </c>
      <c r="G701" s="2"/>
      <c r="H701" s="5"/>
      <c r="K701" s="5"/>
    </row>
    <row r="702" spans="1:11" x14ac:dyDescent="0.25">
      <c r="A702" s="2">
        <v>41432</v>
      </c>
      <c r="B702">
        <v>634349.18999999994</v>
      </c>
      <c r="C702">
        <v>112312.11</v>
      </c>
      <c r="D702" s="5">
        <v>-47338.75</v>
      </c>
      <c r="E702">
        <f>D702/MAX($B$2:B702,100000)</f>
        <v>-6.9443431843608683E-2</v>
      </c>
      <c r="G702" s="2"/>
      <c r="H702" s="5"/>
      <c r="K702" s="5"/>
    </row>
    <row r="703" spans="1:11" x14ac:dyDescent="0.25">
      <c r="A703" s="2">
        <v>41439</v>
      </c>
      <c r="B703">
        <v>632844.93999999994</v>
      </c>
      <c r="C703">
        <v>112312.11</v>
      </c>
      <c r="D703" s="5">
        <v>-48843</v>
      </c>
      <c r="E703">
        <f>D703/MAX($B$2:B703,100000)</f>
        <v>-7.1650086695093956E-2</v>
      </c>
      <c r="G703" s="2"/>
      <c r="H703" s="5"/>
      <c r="K703" s="5"/>
    </row>
    <row r="704" spans="1:11" x14ac:dyDescent="0.25">
      <c r="A704" s="2">
        <v>41446</v>
      </c>
      <c r="B704">
        <v>635414.5</v>
      </c>
      <c r="C704">
        <v>112312.11</v>
      </c>
      <c r="D704" s="5">
        <v>-46273.440000000002</v>
      </c>
      <c r="E704">
        <f>D704/MAX($B$2:B704,100000)</f>
        <v>-6.7880678657744789E-2</v>
      </c>
      <c r="G704" s="2"/>
      <c r="H704" s="5"/>
      <c r="K704" s="5"/>
    </row>
    <row r="705" spans="1:11" x14ac:dyDescent="0.25">
      <c r="A705" s="2">
        <v>41453</v>
      </c>
      <c r="B705">
        <v>640652.56000000006</v>
      </c>
      <c r="C705">
        <v>112312.11</v>
      </c>
      <c r="D705" s="5">
        <v>-41035.379999999997</v>
      </c>
      <c r="E705">
        <f>D705/MAX($B$2:B705,100000)</f>
        <v>-6.0196722858262684E-2</v>
      </c>
      <c r="G705" s="2"/>
      <c r="H705" s="5"/>
      <c r="K705" s="5"/>
    </row>
    <row r="706" spans="1:11" x14ac:dyDescent="0.25">
      <c r="A706" s="2">
        <v>41460</v>
      </c>
      <c r="B706">
        <v>644856.06000000006</v>
      </c>
      <c r="C706">
        <v>112312.11</v>
      </c>
      <c r="D706" s="5">
        <v>-36831.879999999997</v>
      </c>
      <c r="E706">
        <f>D706/MAX($B$2:B706,100000)</f>
        <v>-5.4030411627936384E-2</v>
      </c>
      <c r="G706" s="2"/>
      <c r="H706" s="5"/>
      <c r="K706" s="5"/>
    </row>
    <row r="707" spans="1:11" x14ac:dyDescent="0.25">
      <c r="A707" s="2">
        <v>41467</v>
      </c>
      <c r="B707">
        <v>650266.56000000006</v>
      </c>
      <c r="C707">
        <v>112312.11</v>
      </c>
      <c r="D707" s="5">
        <v>-31421.38</v>
      </c>
      <c r="E707">
        <f>D707/MAX($B$2:B707,100000)</f>
        <v>-4.6093495507636535E-2</v>
      </c>
      <c r="G707" s="2"/>
      <c r="H707" s="5"/>
      <c r="K707" s="5"/>
    </row>
    <row r="708" spans="1:11" x14ac:dyDescent="0.25">
      <c r="A708" s="2">
        <v>41474</v>
      </c>
      <c r="B708">
        <v>659405.75</v>
      </c>
      <c r="C708">
        <v>112312.11</v>
      </c>
      <c r="D708" s="5">
        <v>-22282.19</v>
      </c>
      <c r="E708">
        <f>D708/MAX($B$2:B708,100000)</f>
        <v>-3.2686789207390113E-2</v>
      </c>
      <c r="G708" s="2"/>
      <c r="H708" s="5"/>
      <c r="K708" s="5"/>
    </row>
    <row r="709" spans="1:11" x14ac:dyDescent="0.25">
      <c r="A709" s="2">
        <v>41481</v>
      </c>
      <c r="B709">
        <v>658579.38</v>
      </c>
      <c r="C709">
        <v>112312.11</v>
      </c>
      <c r="D709" s="5">
        <v>-23108.560000000001</v>
      </c>
      <c r="E709">
        <f>D709/MAX($B$2:B709,100000)</f>
        <v>-3.389903010459596E-2</v>
      </c>
      <c r="G709" s="2"/>
      <c r="H709" s="5"/>
      <c r="K709" s="5"/>
    </row>
    <row r="710" spans="1:11" x14ac:dyDescent="0.25">
      <c r="A710" s="2">
        <v>41488</v>
      </c>
      <c r="B710">
        <v>651749.75</v>
      </c>
      <c r="C710">
        <v>112312.11</v>
      </c>
      <c r="D710" s="5">
        <v>-29938.19</v>
      </c>
      <c r="E710">
        <f>D710/MAX($B$2:B710,100000)</f>
        <v>-4.3917734557545496E-2</v>
      </c>
      <c r="G710" s="2"/>
      <c r="H710" s="5"/>
      <c r="K710" s="5"/>
    </row>
    <row r="711" spans="1:11" x14ac:dyDescent="0.25">
      <c r="A711" s="2">
        <v>41495</v>
      </c>
      <c r="B711">
        <v>645631.5</v>
      </c>
      <c r="C711">
        <v>112312.11</v>
      </c>
      <c r="D711" s="5">
        <v>-36056.44</v>
      </c>
      <c r="E711">
        <f>D711/MAX($B$2:B711,100000)</f>
        <v>-5.2892882335574258E-2</v>
      </c>
      <c r="G711" s="2"/>
      <c r="H711" s="5"/>
      <c r="K711" s="5"/>
    </row>
    <row r="712" spans="1:11" x14ac:dyDescent="0.25">
      <c r="A712" s="2">
        <v>41502</v>
      </c>
      <c r="B712">
        <v>652744.75</v>
      </c>
      <c r="C712">
        <v>12864.94</v>
      </c>
      <c r="D712" s="5">
        <v>-28943.19</v>
      </c>
      <c r="E712">
        <f>D712/MAX($B$2:B712,100000)</f>
        <v>-4.2458122407153048E-2</v>
      </c>
      <c r="G712" s="2"/>
      <c r="H712" s="5"/>
      <c r="K712" s="5"/>
    </row>
    <row r="713" spans="1:11" x14ac:dyDescent="0.25">
      <c r="A713" s="2">
        <v>41509</v>
      </c>
      <c r="B713">
        <v>661565.06000000006</v>
      </c>
      <c r="C713">
        <v>12864.94</v>
      </c>
      <c r="D713" s="5">
        <v>-20122.88</v>
      </c>
      <c r="E713">
        <f>D713/MAX($B$2:B713,100000)</f>
        <v>-2.9519196129536931E-2</v>
      </c>
      <c r="G713" s="2"/>
      <c r="H713" s="5"/>
      <c r="K713" s="5"/>
    </row>
    <row r="714" spans="1:11" x14ac:dyDescent="0.25">
      <c r="A714" s="2">
        <v>41516</v>
      </c>
      <c r="B714">
        <v>659297.68999999994</v>
      </c>
      <c r="C714">
        <v>12864.94</v>
      </c>
      <c r="D714" s="5">
        <v>-22390.25</v>
      </c>
      <c r="E714">
        <f>D714/MAX($B$2:B714,100000)</f>
        <v>-3.2845307487763389E-2</v>
      </c>
      <c r="G714" s="2"/>
      <c r="H714" s="5"/>
      <c r="K714" s="5"/>
    </row>
    <row r="715" spans="1:11" x14ac:dyDescent="0.25">
      <c r="A715" s="2">
        <v>41523</v>
      </c>
      <c r="B715">
        <v>671868.38</v>
      </c>
      <c r="C715">
        <v>12864.94</v>
      </c>
      <c r="D715" s="5">
        <v>-9819.56</v>
      </c>
      <c r="E715">
        <f>D715/MAX($B$2:B715,100000)</f>
        <v>-1.4404772952269039E-2</v>
      </c>
      <c r="G715" s="2"/>
      <c r="H715" s="5"/>
      <c r="K715" s="5"/>
    </row>
    <row r="716" spans="1:11" x14ac:dyDescent="0.25">
      <c r="A716" s="2">
        <v>41530</v>
      </c>
      <c r="B716">
        <v>682249.94</v>
      </c>
      <c r="C716">
        <v>12864.94</v>
      </c>
      <c r="D716" s="5">
        <v>0</v>
      </c>
      <c r="E716">
        <f>D716/MAX($B$2:B716,100000)</f>
        <v>0</v>
      </c>
      <c r="G716" s="2"/>
      <c r="H716" s="5"/>
      <c r="K716" s="5"/>
    </row>
    <row r="717" spans="1:11" x14ac:dyDescent="0.25">
      <c r="A717" s="2">
        <v>41537</v>
      </c>
      <c r="B717">
        <v>687046.69</v>
      </c>
      <c r="C717">
        <v>12864.94</v>
      </c>
      <c r="D717" s="5">
        <v>0</v>
      </c>
      <c r="E717">
        <f>D717/MAX($B$2:B717,100000)</f>
        <v>0</v>
      </c>
      <c r="G717" s="2"/>
      <c r="H717" s="5"/>
      <c r="K717" s="5"/>
    </row>
    <row r="718" spans="1:11" x14ac:dyDescent="0.25">
      <c r="A718" s="2">
        <v>41544</v>
      </c>
      <c r="B718">
        <v>686127.94</v>
      </c>
      <c r="C718">
        <v>14606.27</v>
      </c>
      <c r="D718" s="5">
        <v>-918.75</v>
      </c>
      <c r="E718">
        <f>D718/MAX($B$2:B718,100000)</f>
        <v>-1.337245362465832E-3</v>
      </c>
      <c r="G718" s="2"/>
      <c r="H718" s="5"/>
      <c r="K718" s="5"/>
    </row>
    <row r="719" spans="1:11" x14ac:dyDescent="0.25">
      <c r="A719" s="2">
        <v>41551</v>
      </c>
      <c r="B719">
        <v>679974.88</v>
      </c>
      <c r="C719">
        <v>14606.27</v>
      </c>
      <c r="D719" s="5">
        <v>-7071.81</v>
      </c>
      <c r="E719">
        <f>D719/MAX($B$2:B719,100000)</f>
        <v>-1.0293055920260676E-2</v>
      </c>
      <c r="G719" s="2"/>
      <c r="H719" s="5"/>
      <c r="K719" s="5"/>
    </row>
    <row r="720" spans="1:11" x14ac:dyDescent="0.25">
      <c r="A720" s="2">
        <v>41558</v>
      </c>
      <c r="B720">
        <v>684478.19</v>
      </c>
      <c r="C720">
        <v>14606.27</v>
      </c>
      <c r="D720" s="5">
        <v>-2568.5</v>
      </c>
      <c r="E720">
        <f>D720/MAX($B$2:B720,100000)</f>
        <v>-3.7384649942786277E-3</v>
      </c>
      <c r="G720" s="2"/>
      <c r="H720" s="5"/>
      <c r="K720" s="5"/>
    </row>
    <row r="721" spans="1:11" x14ac:dyDescent="0.25">
      <c r="A721" s="2">
        <v>41565</v>
      </c>
      <c r="B721">
        <v>696949.13</v>
      </c>
      <c r="C721">
        <v>14606.27</v>
      </c>
      <c r="D721" s="5">
        <v>0</v>
      </c>
      <c r="E721">
        <f>D721/MAX($B$2:B721,100000)</f>
        <v>0</v>
      </c>
      <c r="G721" s="2"/>
      <c r="H721" s="5"/>
      <c r="K721" s="5"/>
    </row>
    <row r="722" spans="1:11" x14ac:dyDescent="0.25">
      <c r="A722" s="2">
        <v>41572</v>
      </c>
      <c r="B722">
        <v>704061.56</v>
      </c>
      <c r="C722">
        <v>14606.27</v>
      </c>
      <c r="D722" s="5">
        <v>0</v>
      </c>
      <c r="E722">
        <f>D722/MAX($B$2:B722,100000)</f>
        <v>0</v>
      </c>
      <c r="G722" s="2"/>
      <c r="H722" s="5"/>
      <c r="K722" s="5"/>
    </row>
    <row r="723" spans="1:11" x14ac:dyDescent="0.25">
      <c r="A723" s="2">
        <v>41579</v>
      </c>
      <c r="B723">
        <v>709228.06</v>
      </c>
      <c r="C723">
        <v>14606.27</v>
      </c>
      <c r="D723" s="5">
        <v>0</v>
      </c>
      <c r="E723">
        <f>D723/MAX($B$2:B723,100000)</f>
        <v>0</v>
      </c>
      <c r="G723" s="2"/>
      <c r="H723" s="5"/>
      <c r="K723" s="5"/>
    </row>
    <row r="724" spans="1:11" x14ac:dyDescent="0.25">
      <c r="A724" s="2">
        <v>41586</v>
      </c>
      <c r="B724">
        <v>721631.44</v>
      </c>
      <c r="C724">
        <v>14606.27</v>
      </c>
      <c r="D724" s="5">
        <v>0</v>
      </c>
      <c r="E724">
        <f>D724/MAX($B$2:B724,100000)</f>
        <v>0</v>
      </c>
      <c r="G724" s="2"/>
      <c r="H724" s="5"/>
      <c r="K724" s="5"/>
    </row>
    <row r="725" spans="1:11" x14ac:dyDescent="0.25">
      <c r="A725" s="2">
        <v>41593</v>
      </c>
      <c r="B725">
        <v>731424.63</v>
      </c>
      <c r="C725">
        <v>14606.27</v>
      </c>
      <c r="D725" s="5">
        <v>0</v>
      </c>
      <c r="E725">
        <f>D725/MAX($B$2:B725,100000)</f>
        <v>0</v>
      </c>
      <c r="G725" s="2"/>
      <c r="H725" s="5"/>
      <c r="K725" s="5"/>
    </row>
    <row r="726" spans="1:11" x14ac:dyDescent="0.25">
      <c r="A726" s="2">
        <v>41600</v>
      </c>
      <c r="B726">
        <v>735910.44</v>
      </c>
      <c r="C726">
        <v>14606.27</v>
      </c>
      <c r="D726" s="5">
        <v>0</v>
      </c>
      <c r="E726">
        <f>D726/MAX($B$2:B726,100000)</f>
        <v>0</v>
      </c>
      <c r="G726" s="2"/>
      <c r="H726" s="5"/>
      <c r="K726" s="5"/>
    </row>
    <row r="727" spans="1:11" x14ac:dyDescent="0.25">
      <c r="A727" s="2">
        <v>41607</v>
      </c>
      <c r="B727">
        <v>722841.69</v>
      </c>
      <c r="C727">
        <v>14606.27</v>
      </c>
      <c r="D727" s="5">
        <v>-13068.75</v>
      </c>
      <c r="E727">
        <f>D727/MAX($B$2:B727,100000)</f>
        <v>-1.7758614757524029E-2</v>
      </c>
      <c r="G727" s="2"/>
      <c r="H727" s="5"/>
      <c r="K727" s="5"/>
    </row>
    <row r="728" spans="1:11" x14ac:dyDescent="0.25">
      <c r="A728" s="2">
        <v>41614</v>
      </c>
      <c r="B728">
        <v>707262.19</v>
      </c>
      <c r="C728">
        <v>14606.27</v>
      </c>
      <c r="D728" s="5">
        <v>-28648.25</v>
      </c>
      <c r="E728">
        <f>D728/MAX($B$2:B728,100000)</f>
        <v>-3.8928989783050233E-2</v>
      </c>
      <c r="G728" s="2"/>
      <c r="H728" s="5"/>
      <c r="K728" s="5"/>
    </row>
    <row r="729" spans="1:11" x14ac:dyDescent="0.25">
      <c r="A729" s="2">
        <v>41621</v>
      </c>
      <c r="B729">
        <v>705689</v>
      </c>
      <c r="C729">
        <v>14606.27</v>
      </c>
      <c r="D729" s="5">
        <v>-30221.439999999999</v>
      </c>
      <c r="E729">
        <f>D729/MAX($B$2:B729,100000)</f>
        <v>-4.1066736327317221E-2</v>
      </c>
      <c r="G729" s="2"/>
      <c r="H729" s="5"/>
      <c r="K729" s="5"/>
    </row>
    <row r="730" spans="1:11" x14ac:dyDescent="0.25">
      <c r="A730" s="2">
        <v>41628</v>
      </c>
      <c r="B730">
        <v>724479.06</v>
      </c>
      <c r="C730">
        <v>14606.27</v>
      </c>
      <c r="D730" s="5">
        <v>-11431.38</v>
      </c>
      <c r="E730">
        <f>D730/MAX($B$2:B730,100000)</f>
        <v>-1.5533656513963845E-2</v>
      </c>
      <c r="G730" s="2"/>
      <c r="H730" s="5"/>
      <c r="K730" s="5"/>
    </row>
    <row r="731" spans="1:11" x14ac:dyDescent="0.25">
      <c r="A731" s="2">
        <v>41635</v>
      </c>
      <c r="B731">
        <v>735323</v>
      </c>
      <c r="C731">
        <v>14606.27</v>
      </c>
      <c r="D731" s="5">
        <v>-587.44000000000005</v>
      </c>
      <c r="E731">
        <f>D731/MAX($B$2:B731,100000)</f>
        <v>-7.9824930870664109E-4</v>
      </c>
      <c r="G731" s="2"/>
      <c r="H731" s="5"/>
      <c r="K731" s="5"/>
    </row>
    <row r="732" spans="1:11" x14ac:dyDescent="0.25">
      <c r="A732" s="2">
        <v>41642</v>
      </c>
      <c r="B732">
        <v>739902.13</v>
      </c>
      <c r="C732">
        <v>14606.27</v>
      </c>
      <c r="D732" s="5">
        <v>0</v>
      </c>
      <c r="E732">
        <f>D732/MAX($B$2:B732,100000)</f>
        <v>0</v>
      </c>
      <c r="G732" s="2"/>
      <c r="H732" s="5"/>
      <c r="K732" s="5"/>
    </row>
    <row r="733" spans="1:11" x14ac:dyDescent="0.25">
      <c r="A733" s="2">
        <v>41649</v>
      </c>
      <c r="B733">
        <v>723303.31</v>
      </c>
      <c r="C733">
        <v>14606.27</v>
      </c>
      <c r="D733" s="5">
        <v>-16598.810000000001</v>
      </c>
      <c r="E733">
        <f>D733/MAX($B$2:B733,100000)</f>
        <v>-2.2433791344809349E-2</v>
      </c>
      <c r="G733" s="2"/>
      <c r="H733" s="5"/>
      <c r="K733" s="5"/>
    </row>
    <row r="734" spans="1:11" x14ac:dyDescent="0.25">
      <c r="A734" s="2">
        <v>41656</v>
      </c>
      <c r="B734">
        <v>733930.81</v>
      </c>
      <c r="C734">
        <v>14606.27</v>
      </c>
      <c r="D734" s="5">
        <v>-5971.31</v>
      </c>
      <c r="E734">
        <f>D734/MAX($B$2:B734,100000)</f>
        <v>-8.0704052034557602E-3</v>
      </c>
      <c r="G734" s="2"/>
      <c r="H734" s="5"/>
      <c r="K734" s="5"/>
    </row>
    <row r="735" spans="1:11" x14ac:dyDescent="0.25">
      <c r="A735" s="2">
        <v>41663</v>
      </c>
      <c r="B735">
        <v>726564.56</v>
      </c>
      <c r="C735">
        <v>14606.27</v>
      </c>
      <c r="D735" s="5">
        <v>-13337.56</v>
      </c>
      <c r="E735">
        <f>D735/MAX($B$2:B735,100000)</f>
        <v>-1.8026113805078518E-2</v>
      </c>
      <c r="G735" s="2"/>
      <c r="H735" s="5"/>
      <c r="K735" s="5"/>
    </row>
    <row r="736" spans="1:11" x14ac:dyDescent="0.25">
      <c r="A736" s="2">
        <v>41670</v>
      </c>
      <c r="B736">
        <v>728763.5</v>
      </c>
      <c r="C736">
        <v>14606.27</v>
      </c>
      <c r="D736" s="5">
        <v>-11138.63</v>
      </c>
      <c r="E736">
        <f>D736/MAX($B$2:B736,100000)</f>
        <v>-1.5054193721539901E-2</v>
      </c>
      <c r="G736" s="2"/>
      <c r="H736" s="5"/>
      <c r="K736" s="5"/>
    </row>
    <row r="737" spans="1:11" x14ac:dyDescent="0.25">
      <c r="A737" s="2">
        <v>41677</v>
      </c>
      <c r="B737">
        <v>724877.44</v>
      </c>
      <c r="C737">
        <v>82566.880000000005</v>
      </c>
      <c r="D737" s="5">
        <v>-15024.69</v>
      </c>
      <c r="E737">
        <f>D737/MAX($B$2:B737,100000)</f>
        <v>-2.0306320783263592E-2</v>
      </c>
      <c r="G737" s="2"/>
      <c r="H737" s="5"/>
      <c r="K737" s="5"/>
    </row>
    <row r="738" spans="1:11" x14ac:dyDescent="0.25">
      <c r="A738" s="2">
        <v>41684</v>
      </c>
      <c r="B738">
        <v>752771.19</v>
      </c>
      <c r="C738">
        <v>82566.880000000005</v>
      </c>
      <c r="D738" s="5">
        <v>0</v>
      </c>
      <c r="E738">
        <f>D738/MAX($B$2:B738,100000)</f>
        <v>0</v>
      </c>
      <c r="G738" s="2"/>
      <c r="H738" s="5"/>
      <c r="K738" s="5"/>
    </row>
    <row r="739" spans="1:11" x14ac:dyDescent="0.25">
      <c r="A739" s="2">
        <v>41691</v>
      </c>
      <c r="B739">
        <v>743391.81</v>
      </c>
      <c r="C739">
        <v>24330.43</v>
      </c>
      <c r="D739" s="5">
        <v>-9379.3799999999992</v>
      </c>
      <c r="E739">
        <f>D739/MAX($B$2:B739,100000)</f>
        <v>-1.2459802028289632E-2</v>
      </c>
      <c r="G739" s="2"/>
      <c r="H739" s="5"/>
      <c r="K739" s="5"/>
    </row>
    <row r="740" spans="1:11" x14ac:dyDescent="0.25">
      <c r="A740" s="2">
        <v>41698</v>
      </c>
      <c r="B740">
        <v>733403.19</v>
      </c>
      <c r="C740">
        <v>24330.43</v>
      </c>
      <c r="D740" s="5">
        <v>-19368</v>
      </c>
      <c r="E740">
        <f>D740/MAX($B$2:B740,100000)</f>
        <v>-2.5728933648483547E-2</v>
      </c>
      <c r="G740" s="2"/>
      <c r="H740" s="5"/>
      <c r="K740" s="5"/>
    </row>
    <row r="741" spans="1:11" x14ac:dyDescent="0.25">
      <c r="A741" s="2">
        <v>41705</v>
      </c>
      <c r="B741">
        <v>745025.31</v>
      </c>
      <c r="C741">
        <v>24330.43</v>
      </c>
      <c r="D741" s="5">
        <v>-7745.88</v>
      </c>
      <c r="E741">
        <f>D741/MAX($B$2:B741,100000)</f>
        <v>-1.028981993851279E-2</v>
      </c>
      <c r="G741" s="2"/>
      <c r="H741" s="5"/>
      <c r="K741" s="5"/>
    </row>
    <row r="742" spans="1:11" x14ac:dyDescent="0.25">
      <c r="A742" s="2">
        <v>41712</v>
      </c>
      <c r="B742">
        <v>714754.94</v>
      </c>
      <c r="C742">
        <v>24330.43</v>
      </c>
      <c r="D742" s="5">
        <v>-38016.25</v>
      </c>
      <c r="E742">
        <f>D742/MAX($B$2:B742,100000)</f>
        <v>-5.0501733468306623E-2</v>
      </c>
      <c r="G742" s="2"/>
      <c r="H742" s="5"/>
      <c r="K742" s="5"/>
    </row>
    <row r="743" spans="1:11" x14ac:dyDescent="0.25">
      <c r="A743" s="2">
        <v>41719</v>
      </c>
      <c r="B743">
        <v>721407.94</v>
      </c>
      <c r="C743">
        <v>24330.43</v>
      </c>
      <c r="D743" s="5">
        <v>-31363.25</v>
      </c>
      <c r="E743">
        <f>D743/MAX($B$2:B743,100000)</f>
        <v>-4.1663722544960841E-2</v>
      </c>
      <c r="G743" s="2"/>
      <c r="H743" s="5"/>
      <c r="K743" s="5"/>
    </row>
    <row r="744" spans="1:11" x14ac:dyDescent="0.25">
      <c r="A744" s="2">
        <v>41726</v>
      </c>
      <c r="B744">
        <v>723188.13</v>
      </c>
      <c r="C744">
        <v>10845.28</v>
      </c>
      <c r="D744" s="5">
        <v>-29583.06</v>
      </c>
      <c r="E744">
        <f>D744/MAX($B$2:B744,100000)</f>
        <v>-3.9298873805199697E-2</v>
      </c>
      <c r="G744" s="2"/>
      <c r="H744" s="5"/>
      <c r="K744" s="5"/>
    </row>
    <row r="745" spans="1:11" x14ac:dyDescent="0.25">
      <c r="A745" s="2">
        <v>41733</v>
      </c>
      <c r="B745">
        <v>726838.56</v>
      </c>
      <c r="C745">
        <v>10845.28</v>
      </c>
      <c r="D745" s="5">
        <v>-25932.63</v>
      </c>
      <c r="E745">
        <f>D745/MAX($B$2:B745,100000)</f>
        <v>-3.4449551662570937E-2</v>
      </c>
      <c r="G745" s="2"/>
      <c r="H745" s="5"/>
      <c r="K745" s="5"/>
    </row>
    <row r="746" spans="1:11" x14ac:dyDescent="0.25">
      <c r="A746" s="2">
        <v>41740</v>
      </c>
      <c r="B746">
        <v>731770.5</v>
      </c>
      <c r="C746">
        <v>10845.28</v>
      </c>
      <c r="D746" s="5">
        <v>-21000.69</v>
      </c>
      <c r="E746">
        <f>D746/MAX($B$2:B746,100000)</f>
        <v>-2.789783971408364E-2</v>
      </c>
      <c r="G746" s="2"/>
      <c r="H746" s="5"/>
      <c r="K746" s="5"/>
    </row>
    <row r="747" spans="1:11" x14ac:dyDescent="0.25">
      <c r="A747" s="2">
        <v>41746</v>
      </c>
      <c r="B747">
        <v>730566.31</v>
      </c>
      <c r="C747">
        <v>10845.28</v>
      </c>
      <c r="D747" s="5">
        <v>-22204.880000000001</v>
      </c>
      <c r="E747">
        <f>D747/MAX($B$2:B747,100000)</f>
        <v>-2.94975157059345E-2</v>
      </c>
      <c r="G747" s="2"/>
      <c r="H747" s="5"/>
      <c r="K747" s="5"/>
    </row>
    <row r="748" spans="1:11" x14ac:dyDescent="0.25">
      <c r="A748" s="2">
        <v>41753</v>
      </c>
      <c r="B748">
        <v>735155.44</v>
      </c>
      <c r="C748">
        <v>10845.28</v>
      </c>
      <c r="D748" s="5">
        <v>-17615.75</v>
      </c>
      <c r="E748">
        <f>D748/MAX($B$2:B748,100000)</f>
        <v>-2.3401201100695684E-2</v>
      </c>
      <c r="G748" s="2"/>
      <c r="H748" s="5"/>
      <c r="K748" s="5"/>
    </row>
    <row r="749" spans="1:11" x14ac:dyDescent="0.25">
      <c r="A749" s="2">
        <v>41761</v>
      </c>
      <c r="B749">
        <v>724459.94</v>
      </c>
      <c r="C749">
        <v>10845.28</v>
      </c>
      <c r="D749" s="5">
        <v>-28311.25</v>
      </c>
      <c r="E749">
        <f>D749/MAX($B$2:B749,100000)</f>
        <v>-3.7609369720963952E-2</v>
      </c>
      <c r="G749" s="2"/>
      <c r="H749" s="5"/>
      <c r="K749" s="5"/>
    </row>
    <row r="750" spans="1:11" x14ac:dyDescent="0.25">
      <c r="A750" s="2">
        <v>41768</v>
      </c>
      <c r="B750">
        <v>732464.25</v>
      </c>
      <c r="C750">
        <v>10845.28</v>
      </c>
      <c r="D750" s="5">
        <v>-20306.939999999999</v>
      </c>
      <c r="E750">
        <f>D750/MAX($B$2:B750,100000)</f>
        <v>-2.6976244933071894E-2</v>
      </c>
      <c r="G750" s="2"/>
      <c r="H750" s="5"/>
      <c r="K750" s="5"/>
    </row>
    <row r="751" spans="1:11" x14ac:dyDescent="0.25">
      <c r="A751" s="2">
        <v>41775</v>
      </c>
      <c r="B751">
        <v>725092.88</v>
      </c>
      <c r="C751">
        <v>56471.89</v>
      </c>
      <c r="D751" s="5">
        <v>-27678.31</v>
      </c>
      <c r="E751">
        <f>D751/MAX($B$2:B751,100000)</f>
        <v>-3.6768556458702945E-2</v>
      </c>
      <c r="G751" s="2"/>
      <c r="H751" s="5"/>
      <c r="K751" s="5"/>
    </row>
    <row r="752" spans="1:11" x14ac:dyDescent="0.25">
      <c r="A752" s="2">
        <v>41782</v>
      </c>
      <c r="B752">
        <v>727355.44</v>
      </c>
      <c r="C752">
        <v>738.42</v>
      </c>
      <c r="D752" s="5">
        <v>-25415.75</v>
      </c>
      <c r="E752">
        <f>D752/MAX($B$2:B752,100000)</f>
        <v>-3.3762915395314216E-2</v>
      </c>
      <c r="G752" s="2"/>
      <c r="H752" s="5"/>
      <c r="K752" s="5"/>
    </row>
    <row r="753" spans="1:11" x14ac:dyDescent="0.25">
      <c r="A753" s="2">
        <v>41789</v>
      </c>
      <c r="B753">
        <v>723255</v>
      </c>
      <c r="C753">
        <v>738.42</v>
      </c>
      <c r="D753" s="5">
        <v>-29516.19</v>
      </c>
      <c r="E753">
        <f>D753/MAX($B$2:B753,100000)</f>
        <v>-3.9210042031496979E-2</v>
      </c>
      <c r="G753" s="2"/>
      <c r="H753" s="5"/>
      <c r="K753" s="5"/>
    </row>
    <row r="754" spans="1:11" x14ac:dyDescent="0.25">
      <c r="A754" s="2">
        <v>41796</v>
      </c>
      <c r="B754">
        <v>720165.69</v>
      </c>
      <c r="C754">
        <v>738.42</v>
      </c>
      <c r="D754" s="5">
        <v>-32605.5</v>
      </c>
      <c r="E754">
        <f>D754/MAX($B$2:B754,100000)</f>
        <v>-4.3313958388869797E-2</v>
      </c>
      <c r="G754" s="2"/>
      <c r="H754" s="5"/>
      <c r="K754" s="5"/>
    </row>
    <row r="755" spans="1:11" x14ac:dyDescent="0.25">
      <c r="A755" s="2">
        <v>41803</v>
      </c>
      <c r="B755">
        <v>702489.19</v>
      </c>
      <c r="C755">
        <v>45834.62</v>
      </c>
      <c r="D755" s="5">
        <v>-50282</v>
      </c>
      <c r="E755">
        <f>D755/MAX($B$2:B755,100000)</f>
        <v>-6.6795861302821655E-2</v>
      </c>
      <c r="G755" s="2"/>
      <c r="H755" s="5"/>
      <c r="K755" s="5"/>
    </row>
    <row r="756" spans="1:11" x14ac:dyDescent="0.25">
      <c r="A756" s="2">
        <v>41810</v>
      </c>
      <c r="B756">
        <v>706051.06</v>
      </c>
      <c r="C756">
        <v>45834.62</v>
      </c>
      <c r="D756" s="5">
        <v>-46720.13</v>
      </c>
      <c r="E756">
        <f>D756/MAX($B$2:B756,100000)</f>
        <v>-6.2064184470184094E-2</v>
      </c>
      <c r="G756" s="2"/>
      <c r="H756" s="5"/>
      <c r="K756" s="5"/>
    </row>
    <row r="757" spans="1:11" x14ac:dyDescent="0.25">
      <c r="A757" s="2">
        <v>41817</v>
      </c>
      <c r="B757">
        <v>710641.44</v>
      </c>
      <c r="C757">
        <v>142557.91</v>
      </c>
      <c r="D757" s="5">
        <v>-42129.75</v>
      </c>
      <c r="E757">
        <f>D757/MAX($B$2:B757,100000)</f>
        <v>-5.5966209333808331E-2</v>
      </c>
      <c r="G757" s="2"/>
      <c r="H757" s="5"/>
      <c r="K757" s="5"/>
    </row>
    <row r="758" spans="1:11" x14ac:dyDescent="0.25">
      <c r="A758" s="2">
        <v>41824</v>
      </c>
      <c r="B758">
        <v>711294.88</v>
      </c>
      <c r="C758">
        <v>142557.91</v>
      </c>
      <c r="D758" s="5">
        <v>-41476.31</v>
      </c>
      <c r="E758">
        <f>D758/MAX($B$2:B758,100000)</f>
        <v>-5.5098163360901203E-2</v>
      </c>
      <c r="G758" s="2"/>
      <c r="H758" s="5"/>
      <c r="K758" s="5"/>
    </row>
    <row r="759" spans="1:11" x14ac:dyDescent="0.25">
      <c r="A759" s="2">
        <v>41831</v>
      </c>
      <c r="B759">
        <v>713058.19</v>
      </c>
      <c r="C759">
        <v>32942.83</v>
      </c>
      <c r="D759" s="5">
        <v>-39713</v>
      </c>
      <c r="E759">
        <f>D759/MAX($B$2:B759,100000)</f>
        <v>-5.2755738433613544E-2</v>
      </c>
      <c r="G759" s="2"/>
      <c r="H759" s="5"/>
      <c r="K759" s="5"/>
    </row>
    <row r="760" spans="1:11" x14ac:dyDescent="0.25">
      <c r="A760" s="2">
        <v>41838</v>
      </c>
      <c r="B760">
        <v>716674.38</v>
      </c>
      <c r="C760">
        <v>32942.83</v>
      </c>
      <c r="D760" s="5">
        <v>-36096.81</v>
      </c>
      <c r="E760">
        <f>D760/MAX($B$2:B760,100000)</f>
        <v>-4.7951901559888335E-2</v>
      </c>
      <c r="G760" s="2"/>
      <c r="H760" s="5"/>
      <c r="K760" s="5"/>
    </row>
    <row r="761" spans="1:11" x14ac:dyDescent="0.25">
      <c r="A761" s="2">
        <v>41845</v>
      </c>
      <c r="B761">
        <v>717088.81</v>
      </c>
      <c r="C761">
        <v>32942.83</v>
      </c>
      <c r="D761" s="5">
        <v>-35682.379999999997</v>
      </c>
      <c r="E761">
        <f>D761/MAX($B$2:B761,100000)</f>
        <v>-4.7401362424616705E-2</v>
      </c>
      <c r="G761" s="2"/>
      <c r="H761" s="5"/>
      <c r="K761" s="5"/>
    </row>
    <row r="762" spans="1:11" x14ac:dyDescent="0.25">
      <c r="A762" s="2">
        <v>41852</v>
      </c>
      <c r="B762">
        <v>717739.19</v>
      </c>
      <c r="C762">
        <v>32942.83</v>
      </c>
      <c r="D762" s="5">
        <v>-35032</v>
      </c>
      <c r="E762">
        <f>D762/MAX($B$2:B762,100000)</f>
        <v>-4.653738143193286E-2</v>
      </c>
      <c r="G762" s="2"/>
      <c r="H762" s="5"/>
      <c r="K762" s="5"/>
    </row>
    <row r="763" spans="1:11" x14ac:dyDescent="0.25">
      <c r="A763" s="2">
        <v>41859</v>
      </c>
      <c r="B763">
        <v>707025.44</v>
      </c>
      <c r="C763">
        <v>32942.83</v>
      </c>
      <c r="D763" s="5">
        <v>-45745.75</v>
      </c>
      <c r="E763">
        <f>D763/MAX($B$2:B763,100000)</f>
        <v>-6.0769793806800712E-2</v>
      </c>
      <c r="G763" s="2"/>
      <c r="H763" s="5"/>
      <c r="K763" s="5"/>
    </row>
    <row r="764" spans="1:11" x14ac:dyDescent="0.25">
      <c r="A764" s="2">
        <v>41866</v>
      </c>
      <c r="B764">
        <v>722063.38</v>
      </c>
      <c r="C764">
        <v>32942.83</v>
      </c>
      <c r="D764" s="5">
        <v>-30707.81</v>
      </c>
      <c r="E764">
        <f>D764/MAX($B$2:B764,100000)</f>
        <v>-4.0793019722234591E-2</v>
      </c>
      <c r="G764" s="2"/>
      <c r="H764" s="5"/>
      <c r="K764" s="5"/>
    </row>
    <row r="765" spans="1:11" x14ac:dyDescent="0.25">
      <c r="A765" s="2">
        <v>41873</v>
      </c>
      <c r="B765">
        <v>739458.31</v>
      </c>
      <c r="C765">
        <v>32942.83</v>
      </c>
      <c r="D765" s="5">
        <v>-13312.88</v>
      </c>
      <c r="E765">
        <f>D765/MAX($B$2:B765,100000)</f>
        <v>-1.7685161410069372E-2</v>
      </c>
      <c r="G765" s="2"/>
      <c r="H765" s="5"/>
      <c r="K765" s="5"/>
    </row>
    <row r="766" spans="1:11" x14ac:dyDescent="0.25">
      <c r="A766" s="2">
        <v>41880</v>
      </c>
      <c r="B766">
        <v>738954.5</v>
      </c>
      <c r="C766">
        <v>32942.83</v>
      </c>
      <c r="D766" s="5">
        <v>-13816.69</v>
      </c>
      <c r="E766">
        <f>D766/MAX($B$2:B766,100000)</f>
        <v>-1.8354435163758061E-2</v>
      </c>
      <c r="G766" s="2"/>
      <c r="H766" s="5"/>
      <c r="K766" s="5"/>
    </row>
    <row r="767" spans="1:11" x14ac:dyDescent="0.25">
      <c r="A767" s="2">
        <v>41887</v>
      </c>
      <c r="B767">
        <v>740850.5</v>
      </c>
      <c r="C767">
        <v>32942.83</v>
      </c>
      <c r="D767" s="5">
        <v>-11920.69</v>
      </c>
      <c r="E767">
        <f>D767/MAX($B$2:B767,100000)</f>
        <v>-1.5835741535220021E-2</v>
      </c>
      <c r="G767" s="2"/>
      <c r="H767" s="5"/>
      <c r="K767" s="5"/>
    </row>
    <row r="768" spans="1:11" x14ac:dyDescent="0.25">
      <c r="A768" s="2">
        <v>41894</v>
      </c>
      <c r="B768">
        <v>731154.88</v>
      </c>
      <c r="C768">
        <v>32942.83</v>
      </c>
      <c r="D768" s="5">
        <v>-21616.31</v>
      </c>
      <c r="E768">
        <f>D768/MAX($B$2:B768,100000)</f>
        <v>-2.8715644656910958E-2</v>
      </c>
      <c r="G768" s="2"/>
      <c r="H768" s="5"/>
      <c r="K768" s="5"/>
    </row>
    <row r="769" spans="1:11" x14ac:dyDescent="0.25">
      <c r="A769" s="2">
        <v>41901</v>
      </c>
      <c r="B769">
        <v>714167.06</v>
      </c>
      <c r="C769">
        <v>32942.83</v>
      </c>
      <c r="D769" s="5">
        <v>-38604.129999999997</v>
      </c>
      <c r="E769">
        <f>D769/MAX($B$2:B769,100000)</f>
        <v>-5.128268790414256E-2</v>
      </c>
      <c r="G769" s="2"/>
      <c r="H769" s="5"/>
      <c r="K769" s="5"/>
    </row>
    <row r="770" spans="1:11" x14ac:dyDescent="0.25">
      <c r="A770" s="2">
        <v>41908</v>
      </c>
      <c r="B770">
        <v>708850.69</v>
      </c>
      <c r="C770">
        <v>32942.83</v>
      </c>
      <c r="D770" s="5">
        <v>-43920.5</v>
      </c>
      <c r="E770">
        <f>D770/MAX($B$2:B770,100000)</f>
        <v>-5.8345086240614498E-2</v>
      </c>
      <c r="G770" s="2"/>
      <c r="H770" s="5"/>
      <c r="K770" s="5"/>
    </row>
    <row r="771" spans="1:11" x14ac:dyDescent="0.25">
      <c r="A771" s="2">
        <v>41915</v>
      </c>
      <c r="B771">
        <v>707606.56</v>
      </c>
      <c r="C771">
        <v>91328.98</v>
      </c>
      <c r="D771" s="5">
        <v>-45164.63</v>
      </c>
      <c r="E771">
        <f>D771/MAX($B$2:B771,100000)</f>
        <v>-5.9997819523353438E-2</v>
      </c>
      <c r="G771" s="2"/>
      <c r="H771" s="5"/>
      <c r="K771" s="5"/>
    </row>
    <row r="772" spans="1:11" x14ac:dyDescent="0.25">
      <c r="A772" s="2">
        <v>41922</v>
      </c>
      <c r="B772">
        <v>693468.06</v>
      </c>
      <c r="C772">
        <v>91328.98</v>
      </c>
      <c r="D772" s="5">
        <v>-59303.13</v>
      </c>
      <c r="E772">
        <f>D772/MAX($B$2:B772,100000)</f>
        <v>-7.8779755107259083E-2</v>
      </c>
      <c r="G772" s="2"/>
      <c r="H772" s="5"/>
      <c r="K772" s="5"/>
    </row>
    <row r="773" spans="1:11" x14ac:dyDescent="0.25">
      <c r="A773" s="2">
        <v>41929</v>
      </c>
      <c r="B773">
        <v>697232.13</v>
      </c>
      <c r="C773">
        <v>91328.98</v>
      </c>
      <c r="D773" s="5">
        <v>-55539.06</v>
      </c>
      <c r="E773">
        <f>D773/MAX($B$2:B773,100000)</f>
        <v>-7.3779470757907195E-2</v>
      </c>
      <c r="G773" s="2"/>
      <c r="H773" s="5"/>
      <c r="K773" s="5"/>
    </row>
    <row r="774" spans="1:11" x14ac:dyDescent="0.25">
      <c r="A774" s="2">
        <v>41936</v>
      </c>
      <c r="B774">
        <v>717926.94</v>
      </c>
      <c r="C774">
        <v>91328.98</v>
      </c>
      <c r="D774" s="5">
        <v>-34844.25</v>
      </c>
      <c r="E774">
        <f>D774/MAX($B$2:B774,100000)</f>
        <v>-4.6287969655161756E-2</v>
      </c>
      <c r="G774" s="2"/>
      <c r="H774" s="5"/>
      <c r="K774" s="5"/>
    </row>
    <row r="775" spans="1:11" x14ac:dyDescent="0.25">
      <c r="A775" s="2">
        <v>41943</v>
      </c>
      <c r="B775">
        <v>731191.25</v>
      </c>
      <c r="C775">
        <v>91328.98</v>
      </c>
      <c r="D775" s="5">
        <v>-21579.94</v>
      </c>
      <c r="E775">
        <f>D775/MAX($B$2:B775,100000)</f>
        <v>-2.8667329842950021E-2</v>
      </c>
      <c r="G775" s="2"/>
      <c r="H775" s="5"/>
      <c r="K775" s="5"/>
    </row>
    <row r="776" spans="1:11" x14ac:dyDescent="0.25">
      <c r="A776" s="2">
        <v>41950</v>
      </c>
      <c r="B776">
        <v>744939.63</v>
      </c>
      <c r="C776">
        <v>34957.949999999997</v>
      </c>
      <c r="D776" s="5">
        <v>-7831.56</v>
      </c>
      <c r="E776">
        <f>D776/MAX($B$2:B776,100000)</f>
        <v>-1.0403639384764447E-2</v>
      </c>
      <c r="G776" s="2"/>
      <c r="H776" s="5"/>
      <c r="K776" s="5"/>
    </row>
    <row r="777" spans="1:11" x14ac:dyDescent="0.25">
      <c r="A777" s="2">
        <v>41957</v>
      </c>
      <c r="B777">
        <v>739321.25</v>
      </c>
      <c r="C777">
        <v>34957.949999999997</v>
      </c>
      <c r="D777" s="5">
        <v>-13449.94</v>
      </c>
      <c r="E777">
        <f>D777/MAX($B$2:B777,100000)</f>
        <v>-1.7867235328174556E-2</v>
      </c>
      <c r="G777" s="2"/>
      <c r="H777" s="5"/>
      <c r="K777" s="5"/>
    </row>
    <row r="778" spans="1:11" x14ac:dyDescent="0.25">
      <c r="A778" s="2">
        <v>41964</v>
      </c>
      <c r="B778">
        <v>722512.75</v>
      </c>
      <c r="C778">
        <v>73485.36</v>
      </c>
      <c r="D778" s="5">
        <v>-30258.44</v>
      </c>
      <c r="E778">
        <f>D778/MAX($B$2:B778,100000)</f>
        <v>-4.0196065420622699E-2</v>
      </c>
      <c r="G778" s="2"/>
      <c r="H778" s="5"/>
      <c r="K778" s="5"/>
    </row>
    <row r="779" spans="1:11" x14ac:dyDescent="0.25">
      <c r="A779" s="2">
        <v>41971</v>
      </c>
      <c r="B779">
        <v>727557.75</v>
      </c>
      <c r="C779">
        <v>73485.36</v>
      </c>
      <c r="D779" s="5">
        <v>-25213.439999999999</v>
      </c>
      <c r="E779">
        <f>D779/MAX($B$2:B779,100000)</f>
        <v>-3.3494161751859819E-2</v>
      </c>
      <c r="G779" s="2"/>
      <c r="H779" s="5"/>
      <c r="K779" s="5"/>
    </row>
    <row r="780" spans="1:11" x14ac:dyDescent="0.25">
      <c r="A780" s="2">
        <v>41978</v>
      </c>
      <c r="B780">
        <v>743450.19</v>
      </c>
      <c r="C780">
        <v>73485.36</v>
      </c>
      <c r="D780" s="5">
        <v>-9321</v>
      </c>
      <c r="E780">
        <f>D780/MAX($B$2:B780,100000)</f>
        <v>-1.2382248582069141E-2</v>
      </c>
      <c r="G780" s="2"/>
      <c r="H780" s="5"/>
      <c r="K780" s="5"/>
    </row>
    <row r="781" spans="1:11" x14ac:dyDescent="0.25">
      <c r="A781" s="2">
        <v>41985</v>
      </c>
      <c r="B781">
        <v>739882.69</v>
      </c>
      <c r="C781">
        <v>73485.36</v>
      </c>
      <c r="D781" s="5">
        <v>-12888.5</v>
      </c>
      <c r="E781">
        <f>D781/MAX($B$2:B781,100000)</f>
        <v>-1.7121404446947552E-2</v>
      </c>
      <c r="G781" s="2"/>
      <c r="H781" s="5"/>
      <c r="K781" s="5"/>
    </row>
    <row r="782" spans="1:11" x14ac:dyDescent="0.25">
      <c r="A782" s="2">
        <v>41992</v>
      </c>
      <c r="B782">
        <v>754783.38</v>
      </c>
      <c r="C782">
        <v>73485.36</v>
      </c>
      <c r="D782" s="5">
        <v>0</v>
      </c>
      <c r="E782">
        <f>D782/MAX($B$2:B782,100000)</f>
        <v>0</v>
      </c>
      <c r="G782" s="2"/>
      <c r="H782" s="5"/>
      <c r="K782" s="5"/>
    </row>
    <row r="783" spans="1:11" x14ac:dyDescent="0.25">
      <c r="A783" s="2">
        <v>41997</v>
      </c>
      <c r="B783">
        <v>760453.88</v>
      </c>
      <c r="C783">
        <v>73485.36</v>
      </c>
      <c r="D783" s="5">
        <v>0</v>
      </c>
      <c r="E783">
        <f>D783/MAX($B$2:B783,100000)</f>
        <v>0</v>
      </c>
      <c r="G783" s="2"/>
      <c r="H783" s="5"/>
      <c r="K783" s="5"/>
    </row>
    <row r="784" spans="1:11" x14ac:dyDescent="0.25">
      <c r="A784" s="2">
        <v>42006</v>
      </c>
      <c r="B784">
        <v>765075.88</v>
      </c>
      <c r="C784">
        <v>73485.36</v>
      </c>
      <c r="D784" s="5">
        <v>0</v>
      </c>
      <c r="E784">
        <f>D784/MAX($B$2:B784,100000)</f>
        <v>0</v>
      </c>
      <c r="G784" s="2"/>
      <c r="H784" s="5"/>
      <c r="K784" s="5"/>
    </row>
    <row r="785" spans="1:11" x14ac:dyDescent="0.25">
      <c r="A785" s="2">
        <v>42013</v>
      </c>
      <c r="B785">
        <v>777316.56</v>
      </c>
      <c r="C785">
        <v>14659.21</v>
      </c>
      <c r="D785" s="5">
        <v>0</v>
      </c>
      <c r="E785">
        <f>D785/MAX($B$2:B785,100000)</f>
        <v>0</v>
      </c>
      <c r="G785" s="2"/>
      <c r="H785" s="5"/>
      <c r="K785" s="5"/>
    </row>
    <row r="786" spans="1:11" x14ac:dyDescent="0.25">
      <c r="A786" s="2">
        <v>42020</v>
      </c>
      <c r="B786">
        <v>759255.88</v>
      </c>
      <c r="C786">
        <v>14659.21</v>
      </c>
      <c r="D786" s="5">
        <v>-18060.689999999999</v>
      </c>
      <c r="E786">
        <f>D786/MAX($B$2:B786,100000)</f>
        <v>-2.3234665166531377E-2</v>
      </c>
      <c r="G786" s="2"/>
      <c r="H786" s="5"/>
      <c r="K786" s="5"/>
    </row>
    <row r="787" spans="1:11" x14ac:dyDescent="0.25">
      <c r="A787" s="2">
        <v>42027</v>
      </c>
      <c r="B787">
        <v>773009.63</v>
      </c>
      <c r="C787">
        <v>14659.21</v>
      </c>
      <c r="D787" s="5">
        <v>-4306.9399999999996</v>
      </c>
      <c r="E787">
        <f>D787/MAX($B$2:B787,100000)</f>
        <v>-5.5407799365550627E-3</v>
      </c>
      <c r="G787" s="2"/>
      <c r="H787" s="5"/>
      <c r="K787" s="5"/>
    </row>
    <row r="788" spans="1:11" x14ac:dyDescent="0.25">
      <c r="A788" s="2">
        <v>42034</v>
      </c>
      <c r="B788">
        <v>778998.38</v>
      </c>
      <c r="C788">
        <v>14659.21</v>
      </c>
      <c r="D788" s="5">
        <v>0</v>
      </c>
      <c r="E788">
        <f>D788/MAX($B$2:B788,100000)</f>
        <v>0</v>
      </c>
      <c r="G788" s="2"/>
      <c r="H788" s="5"/>
      <c r="K788" s="5"/>
    </row>
    <row r="789" spans="1:11" x14ac:dyDescent="0.25">
      <c r="A789" s="2">
        <v>42041</v>
      </c>
      <c r="B789">
        <v>806976.06</v>
      </c>
      <c r="C789">
        <v>14659.21</v>
      </c>
      <c r="D789" s="5">
        <v>0</v>
      </c>
      <c r="E789">
        <f>D789/MAX($B$2:B789,100000)</f>
        <v>0</v>
      </c>
      <c r="G789" s="2"/>
      <c r="H789" s="5"/>
      <c r="K789" s="5"/>
    </row>
    <row r="790" spans="1:11" x14ac:dyDescent="0.25">
      <c r="A790" s="2">
        <v>42048</v>
      </c>
      <c r="B790">
        <v>808803.25</v>
      </c>
      <c r="C790">
        <v>14659.21</v>
      </c>
      <c r="D790" s="5">
        <v>0</v>
      </c>
      <c r="E790">
        <f>D790/MAX($B$2:B790,100000)</f>
        <v>0</v>
      </c>
      <c r="G790" s="2"/>
      <c r="H790" s="5"/>
      <c r="K790" s="5"/>
    </row>
    <row r="791" spans="1:11" x14ac:dyDescent="0.25">
      <c r="A791" s="2">
        <v>42055</v>
      </c>
      <c r="B791">
        <v>807665.94</v>
      </c>
      <c r="C791">
        <v>14659.21</v>
      </c>
      <c r="D791" s="5">
        <v>-1137.31</v>
      </c>
      <c r="E791">
        <f>D791/MAX($B$2:B791,100000)</f>
        <v>-1.4061639836387898E-3</v>
      </c>
      <c r="G791" s="2"/>
      <c r="H791" s="5"/>
      <c r="K791" s="5"/>
    </row>
    <row r="792" spans="1:11" x14ac:dyDescent="0.25">
      <c r="A792" s="2">
        <v>42062</v>
      </c>
      <c r="B792">
        <v>822813.69</v>
      </c>
      <c r="C792">
        <v>14659.21</v>
      </c>
      <c r="D792" s="5">
        <v>0</v>
      </c>
      <c r="E792">
        <f>D792/MAX($B$2:B792,100000)</f>
        <v>0</v>
      </c>
      <c r="G792" s="2"/>
      <c r="H792" s="5"/>
      <c r="K792" s="5"/>
    </row>
    <row r="793" spans="1:11" x14ac:dyDescent="0.25">
      <c r="A793" s="2">
        <v>42069</v>
      </c>
      <c r="B793">
        <v>843404.5</v>
      </c>
      <c r="C793">
        <v>14659.21</v>
      </c>
      <c r="D793" s="5">
        <v>0</v>
      </c>
      <c r="E793">
        <f>D793/MAX($B$2:B793,100000)</f>
        <v>0</v>
      </c>
      <c r="G793" s="2"/>
      <c r="H793" s="5"/>
      <c r="K793" s="5"/>
    </row>
    <row r="794" spans="1:11" x14ac:dyDescent="0.25">
      <c r="A794" s="2">
        <v>42076</v>
      </c>
      <c r="B794">
        <v>833459.25</v>
      </c>
      <c r="C794">
        <v>14659.21</v>
      </c>
      <c r="D794" s="5">
        <v>-9945.25</v>
      </c>
      <c r="E794">
        <f>D794/MAX($B$2:B794,100000)</f>
        <v>-1.1791791483208828E-2</v>
      </c>
      <c r="G794" s="2"/>
      <c r="H794" s="5"/>
      <c r="K794" s="5"/>
    </row>
    <row r="795" spans="1:11" x14ac:dyDescent="0.25">
      <c r="A795" s="2">
        <v>42083</v>
      </c>
      <c r="B795">
        <v>842354.63</v>
      </c>
      <c r="C795">
        <v>14659.21</v>
      </c>
      <c r="D795" s="5">
        <v>-1049.8800000000001</v>
      </c>
      <c r="E795">
        <f>D795/MAX($B$2:B795,100000)</f>
        <v>-1.2448119496635364E-3</v>
      </c>
      <c r="G795" s="2"/>
      <c r="H795" s="5"/>
      <c r="K795" s="5"/>
    </row>
    <row r="796" spans="1:11" x14ac:dyDescent="0.25">
      <c r="A796" s="2">
        <v>42090</v>
      </c>
      <c r="B796">
        <v>845850.44</v>
      </c>
      <c r="C796">
        <v>14659.21</v>
      </c>
      <c r="D796" s="5">
        <v>0</v>
      </c>
      <c r="E796">
        <f>D796/MAX($B$2:B796,100000)</f>
        <v>0</v>
      </c>
      <c r="G796" s="2"/>
      <c r="H796" s="5"/>
      <c r="K796" s="5"/>
    </row>
    <row r="797" spans="1:11" x14ac:dyDescent="0.25">
      <c r="A797" s="2">
        <v>42096</v>
      </c>
      <c r="B797">
        <v>848765</v>
      </c>
      <c r="C797">
        <v>14659.21</v>
      </c>
      <c r="D797" s="5">
        <v>0</v>
      </c>
      <c r="E797">
        <f>D797/MAX($B$2:B797,100000)</f>
        <v>0</v>
      </c>
      <c r="G797" s="2"/>
      <c r="H797" s="5"/>
      <c r="K797" s="5"/>
    </row>
    <row r="798" spans="1:11" x14ac:dyDescent="0.25">
      <c r="A798" s="2">
        <v>42104</v>
      </c>
      <c r="B798">
        <v>863671.75</v>
      </c>
      <c r="C798">
        <v>14659.21</v>
      </c>
      <c r="D798" s="5">
        <v>0</v>
      </c>
      <c r="E798">
        <f>D798/MAX($B$2:B798,100000)</f>
        <v>0</v>
      </c>
      <c r="G798" s="2"/>
      <c r="H798" s="5"/>
      <c r="K798" s="5"/>
    </row>
    <row r="799" spans="1:11" x14ac:dyDescent="0.25">
      <c r="A799" s="2">
        <v>42111</v>
      </c>
      <c r="B799">
        <v>850081.06</v>
      </c>
      <c r="C799">
        <v>14659.21</v>
      </c>
      <c r="D799" s="5">
        <v>-13590.69</v>
      </c>
      <c r="E799">
        <f>D799/MAX($B$2:B799,100000)</f>
        <v>-1.5735943661466294E-2</v>
      </c>
      <c r="G799" s="2"/>
      <c r="H799" s="5"/>
      <c r="K799" s="5"/>
    </row>
    <row r="800" spans="1:11" x14ac:dyDescent="0.25">
      <c r="A800" s="2">
        <v>42118</v>
      </c>
      <c r="B800">
        <v>861473.56</v>
      </c>
      <c r="C800">
        <v>14659.21</v>
      </c>
      <c r="D800" s="5">
        <v>-2198.19</v>
      </c>
      <c r="E800">
        <f>D800/MAX($B$2:B800,100000)</f>
        <v>-2.5451683466548489E-3</v>
      </c>
      <c r="G800" s="2"/>
      <c r="H800" s="5"/>
      <c r="K800" s="5"/>
    </row>
    <row r="801" spans="1:11" x14ac:dyDescent="0.25">
      <c r="A801" s="2">
        <v>42125</v>
      </c>
      <c r="B801">
        <v>838965.69</v>
      </c>
      <c r="C801">
        <v>14659.21</v>
      </c>
      <c r="D801" s="5">
        <v>-24706.06</v>
      </c>
      <c r="E801">
        <f>D801/MAX($B$2:B801,100000)</f>
        <v>-2.8605844755255686E-2</v>
      </c>
      <c r="G801" s="2"/>
      <c r="H801" s="5"/>
      <c r="K801" s="5"/>
    </row>
    <row r="802" spans="1:11" x14ac:dyDescent="0.25">
      <c r="A802" s="2">
        <v>42132</v>
      </c>
      <c r="B802">
        <v>821119.38</v>
      </c>
      <c r="C802">
        <v>14659.21</v>
      </c>
      <c r="D802" s="5">
        <v>-42552.38</v>
      </c>
      <c r="E802">
        <f>D802/MAX($B$2:B802,100000)</f>
        <v>-4.9269158103179819E-2</v>
      </c>
      <c r="G802" s="2"/>
      <c r="H802" s="5"/>
      <c r="K802" s="5"/>
    </row>
    <row r="803" spans="1:11" x14ac:dyDescent="0.25">
      <c r="A803" s="2">
        <v>42139</v>
      </c>
      <c r="B803">
        <v>835671</v>
      </c>
      <c r="C803">
        <v>14659.21</v>
      </c>
      <c r="D803" s="5">
        <v>-28000.75</v>
      </c>
      <c r="E803">
        <f>D803/MAX($B$2:B803,100000)</f>
        <v>-3.2420592661505945E-2</v>
      </c>
      <c r="G803" s="2"/>
      <c r="H803" s="5"/>
      <c r="K803" s="5"/>
    </row>
    <row r="804" spans="1:11" x14ac:dyDescent="0.25">
      <c r="A804" s="2">
        <v>42146</v>
      </c>
      <c r="B804">
        <v>842815.63</v>
      </c>
      <c r="C804">
        <v>82943.44</v>
      </c>
      <c r="D804" s="5">
        <v>-20856.13</v>
      </c>
      <c r="E804">
        <f>D804/MAX($B$2:B804,100000)</f>
        <v>-2.4148213716611664E-2</v>
      </c>
      <c r="G804" s="2"/>
      <c r="H804" s="5"/>
      <c r="K804" s="5"/>
    </row>
    <row r="805" spans="1:11" x14ac:dyDescent="0.25">
      <c r="A805" s="2">
        <v>42153</v>
      </c>
      <c r="B805">
        <v>861863.06</v>
      </c>
      <c r="C805">
        <v>82943.44</v>
      </c>
      <c r="D805" s="5">
        <v>-1808.69</v>
      </c>
      <c r="E805">
        <f>D805/MAX($B$2:B805,100000)</f>
        <v>-2.094186825029301E-3</v>
      </c>
      <c r="G805" s="2"/>
      <c r="H805" s="5"/>
      <c r="K805" s="5"/>
    </row>
    <row r="806" spans="1:11" x14ac:dyDescent="0.25">
      <c r="A806" s="2">
        <v>42160</v>
      </c>
      <c r="B806">
        <v>832333.94</v>
      </c>
      <c r="C806">
        <v>82943.44</v>
      </c>
      <c r="D806" s="5">
        <v>-31337.81</v>
      </c>
      <c r="E806">
        <f>D806/MAX($B$2:B806,100000)</f>
        <v>-3.6284398557669628E-2</v>
      </c>
      <c r="G806" s="2"/>
      <c r="H806" s="5"/>
      <c r="K806" s="5"/>
    </row>
    <row r="807" spans="1:11" x14ac:dyDescent="0.25">
      <c r="A807" s="2">
        <v>42167</v>
      </c>
      <c r="B807">
        <v>829983.5</v>
      </c>
      <c r="C807">
        <v>82943.44</v>
      </c>
      <c r="D807" s="5">
        <v>-33688.25</v>
      </c>
      <c r="E807">
        <f>D807/MAX($B$2:B807,100000)</f>
        <v>-3.9005849155075406E-2</v>
      </c>
      <c r="G807" s="2"/>
      <c r="H807" s="5"/>
      <c r="K807" s="5"/>
    </row>
    <row r="808" spans="1:11" x14ac:dyDescent="0.25">
      <c r="A808" s="2">
        <v>42174</v>
      </c>
      <c r="B808">
        <v>827677.56</v>
      </c>
      <c r="C808">
        <v>82943.44</v>
      </c>
      <c r="D808" s="5">
        <v>-35994.19</v>
      </c>
      <c r="E808">
        <f>D808/MAX($B$2:B808,100000)</f>
        <v>-4.1675775547828212E-2</v>
      </c>
      <c r="G808" s="2"/>
      <c r="H808" s="5"/>
      <c r="K808" s="5"/>
    </row>
    <row r="809" spans="1:11" x14ac:dyDescent="0.25">
      <c r="A809" s="2">
        <v>42181</v>
      </c>
      <c r="B809">
        <v>818980.63</v>
      </c>
      <c r="C809">
        <v>82943.44</v>
      </c>
      <c r="D809" s="5">
        <v>-44691.13</v>
      </c>
      <c r="E809">
        <f>D809/MAX($B$2:B809,100000)</f>
        <v>-5.1745504006585834E-2</v>
      </c>
      <c r="G809" s="2"/>
      <c r="H809" s="5"/>
      <c r="K809" s="5"/>
    </row>
    <row r="810" spans="1:11" x14ac:dyDescent="0.25">
      <c r="A810" s="2">
        <v>42188</v>
      </c>
      <c r="B810">
        <v>832422.31</v>
      </c>
      <c r="C810">
        <v>82943.44</v>
      </c>
      <c r="D810" s="5">
        <v>-31249.439999999999</v>
      </c>
      <c r="E810">
        <f>D810/MAX($B$2:B810,100000)</f>
        <v>-3.6182079592159869E-2</v>
      </c>
      <c r="G810" s="2"/>
      <c r="H810" s="5"/>
      <c r="K810" s="5"/>
    </row>
    <row r="811" spans="1:11" x14ac:dyDescent="0.25">
      <c r="A811" s="2">
        <v>42195</v>
      </c>
      <c r="B811">
        <v>827907.75</v>
      </c>
      <c r="C811">
        <v>82943.44</v>
      </c>
      <c r="D811" s="5">
        <v>-35764</v>
      </c>
      <c r="E811">
        <f>D811/MAX($B$2:B811,100000)</f>
        <v>-4.1409250678860345E-2</v>
      </c>
      <c r="G811" s="2"/>
      <c r="H811" s="5"/>
      <c r="K811" s="5"/>
    </row>
    <row r="812" spans="1:11" x14ac:dyDescent="0.25">
      <c r="A812" s="2">
        <v>42202</v>
      </c>
      <c r="B812">
        <v>847412.56</v>
      </c>
      <c r="C812">
        <v>82943.44</v>
      </c>
      <c r="D812" s="5">
        <v>-16259.19</v>
      </c>
      <c r="E812">
        <f>D812/MAX($B$2:B812,100000)</f>
        <v>-1.8825659169701917E-2</v>
      </c>
      <c r="G812" s="2"/>
      <c r="H812" s="5"/>
      <c r="K812" s="5"/>
    </row>
    <row r="813" spans="1:11" x14ac:dyDescent="0.25">
      <c r="A813" s="2">
        <v>42209</v>
      </c>
      <c r="B813">
        <v>837919.88</v>
      </c>
      <c r="C813">
        <v>82943.44</v>
      </c>
      <c r="D813" s="5">
        <v>-25751.88</v>
      </c>
      <c r="E813">
        <f>D813/MAX($B$2:B813,100000)</f>
        <v>-2.981674461391148E-2</v>
      </c>
      <c r="G813" s="2"/>
      <c r="H813" s="5"/>
      <c r="K813" s="5"/>
    </row>
    <row r="814" spans="1:11" x14ac:dyDescent="0.25">
      <c r="A814" s="2">
        <v>42216</v>
      </c>
      <c r="B814">
        <v>855948.56</v>
      </c>
      <c r="C814">
        <v>82943.44</v>
      </c>
      <c r="D814" s="5">
        <v>-7723.19</v>
      </c>
      <c r="E814">
        <f>D814/MAX($B$2:B814,100000)</f>
        <v>-8.9422746546937541E-3</v>
      </c>
      <c r="G814" s="2"/>
      <c r="H814" s="5"/>
      <c r="K814" s="5"/>
    </row>
    <row r="815" spans="1:11" x14ac:dyDescent="0.25">
      <c r="A815" s="2">
        <v>42223</v>
      </c>
      <c r="B815">
        <v>832063.81</v>
      </c>
      <c r="C815">
        <v>31320.22</v>
      </c>
      <c r="D815" s="5">
        <v>-31607.94</v>
      </c>
      <c r="E815">
        <f>D815/MAX($B$2:B815,100000)</f>
        <v>-3.6597167847622666E-2</v>
      </c>
      <c r="G815" s="2"/>
      <c r="H815" s="5"/>
      <c r="K815" s="5"/>
    </row>
    <row r="816" spans="1:11" x14ac:dyDescent="0.25">
      <c r="A816" s="2">
        <v>42230</v>
      </c>
      <c r="B816">
        <v>817117.63</v>
      </c>
      <c r="C816">
        <v>31320.22</v>
      </c>
      <c r="D816" s="5">
        <v>-46554.13</v>
      </c>
      <c r="E816">
        <f>D816/MAX($B$2:B816,100000)</f>
        <v>-5.3902573518237684E-2</v>
      </c>
      <c r="G816" s="2"/>
      <c r="H816" s="5"/>
      <c r="K816" s="5"/>
    </row>
    <row r="817" spans="1:11" x14ac:dyDescent="0.25">
      <c r="A817" s="2">
        <v>42237</v>
      </c>
      <c r="B817">
        <v>817915.56</v>
      </c>
      <c r="C817">
        <v>88606.98</v>
      </c>
      <c r="D817" s="5">
        <v>-45756.19</v>
      </c>
      <c r="E817">
        <f>D817/MAX($B$2:B817,100000)</f>
        <v>-5.2978680847208449E-2</v>
      </c>
      <c r="G817" s="2"/>
      <c r="H817" s="5"/>
      <c r="K817" s="5"/>
    </row>
    <row r="818" spans="1:11" x14ac:dyDescent="0.25">
      <c r="A818" s="2">
        <v>42244</v>
      </c>
      <c r="B818">
        <v>820475.44</v>
      </c>
      <c r="C818">
        <v>132964.22</v>
      </c>
      <c r="D818" s="5">
        <v>-43196.31</v>
      </c>
      <c r="E818">
        <f>D818/MAX($B$2:B818,100000)</f>
        <v>-5.0014730712217924E-2</v>
      </c>
      <c r="G818" s="2"/>
      <c r="H818" s="5"/>
      <c r="K818" s="5"/>
    </row>
    <row r="819" spans="1:11" x14ac:dyDescent="0.25">
      <c r="A819" s="2">
        <v>42251</v>
      </c>
      <c r="B819">
        <v>799318.56</v>
      </c>
      <c r="C819">
        <v>132964.22</v>
      </c>
      <c r="D819" s="5">
        <v>-64353.19</v>
      </c>
      <c r="E819">
        <f>D819/MAX($B$2:B819,100000)</f>
        <v>-7.4511167002973069E-2</v>
      </c>
      <c r="G819" s="2"/>
      <c r="H819" s="5"/>
      <c r="K819" s="5"/>
    </row>
    <row r="820" spans="1:11" x14ac:dyDescent="0.25">
      <c r="A820" s="2">
        <v>42258</v>
      </c>
      <c r="B820">
        <v>803887.31</v>
      </c>
      <c r="C820">
        <v>132964.22</v>
      </c>
      <c r="D820" s="5">
        <v>-59784.44</v>
      </c>
      <c r="E820">
        <f>D820/MAX($B$2:B820,100000)</f>
        <v>-6.9221252171325506E-2</v>
      </c>
      <c r="G820" s="2"/>
      <c r="H820" s="5"/>
      <c r="K820" s="5"/>
    </row>
    <row r="821" spans="1:11" x14ac:dyDescent="0.25">
      <c r="A821" s="2">
        <v>42265</v>
      </c>
      <c r="B821">
        <v>812711.06</v>
      </c>
      <c r="C821">
        <v>195828.52</v>
      </c>
      <c r="D821" s="5">
        <v>-50960.69</v>
      </c>
      <c r="E821">
        <f>D821/MAX($B$2:B821,100000)</f>
        <v>-5.900469709701632E-2</v>
      </c>
      <c r="G821" s="2"/>
      <c r="H821" s="5"/>
      <c r="K821" s="5"/>
    </row>
    <row r="822" spans="1:11" x14ac:dyDescent="0.25">
      <c r="A822" s="2">
        <v>42272</v>
      </c>
      <c r="B822">
        <v>815444</v>
      </c>
      <c r="C822">
        <v>195828.52</v>
      </c>
      <c r="D822" s="5">
        <v>-48227.75</v>
      </c>
      <c r="E822">
        <f>D822/MAX($B$2:B822,100000)</f>
        <v>-5.5840369909053993E-2</v>
      </c>
      <c r="G822" s="2"/>
      <c r="H822" s="5"/>
      <c r="K822" s="5"/>
    </row>
    <row r="823" spans="1:11" x14ac:dyDescent="0.25">
      <c r="A823" s="2">
        <v>42279</v>
      </c>
      <c r="B823">
        <v>817582</v>
      </c>
      <c r="C823">
        <v>195828.52</v>
      </c>
      <c r="D823" s="5">
        <v>-46089.75</v>
      </c>
      <c r="E823">
        <f>D823/MAX($B$2:B823,100000)</f>
        <v>-5.3364892391119662E-2</v>
      </c>
      <c r="G823" s="2"/>
      <c r="H823" s="5"/>
      <c r="K823" s="5"/>
    </row>
    <row r="824" spans="1:11" x14ac:dyDescent="0.25">
      <c r="A824" s="2">
        <v>42286</v>
      </c>
      <c r="B824">
        <v>824117.94</v>
      </c>
      <c r="C824">
        <v>195828.52</v>
      </c>
      <c r="D824" s="5">
        <v>-39553.81</v>
      </c>
      <c r="E824">
        <f>D824/MAX($B$2:B824,100000)</f>
        <v>-4.5797271938094533E-2</v>
      </c>
      <c r="G824" s="2"/>
      <c r="H824" s="5"/>
      <c r="K824" s="5"/>
    </row>
    <row r="825" spans="1:11" x14ac:dyDescent="0.25">
      <c r="A825" s="2">
        <v>42293</v>
      </c>
      <c r="B825">
        <v>829200.94</v>
      </c>
      <c r="C825">
        <v>195828.52</v>
      </c>
      <c r="D825" s="5">
        <v>-34470.81</v>
      </c>
      <c r="E825">
        <f>D825/MAX($B$2:B825,100000)</f>
        <v>-3.9911934134698741E-2</v>
      </c>
      <c r="G825" s="2"/>
      <c r="H825" s="5"/>
      <c r="K825" s="5"/>
    </row>
    <row r="826" spans="1:11" x14ac:dyDescent="0.25">
      <c r="A826" s="2">
        <v>42300</v>
      </c>
      <c r="B826">
        <v>845432.13</v>
      </c>
      <c r="C826">
        <v>195828.52</v>
      </c>
      <c r="D826" s="5">
        <v>-18239.63</v>
      </c>
      <c r="E826">
        <f>D826/MAX($B$2:B826,100000)</f>
        <v>-2.111870626774582E-2</v>
      </c>
      <c r="G826" s="2"/>
      <c r="H826" s="5"/>
      <c r="K826" s="5"/>
    </row>
    <row r="827" spans="1:11" x14ac:dyDescent="0.25">
      <c r="A827" s="2">
        <v>42307</v>
      </c>
      <c r="B827">
        <v>843196.56</v>
      </c>
      <c r="C827">
        <v>65024.800000000003</v>
      </c>
      <c r="D827" s="5">
        <v>-20475.189999999999</v>
      </c>
      <c r="E827">
        <f>D827/MAX($B$2:B827,100000)</f>
        <v>-2.3707143367836216E-2</v>
      </c>
      <c r="G827" s="2"/>
      <c r="H827" s="5"/>
      <c r="K827" s="5"/>
    </row>
    <row r="828" spans="1:11" x14ac:dyDescent="0.25">
      <c r="A828" s="2">
        <v>42314</v>
      </c>
      <c r="B828">
        <v>842017.69</v>
      </c>
      <c r="C828">
        <v>65024.800000000003</v>
      </c>
      <c r="D828" s="5">
        <v>-21654.06</v>
      </c>
      <c r="E828">
        <f>D828/MAX($B$2:B828,100000)</f>
        <v>-2.5072094809167951E-2</v>
      </c>
      <c r="G828" s="2"/>
      <c r="H828" s="5"/>
      <c r="K828" s="5"/>
    </row>
    <row r="829" spans="1:11" x14ac:dyDescent="0.25">
      <c r="A829" s="2">
        <v>42321</v>
      </c>
      <c r="B829">
        <v>817564.56</v>
      </c>
      <c r="C829">
        <v>65024.800000000003</v>
      </c>
      <c r="D829" s="5">
        <v>-46107.19</v>
      </c>
      <c r="E829">
        <f>D829/MAX($B$2:B829,100000)</f>
        <v>-5.3385085247954447E-2</v>
      </c>
      <c r="G829" s="2"/>
      <c r="H829" s="5"/>
      <c r="K829" s="5"/>
    </row>
    <row r="830" spans="1:11" x14ac:dyDescent="0.25">
      <c r="A830" s="2">
        <v>42328</v>
      </c>
      <c r="B830">
        <v>849299.56</v>
      </c>
      <c r="C830">
        <v>65024.800000000003</v>
      </c>
      <c r="D830" s="5">
        <v>-14372.19</v>
      </c>
      <c r="E830">
        <f>D830/MAX($B$2:B830,100000)</f>
        <v>-1.6640801322956322E-2</v>
      </c>
      <c r="G830" s="2"/>
      <c r="H830" s="5"/>
      <c r="K830" s="5"/>
    </row>
    <row r="831" spans="1:11" x14ac:dyDescent="0.25">
      <c r="A831" s="2">
        <v>42335</v>
      </c>
      <c r="B831">
        <v>845493.06</v>
      </c>
      <c r="C831">
        <v>65024.800000000003</v>
      </c>
      <c r="D831" s="5">
        <v>-18178.689999999999</v>
      </c>
      <c r="E831">
        <f>D831/MAX($B$2:B831,100000)</f>
        <v>-2.104814705355362E-2</v>
      </c>
      <c r="G831" s="2"/>
      <c r="H831" s="5"/>
      <c r="K831" s="5"/>
    </row>
    <row r="832" spans="1:11" x14ac:dyDescent="0.25">
      <c r="A832" s="2">
        <v>42342</v>
      </c>
      <c r="B832">
        <v>826446.31</v>
      </c>
      <c r="C832">
        <v>65024.800000000003</v>
      </c>
      <c r="D832" s="5">
        <v>-37225.440000000002</v>
      </c>
      <c r="E832">
        <f>D832/MAX($B$2:B832,100000)</f>
        <v>-4.3101375030502043E-2</v>
      </c>
      <c r="G832" s="2"/>
      <c r="H832" s="5"/>
      <c r="K832" s="5"/>
    </row>
    <row r="833" spans="1:11" x14ac:dyDescent="0.25">
      <c r="A833" s="2">
        <v>42349</v>
      </c>
      <c r="B833">
        <v>820083.06</v>
      </c>
      <c r="C833">
        <v>65024.800000000003</v>
      </c>
      <c r="D833" s="5">
        <v>-43588.69</v>
      </c>
      <c r="E833">
        <f>D833/MAX($B$2:B833,100000)</f>
        <v>-5.0469046834054725E-2</v>
      </c>
      <c r="G833" s="2"/>
      <c r="H833" s="5"/>
      <c r="K833" s="5"/>
    </row>
    <row r="834" spans="1:11" x14ac:dyDescent="0.25">
      <c r="A834" s="2">
        <v>42356</v>
      </c>
      <c r="B834">
        <v>837033.13</v>
      </c>
      <c r="C834">
        <v>65024.800000000003</v>
      </c>
      <c r="D834" s="5">
        <v>-26638.63</v>
      </c>
      <c r="E834">
        <f>D834/MAX($B$2:B834,100000)</f>
        <v>-3.0843465703260527E-2</v>
      </c>
      <c r="G834" s="2"/>
      <c r="H834" s="5"/>
      <c r="K834" s="5"/>
    </row>
    <row r="835" spans="1:11" x14ac:dyDescent="0.25">
      <c r="A835" s="2">
        <v>42362</v>
      </c>
      <c r="B835">
        <v>851308.31</v>
      </c>
      <c r="C835">
        <v>65024.800000000003</v>
      </c>
      <c r="D835" s="5">
        <v>-12363.44</v>
      </c>
      <c r="E835">
        <f>D835/MAX($B$2:B835,100000)</f>
        <v>-1.4314975567974755E-2</v>
      </c>
      <c r="G835" s="2"/>
      <c r="H835" s="5"/>
      <c r="K835" s="5"/>
    </row>
    <row r="836" spans="1:11" x14ac:dyDescent="0.25">
      <c r="A836" s="2">
        <v>42369</v>
      </c>
      <c r="B836">
        <v>862669.13</v>
      </c>
      <c r="C836">
        <v>65024.800000000003</v>
      </c>
      <c r="D836" s="5">
        <v>-1002.63</v>
      </c>
      <c r="E836">
        <f>D836/MAX($B$2:B836,100000)</f>
        <v>-1.1608924339600085E-3</v>
      </c>
      <c r="G836" s="2"/>
      <c r="H836" s="5"/>
      <c r="K836" s="5"/>
    </row>
    <row r="837" spans="1:11" x14ac:dyDescent="0.25">
      <c r="A837" s="2">
        <v>42377</v>
      </c>
      <c r="B837">
        <v>833791.5</v>
      </c>
      <c r="C837">
        <v>65024.800000000003</v>
      </c>
      <c r="D837" s="5">
        <v>-29880.25</v>
      </c>
      <c r="E837">
        <f>D837/MAX($B$2:B837,100000)</f>
        <v>-3.4596766653534748E-2</v>
      </c>
      <c r="G837" s="2"/>
      <c r="H837" s="5"/>
      <c r="K837" s="5"/>
    </row>
    <row r="838" spans="1:11" x14ac:dyDescent="0.25">
      <c r="A838" s="2">
        <v>42384</v>
      </c>
      <c r="B838">
        <v>824892.13</v>
      </c>
      <c r="C838">
        <v>65024.800000000003</v>
      </c>
      <c r="D838" s="5">
        <v>-38779.629999999997</v>
      </c>
      <c r="E838">
        <f>D838/MAX($B$2:B838,100000)</f>
        <v>-4.4900889718808096E-2</v>
      </c>
      <c r="G838" s="2"/>
      <c r="H838" s="5"/>
      <c r="K838" s="5"/>
    </row>
    <row r="839" spans="1:11" x14ac:dyDescent="0.25">
      <c r="A839" s="2">
        <v>42391</v>
      </c>
      <c r="B839">
        <v>848788.13</v>
      </c>
      <c r="C839">
        <v>126031.85</v>
      </c>
      <c r="D839" s="5">
        <v>-14883.63</v>
      </c>
      <c r="E839">
        <f>D839/MAX($B$2:B839,100000)</f>
        <v>-1.7232970743803998E-2</v>
      </c>
      <c r="G839" s="2"/>
      <c r="H839" s="5"/>
      <c r="K839" s="5"/>
    </row>
    <row r="840" spans="1:11" x14ac:dyDescent="0.25">
      <c r="A840" s="2">
        <v>42398</v>
      </c>
      <c r="B840">
        <v>859950.25</v>
      </c>
      <c r="C840">
        <v>126031.85</v>
      </c>
      <c r="D840" s="5">
        <v>-3721.5</v>
      </c>
      <c r="E840">
        <f>D840/MAX($B$2:B840,100000)</f>
        <v>-4.3089287104736262E-3</v>
      </c>
      <c r="G840" s="2"/>
      <c r="H840" s="5"/>
      <c r="K840" s="5"/>
    </row>
    <row r="841" spans="1:11" x14ac:dyDescent="0.25">
      <c r="A841" s="2">
        <v>42405</v>
      </c>
      <c r="B841">
        <v>859420.75</v>
      </c>
      <c r="C841">
        <v>126031.85</v>
      </c>
      <c r="D841" s="5">
        <v>-4251</v>
      </c>
      <c r="E841">
        <f>D841/MAX($B$2:B841,100000)</f>
        <v>-4.9220088534793456E-3</v>
      </c>
      <c r="G841" s="2"/>
      <c r="H841" s="5"/>
      <c r="K841" s="5"/>
    </row>
    <row r="842" spans="1:11" x14ac:dyDescent="0.25">
      <c r="A842" s="2">
        <v>42412</v>
      </c>
      <c r="B842">
        <v>845012.31</v>
      </c>
      <c r="C842">
        <v>126031.85</v>
      </c>
      <c r="D842" s="5">
        <v>-18659.439999999999</v>
      </c>
      <c r="E842">
        <f>D842/MAX($B$2:B842,100000)</f>
        <v>-2.1604782140900173E-2</v>
      </c>
      <c r="G842" s="2"/>
      <c r="H842" s="5"/>
      <c r="K842" s="5"/>
    </row>
    <row r="843" spans="1:11" x14ac:dyDescent="0.25">
      <c r="A843" s="2">
        <v>42419</v>
      </c>
      <c r="B843">
        <v>863749.31</v>
      </c>
      <c r="C843">
        <v>126031.85</v>
      </c>
      <c r="D843" s="5">
        <v>0</v>
      </c>
      <c r="E843">
        <f>D843/MAX($B$2:B843,100000)</f>
        <v>0</v>
      </c>
      <c r="G843" s="2"/>
      <c r="H843" s="5"/>
      <c r="K843" s="5"/>
    </row>
    <row r="844" spans="1:11" x14ac:dyDescent="0.25">
      <c r="A844" s="2">
        <v>42426</v>
      </c>
      <c r="B844">
        <v>866134.75</v>
      </c>
      <c r="C844">
        <v>209610</v>
      </c>
      <c r="D844" s="5">
        <v>0</v>
      </c>
      <c r="E844">
        <f>D844/MAX($B$2:B844,100000)</f>
        <v>0</v>
      </c>
      <c r="G844" s="2"/>
      <c r="H844" s="5"/>
      <c r="K844" s="5"/>
    </row>
    <row r="845" spans="1:11" x14ac:dyDescent="0.25">
      <c r="A845" s="2">
        <v>42433</v>
      </c>
      <c r="B845">
        <v>863301.56</v>
      </c>
      <c r="C845">
        <v>209610</v>
      </c>
      <c r="D845" s="5">
        <v>-2833.19</v>
      </c>
      <c r="E845">
        <f>D845/MAX($B$2:B845,100000)</f>
        <v>-3.2710730056726162E-3</v>
      </c>
      <c r="G845" s="2"/>
      <c r="H845" s="5"/>
      <c r="K845" s="5"/>
    </row>
    <row r="846" spans="1:11" x14ac:dyDescent="0.25">
      <c r="A846" s="2">
        <v>42440</v>
      </c>
      <c r="B846">
        <v>872684.06</v>
      </c>
      <c r="C846">
        <v>9887.67</v>
      </c>
      <c r="D846" s="5">
        <v>0</v>
      </c>
      <c r="E846">
        <f>D846/MAX($B$2:B846,100000)</f>
        <v>0</v>
      </c>
      <c r="G846" s="2"/>
      <c r="H846" s="5"/>
      <c r="K846" s="5"/>
    </row>
    <row r="847" spans="1:11" x14ac:dyDescent="0.25">
      <c r="A847" s="2">
        <v>42447</v>
      </c>
      <c r="B847">
        <v>870833.19</v>
      </c>
      <c r="C847">
        <v>9887.67</v>
      </c>
      <c r="D847" s="5">
        <v>-1850.88</v>
      </c>
      <c r="E847">
        <f>D847/MAX($B$2:B847,100000)</f>
        <v>-2.1209050157281434E-3</v>
      </c>
      <c r="G847" s="2"/>
      <c r="H847" s="5"/>
      <c r="K847" s="5"/>
    </row>
    <row r="848" spans="1:11" x14ac:dyDescent="0.25">
      <c r="A848" s="2">
        <v>42453</v>
      </c>
      <c r="B848">
        <v>885785.63</v>
      </c>
      <c r="C848">
        <v>9887.67</v>
      </c>
      <c r="D848" s="5">
        <v>0</v>
      </c>
      <c r="E848">
        <f>D848/MAX($B$2:B848,100000)</f>
        <v>0</v>
      </c>
      <c r="G848" s="2"/>
      <c r="H848" s="5"/>
      <c r="K848" s="5"/>
    </row>
    <row r="849" spans="1:11" x14ac:dyDescent="0.25">
      <c r="A849" s="2">
        <v>42461</v>
      </c>
      <c r="B849">
        <v>878059.75</v>
      </c>
      <c r="C849">
        <v>9887.67</v>
      </c>
      <c r="D849" s="5">
        <v>-7725.88</v>
      </c>
      <c r="E849">
        <f>D849/MAX($B$2:B849,100000)</f>
        <v>-8.7220651795852679E-3</v>
      </c>
      <c r="G849" s="2"/>
      <c r="H849" s="5"/>
      <c r="K849" s="5"/>
    </row>
    <row r="850" spans="1:11" x14ac:dyDescent="0.25">
      <c r="A850" s="2">
        <v>42468</v>
      </c>
      <c r="B850">
        <v>882847.19</v>
      </c>
      <c r="C850">
        <v>9887.67</v>
      </c>
      <c r="D850" s="5">
        <v>-2938.44</v>
      </c>
      <c r="E850">
        <f>D850/MAX($B$2:B850,100000)</f>
        <v>-3.3173263377505912E-3</v>
      </c>
      <c r="G850" s="2"/>
      <c r="H850" s="5"/>
      <c r="K850" s="5"/>
    </row>
    <row r="851" spans="1:11" x14ac:dyDescent="0.25">
      <c r="A851" s="2">
        <v>42475</v>
      </c>
      <c r="B851">
        <v>901543</v>
      </c>
      <c r="C851">
        <v>9887.67</v>
      </c>
      <c r="D851" s="5">
        <v>0</v>
      </c>
      <c r="E851">
        <f>D851/MAX($B$2:B851,100000)</f>
        <v>0</v>
      </c>
      <c r="G851" s="2"/>
      <c r="H851" s="5"/>
      <c r="K851" s="5"/>
    </row>
    <row r="852" spans="1:11" x14ac:dyDescent="0.25">
      <c r="A852" s="2">
        <v>42482</v>
      </c>
      <c r="B852">
        <v>896524.69</v>
      </c>
      <c r="C852">
        <v>9887.67</v>
      </c>
      <c r="D852" s="5">
        <v>-5018.3100000000004</v>
      </c>
      <c r="E852">
        <f>D852/MAX($B$2:B852,100000)</f>
        <v>-5.5663567905246897E-3</v>
      </c>
      <c r="G852" s="2"/>
      <c r="H852" s="5"/>
      <c r="K852" s="5"/>
    </row>
    <row r="853" spans="1:11" x14ac:dyDescent="0.25">
      <c r="A853" s="2">
        <v>42489</v>
      </c>
      <c r="B853">
        <v>916953.31</v>
      </c>
      <c r="C853">
        <v>9887.67</v>
      </c>
      <c r="D853" s="5">
        <v>0</v>
      </c>
      <c r="E853">
        <f>D853/MAX($B$2:B853,100000)</f>
        <v>0</v>
      </c>
      <c r="G853" s="2"/>
      <c r="H853" s="5"/>
      <c r="K853" s="5"/>
    </row>
    <row r="854" spans="1:11" x14ac:dyDescent="0.25">
      <c r="A854" s="2">
        <v>42496</v>
      </c>
      <c r="B854">
        <v>946709.19</v>
      </c>
      <c r="C854">
        <v>9887.67</v>
      </c>
      <c r="D854" s="5">
        <v>0</v>
      </c>
      <c r="E854">
        <f>D854/MAX($B$2:B854,100000)</f>
        <v>0</v>
      </c>
      <c r="G854" s="2"/>
      <c r="H854" s="5"/>
      <c r="K854" s="5"/>
    </row>
    <row r="855" spans="1:11" x14ac:dyDescent="0.25">
      <c r="A855" s="2">
        <v>42503</v>
      </c>
      <c r="B855">
        <v>947158.06</v>
      </c>
      <c r="C855">
        <v>9887.67</v>
      </c>
      <c r="D855" s="5">
        <v>0</v>
      </c>
      <c r="E855">
        <f>D855/MAX($B$2:B855,100000)</f>
        <v>0</v>
      </c>
      <c r="G855" s="2"/>
      <c r="H855" s="5"/>
      <c r="K855" s="5"/>
    </row>
    <row r="856" spans="1:11" x14ac:dyDescent="0.25">
      <c r="A856" s="2">
        <v>42510</v>
      </c>
      <c r="B856">
        <v>949663.38</v>
      </c>
      <c r="C856">
        <v>9887.67</v>
      </c>
      <c r="D856" s="5">
        <v>0</v>
      </c>
      <c r="E856">
        <f>D856/MAX($B$2:B856,100000)</f>
        <v>0</v>
      </c>
      <c r="G856" s="2"/>
      <c r="H856" s="5"/>
      <c r="K856" s="5"/>
    </row>
    <row r="857" spans="1:11" x14ac:dyDescent="0.25">
      <c r="A857" s="2">
        <v>42517</v>
      </c>
      <c r="B857">
        <v>959810.13</v>
      </c>
      <c r="C857">
        <v>9887.67</v>
      </c>
      <c r="D857" s="5">
        <v>0</v>
      </c>
      <c r="E857">
        <f>D857/MAX($B$2:B857,100000)</f>
        <v>0</v>
      </c>
      <c r="G857" s="2"/>
      <c r="H857" s="5"/>
      <c r="K857" s="5"/>
    </row>
    <row r="858" spans="1:11" x14ac:dyDescent="0.25">
      <c r="A858" s="2">
        <v>42524</v>
      </c>
      <c r="B858">
        <v>945590.38</v>
      </c>
      <c r="C858">
        <v>9887.67</v>
      </c>
      <c r="D858" s="5">
        <v>-14219.75</v>
      </c>
      <c r="E858">
        <f>D858/MAX($B$2:B858,100000)</f>
        <v>-1.4815169746124684E-2</v>
      </c>
      <c r="G858" s="2"/>
      <c r="H858" s="5"/>
      <c r="K858" s="5"/>
    </row>
    <row r="859" spans="1:11" x14ac:dyDescent="0.25">
      <c r="A859" s="2">
        <v>42531</v>
      </c>
      <c r="B859">
        <v>943438.94</v>
      </c>
      <c r="C859">
        <v>9887.67</v>
      </c>
      <c r="D859" s="5">
        <v>-16371.19</v>
      </c>
      <c r="E859">
        <f>D859/MAX($B$2:B859,100000)</f>
        <v>-1.7056696411403786E-2</v>
      </c>
      <c r="G859" s="2"/>
      <c r="H859" s="5"/>
      <c r="K859" s="5"/>
    </row>
    <row r="860" spans="1:11" x14ac:dyDescent="0.25">
      <c r="A860" s="2">
        <v>42538</v>
      </c>
      <c r="B860">
        <v>936552.31</v>
      </c>
      <c r="C860">
        <v>9887.67</v>
      </c>
      <c r="D860" s="5">
        <v>-23257.81</v>
      </c>
      <c r="E860">
        <f>D860/MAX($B$2:B860,100000)</f>
        <v>-2.4231677988228777E-2</v>
      </c>
      <c r="G860" s="2"/>
      <c r="H860" s="5"/>
      <c r="K860" s="5"/>
    </row>
    <row r="861" spans="1:11" x14ac:dyDescent="0.25">
      <c r="A861" s="2">
        <v>42545</v>
      </c>
      <c r="B861">
        <v>932186.06</v>
      </c>
      <c r="C861">
        <v>9887.67</v>
      </c>
      <c r="D861" s="5">
        <v>-27624.06</v>
      </c>
      <c r="E861">
        <f>D861/MAX($B$2:B861,100000)</f>
        <v>-2.8780754793659033E-2</v>
      </c>
      <c r="G861" s="2"/>
      <c r="H861" s="5"/>
      <c r="K861" s="5"/>
    </row>
    <row r="862" spans="1:11" x14ac:dyDescent="0.25">
      <c r="A862" s="2">
        <v>42552</v>
      </c>
      <c r="B862">
        <v>970786.38</v>
      </c>
      <c r="C862">
        <v>9887.67</v>
      </c>
      <c r="D862" s="5">
        <v>0</v>
      </c>
      <c r="E862">
        <f>D862/MAX($B$2:B862,100000)</f>
        <v>0</v>
      </c>
      <c r="G862" s="2"/>
      <c r="H862" s="5"/>
      <c r="K862" s="5"/>
    </row>
    <row r="863" spans="1:11" x14ac:dyDescent="0.25">
      <c r="A863" s="2">
        <v>42559</v>
      </c>
      <c r="B863">
        <v>984036.69</v>
      </c>
      <c r="C863">
        <v>9887.67</v>
      </c>
      <c r="D863" s="5">
        <v>0</v>
      </c>
      <c r="E863">
        <f>D863/MAX($B$2:B863,100000)</f>
        <v>0</v>
      </c>
      <c r="G863" s="2"/>
      <c r="H863" s="5"/>
      <c r="K863" s="5"/>
    </row>
    <row r="864" spans="1:11" x14ac:dyDescent="0.25">
      <c r="A864" s="2">
        <v>42566</v>
      </c>
      <c r="B864">
        <v>998818.81</v>
      </c>
      <c r="C864">
        <v>9887.67</v>
      </c>
      <c r="D864" s="5">
        <v>0</v>
      </c>
      <c r="E864">
        <f>D864/MAX($B$2:B864,100000)</f>
        <v>0</v>
      </c>
      <c r="G864" s="2"/>
      <c r="H864" s="5"/>
      <c r="K864" s="5"/>
    </row>
    <row r="865" spans="1:11" x14ac:dyDescent="0.25">
      <c r="A865" s="2">
        <v>42573</v>
      </c>
      <c r="B865">
        <v>1018082</v>
      </c>
      <c r="C865">
        <v>9887.67</v>
      </c>
      <c r="D865" s="5">
        <v>0</v>
      </c>
      <c r="E865">
        <f>D865/MAX($B$2:B865,100000)</f>
        <v>0</v>
      </c>
      <c r="G865" s="2"/>
      <c r="H865" s="5"/>
      <c r="K865" s="5"/>
    </row>
    <row r="866" spans="1:11" x14ac:dyDescent="0.25">
      <c r="A866" s="2">
        <v>42580</v>
      </c>
      <c r="B866">
        <v>1038846.31</v>
      </c>
      <c r="C866">
        <v>9887.67</v>
      </c>
      <c r="D866" s="5">
        <v>0</v>
      </c>
      <c r="E866">
        <f>D866/MAX($B$2:B866,100000)</f>
        <v>0</v>
      </c>
      <c r="G866" s="2"/>
      <c r="H866" s="5"/>
      <c r="K866" s="5"/>
    </row>
    <row r="867" spans="1:11" x14ac:dyDescent="0.25">
      <c r="A867" s="2">
        <v>42587</v>
      </c>
      <c r="B867">
        <v>1015797.44</v>
      </c>
      <c r="C867">
        <v>9887.67</v>
      </c>
      <c r="D867" s="5">
        <v>-23048.880000000001</v>
      </c>
      <c r="E867">
        <f>D867/MAX($B$2:B867,100000)</f>
        <v>-2.2186997035201481E-2</v>
      </c>
      <c r="G867" s="2"/>
      <c r="H867" s="5"/>
      <c r="K867" s="5"/>
    </row>
    <row r="868" spans="1:11" x14ac:dyDescent="0.25">
      <c r="A868" s="2">
        <v>42594</v>
      </c>
      <c r="B868">
        <v>1019460.44</v>
      </c>
      <c r="C868">
        <v>9887.67</v>
      </c>
      <c r="D868" s="5">
        <v>-19385.88</v>
      </c>
      <c r="E868">
        <f>D868/MAX($B$2:B868,100000)</f>
        <v>-1.8660970167954875E-2</v>
      </c>
      <c r="G868" s="2"/>
      <c r="H868" s="5"/>
      <c r="K868" s="5"/>
    </row>
    <row r="869" spans="1:11" x14ac:dyDescent="0.25">
      <c r="A869" s="2">
        <v>42601</v>
      </c>
      <c r="B869">
        <v>1022832.94</v>
      </c>
      <c r="C869">
        <v>9887.67</v>
      </c>
      <c r="D869" s="5">
        <v>-16013.38</v>
      </c>
      <c r="E869">
        <f>D869/MAX($B$2:B869,100000)</f>
        <v>-1.5414580430092684E-2</v>
      </c>
      <c r="G869" s="2"/>
      <c r="H869" s="5"/>
      <c r="K869" s="5"/>
    </row>
    <row r="870" spans="1:11" x14ac:dyDescent="0.25">
      <c r="A870" s="2">
        <v>42608</v>
      </c>
      <c r="B870">
        <v>1017737.13</v>
      </c>
      <c r="C870">
        <v>9887.67</v>
      </c>
      <c r="D870" s="5">
        <v>-21109.19</v>
      </c>
      <c r="E870">
        <f>D870/MAX($B$2:B870,100000)</f>
        <v>-2.0319839226266297E-2</v>
      </c>
      <c r="G870" s="2"/>
      <c r="H870" s="5"/>
      <c r="K870" s="5"/>
    </row>
    <row r="871" spans="1:11" x14ac:dyDescent="0.25">
      <c r="A871" s="2">
        <v>42615</v>
      </c>
      <c r="B871">
        <v>987727.81</v>
      </c>
      <c r="C871">
        <v>9887.67</v>
      </c>
      <c r="D871" s="5">
        <v>-51118.5</v>
      </c>
      <c r="E871">
        <f>D871/MAX($B$2:B871,100000)</f>
        <v>-4.9206990011833415E-2</v>
      </c>
      <c r="G871" s="2"/>
      <c r="H871" s="5"/>
      <c r="K871" s="5"/>
    </row>
    <row r="872" spans="1:11" x14ac:dyDescent="0.25">
      <c r="A872" s="2">
        <v>42622</v>
      </c>
      <c r="B872">
        <v>995085.56</v>
      </c>
      <c r="C872">
        <v>9887.67</v>
      </c>
      <c r="D872" s="5">
        <v>-43760.75</v>
      </c>
      <c r="E872">
        <f>D872/MAX($B$2:B872,100000)</f>
        <v>-4.2124373527398867E-2</v>
      </c>
      <c r="G872" s="2"/>
      <c r="H872" s="5"/>
      <c r="K872" s="5"/>
    </row>
    <row r="873" spans="1:11" x14ac:dyDescent="0.25">
      <c r="A873" s="2">
        <v>42629</v>
      </c>
      <c r="B873">
        <v>977387.88</v>
      </c>
      <c r="C873">
        <v>191292.36</v>
      </c>
      <c r="D873" s="5">
        <v>-61458.44</v>
      </c>
      <c r="E873">
        <f>D873/MAX($B$2:B873,100000)</f>
        <v>-5.9160281370205764E-2</v>
      </c>
      <c r="G873" s="2"/>
      <c r="H873" s="5"/>
      <c r="K873" s="5"/>
    </row>
    <row r="874" spans="1:11" x14ac:dyDescent="0.25">
      <c r="A874" s="2">
        <v>42636</v>
      </c>
      <c r="B874">
        <v>1001832.25</v>
      </c>
      <c r="C874">
        <v>191292.36</v>
      </c>
      <c r="D874" s="5">
        <v>-37014.06</v>
      </c>
      <c r="E874">
        <f>D874/MAX($B$2:B874,100000)</f>
        <v>-3.5629967247031949E-2</v>
      </c>
      <c r="G874" s="2"/>
      <c r="H874" s="5"/>
      <c r="K874" s="5"/>
    </row>
    <row r="875" spans="1:11" x14ac:dyDescent="0.25">
      <c r="A875" s="2">
        <v>42643</v>
      </c>
      <c r="B875">
        <v>1002769.94</v>
      </c>
      <c r="C875">
        <v>191292.36</v>
      </c>
      <c r="D875" s="5">
        <v>-36076.379999999997</v>
      </c>
      <c r="E875">
        <f>D875/MAX($B$2:B875,100000)</f>
        <v>-3.472735057411909E-2</v>
      </c>
      <c r="G875" s="2"/>
      <c r="H875" s="5"/>
      <c r="K875" s="5"/>
    </row>
    <row r="876" spans="1:11" x14ac:dyDescent="0.25">
      <c r="A876" s="2">
        <v>42650</v>
      </c>
      <c r="B876">
        <v>986199.13</v>
      </c>
      <c r="C876">
        <v>113866.55</v>
      </c>
      <c r="D876" s="5">
        <v>-52647.19</v>
      </c>
      <c r="E876">
        <f>D876/MAX($B$2:B876,100000)</f>
        <v>-5.067851663255174E-2</v>
      </c>
      <c r="G876" s="2"/>
      <c r="H876" s="5"/>
      <c r="K876" s="5"/>
    </row>
    <row r="877" spans="1:11" x14ac:dyDescent="0.25">
      <c r="A877" s="2">
        <v>42657</v>
      </c>
      <c r="B877">
        <v>982016.88</v>
      </c>
      <c r="C877">
        <v>37555.5</v>
      </c>
      <c r="D877" s="5">
        <v>-56829.440000000002</v>
      </c>
      <c r="E877">
        <f>D877/MAX($B$2:B877,100000)</f>
        <v>-5.4704376819704928E-2</v>
      </c>
      <c r="G877" s="2"/>
      <c r="H877" s="5"/>
      <c r="K877" s="5"/>
    </row>
    <row r="878" spans="1:11" x14ac:dyDescent="0.25">
      <c r="A878" s="2">
        <v>42664</v>
      </c>
      <c r="B878">
        <v>976553.19</v>
      </c>
      <c r="C878">
        <v>37555.5</v>
      </c>
      <c r="D878" s="5">
        <v>-62293.13</v>
      </c>
      <c r="E878">
        <f>D878/MAX($B$2:B878,100000)</f>
        <v>-5.9963759220553033E-2</v>
      </c>
      <c r="G878" s="2"/>
      <c r="H878" s="5"/>
      <c r="K878" s="5"/>
    </row>
    <row r="879" spans="1:11" x14ac:dyDescent="0.25">
      <c r="A879" s="2">
        <v>42671</v>
      </c>
      <c r="B879">
        <v>944475.38</v>
      </c>
      <c r="C879">
        <v>37555.5</v>
      </c>
      <c r="D879" s="5">
        <v>-94370.94</v>
      </c>
      <c r="E879">
        <f>D879/MAX($B$2:B879,100000)</f>
        <v>-9.0842061132218876E-2</v>
      </c>
      <c r="G879" s="2"/>
      <c r="H879" s="5"/>
      <c r="K879" s="5"/>
    </row>
    <row r="880" spans="1:11" x14ac:dyDescent="0.25">
      <c r="A880" s="2">
        <v>42678</v>
      </c>
      <c r="B880">
        <v>940034.13</v>
      </c>
      <c r="C880">
        <v>37555.5</v>
      </c>
      <c r="D880" s="5">
        <v>-98812.19</v>
      </c>
      <c r="E880">
        <f>D880/MAX($B$2:B880,100000)</f>
        <v>-9.5117236350389503E-2</v>
      </c>
      <c r="G880" s="2"/>
      <c r="H880" s="5"/>
      <c r="K880" s="5"/>
    </row>
    <row r="881" spans="1:11" x14ac:dyDescent="0.25">
      <c r="A881" s="2">
        <v>42685</v>
      </c>
      <c r="B881">
        <v>933927.94</v>
      </c>
      <c r="C881">
        <v>201182.97</v>
      </c>
      <c r="D881" s="5">
        <v>-104918.38</v>
      </c>
      <c r="E881">
        <f>D881/MAX($B$2:B881,100000)</f>
        <v>-0.10099509329729438</v>
      </c>
      <c r="G881" s="2"/>
      <c r="H881" s="5"/>
      <c r="K881" s="5"/>
    </row>
    <row r="882" spans="1:11" x14ac:dyDescent="0.25">
      <c r="A882" s="2">
        <v>42692</v>
      </c>
      <c r="B882">
        <v>939344.44</v>
      </c>
      <c r="C882">
        <v>201182.97</v>
      </c>
      <c r="D882" s="5">
        <v>-99501.88</v>
      </c>
      <c r="E882">
        <f>D882/MAX($B$2:B882,100000)</f>
        <v>-9.5781136287618904E-2</v>
      </c>
      <c r="G882" s="2"/>
      <c r="H882" s="5"/>
      <c r="K882" s="5"/>
    </row>
    <row r="883" spans="1:11" x14ac:dyDescent="0.25">
      <c r="A883" s="2">
        <v>42699</v>
      </c>
      <c r="B883">
        <v>958908.38</v>
      </c>
      <c r="C883">
        <v>201182.97</v>
      </c>
      <c r="D883" s="5">
        <v>-79937.94</v>
      </c>
      <c r="E883">
        <f>D883/MAX($B$2:B883,100000)</f>
        <v>-7.6948764442355294E-2</v>
      </c>
      <c r="G883" s="2"/>
      <c r="H883" s="5"/>
      <c r="K883" s="5"/>
    </row>
    <row r="884" spans="1:11" x14ac:dyDescent="0.25">
      <c r="A884" s="2">
        <v>42706</v>
      </c>
      <c r="B884">
        <v>951483.25</v>
      </c>
      <c r="C884">
        <v>53077.98</v>
      </c>
      <c r="D884" s="5">
        <v>-87363.06</v>
      </c>
      <c r="E884">
        <f>D884/MAX($B$2:B884,100000)</f>
        <v>-8.4096231713043285E-2</v>
      </c>
      <c r="G884" s="2"/>
      <c r="H884" s="5"/>
      <c r="K884" s="5"/>
    </row>
    <row r="885" spans="1:11" x14ac:dyDescent="0.25">
      <c r="A885" s="2">
        <v>42713</v>
      </c>
      <c r="B885">
        <v>967822.94</v>
      </c>
      <c r="C885">
        <v>53077.98</v>
      </c>
      <c r="D885" s="5">
        <v>-71023.38</v>
      </c>
      <c r="E885">
        <f>D885/MAX($B$2:B885,100000)</f>
        <v>-6.836755284812053E-2</v>
      </c>
      <c r="G885" s="2"/>
      <c r="H885" s="5"/>
      <c r="K885" s="5"/>
    </row>
    <row r="886" spans="1:11" x14ac:dyDescent="0.25">
      <c r="A886" s="2">
        <v>42720</v>
      </c>
      <c r="B886">
        <v>963138</v>
      </c>
      <c r="C886">
        <v>53077.98</v>
      </c>
      <c r="D886" s="5">
        <v>-75708.31</v>
      </c>
      <c r="E886">
        <f>D886/MAX($B$2:B886,100000)</f>
        <v>-7.2877295968832953E-2</v>
      </c>
      <c r="G886" s="2"/>
      <c r="H886" s="5"/>
      <c r="K886" s="5"/>
    </row>
    <row r="887" spans="1:11" x14ac:dyDescent="0.25">
      <c r="A887" s="2">
        <v>42727</v>
      </c>
      <c r="B887">
        <v>975976</v>
      </c>
      <c r="C887">
        <v>53077.98</v>
      </c>
      <c r="D887" s="5">
        <v>-62870.31</v>
      </c>
      <c r="E887">
        <f>D887/MAX($B$2:B887,100000)</f>
        <v>-6.0519356323265945E-2</v>
      </c>
      <c r="G887" s="2"/>
      <c r="H887" s="5"/>
      <c r="K887" s="5"/>
    </row>
    <row r="888" spans="1:11" x14ac:dyDescent="0.25">
      <c r="A888" s="2">
        <v>42734</v>
      </c>
      <c r="B888">
        <v>983706</v>
      </c>
      <c r="C888">
        <v>53077.98</v>
      </c>
      <c r="D888" s="5">
        <v>-55140.31</v>
      </c>
      <c r="E888">
        <f>D888/MAX($B$2:B888,100000)</f>
        <v>-5.307840964463742E-2</v>
      </c>
      <c r="G888" s="2"/>
      <c r="H888" s="5"/>
      <c r="K888" s="5"/>
    </row>
    <row r="889" spans="1:11" x14ac:dyDescent="0.25">
      <c r="A889" s="2">
        <v>42741</v>
      </c>
      <c r="B889">
        <v>997172.13</v>
      </c>
      <c r="C889">
        <v>53077.98</v>
      </c>
      <c r="D889" s="5">
        <v>-41674.19</v>
      </c>
      <c r="E889">
        <f>D889/MAX($B$2:B889,100000)</f>
        <v>-4.0115837731569744E-2</v>
      </c>
      <c r="G889" s="2"/>
      <c r="H889" s="5"/>
      <c r="K889" s="5"/>
    </row>
    <row r="890" spans="1:11" x14ac:dyDescent="0.25">
      <c r="A890" s="2">
        <v>42748</v>
      </c>
      <c r="B890">
        <v>983366.63</v>
      </c>
      <c r="C890">
        <v>53077.98</v>
      </c>
      <c r="D890" s="5">
        <v>-55479.69</v>
      </c>
      <c r="E890">
        <f>D890/MAX($B$2:B890,100000)</f>
        <v>-5.3405098969837028E-2</v>
      </c>
      <c r="G890" s="2"/>
      <c r="H890" s="5"/>
      <c r="K890" s="5"/>
    </row>
    <row r="891" spans="1:11" x14ac:dyDescent="0.25">
      <c r="A891" s="2">
        <v>42755</v>
      </c>
      <c r="B891">
        <v>973758.75</v>
      </c>
      <c r="C891">
        <v>53077.98</v>
      </c>
      <c r="D891" s="5">
        <v>-65087.56</v>
      </c>
      <c r="E891">
        <f>D891/MAX($B$2:B891,100000)</f>
        <v>-6.2653695136097656E-2</v>
      </c>
      <c r="G891" s="2"/>
      <c r="H891" s="5"/>
      <c r="K891" s="5"/>
    </row>
    <row r="892" spans="1:11" x14ac:dyDescent="0.25">
      <c r="A892" s="2">
        <v>42762</v>
      </c>
      <c r="B892">
        <v>980168.31</v>
      </c>
      <c r="C892">
        <v>53077.98</v>
      </c>
      <c r="D892" s="5">
        <v>-58678</v>
      </c>
      <c r="E892">
        <f>D892/MAX($B$2:B892,100000)</f>
        <v>-5.6483812316761271E-2</v>
      </c>
      <c r="G892" s="2"/>
      <c r="H892" s="5"/>
      <c r="K892" s="5"/>
    </row>
    <row r="893" spans="1:11" x14ac:dyDescent="0.25">
      <c r="A893" s="2">
        <v>42769</v>
      </c>
      <c r="B893">
        <v>977728.81</v>
      </c>
      <c r="C893">
        <v>53077.98</v>
      </c>
      <c r="D893" s="5">
        <v>-61117.5</v>
      </c>
      <c r="E893">
        <f>D893/MAX($B$2:B893,100000)</f>
        <v>-5.8832090379182266E-2</v>
      </c>
      <c r="G893" s="2"/>
      <c r="H893" s="5"/>
      <c r="K893" s="5"/>
    </row>
    <row r="894" spans="1:11" x14ac:dyDescent="0.25">
      <c r="A894" s="2">
        <v>42776</v>
      </c>
      <c r="B894">
        <v>1003037.19</v>
      </c>
      <c r="C894">
        <v>53077.98</v>
      </c>
      <c r="D894" s="5">
        <v>-35809.129999999997</v>
      </c>
      <c r="E894">
        <f>D894/MAX($B$2:B894,100000)</f>
        <v>-3.447009404114839E-2</v>
      </c>
      <c r="G894" s="2"/>
      <c r="H894" s="5"/>
      <c r="K894" s="5"/>
    </row>
    <row r="895" spans="1:11" x14ac:dyDescent="0.25">
      <c r="A895" s="2">
        <v>42783</v>
      </c>
      <c r="B895">
        <v>1012305.5</v>
      </c>
      <c r="C895">
        <v>53077.98</v>
      </c>
      <c r="D895" s="5">
        <v>-26540.81</v>
      </c>
      <c r="E895">
        <f>D895/MAX($B$2:B895,100000)</f>
        <v>-2.5548350843157926E-2</v>
      </c>
      <c r="G895" s="2"/>
      <c r="H895" s="5"/>
      <c r="K895" s="5"/>
    </row>
    <row r="896" spans="1:11" x14ac:dyDescent="0.25">
      <c r="A896" s="2">
        <v>42790</v>
      </c>
      <c r="B896">
        <v>1013288.19</v>
      </c>
      <c r="C896">
        <v>53077.98</v>
      </c>
      <c r="D896" s="5">
        <v>-25558.13</v>
      </c>
      <c r="E896">
        <f>D896/MAX($B$2:B896,100000)</f>
        <v>-2.4602416886863657E-2</v>
      </c>
      <c r="G896" s="2"/>
      <c r="H896" s="5"/>
      <c r="K896" s="5"/>
    </row>
    <row r="897" spans="1:11" x14ac:dyDescent="0.25">
      <c r="A897" s="2">
        <v>42797</v>
      </c>
      <c r="B897">
        <v>1023932.56</v>
      </c>
      <c r="C897">
        <v>53077.98</v>
      </c>
      <c r="D897" s="5">
        <v>-14913.75</v>
      </c>
      <c r="E897">
        <f>D897/MAX($B$2:B897,100000)</f>
        <v>-1.4356069667321626E-2</v>
      </c>
      <c r="G897" s="2"/>
      <c r="H897" s="5"/>
      <c r="K897" s="5"/>
    </row>
    <row r="898" spans="1:11" x14ac:dyDescent="0.25">
      <c r="A898" s="2">
        <v>42804</v>
      </c>
      <c r="B898">
        <v>1028395.13</v>
      </c>
      <c r="C898">
        <v>53077.98</v>
      </c>
      <c r="D898" s="5">
        <v>-10451.19</v>
      </c>
      <c r="E898">
        <f>D898/MAX($B$2:B898,100000)</f>
        <v>-1.0060381308954161E-2</v>
      </c>
      <c r="G898" s="2"/>
      <c r="H898" s="5"/>
      <c r="K898" s="5"/>
    </row>
    <row r="899" spans="1:11" x14ac:dyDescent="0.25">
      <c r="A899" s="2">
        <v>42811</v>
      </c>
      <c r="B899">
        <v>1040373.63</v>
      </c>
      <c r="C899">
        <v>53077.98</v>
      </c>
      <c r="D899" s="5">
        <v>0</v>
      </c>
      <c r="E899">
        <f>D899/MAX($B$2:B899,100000)</f>
        <v>0</v>
      </c>
      <c r="G899" s="2"/>
      <c r="H899" s="5"/>
      <c r="K899" s="5"/>
    </row>
    <row r="900" spans="1:11" x14ac:dyDescent="0.25">
      <c r="A900" s="2">
        <v>42818</v>
      </c>
      <c r="B900">
        <v>1039180.88</v>
      </c>
      <c r="C900">
        <v>53077.98</v>
      </c>
      <c r="D900" s="5">
        <v>-1192.75</v>
      </c>
      <c r="E900">
        <f>D900/MAX($B$2:B900,100000)</f>
        <v>-1.1464631220997018E-3</v>
      </c>
      <c r="G900" s="2"/>
      <c r="H900" s="5"/>
      <c r="K900" s="5"/>
    </row>
    <row r="901" spans="1:11" x14ac:dyDescent="0.25">
      <c r="A901" s="2">
        <v>42825</v>
      </c>
      <c r="B901">
        <v>1057776.3799999999</v>
      </c>
      <c r="C901">
        <v>53077.98</v>
      </c>
      <c r="D901" s="5">
        <v>0</v>
      </c>
      <c r="E901">
        <f>D901/MAX($B$2:B901,100000)</f>
        <v>0</v>
      </c>
      <c r="G901" s="2"/>
      <c r="H901" s="5"/>
      <c r="K901" s="5"/>
    </row>
    <row r="902" spans="1:11" x14ac:dyDescent="0.25">
      <c r="A902" s="2">
        <v>42832</v>
      </c>
      <c r="B902">
        <v>1056703.1299999999</v>
      </c>
      <c r="C902">
        <v>53077.98</v>
      </c>
      <c r="D902" s="5">
        <v>-1073.25</v>
      </c>
      <c r="E902">
        <f>D902/MAX($B$2:B902,100000)</f>
        <v>-1.0146284415993483E-3</v>
      </c>
      <c r="G902" s="2"/>
      <c r="H902" s="5"/>
      <c r="K902" s="5"/>
    </row>
    <row r="903" spans="1:11" x14ac:dyDescent="0.25">
      <c r="A903" s="2">
        <v>42838</v>
      </c>
      <c r="B903">
        <v>1061342.3799999999</v>
      </c>
      <c r="C903">
        <v>53077.98</v>
      </c>
      <c r="D903" s="5">
        <v>0</v>
      </c>
      <c r="E903">
        <f>D903/MAX($B$2:B903,100000)</f>
        <v>0</v>
      </c>
      <c r="G903" s="2"/>
      <c r="H903" s="5"/>
      <c r="K903" s="5"/>
    </row>
    <row r="904" spans="1:11" x14ac:dyDescent="0.25">
      <c r="A904" s="2">
        <v>42846</v>
      </c>
      <c r="B904">
        <v>1063350.25</v>
      </c>
      <c r="C904">
        <v>53077.98</v>
      </c>
      <c r="D904" s="5">
        <v>0</v>
      </c>
      <c r="E904">
        <f>D904/MAX($B$2:B904,100000)</f>
        <v>0</v>
      </c>
      <c r="G904" s="2"/>
      <c r="H904" s="5"/>
      <c r="K904" s="5"/>
    </row>
    <row r="905" spans="1:11" x14ac:dyDescent="0.25">
      <c r="A905" s="2">
        <v>42853</v>
      </c>
      <c r="B905">
        <v>1084975.3799999999</v>
      </c>
      <c r="C905">
        <v>53077.98</v>
      </c>
      <c r="D905" s="5">
        <v>0</v>
      </c>
      <c r="E905">
        <f>D905/MAX($B$2:B905,100000)</f>
        <v>0</v>
      </c>
      <c r="G905" s="2"/>
      <c r="H905" s="5"/>
      <c r="K905" s="5"/>
    </row>
    <row r="906" spans="1:11" x14ac:dyDescent="0.25">
      <c r="A906" s="2">
        <v>42860</v>
      </c>
      <c r="B906">
        <v>1086643.1299999999</v>
      </c>
      <c r="C906">
        <v>53077.98</v>
      </c>
      <c r="D906" s="5">
        <v>0</v>
      </c>
      <c r="E906">
        <f>D906/MAX($B$2:B906,100000)</f>
        <v>0</v>
      </c>
      <c r="G906" s="2"/>
      <c r="H906" s="5"/>
      <c r="K906" s="5"/>
    </row>
    <row r="907" spans="1:11" x14ac:dyDescent="0.25">
      <c r="A907" s="2">
        <v>42867</v>
      </c>
      <c r="B907">
        <v>1098453.3799999999</v>
      </c>
      <c r="C907">
        <v>53077.98</v>
      </c>
      <c r="D907" s="5">
        <v>0</v>
      </c>
      <c r="E907">
        <f>D907/MAX($B$2:B907,100000)</f>
        <v>0</v>
      </c>
      <c r="G907" s="2"/>
      <c r="H907" s="5"/>
      <c r="K907" s="5"/>
    </row>
    <row r="908" spans="1:11" x14ac:dyDescent="0.25">
      <c r="A908" s="2">
        <v>42874</v>
      </c>
      <c r="B908">
        <v>1088085.25</v>
      </c>
      <c r="C908">
        <v>53077.98</v>
      </c>
      <c r="D908" s="5">
        <v>-10368.129999999999</v>
      </c>
      <c r="E908">
        <f>D908/MAX($B$2:B908,100000)</f>
        <v>-9.4388439134303545E-3</v>
      </c>
      <c r="G908" s="2"/>
      <c r="H908" s="5"/>
      <c r="K908" s="5"/>
    </row>
    <row r="909" spans="1:11" x14ac:dyDescent="0.25">
      <c r="A909" s="2">
        <v>42881</v>
      </c>
      <c r="B909">
        <v>1102953.3799999999</v>
      </c>
      <c r="C909">
        <v>53077.98</v>
      </c>
      <c r="D909" s="5">
        <v>0</v>
      </c>
      <c r="E909">
        <f>D909/MAX($B$2:B909,100000)</f>
        <v>0</v>
      </c>
      <c r="G909" s="2"/>
      <c r="H909" s="5"/>
      <c r="K909" s="5"/>
    </row>
    <row r="910" spans="1:11" x14ac:dyDescent="0.25">
      <c r="A910" s="2">
        <v>42888</v>
      </c>
      <c r="B910">
        <v>1130803.3799999999</v>
      </c>
      <c r="C910">
        <v>53077.98</v>
      </c>
      <c r="D910" s="5">
        <v>0</v>
      </c>
      <c r="E910">
        <f>D910/MAX($B$2:B910,100000)</f>
        <v>0</v>
      </c>
      <c r="G910" s="2"/>
      <c r="H910" s="5"/>
      <c r="K910" s="5"/>
    </row>
    <row r="911" spans="1:11" x14ac:dyDescent="0.25">
      <c r="A911" s="2">
        <v>42895</v>
      </c>
      <c r="B911">
        <v>1100833.8799999999</v>
      </c>
      <c r="C911">
        <v>53077.98</v>
      </c>
      <c r="D911" s="5">
        <v>-29969.5</v>
      </c>
      <c r="E911">
        <f>D911/MAX($B$2:B911,100000)</f>
        <v>-2.6502839070042399E-2</v>
      </c>
      <c r="G911" s="2"/>
      <c r="H911" s="5"/>
      <c r="K911" s="5"/>
    </row>
    <row r="912" spans="1:11" x14ac:dyDescent="0.25">
      <c r="A912" s="2">
        <v>42902</v>
      </c>
      <c r="B912">
        <v>1118489.75</v>
      </c>
      <c r="C912">
        <v>53077.98</v>
      </c>
      <c r="D912" s="5">
        <v>-12313.63</v>
      </c>
      <c r="E912">
        <f>D912/MAX($B$2:B912,100000)</f>
        <v>-1.0889275905772409E-2</v>
      </c>
      <c r="G912" s="2"/>
      <c r="H912" s="5"/>
      <c r="K912" s="5"/>
    </row>
    <row r="913" spans="1:11" x14ac:dyDescent="0.25">
      <c r="A913" s="2">
        <v>42909</v>
      </c>
      <c r="B913">
        <v>1107302.8799999999</v>
      </c>
      <c r="C913">
        <v>53077.98</v>
      </c>
      <c r="D913" s="5">
        <v>-23500.5</v>
      </c>
      <c r="E913">
        <f>D913/MAX($B$2:B913,100000)</f>
        <v>-2.0782127481790869E-2</v>
      </c>
      <c r="G913" s="2"/>
      <c r="H913" s="5"/>
      <c r="K913" s="5"/>
    </row>
    <row r="914" spans="1:11" x14ac:dyDescent="0.25">
      <c r="A914" s="2">
        <v>42916</v>
      </c>
      <c r="B914">
        <v>1094298.8799999999</v>
      </c>
      <c r="C914">
        <v>53077.98</v>
      </c>
      <c r="D914" s="5">
        <v>-36504.5</v>
      </c>
      <c r="E914">
        <f>D914/MAX($B$2:B914,100000)</f>
        <v>-3.2281916242592065E-2</v>
      </c>
      <c r="G914" s="2"/>
      <c r="H914" s="5"/>
      <c r="K914" s="5"/>
    </row>
    <row r="915" spans="1:11" x14ac:dyDescent="0.25">
      <c r="A915" s="2">
        <v>42923</v>
      </c>
      <c r="B915">
        <v>1081471.5</v>
      </c>
      <c r="C915">
        <v>131918.84</v>
      </c>
      <c r="D915" s="5">
        <v>-49331.88</v>
      </c>
      <c r="E915">
        <f>D915/MAX($B$2:B915,100000)</f>
        <v>-4.362551516250332E-2</v>
      </c>
      <c r="G915" s="2"/>
      <c r="H915" s="5"/>
      <c r="K915" s="5"/>
    </row>
    <row r="916" spans="1:11" x14ac:dyDescent="0.25">
      <c r="A916" s="2">
        <v>42930</v>
      </c>
      <c r="B916">
        <v>1086387.6299999999</v>
      </c>
      <c r="C916">
        <v>131918.84</v>
      </c>
      <c r="D916" s="5">
        <v>-44415.75</v>
      </c>
      <c r="E916">
        <f>D916/MAX($B$2:B916,100000)</f>
        <v>-3.9278048496812948E-2</v>
      </c>
      <c r="G916" s="2"/>
      <c r="H916" s="5"/>
      <c r="K916" s="5"/>
    </row>
    <row r="917" spans="1:11" x14ac:dyDescent="0.25">
      <c r="A917" s="2">
        <v>42937</v>
      </c>
      <c r="B917">
        <v>1080467.75</v>
      </c>
      <c r="C917">
        <v>131918.84</v>
      </c>
      <c r="D917" s="5">
        <v>-50335.63</v>
      </c>
      <c r="E917">
        <f>D917/MAX($B$2:B917,100000)</f>
        <v>-4.4513158423704041E-2</v>
      </c>
      <c r="G917" s="2"/>
      <c r="H917" s="5"/>
      <c r="K917" s="5"/>
    </row>
    <row r="918" spans="1:11" x14ac:dyDescent="0.25">
      <c r="A918" s="2">
        <v>42944</v>
      </c>
      <c r="B918">
        <v>1078786.25</v>
      </c>
      <c r="C918">
        <v>131918.84</v>
      </c>
      <c r="D918" s="5">
        <v>-52017.13</v>
      </c>
      <c r="E918">
        <f>D918/MAX($B$2:B918,100000)</f>
        <v>-4.6000154332754117E-2</v>
      </c>
      <c r="G918" s="2"/>
      <c r="H918" s="5"/>
      <c r="K918" s="5"/>
    </row>
    <row r="919" spans="1:11" x14ac:dyDescent="0.25">
      <c r="A919" s="2">
        <v>42951</v>
      </c>
      <c r="B919">
        <v>1090485.1299999999</v>
      </c>
      <c r="C919">
        <v>131918.84</v>
      </c>
      <c r="D919" s="5">
        <v>-40318.25</v>
      </c>
      <c r="E919">
        <f>D919/MAX($B$2:B919,100000)</f>
        <v>-3.5654518471637399E-2</v>
      </c>
      <c r="G919" s="2"/>
      <c r="H919" s="5"/>
      <c r="K919" s="5"/>
    </row>
    <row r="920" spans="1:11" x14ac:dyDescent="0.25">
      <c r="A920" s="2">
        <v>42958</v>
      </c>
      <c r="B920">
        <v>1081997.6299999999</v>
      </c>
      <c r="C920">
        <v>131918.84</v>
      </c>
      <c r="D920" s="5">
        <v>-48805.75</v>
      </c>
      <c r="E920">
        <f>D920/MAX($B$2:B920,100000)</f>
        <v>-4.3160244179673395E-2</v>
      </c>
      <c r="G920" s="2"/>
      <c r="H920" s="5"/>
      <c r="K920" s="5"/>
    </row>
    <row r="921" spans="1:11" x14ac:dyDescent="0.25">
      <c r="A921" s="2">
        <v>42965</v>
      </c>
      <c r="B921">
        <v>1097303.25</v>
      </c>
      <c r="C921">
        <v>131918.84</v>
      </c>
      <c r="D921" s="5">
        <v>-33500.129999999997</v>
      </c>
      <c r="E921">
        <f>D921/MAX($B$2:B921,100000)</f>
        <v>-2.9625070628989454E-2</v>
      </c>
      <c r="G921" s="2"/>
      <c r="H921" s="5"/>
      <c r="K921" s="5"/>
    </row>
    <row r="922" spans="1:11" x14ac:dyDescent="0.25">
      <c r="A922" s="2">
        <v>42972</v>
      </c>
      <c r="B922">
        <v>1120985</v>
      </c>
      <c r="C922">
        <v>131918.84</v>
      </c>
      <c r="D922" s="5">
        <v>-9818.3799999999992</v>
      </c>
      <c r="E922">
        <f>D922/MAX($B$2:B922,100000)</f>
        <v>-8.6826588721374363E-3</v>
      </c>
      <c r="G922" s="2"/>
      <c r="H922" s="5"/>
      <c r="K922" s="5"/>
    </row>
    <row r="923" spans="1:11" x14ac:dyDescent="0.25">
      <c r="A923" s="2">
        <v>42979</v>
      </c>
      <c r="B923">
        <v>1126797</v>
      </c>
      <c r="C923">
        <v>45610.48</v>
      </c>
      <c r="D923" s="5">
        <v>-4006.38</v>
      </c>
      <c r="E923">
        <f>D923/MAX($B$2:B923,100000)</f>
        <v>-3.5429501457627413E-3</v>
      </c>
      <c r="G923" s="2"/>
      <c r="H923" s="5"/>
      <c r="K923" s="5"/>
    </row>
    <row r="924" spans="1:11" x14ac:dyDescent="0.25">
      <c r="A924" s="2">
        <v>42986</v>
      </c>
      <c r="B924">
        <v>1115833.1299999999</v>
      </c>
      <c r="C924">
        <v>45610.48</v>
      </c>
      <c r="D924" s="5">
        <v>-14970.25</v>
      </c>
      <c r="E924">
        <f>D924/MAX($B$2:B924,100000)</f>
        <v>-1.3238596793016307E-2</v>
      </c>
      <c r="G924" s="2"/>
      <c r="H924" s="5"/>
      <c r="K924" s="5"/>
    </row>
    <row r="925" spans="1:11" x14ac:dyDescent="0.25">
      <c r="A925" s="2">
        <v>42993</v>
      </c>
      <c r="B925">
        <v>1101791</v>
      </c>
      <c r="C925">
        <v>45610.48</v>
      </c>
      <c r="D925" s="5">
        <v>-29012.38</v>
      </c>
      <c r="E925">
        <f>D925/MAX($B$2:B925,100000)</f>
        <v>-2.5656431978475343E-2</v>
      </c>
      <c r="G925" s="2"/>
      <c r="H925" s="5"/>
      <c r="K925" s="5"/>
    </row>
    <row r="926" spans="1:11" x14ac:dyDescent="0.25">
      <c r="A926" s="2">
        <v>43000</v>
      </c>
      <c r="B926">
        <v>1097512.25</v>
      </c>
      <c r="C926">
        <v>45610.48</v>
      </c>
      <c r="D926" s="5">
        <v>-33291.129999999997</v>
      </c>
      <c r="E926">
        <f>D926/MAX($B$2:B926,100000)</f>
        <v>-2.9440246278712043E-2</v>
      </c>
      <c r="G926" s="2"/>
      <c r="H926" s="5"/>
      <c r="K926" s="5"/>
    </row>
    <row r="927" spans="1:11" x14ac:dyDescent="0.25">
      <c r="A927" s="2">
        <v>43007</v>
      </c>
      <c r="B927">
        <v>1095647.25</v>
      </c>
      <c r="C927">
        <v>172639.27</v>
      </c>
      <c r="D927" s="5">
        <v>-35156.129999999997</v>
      </c>
      <c r="E927">
        <f>D927/MAX($B$2:B927,100000)</f>
        <v>-3.1089516198651617E-2</v>
      </c>
      <c r="G927" s="2"/>
      <c r="H927" s="5"/>
      <c r="K927" s="5"/>
    </row>
    <row r="928" spans="1:11" x14ac:dyDescent="0.25">
      <c r="A928" s="2">
        <v>43014</v>
      </c>
      <c r="B928">
        <v>1096642.25</v>
      </c>
      <c r="C928">
        <v>172639.27</v>
      </c>
      <c r="D928" s="5">
        <v>-34161.129999999997</v>
      </c>
      <c r="E928">
        <f>D928/MAX($B$2:B928,100000)</f>
        <v>-3.0209610799005571E-2</v>
      </c>
      <c r="G928" s="2"/>
      <c r="H928" s="5"/>
      <c r="K928" s="5"/>
    </row>
    <row r="929" spans="1:11" x14ac:dyDescent="0.25">
      <c r="A929" s="2">
        <v>43021</v>
      </c>
      <c r="B929">
        <v>1124753.8799999999</v>
      </c>
      <c r="C929">
        <v>172639.27</v>
      </c>
      <c r="D929" s="5">
        <v>-6049.5</v>
      </c>
      <c r="E929">
        <f>D929/MAX($B$2:B929,100000)</f>
        <v>-5.3497363971444804E-3</v>
      </c>
      <c r="G929" s="2"/>
      <c r="H929" s="5"/>
      <c r="K929" s="5"/>
    </row>
    <row r="930" spans="1:11" x14ac:dyDescent="0.25">
      <c r="A930" s="2">
        <v>43028</v>
      </c>
      <c r="B930">
        <v>1140189.1299999999</v>
      </c>
      <c r="C930">
        <v>85786.19</v>
      </c>
      <c r="D930" s="5">
        <v>0</v>
      </c>
      <c r="E930">
        <f>D930/MAX($B$2:B930,100000)</f>
        <v>0</v>
      </c>
      <c r="G930" s="2"/>
      <c r="H930" s="5"/>
      <c r="K930" s="5"/>
    </row>
    <row r="931" spans="1:11" x14ac:dyDescent="0.25">
      <c r="A931" s="2">
        <v>43035</v>
      </c>
      <c r="B931">
        <v>1137898.6299999999</v>
      </c>
      <c r="C931">
        <v>85786.19</v>
      </c>
      <c r="D931" s="5">
        <v>-2290.5</v>
      </c>
      <c r="E931">
        <f>D931/MAX($B$2:B931,100000)</f>
        <v>-2.0088772465318978E-3</v>
      </c>
      <c r="G931" s="2"/>
      <c r="H931" s="5"/>
      <c r="K931" s="5"/>
    </row>
    <row r="932" spans="1:11" x14ac:dyDescent="0.25">
      <c r="A932" s="2">
        <v>43042</v>
      </c>
      <c r="B932">
        <v>1148765.6299999999</v>
      </c>
      <c r="C932">
        <v>85786.19</v>
      </c>
      <c r="D932" s="5">
        <v>0</v>
      </c>
      <c r="E932">
        <f>D932/MAX($B$2:B932,100000)</f>
        <v>0</v>
      </c>
      <c r="G932" s="2"/>
      <c r="H932" s="5"/>
      <c r="K932" s="5"/>
    </row>
    <row r="933" spans="1:11" x14ac:dyDescent="0.25">
      <c r="A933" s="2">
        <v>43049</v>
      </c>
      <c r="B933">
        <v>1153164.25</v>
      </c>
      <c r="C933">
        <v>85786.19</v>
      </c>
      <c r="D933" s="5">
        <v>0</v>
      </c>
      <c r="E933">
        <f>D933/MAX($B$2:B933,100000)</f>
        <v>0</v>
      </c>
      <c r="G933" s="2"/>
      <c r="H933" s="5"/>
      <c r="K933" s="5"/>
    </row>
    <row r="934" spans="1:11" x14ac:dyDescent="0.25">
      <c r="A934" s="2">
        <v>43056</v>
      </c>
      <c r="B934">
        <v>1141907.5</v>
      </c>
      <c r="C934">
        <v>85786.19</v>
      </c>
      <c r="D934" s="5">
        <v>-11256.75</v>
      </c>
      <c r="E934">
        <f>D934/MAX($B$2:B934,100000)</f>
        <v>-9.7616189541082279E-3</v>
      </c>
      <c r="G934" s="2"/>
      <c r="H934" s="5"/>
      <c r="K934" s="5"/>
    </row>
    <row r="935" spans="1:11" x14ac:dyDescent="0.25">
      <c r="A935" s="2">
        <v>43063</v>
      </c>
      <c r="B935">
        <v>1142043</v>
      </c>
      <c r="C935">
        <v>85786.19</v>
      </c>
      <c r="D935" s="5">
        <v>-11121.25</v>
      </c>
      <c r="E935">
        <f>D935/MAX($B$2:B935,100000)</f>
        <v>-9.6441161785929454E-3</v>
      </c>
      <c r="G935" s="2"/>
      <c r="H935" s="5"/>
      <c r="K935" s="5"/>
    </row>
    <row r="936" spans="1:11" x14ac:dyDescent="0.25">
      <c r="A936" s="2">
        <v>43070</v>
      </c>
      <c r="B936">
        <v>1155888.75</v>
      </c>
      <c r="C936">
        <v>85786.19</v>
      </c>
      <c r="D936" s="5">
        <v>0</v>
      </c>
      <c r="E936">
        <f>D936/MAX($B$2:B936,100000)</f>
        <v>0</v>
      </c>
      <c r="G936" s="2"/>
      <c r="H936" s="5"/>
      <c r="K936" s="5"/>
    </row>
    <row r="937" spans="1:11" x14ac:dyDescent="0.25">
      <c r="A937" s="2">
        <v>43077</v>
      </c>
      <c r="B937">
        <v>1149425.5</v>
      </c>
      <c r="C937">
        <v>81970.2</v>
      </c>
      <c r="D937" s="5">
        <v>-6463.25</v>
      </c>
      <c r="E937">
        <f>D937/MAX($B$2:B937,100000)</f>
        <v>-5.5915848302875168E-3</v>
      </c>
      <c r="G937" s="2"/>
      <c r="H937" s="5"/>
      <c r="K937" s="5"/>
    </row>
    <row r="938" spans="1:11" x14ac:dyDescent="0.25">
      <c r="A938" s="2">
        <v>43084</v>
      </c>
      <c r="B938">
        <v>1139587.3799999999</v>
      </c>
      <c r="C938">
        <v>81970.2</v>
      </c>
      <c r="D938" s="5">
        <v>-16301.38</v>
      </c>
      <c r="E938">
        <f>D938/MAX($B$2:B938,100000)</f>
        <v>-1.4102897013228997E-2</v>
      </c>
      <c r="G938" s="2"/>
      <c r="H938" s="5"/>
      <c r="K938" s="5"/>
    </row>
    <row r="939" spans="1:11" x14ac:dyDescent="0.25">
      <c r="A939" s="2">
        <v>43091</v>
      </c>
      <c r="B939">
        <v>1134819.8799999999</v>
      </c>
      <c r="C939">
        <v>81970.2</v>
      </c>
      <c r="D939" s="5">
        <v>-21068.880000000001</v>
      </c>
      <c r="E939">
        <f>D939/MAX($B$2:B939,100000)</f>
        <v>-1.8227428894000398E-2</v>
      </c>
      <c r="G939" s="2"/>
      <c r="H939" s="5"/>
      <c r="K939" s="5"/>
    </row>
    <row r="940" spans="1:11" x14ac:dyDescent="0.25">
      <c r="A940" s="2">
        <v>43098</v>
      </c>
      <c r="B940">
        <v>1136673.75</v>
      </c>
      <c r="C940">
        <v>81970.2</v>
      </c>
      <c r="D940" s="5">
        <v>-19215</v>
      </c>
      <c r="E940">
        <f>D940/MAX($B$2:B940,100000)</f>
        <v>-1.6623572121452001E-2</v>
      </c>
      <c r="G940" s="2"/>
      <c r="H940" s="5"/>
      <c r="K940" s="5"/>
    </row>
    <row r="941" spans="1:11" x14ac:dyDescent="0.25">
      <c r="A941" s="2">
        <v>43105</v>
      </c>
      <c r="B941">
        <v>1139195.25</v>
      </c>
      <c r="C941">
        <v>81970.2</v>
      </c>
      <c r="D941" s="5">
        <v>-16693.5</v>
      </c>
      <c r="E941">
        <f>D941/MAX($B$2:B941,100000)</f>
        <v>-1.4442133812618213E-2</v>
      </c>
      <c r="G941" s="2"/>
      <c r="H941" s="5"/>
      <c r="K941" s="5"/>
    </row>
    <row r="942" spans="1:11" x14ac:dyDescent="0.25">
      <c r="A942" s="2">
        <v>43112</v>
      </c>
      <c r="B942">
        <v>1120625.6299999999</v>
      </c>
      <c r="C942">
        <v>81970.2</v>
      </c>
      <c r="D942" s="5">
        <v>-35263.129999999997</v>
      </c>
      <c r="E942">
        <f>D942/MAX($B$2:B942,100000)</f>
        <v>-3.0507373655120355E-2</v>
      </c>
      <c r="G942" s="2"/>
      <c r="H942" s="5"/>
      <c r="K942" s="5"/>
    </row>
    <row r="943" spans="1:11" x14ac:dyDescent="0.25">
      <c r="A943" s="2">
        <v>43119</v>
      </c>
      <c r="B943">
        <v>1112006.8799999999</v>
      </c>
      <c r="C943">
        <v>81970.2</v>
      </c>
      <c r="D943" s="5">
        <v>-43881.88</v>
      </c>
      <c r="E943">
        <f>D943/MAX($B$2:B943,100000)</f>
        <v>-3.7963757325261617E-2</v>
      </c>
      <c r="G943" s="2"/>
      <c r="H943" s="5"/>
      <c r="K943" s="5"/>
    </row>
    <row r="944" spans="1:11" x14ac:dyDescent="0.25">
      <c r="A944" s="2">
        <v>43125</v>
      </c>
      <c r="B944">
        <v>1123345.75</v>
      </c>
      <c r="C944">
        <v>81970.2</v>
      </c>
      <c r="D944" s="5">
        <v>-32543</v>
      </c>
      <c r="E944">
        <f>D944/MAX($B$2:B944,100000)</f>
        <v>-2.8154093549227814E-2</v>
      </c>
      <c r="G944" s="2"/>
      <c r="H944" s="5"/>
      <c r="K944" s="5"/>
    </row>
    <row r="945" spans="1:11" x14ac:dyDescent="0.25">
      <c r="A945" s="2">
        <v>43133</v>
      </c>
      <c r="B945">
        <v>1130548.1299999999</v>
      </c>
      <c r="C945">
        <v>81970.2</v>
      </c>
      <c r="D945" s="5">
        <v>-25340.63</v>
      </c>
      <c r="E945">
        <f>D945/MAX($B$2:B945,100000)</f>
        <v>-2.1923070018632848E-2</v>
      </c>
      <c r="G945" s="2"/>
      <c r="H945" s="5"/>
      <c r="K945" s="5"/>
    </row>
    <row r="946" spans="1:11" x14ac:dyDescent="0.25">
      <c r="A946" s="2">
        <v>43140</v>
      </c>
      <c r="B946">
        <v>1083140.8799999999</v>
      </c>
      <c r="C946">
        <v>81970.2</v>
      </c>
      <c r="D946" s="5">
        <v>-72747.88</v>
      </c>
      <c r="E946">
        <f>D946/MAX($B$2:B946,100000)</f>
        <v>-6.2936748886949542E-2</v>
      </c>
      <c r="G946" s="2"/>
      <c r="H946" s="5"/>
      <c r="K946" s="5"/>
    </row>
    <row r="947" spans="1:11" x14ac:dyDescent="0.25">
      <c r="A947" s="2">
        <v>43147</v>
      </c>
      <c r="B947">
        <v>1063661.25</v>
      </c>
      <c r="C947">
        <v>81970.2</v>
      </c>
      <c r="D947" s="5">
        <v>-92227.5</v>
      </c>
      <c r="E947">
        <f>D947/MAX($B$2:B947,100000)</f>
        <v>-7.9789253074744437E-2</v>
      </c>
      <c r="G947" s="2"/>
      <c r="H947" s="5"/>
      <c r="K947" s="5"/>
    </row>
    <row r="948" spans="1:11" x14ac:dyDescent="0.25">
      <c r="A948" s="2">
        <v>43154</v>
      </c>
      <c r="B948">
        <v>1072009.25</v>
      </c>
      <c r="C948">
        <v>193462.02</v>
      </c>
      <c r="D948" s="5">
        <v>-83879.5</v>
      </c>
      <c r="E948">
        <f>D948/MAX($B$2:B948,100000)</f>
        <v>-7.2567104749483899E-2</v>
      </c>
      <c r="G948" s="2"/>
      <c r="H948" s="5"/>
      <c r="K948" s="5"/>
    </row>
    <row r="949" spans="1:11" x14ac:dyDescent="0.25">
      <c r="A949" s="2">
        <v>43161</v>
      </c>
      <c r="B949">
        <v>1070448.1299999999</v>
      </c>
      <c r="C949">
        <v>255104.34</v>
      </c>
      <c r="D949" s="5">
        <v>-85440.63</v>
      </c>
      <c r="E949">
        <f>D949/MAX($B$2:B949,100000)</f>
        <v>-7.3917693203606319E-2</v>
      </c>
      <c r="G949" s="2"/>
      <c r="H949" s="5"/>
      <c r="K949" s="5"/>
    </row>
    <row r="950" spans="1:11" x14ac:dyDescent="0.25">
      <c r="A950" s="2">
        <v>43168</v>
      </c>
      <c r="B950">
        <v>1089709</v>
      </c>
      <c r="C950">
        <v>255104.34</v>
      </c>
      <c r="D950" s="5">
        <v>-66179.75</v>
      </c>
      <c r="E950">
        <f>D950/MAX($B$2:B950,100000)</f>
        <v>-5.725442868096086E-2</v>
      </c>
      <c r="G950" s="2"/>
      <c r="H950" s="5"/>
      <c r="K950" s="5"/>
    </row>
    <row r="951" spans="1:11" x14ac:dyDescent="0.25">
      <c r="A951" s="2">
        <v>43175</v>
      </c>
      <c r="B951">
        <v>1086660.75</v>
      </c>
      <c r="C951">
        <v>255104.34</v>
      </c>
      <c r="D951" s="5">
        <v>-69228</v>
      </c>
      <c r="E951">
        <f>D951/MAX($B$2:B951,100000)</f>
        <v>-5.9891576935929169E-2</v>
      </c>
      <c r="G951" s="2"/>
      <c r="H951" s="5"/>
      <c r="K951" s="5"/>
    </row>
    <row r="952" spans="1:11" x14ac:dyDescent="0.25">
      <c r="A952" s="2">
        <v>43182</v>
      </c>
      <c r="B952">
        <v>1074415.6299999999</v>
      </c>
      <c r="C952">
        <v>255104.34</v>
      </c>
      <c r="D952" s="5">
        <v>-81473.13</v>
      </c>
      <c r="E952">
        <f>D952/MAX($B$2:B952,100000)</f>
        <v>-7.0485269451753041E-2</v>
      </c>
      <c r="G952" s="2"/>
      <c r="H952" s="5"/>
      <c r="K952" s="5"/>
    </row>
    <row r="953" spans="1:11" x14ac:dyDescent="0.25">
      <c r="A953" s="2">
        <v>43188</v>
      </c>
      <c r="B953">
        <v>1078268.5</v>
      </c>
      <c r="C953">
        <v>255104.34</v>
      </c>
      <c r="D953" s="5">
        <v>-77620.25</v>
      </c>
      <c r="E953">
        <f>D953/MAX($B$2:B953,100000)</f>
        <v>-6.7152007492070495E-2</v>
      </c>
      <c r="G953" s="2"/>
      <c r="H953" s="5"/>
      <c r="K953" s="5"/>
    </row>
    <row r="954" spans="1:11" x14ac:dyDescent="0.25">
      <c r="A954" s="2">
        <v>43196</v>
      </c>
      <c r="B954">
        <v>1077281</v>
      </c>
      <c r="C954">
        <v>255104.34</v>
      </c>
      <c r="D954" s="5">
        <v>-78607.75</v>
      </c>
      <c r="E954">
        <f>D954/MAX($B$2:B954,100000)</f>
        <v>-6.8006328463703788E-2</v>
      </c>
      <c r="G954" s="2"/>
      <c r="H954" s="5"/>
      <c r="K954" s="5"/>
    </row>
    <row r="955" spans="1:11" x14ac:dyDescent="0.25">
      <c r="A955" s="2">
        <v>43203</v>
      </c>
      <c r="B955">
        <v>1072720</v>
      </c>
      <c r="C955">
        <v>255104.34</v>
      </c>
      <c r="D955" s="5">
        <v>-83168.75</v>
      </c>
      <c r="E955">
        <f>D955/MAX($B$2:B955,100000)</f>
        <v>-7.1952209933698205E-2</v>
      </c>
      <c r="G955" s="2"/>
      <c r="H955" s="5"/>
      <c r="K955" s="5"/>
    </row>
    <row r="956" spans="1:11" x14ac:dyDescent="0.25">
      <c r="A956" s="2">
        <v>43210</v>
      </c>
      <c r="B956">
        <v>1072650.5</v>
      </c>
      <c r="C956">
        <v>255104.34</v>
      </c>
      <c r="D956" s="5">
        <v>-83238.25</v>
      </c>
      <c r="E956">
        <f>D956/MAX($B$2:B956,100000)</f>
        <v>-7.2012336827397966E-2</v>
      </c>
      <c r="G956" s="2"/>
      <c r="H956" s="5"/>
      <c r="K956" s="5"/>
    </row>
    <row r="957" spans="1:11" x14ac:dyDescent="0.25">
      <c r="A957" s="2">
        <v>43217</v>
      </c>
      <c r="B957">
        <v>1100535.3799999999</v>
      </c>
      <c r="C957">
        <v>255104.34</v>
      </c>
      <c r="D957" s="5">
        <v>-55353.38</v>
      </c>
      <c r="E957">
        <f>D957/MAX($B$2:B957,100000)</f>
        <v>-4.7888155326366831E-2</v>
      </c>
      <c r="G957" s="2"/>
      <c r="H957" s="5"/>
      <c r="K957" s="5"/>
    </row>
    <row r="958" spans="1:11" x14ac:dyDescent="0.25">
      <c r="A958" s="2">
        <v>43224</v>
      </c>
      <c r="B958">
        <v>1117223.25</v>
      </c>
      <c r="C958">
        <v>255104.34</v>
      </c>
      <c r="D958" s="5">
        <v>-38665.5</v>
      </c>
      <c r="E958">
        <f>D958/MAX($B$2:B958,100000)</f>
        <v>-3.3450883573354268E-2</v>
      </c>
      <c r="G958" s="2"/>
      <c r="H958" s="5"/>
      <c r="K958" s="5"/>
    </row>
    <row r="959" spans="1:11" x14ac:dyDescent="0.25">
      <c r="A959" s="2">
        <v>43231</v>
      </c>
      <c r="B959">
        <v>1115274.25</v>
      </c>
      <c r="C959">
        <v>168722.97</v>
      </c>
      <c r="D959" s="5">
        <v>-40614.5</v>
      </c>
      <c r="E959">
        <f>D959/MAX($B$2:B959,100000)</f>
        <v>-3.5137032002431033E-2</v>
      </c>
      <c r="G959" s="2"/>
      <c r="H959" s="5"/>
      <c r="K959" s="5"/>
    </row>
    <row r="960" spans="1:11" x14ac:dyDescent="0.25">
      <c r="A960" s="2">
        <v>43238</v>
      </c>
      <c r="B960">
        <v>1097585.25</v>
      </c>
      <c r="C960">
        <v>168722.97</v>
      </c>
      <c r="D960" s="5">
        <v>-58303.5</v>
      </c>
      <c r="E960">
        <f>D960/MAX($B$2:B960,100000)</f>
        <v>-5.0440407867971722E-2</v>
      </c>
      <c r="G960" s="2"/>
      <c r="H960" s="5"/>
      <c r="K960" s="5"/>
    </row>
    <row r="961" spans="1:11" x14ac:dyDescent="0.25">
      <c r="A961" s="2">
        <v>43245</v>
      </c>
      <c r="B961">
        <v>1112240.8799999999</v>
      </c>
      <c r="C961">
        <v>168722.97</v>
      </c>
      <c r="D961" s="5">
        <v>-43647.88</v>
      </c>
      <c r="E961">
        <f>D961/MAX($B$2:B961,100000)</f>
        <v>-3.7761315697553074E-2</v>
      </c>
      <c r="G961" s="2"/>
      <c r="H961" s="5"/>
      <c r="K961" s="5"/>
    </row>
    <row r="962" spans="1:11" x14ac:dyDescent="0.25">
      <c r="A962" s="2">
        <v>43252</v>
      </c>
      <c r="B962">
        <v>1125467.25</v>
      </c>
      <c r="C962">
        <v>158276.45000000001</v>
      </c>
      <c r="D962" s="5">
        <v>-30421.5</v>
      </c>
      <c r="E962">
        <f>D962/MAX($B$2:B962,100000)</f>
        <v>-2.6318709304853083E-2</v>
      </c>
      <c r="G962" s="2"/>
      <c r="H962" s="5"/>
      <c r="K962" s="5"/>
    </row>
    <row r="963" spans="1:11" x14ac:dyDescent="0.25">
      <c r="A963" s="2">
        <v>43259</v>
      </c>
      <c r="B963">
        <v>1122590.6299999999</v>
      </c>
      <c r="C963">
        <v>158276.45000000001</v>
      </c>
      <c r="D963" s="5">
        <v>-33298.129999999997</v>
      </c>
      <c r="E963">
        <f>D963/MAX($B$2:B963,100000)</f>
        <v>-2.8807383063465232E-2</v>
      </c>
      <c r="G963" s="2"/>
      <c r="H963" s="5"/>
      <c r="K963" s="5"/>
    </row>
    <row r="964" spans="1:11" x14ac:dyDescent="0.25">
      <c r="A964" s="2">
        <v>43266</v>
      </c>
      <c r="B964">
        <v>1151074.1299999999</v>
      </c>
      <c r="C964">
        <v>158276.45000000001</v>
      </c>
      <c r="D964" s="5">
        <v>-4814.63</v>
      </c>
      <c r="E964">
        <f>D964/MAX($B$2:B964,100000)</f>
        <v>-4.1653057009162862E-3</v>
      </c>
      <c r="G964" s="2"/>
      <c r="H964" s="5"/>
      <c r="K964" s="5"/>
    </row>
    <row r="965" spans="1:11" x14ac:dyDescent="0.25">
      <c r="A965" s="2">
        <v>43273</v>
      </c>
      <c r="B965">
        <v>1165255.6299999999</v>
      </c>
      <c r="C965">
        <v>69325.289999999994</v>
      </c>
      <c r="D965" s="5">
        <v>0</v>
      </c>
      <c r="E965">
        <f>D965/MAX($B$2:B965,100000)</f>
        <v>0</v>
      </c>
      <c r="G965" s="2"/>
      <c r="H965" s="5"/>
      <c r="K965" s="5"/>
    </row>
    <row r="966" spans="1:11" x14ac:dyDescent="0.25">
      <c r="A966" s="2">
        <v>43280</v>
      </c>
      <c r="B966">
        <v>1164202.3799999999</v>
      </c>
      <c r="C966">
        <v>69325.289999999994</v>
      </c>
      <c r="D966" s="5">
        <v>-1053.25</v>
      </c>
      <c r="E966">
        <f>D966/MAX($B$2:B966,100000)</f>
        <v>-9.0387891968391528E-4</v>
      </c>
      <c r="G966" s="2"/>
      <c r="H966" s="5"/>
      <c r="K966" s="5"/>
    </row>
    <row r="967" spans="1:11" x14ac:dyDescent="0.25">
      <c r="A967" s="2">
        <v>43287</v>
      </c>
      <c r="B967">
        <v>1191529.25</v>
      </c>
      <c r="C967">
        <v>69325.289999999994</v>
      </c>
      <c r="D967" s="5">
        <v>0</v>
      </c>
      <c r="E967">
        <f>D967/MAX($B$2:B967,100000)</f>
        <v>0</v>
      </c>
      <c r="G967" s="2"/>
      <c r="H967" s="5"/>
      <c r="K967" s="5"/>
    </row>
    <row r="968" spans="1:11" x14ac:dyDescent="0.25">
      <c r="A968" s="2">
        <v>43294</v>
      </c>
      <c r="B968">
        <v>1165563.8799999999</v>
      </c>
      <c r="C968">
        <v>69325.289999999994</v>
      </c>
      <c r="D968" s="5">
        <v>-25965.38</v>
      </c>
      <c r="E968">
        <f>D968/MAX($B$2:B968,100000)</f>
        <v>-2.1791642966381228E-2</v>
      </c>
      <c r="G968" s="2"/>
      <c r="H968" s="5"/>
      <c r="K968" s="5"/>
    </row>
    <row r="969" spans="1:11" x14ac:dyDescent="0.25">
      <c r="A969" s="2">
        <v>43301</v>
      </c>
      <c r="B969">
        <v>1167764.6299999999</v>
      </c>
      <c r="C969">
        <v>69325.289999999994</v>
      </c>
      <c r="D969" s="5">
        <v>-23764.63</v>
      </c>
      <c r="E969">
        <f>D969/MAX($B$2:B969,100000)</f>
        <v>-1.9944646763812135E-2</v>
      </c>
      <c r="G969" s="2"/>
      <c r="H969" s="5"/>
      <c r="K969" s="5"/>
    </row>
    <row r="970" spans="1:11" x14ac:dyDescent="0.25">
      <c r="A970" s="2">
        <v>43308</v>
      </c>
      <c r="B970">
        <v>1166034.1299999999</v>
      </c>
      <c r="C970">
        <v>69325.289999999994</v>
      </c>
      <c r="D970" s="5">
        <v>-25495.13</v>
      </c>
      <c r="E970">
        <f>D970/MAX($B$2:B970,100000)</f>
        <v>-2.1396982071568954E-2</v>
      </c>
      <c r="G970" s="2"/>
      <c r="H970" s="5"/>
      <c r="K970" s="5"/>
    </row>
    <row r="971" spans="1:11" x14ac:dyDescent="0.25">
      <c r="A971" s="2">
        <v>43315</v>
      </c>
      <c r="B971">
        <v>1171455.8799999999</v>
      </c>
      <c r="C971">
        <v>69325.289999999994</v>
      </c>
      <c r="D971" s="5">
        <v>-20073.38</v>
      </c>
      <c r="E971">
        <f>D971/MAX($B$2:B971,100000)</f>
        <v>-1.684673708177957E-2</v>
      </c>
      <c r="G971" s="2"/>
      <c r="H971" s="5"/>
      <c r="K971" s="5"/>
    </row>
    <row r="972" spans="1:11" x14ac:dyDescent="0.25">
      <c r="A972" s="2">
        <v>43322</v>
      </c>
      <c r="B972">
        <v>1172461.25</v>
      </c>
      <c r="C972">
        <v>69325.289999999994</v>
      </c>
      <c r="D972" s="5">
        <v>-19068</v>
      </c>
      <c r="E972">
        <f>D972/MAX($B$2:B972,100000)</f>
        <v>-1.6002964257906385E-2</v>
      </c>
      <c r="G972" s="2"/>
      <c r="H972" s="5"/>
      <c r="K972" s="5"/>
    </row>
    <row r="973" spans="1:11" x14ac:dyDescent="0.25">
      <c r="A973" s="2">
        <v>43329</v>
      </c>
      <c r="B973">
        <v>1185943.1299999999</v>
      </c>
      <c r="C973">
        <v>69325.289999999994</v>
      </c>
      <c r="D973" s="5">
        <v>-5586.13</v>
      </c>
      <c r="E973">
        <f>D973/MAX($B$2:B973,100000)</f>
        <v>-4.688202157017967E-3</v>
      </c>
      <c r="G973" s="2"/>
      <c r="H973" s="5"/>
      <c r="K973" s="5"/>
    </row>
    <row r="974" spans="1:11" x14ac:dyDescent="0.25">
      <c r="A974" s="2">
        <v>43336</v>
      </c>
      <c r="B974">
        <v>1174923.8799999999</v>
      </c>
      <c r="C974">
        <v>69325.289999999994</v>
      </c>
      <c r="D974" s="5">
        <v>-16605.38</v>
      </c>
      <c r="E974">
        <f>D974/MAX($B$2:B974,100000)</f>
        <v>-1.3936191662940713E-2</v>
      </c>
      <c r="G974" s="2"/>
      <c r="H974" s="5"/>
      <c r="K974" s="5"/>
    </row>
    <row r="975" spans="1:11" x14ac:dyDescent="0.25">
      <c r="A975" s="2">
        <v>43343</v>
      </c>
      <c r="B975">
        <v>1197251.8799999999</v>
      </c>
      <c r="C975">
        <v>69325.289999999994</v>
      </c>
      <c r="D975" s="5">
        <v>0</v>
      </c>
      <c r="E975">
        <f>D975/MAX($B$2:B975,100000)</f>
        <v>0</v>
      </c>
      <c r="G975" s="2"/>
      <c r="H975" s="5"/>
      <c r="K975" s="5"/>
    </row>
    <row r="976" spans="1:11" x14ac:dyDescent="0.25">
      <c r="A976" s="2">
        <v>43350</v>
      </c>
      <c r="B976">
        <v>1200571.6299999999</v>
      </c>
      <c r="C976">
        <v>69325.289999999994</v>
      </c>
      <c r="D976" s="5">
        <v>0</v>
      </c>
      <c r="E976">
        <f>D976/MAX($B$2:B976,100000)</f>
        <v>0</v>
      </c>
      <c r="G976" s="2"/>
      <c r="H976" s="5"/>
      <c r="K976" s="5"/>
    </row>
    <row r="977" spans="1:11" x14ac:dyDescent="0.25">
      <c r="A977" s="2">
        <v>43357</v>
      </c>
      <c r="B977">
        <v>1202010.6299999999</v>
      </c>
      <c r="C977">
        <v>69325.289999999994</v>
      </c>
      <c r="D977" s="5">
        <v>0</v>
      </c>
      <c r="E977">
        <f>D977/MAX($B$2:B977,100000)</f>
        <v>0</v>
      </c>
      <c r="G977" s="2"/>
      <c r="H977" s="5"/>
      <c r="K977" s="5"/>
    </row>
    <row r="978" spans="1:11" x14ac:dyDescent="0.25">
      <c r="A978" s="2">
        <v>43364</v>
      </c>
      <c r="B978">
        <v>1200571.25</v>
      </c>
      <c r="C978">
        <v>69325.289999999994</v>
      </c>
      <c r="D978" s="5">
        <v>-1439.38</v>
      </c>
      <c r="E978">
        <f>D978/MAX($B$2:B978,100000)</f>
        <v>-1.1974769307988569E-3</v>
      </c>
      <c r="G978" s="2"/>
      <c r="H978" s="5"/>
      <c r="K978" s="5"/>
    </row>
    <row r="979" spans="1:11" x14ac:dyDescent="0.25">
      <c r="A979" s="2">
        <v>43371</v>
      </c>
      <c r="B979">
        <v>1197159.3799999999</v>
      </c>
      <c r="C979">
        <v>69325.289999999994</v>
      </c>
      <c r="D979" s="5">
        <v>-4851.25</v>
      </c>
      <c r="E979">
        <f>D979/MAX($B$2:B979,100000)</f>
        <v>-4.0359460049034677E-3</v>
      </c>
      <c r="G979" s="2"/>
      <c r="H979" s="5"/>
      <c r="K979" s="5"/>
    </row>
    <row r="980" spans="1:11" x14ac:dyDescent="0.25">
      <c r="A980" s="2">
        <v>43378</v>
      </c>
      <c r="B980">
        <v>1189240.8799999999</v>
      </c>
      <c r="C980">
        <v>69325.289999999994</v>
      </c>
      <c r="D980" s="5">
        <v>-12769.75</v>
      </c>
      <c r="E980">
        <f>D980/MAX($B$2:B980,100000)</f>
        <v>-1.06236581285475E-2</v>
      </c>
      <c r="G980" s="2"/>
      <c r="H980" s="5"/>
      <c r="K980" s="5"/>
    </row>
    <row r="981" spans="1:11" x14ac:dyDescent="0.25">
      <c r="A981" s="2">
        <v>43385</v>
      </c>
      <c r="B981">
        <v>1146150.25</v>
      </c>
      <c r="C981">
        <v>69325.289999999994</v>
      </c>
      <c r="D981" s="5">
        <v>-55860.38</v>
      </c>
      <c r="E981">
        <f>D981/MAX($B$2:B981,100000)</f>
        <v>-4.6472450913350075E-2</v>
      </c>
      <c r="G981" s="2"/>
      <c r="H981" s="5"/>
      <c r="K981" s="5"/>
    </row>
    <row r="982" spans="1:11" x14ac:dyDescent="0.25">
      <c r="A982" s="2">
        <v>43392</v>
      </c>
      <c r="B982">
        <v>1161836.1299999999</v>
      </c>
      <c r="C982">
        <v>69325.289999999994</v>
      </c>
      <c r="D982" s="5">
        <v>-40174.5</v>
      </c>
      <c r="E982">
        <f>D982/MAX($B$2:B982,100000)</f>
        <v>-3.3422749347898864E-2</v>
      </c>
      <c r="G982" s="2"/>
      <c r="H982" s="5"/>
      <c r="K982" s="5"/>
    </row>
    <row r="983" spans="1:11" x14ac:dyDescent="0.25">
      <c r="A983" s="2">
        <v>43399</v>
      </c>
      <c r="B983">
        <v>1143947.3799999999</v>
      </c>
      <c r="C983">
        <v>152331.41</v>
      </c>
      <c r="D983" s="5">
        <v>-58063.25</v>
      </c>
      <c r="E983">
        <f>D983/MAX($B$2:B983,100000)</f>
        <v>-4.8305105255183979E-2</v>
      </c>
      <c r="G983" s="2"/>
      <c r="H983" s="5"/>
      <c r="K983" s="5"/>
    </row>
    <row r="984" spans="1:11" x14ac:dyDescent="0.25">
      <c r="A984" s="2">
        <v>43406</v>
      </c>
      <c r="B984">
        <v>1155570</v>
      </c>
      <c r="C984">
        <v>152331.41</v>
      </c>
      <c r="D984" s="5">
        <v>-46440.63</v>
      </c>
      <c r="E984">
        <f>D984/MAX($B$2:B984,100000)</f>
        <v>-3.8635789768348389E-2</v>
      </c>
      <c r="G984" s="2"/>
      <c r="H984" s="5"/>
      <c r="K984" s="5"/>
    </row>
    <row r="985" spans="1:11" x14ac:dyDescent="0.25">
      <c r="A985" s="2">
        <v>43413</v>
      </c>
      <c r="B985">
        <v>1175931.8799999999</v>
      </c>
      <c r="C985">
        <v>152331.41</v>
      </c>
      <c r="D985" s="5">
        <v>-26078.75</v>
      </c>
      <c r="E985">
        <f>D985/MAX($B$2:B985,100000)</f>
        <v>-2.1695939577506068E-2</v>
      </c>
      <c r="G985" s="2"/>
      <c r="H985" s="5"/>
      <c r="K985" s="5"/>
    </row>
    <row r="986" spans="1:11" x14ac:dyDescent="0.25">
      <c r="A986" s="2">
        <v>43420</v>
      </c>
      <c r="B986">
        <v>1175761.3799999999</v>
      </c>
      <c r="C986">
        <v>152331.41</v>
      </c>
      <c r="D986" s="5">
        <v>-26249.25</v>
      </c>
      <c r="E986">
        <f>D986/MAX($B$2:B986,100000)</f>
        <v>-2.1837785244877578E-2</v>
      </c>
      <c r="G986" s="2"/>
      <c r="H986" s="5"/>
      <c r="K986" s="5"/>
    </row>
    <row r="987" spans="1:11" x14ac:dyDescent="0.25">
      <c r="A987" s="2">
        <v>43427</v>
      </c>
      <c r="B987">
        <v>1179246.8799999999</v>
      </c>
      <c r="C987">
        <v>152331.41</v>
      </c>
      <c r="D987" s="5">
        <v>-22763.75</v>
      </c>
      <c r="E987">
        <f>D987/MAX($B$2:B987,100000)</f>
        <v>-1.8938060472892825E-2</v>
      </c>
      <c r="G987" s="2"/>
      <c r="H987" s="5"/>
      <c r="K987" s="5"/>
    </row>
    <row r="988" spans="1:11" x14ac:dyDescent="0.25">
      <c r="A988" s="2">
        <v>43434</v>
      </c>
      <c r="B988">
        <v>1172652.1299999999</v>
      </c>
      <c r="C988">
        <v>152331.41</v>
      </c>
      <c r="D988" s="5">
        <v>-29358.5</v>
      </c>
      <c r="E988">
        <f>D988/MAX($B$2:B988,100000)</f>
        <v>-2.4424492818337223E-2</v>
      </c>
      <c r="G988" s="2"/>
      <c r="H988" s="5"/>
      <c r="K988" s="5"/>
    </row>
    <row r="989" spans="1:11" x14ac:dyDescent="0.25">
      <c r="A989" s="2">
        <v>43441</v>
      </c>
      <c r="B989">
        <v>1203680</v>
      </c>
      <c r="C989">
        <v>152331.41</v>
      </c>
      <c r="D989" s="5">
        <v>0</v>
      </c>
      <c r="E989">
        <f>D989/MAX($B$2:B989,100000)</f>
        <v>0</v>
      </c>
      <c r="G989" s="2"/>
      <c r="H989" s="5"/>
      <c r="K989" s="5"/>
    </row>
    <row r="990" spans="1:11" x14ac:dyDescent="0.25">
      <c r="A990" s="2">
        <v>43448</v>
      </c>
      <c r="B990">
        <v>1189835.1299999999</v>
      </c>
      <c r="C990">
        <v>152331.41</v>
      </c>
      <c r="D990" s="5">
        <v>-13844.88</v>
      </c>
      <c r="E990">
        <f>D990/MAX($B$2:B990,100000)</f>
        <v>-1.1502126811112588E-2</v>
      </c>
      <c r="G990" s="2"/>
      <c r="H990" s="5"/>
      <c r="K990" s="5"/>
    </row>
    <row r="991" spans="1:11" x14ac:dyDescent="0.25">
      <c r="A991" s="2">
        <v>43455</v>
      </c>
      <c r="B991">
        <v>1188933.5</v>
      </c>
      <c r="C991">
        <v>152331.41</v>
      </c>
      <c r="D991" s="5">
        <v>-14746.5</v>
      </c>
      <c r="E991">
        <f>D991/MAX($B$2:B991,100000)</f>
        <v>-1.2251179715539014E-2</v>
      </c>
      <c r="G991" s="2"/>
      <c r="H991" s="5"/>
      <c r="K991" s="5"/>
    </row>
    <row r="992" spans="1:11" x14ac:dyDescent="0.25">
      <c r="A992" s="2">
        <v>43462</v>
      </c>
      <c r="B992">
        <v>1209286.6299999999</v>
      </c>
      <c r="C992">
        <v>152331.41</v>
      </c>
      <c r="D992" s="5">
        <v>0</v>
      </c>
      <c r="E992">
        <f>D992/MAX($B$2:B992,100000)</f>
        <v>0</v>
      </c>
      <c r="G992" s="2"/>
      <c r="H992" s="5"/>
      <c r="K992" s="5"/>
    </row>
    <row r="993" spans="1:11" x14ac:dyDescent="0.25">
      <c r="A993" s="2">
        <v>43469</v>
      </c>
      <c r="B993">
        <v>1197278.5</v>
      </c>
      <c r="C993">
        <v>152331.41</v>
      </c>
      <c r="D993" s="5">
        <v>-12008.13</v>
      </c>
      <c r="E993">
        <f>D993/MAX($B$2:B993,100000)</f>
        <v>-9.929928688618677E-3</v>
      </c>
      <c r="G993" s="2"/>
      <c r="H993" s="5"/>
      <c r="K993" s="5"/>
    </row>
    <row r="994" spans="1:11" x14ac:dyDescent="0.25">
      <c r="A994" s="2">
        <v>43476</v>
      </c>
      <c r="B994">
        <v>1206469.25</v>
      </c>
      <c r="C994">
        <v>152331.41</v>
      </c>
      <c r="D994" s="5">
        <v>-2817.38</v>
      </c>
      <c r="E994">
        <f>D994/MAX($B$2:B994,100000)</f>
        <v>-2.3297867768537228E-3</v>
      </c>
      <c r="G994" s="2"/>
      <c r="H994" s="5"/>
      <c r="K994" s="5"/>
    </row>
    <row r="995" spans="1:11" x14ac:dyDescent="0.25">
      <c r="A995" s="2">
        <v>43483</v>
      </c>
      <c r="B995">
        <v>1206240.75</v>
      </c>
      <c r="C995">
        <v>59367.1</v>
      </c>
      <c r="D995" s="5">
        <v>-3045.88</v>
      </c>
      <c r="E995">
        <f>D995/MAX($B$2:B995,100000)</f>
        <v>-2.5187411523767533E-3</v>
      </c>
      <c r="G995" s="2"/>
      <c r="H995" s="5"/>
      <c r="K995" s="5"/>
    </row>
    <row r="996" spans="1:11" x14ac:dyDescent="0.25">
      <c r="A996" s="2">
        <v>43490</v>
      </c>
      <c r="B996">
        <v>1235084.8799999999</v>
      </c>
      <c r="C996">
        <v>59367.1</v>
      </c>
      <c r="D996" s="5">
        <v>0</v>
      </c>
      <c r="E996">
        <f>D996/MAX($B$2:B996,100000)</f>
        <v>0</v>
      </c>
      <c r="G996" s="2"/>
      <c r="H996" s="5"/>
      <c r="K996" s="5"/>
    </row>
    <row r="997" spans="1:11" x14ac:dyDescent="0.25">
      <c r="A997" s="2">
        <v>43497</v>
      </c>
      <c r="B997">
        <v>1251864.1299999999</v>
      </c>
      <c r="C997">
        <v>59367.1</v>
      </c>
      <c r="D997" s="5">
        <v>0</v>
      </c>
      <c r="E997">
        <f>D997/MAX($B$2:B997,100000)</f>
        <v>0</v>
      </c>
      <c r="G997" s="2"/>
      <c r="H997" s="5"/>
      <c r="K997" s="5"/>
    </row>
    <row r="998" spans="1:11" x14ac:dyDescent="0.25">
      <c r="A998" s="2">
        <v>43504</v>
      </c>
      <c r="B998">
        <v>1292686.5</v>
      </c>
      <c r="C998">
        <v>59367.1</v>
      </c>
      <c r="D998" s="5">
        <v>0</v>
      </c>
      <c r="E998">
        <f>D998/MAX($B$2:B998,100000)</f>
        <v>0</v>
      </c>
      <c r="G998" s="2"/>
      <c r="H998" s="5"/>
      <c r="K998" s="5"/>
    </row>
    <row r="999" spans="1:11" x14ac:dyDescent="0.25">
      <c r="A999" s="2">
        <v>43511</v>
      </c>
      <c r="B999">
        <v>1302339.75</v>
      </c>
      <c r="C999">
        <v>59367.1</v>
      </c>
      <c r="D999" s="5">
        <v>0</v>
      </c>
      <c r="E999">
        <f>D999/MAX($B$2:B999,100000)</f>
        <v>0</v>
      </c>
      <c r="G999" s="2"/>
      <c r="H999" s="5"/>
      <c r="K999" s="5"/>
    </row>
    <row r="1000" spans="1:11" x14ac:dyDescent="0.25">
      <c r="A1000" s="2">
        <v>43518</v>
      </c>
      <c r="B1000">
        <v>1313480.1299999999</v>
      </c>
      <c r="C1000">
        <v>59367.1</v>
      </c>
      <c r="D1000" s="5">
        <v>0</v>
      </c>
      <c r="E1000">
        <f>D1000/MAX($B$2:B1000,100000)</f>
        <v>0</v>
      </c>
      <c r="G1000" s="2"/>
      <c r="H1000" s="5"/>
      <c r="K1000" s="5"/>
    </row>
    <row r="1001" spans="1:11" x14ac:dyDescent="0.25">
      <c r="A1001" s="2">
        <v>43525</v>
      </c>
      <c r="B1001">
        <v>1312057.6299999999</v>
      </c>
      <c r="C1001">
        <v>59367.1</v>
      </c>
      <c r="D1001" s="5">
        <v>-1422.5</v>
      </c>
      <c r="E1001">
        <f>D1001/MAX($B$2:B1001,100000)</f>
        <v>-1.083000775961491E-3</v>
      </c>
      <c r="G1001" s="2"/>
      <c r="H1001" s="5"/>
      <c r="K1001" s="5"/>
    </row>
    <row r="1002" spans="1:11" x14ac:dyDescent="0.25">
      <c r="A1002" s="2">
        <v>43532</v>
      </c>
      <c r="B1002">
        <v>1342570.25</v>
      </c>
      <c r="C1002">
        <v>59367.1</v>
      </c>
      <c r="D1002" s="5">
        <v>0</v>
      </c>
      <c r="E1002">
        <f>D1002/MAX($B$2:B1002,100000)</f>
        <v>0</v>
      </c>
      <c r="G1002" s="2"/>
      <c r="H1002" s="5"/>
      <c r="K1002" s="5"/>
    </row>
    <row r="1003" spans="1:11" x14ac:dyDescent="0.25">
      <c r="A1003" s="2">
        <v>43539</v>
      </c>
      <c r="B1003">
        <v>1352586.25</v>
      </c>
      <c r="C1003">
        <v>59367.1</v>
      </c>
      <c r="D1003" s="5">
        <v>0</v>
      </c>
      <c r="E1003">
        <f>D1003/MAX($B$2:B1003,100000)</f>
        <v>0</v>
      </c>
      <c r="G1003" s="2"/>
      <c r="H1003" s="5"/>
      <c r="K1003" s="5"/>
    </row>
    <row r="1004" spans="1:11" x14ac:dyDescent="0.25">
      <c r="A1004" s="2">
        <v>43546</v>
      </c>
      <c r="B1004">
        <v>1349550.25</v>
      </c>
      <c r="C1004">
        <v>59367.1</v>
      </c>
      <c r="D1004" s="5">
        <v>-3036</v>
      </c>
      <c r="E1004">
        <f>D1004/MAX($B$2:B1004,100000)</f>
        <v>-2.2445888386045621E-3</v>
      </c>
      <c r="G1004" s="2"/>
      <c r="H1004" s="5"/>
      <c r="K1004" s="5"/>
    </row>
    <row r="1005" spans="1:11" x14ac:dyDescent="0.25">
      <c r="A1005" s="2">
        <v>43553</v>
      </c>
      <c r="B1005">
        <v>1377075.63</v>
      </c>
      <c r="C1005">
        <v>59367.1</v>
      </c>
      <c r="D1005" s="5">
        <v>0</v>
      </c>
      <c r="E1005">
        <f>D1005/MAX($B$2:B1005,100000)</f>
        <v>0</v>
      </c>
      <c r="G1005" s="2"/>
      <c r="H1005" s="5"/>
      <c r="K1005" s="5"/>
    </row>
    <row r="1006" spans="1:11" x14ac:dyDescent="0.25">
      <c r="A1006" s="2">
        <v>43560</v>
      </c>
      <c r="B1006">
        <v>1369236.25</v>
      </c>
      <c r="C1006">
        <v>59367.1</v>
      </c>
      <c r="D1006" s="5">
        <v>-7839.38</v>
      </c>
      <c r="E1006">
        <f>D1006/MAX($B$2:B1006,100000)</f>
        <v>-5.6927737512862684E-3</v>
      </c>
      <c r="G1006" s="2"/>
      <c r="H1006" s="5"/>
      <c r="K1006" s="5"/>
    </row>
    <row r="1007" spans="1:11" x14ac:dyDescent="0.25">
      <c r="A1007" s="2">
        <v>43567</v>
      </c>
      <c r="B1007">
        <v>1389570.13</v>
      </c>
      <c r="C1007">
        <v>59367.1</v>
      </c>
      <c r="D1007" s="5">
        <v>0</v>
      </c>
      <c r="E1007">
        <f>D1007/MAX($B$2:B1007,100000)</f>
        <v>0</v>
      </c>
      <c r="G1007" s="2"/>
      <c r="H1007" s="5"/>
      <c r="K1007" s="5"/>
    </row>
    <row r="1008" spans="1:11" x14ac:dyDescent="0.25">
      <c r="A1008" s="2">
        <v>43573</v>
      </c>
      <c r="B1008">
        <v>1372295</v>
      </c>
      <c r="C1008">
        <v>59367.1</v>
      </c>
      <c r="D1008" s="5">
        <v>-17275.13</v>
      </c>
      <c r="E1008">
        <f>D1008/MAX($B$2:B1008,100000)</f>
        <v>-1.2431995785631922E-2</v>
      </c>
      <c r="G1008" s="2"/>
      <c r="H1008" s="5"/>
      <c r="K1008" s="5"/>
    </row>
    <row r="1009" spans="1:11" x14ac:dyDescent="0.25">
      <c r="A1009" s="2">
        <v>43581</v>
      </c>
      <c r="B1009">
        <v>1400296.63</v>
      </c>
      <c r="C1009">
        <v>59367.1</v>
      </c>
      <c r="D1009" s="5">
        <v>0</v>
      </c>
      <c r="E1009">
        <f>D1009/MAX($B$2:B1009,100000)</f>
        <v>0</v>
      </c>
      <c r="G1009" s="2"/>
      <c r="H1009" s="5"/>
      <c r="K1009" s="5"/>
    </row>
    <row r="1010" spans="1:11" x14ac:dyDescent="0.25">
      <c r="A1010" s="2">
        <v>43588</v>
      </c>
      <c r="B1010">
        <v>1384560</v>
      </c>
      <c r="C1010">
        <v>59367.1</v>
      </c>
      <c r="D1010" s="5">
        <v>-15736.63</v>
      </c>
      <c r="E1010">
        <f>D1010/MAX($B$2:B1010,100000)</f>
        <v>-1.1238068894017119E-2</v>
      </c>
      <c r="G1010" s="2"/>
      <c r="H1010" s="5"/>
      <c r="K1010" s="5"/>
    </row>
    <row r="1011" spans="1:11" x14ac:dyDescent="0.25">
      <c r="A1011" s="2">
        <v>43595</v>
      </c>
      <c r="B1011">
        <v>1399577</v>
      </c>
      <c r="C1011">
        <v>59367.1</v>
      </c>
      <c r="D1011" s="5">
        <v>-719.63</v>
      </c>
      <c r="E1011">
        <f>D1011/MAX($B$2:B1011,100000)</f>
        <v>-5.139125415162929E-4</v>
      </c>
      <c r="G1011" s="2"/>
      <c r="H1011" s="5"/>
      <c r="K1011" s="5"/>
    </row>
    <row r="1012" spans="1:11" x14ac:dyDescent="0.25">
      <c r="A1012" s="2">
        <v>43602</v>
      </c>
      <c r="B1012">
        <v>1450336.5</v>
      </c>
      <c r="C1012">
        <v>59367.1</v>
      </c>
      <c r="D1012" s="5">
        <v>0</v>
      </c>
      <c r="E1012">
        <f>D1012/MAX($B$2:B1012,100000)</f>
        <v>0</v>
      </c>
      <c r="G1012" s="2"/>
      <c r="H1012" s="5"/>
      <c r="K1012" s="5"/>
    </row>
    <row r="1013" spans="1:11" x14ac:dyDescent="0.25">
      <c r="A1013" s="2">
        <v>43609</v>
      </c>
      <c r="B1013">
        <v>1437456.75</v>
      </c>
      <c r="C1013">
        <v>59367.1</v>
      </c>
      <c r="D1013" s="5">
        <v>-12879.75</v>
      </c>
      <c r="E1013">
        <f>D1013/MAX($B$2:B1013,100000)</f>
        <v>-8.8805253125740138E-3</v>
      </c>
      <c r="G1013" s="2"/>
      <c r="H1013" s="5"/>
      <c r="K1013" s="5"/>
    </row>
    <row r="1014" spans="1:11" x14ac:dyDescent="0.25">
      <c r="A1014" s="2">
        <v>43616</v>
      </c>
      <c r="B1014">
        <v>1414258.13</v>
      </c>
      <c r="C1014">
        <v>59367.1</v>
      </c>
      <c r="D1014" s="5">
        <v>-36078.379999999997</v>
      </c>
      <c r="E1014">
        <f>D1014/MAX($B$2:B1014,100000)</f>
        <v>-2.4875868462249966E-2</v>
      </c>
      <c r="G1014" s="2"/>
      <c r="H1014" s="5"/>
      <c r="K1014" s="5"/>
    </row>
    <row r="1015" spans="1:11" x14ac:dyDescent="0.25">
      <c r="A1015" s="2">
        <v>43623</v>
      </c>
      <c r="B1015">
        <v>1447124.38</v>
      </c>
      <c r="C1015">
        <v>59367.1</v>
      </c>
      <c r="D1015" s="5">
        <v>-3212.13</v>
      </c>
      <c r="E1015">
        <f>D1015/MAX($B$2:B1015,100000)</f>
        <v>-2.2147480946663068E-3</v>
      </c>
      <c r="G1015" s="2"/>
      <c r="H1015" s="5"/>
      <c r="K1015" s="5"/>
    </row>
    <row r="1016" spans="1:11" x14ac:dyDescent="0.25">
      <c r="A1016" s="2">
        <v>43630</v>
      </c>
      <c r="B1016">
        <v>1494052</v>
      </c>
      <c r="C1016">
        <v>59367.1</v>
      </c>
      <c r="D1016" s="5">
        <v>0</v>
      </c>
      <c r="E1016">
        <f>D1016/MAX($B$2:B1016,100000)</f>
        <v>0</v>
      </c>
      <c r="G1016" s="2"/>
      <c r="H1016" s="5"/>
      <c r="K1016" s="5"/>
    </row>
    <row r="1017" spans="1:11" x14ac:dyDescent="0.25">
      <c r="A1017" s="2">
        <v>43637</v>
      </c>
      <c r="B1017">
        <v>1521970.63</v>
      </c>
      <c r="C1017">
        <v>59367.1</v>
      </c>
      <c r="D1017" s="5">
        <v>0</v>
      </c>
      <c r="E1017">
        <f>D1017/MAX($B$2:B1017,100000)</f>
        <v>0</v>
      </c>
      <c r="G1017" s="2"/>
      <c r="H1017" s="5"/>
      <c r="K1017" s="5"/>
    </row>
    <row r="1018" spans="1:11" x14ac:dyDescent="0.25">
      <c r="A1018" s="2">
        <v>43644</v>
      </c>
      <c r="B1018">
        <v>1508671</v>
      </c>
      <c r="C1018">
        <v>59367.1</v>
      </c>
      <c r="D1018" s="5">
        <v>-13299.63</v>
      </c>
      <c r="E1018">
        <f>D1018/MAX($B$2:B1018,100000)</f>
        <v>-8.7384274951481811E-3</v>
      </c>
      <c r="G1018" s="2"/>
      <c r="H1018" s="5"/>
      <c r="K1018" s="5"/>
    </row>
    <row r="1019" spans="1:11" x14ac:dyDescent="0.25">
      <c r="A1019" s="2">
        <v>43651</v>
      </c>
      <c r="B1019">
        <v>1550559.75</v>
      </c>
      <c r="C1019">
        <v>59367.1</v>
      </c>
      <c r="D1019" s="5">
        <v>0</v>
      </c>
      <c r="E1019">
        <f>D1019/MAX($B$2:B1019,100000)</f>
        <v>0</v>
      </c>
      <c r="G1019" s="2"/>
      <c r="H1019" s="5"/>
      <c r="K1019" s="5"/>
    </row>
    <row r="1020" spans="1:11" x14ac:dyDescent="0.25">
      <c r="A1020" s="2">
        <v>43658</v>
      </c>
      <c r="B1020">
        <v>1522370.75</v>
      </c>
      <c r="C1020">
        <v>59367.1</v>
      </c>
      <c r="D1020" s="5">
        <v>-28189</v>
      </c>
      <c r="E1020">
        <f>D1020/MAX($B$2:B1020,100000)</f>
        <v>-1.8179886328146981E-2</v>
      </c>
      <c r="G1020" s="2"/>
      <c r="H1020" s="5"/>
      <c r="K1020" s="5"/>
    </row>
    <row r="1021" spans="1:11" x14ac:dyDescent="0.25">
      <c r="A1021" s="2">
        <v>43665</v>
      </c>
      <c r="B1021">
        <v>1519069.38</v>
      </c>
      <c r="C1021">
        <v>59367.1</v>
      </c>
      <c r="D1021" s="5">
        <v>-31490.38</v>
      </c>
      <c r="E1021">
        <f>D1021/MAX($B$2:B1021,100000)</f>
        <v>-2.0309040009583636E-2</v>
      </c>
      <c r="G1021" s="2"/>
      <c r="H1021" s="5"/>
      <c r="K1021" s="5"/>
    </row>
    <row r="1022" spans="1:11" x14ac:dyDescent="0.25">
      <c r="A1022" s="2">
        <v>43672</v>
      </c>
      <c r="B1022">
        <v>1508202.88</v>
      </c>
      <c r="C1022">
        <v>59367.1</v>
      </c>
      <c r="D1022" s="5">
        <v>-42356.88</v>
      </c>
      <c r="E1022">
        <f>D1022/MAX($B$2:B1022,100000)</f>
        <v>-2.7317154337328824E-2</v>
      </c>
      <c r="G1022" s="2"/>
      <c r="H1022" s="5"/>
      <c r="K1022" s="5"/>
    </row>
    <row r="1023" spans="1:11" x14ac:dyDescent="0.25">
      <c r="A1023" s="2">
        <v>43679</v>
      </c>
      <c r="B1023">
        <v>1524644.38</v>
      </c>
      <c r="C1023">
        <v>59367.1</v>
      </c>
      <c r="D1023" s="5">
        <v>-25915.38</v>
      </c>
      <c r="E1023">
        <f>D1023/MAX($B$2:B1023,100000)</f>
        <v>-1.6713564246718E-2</v>
      </c>
      <c r="G1023" s="2"/>
      <c r="H1023" s="5"/>
      <c r="K1023" s="5"/>
    </row>
    <row r="1024" spans="1:11" x14ac:dyDescent="0.25">
      <c r="A1024" s="2">
        <v>43686</v>
      </c>
      <c r="B1024">
        <v>1501910</v>
      </c>
      <c r="C1024">
        <v>59367.1</v>
      </c>
      <c r="D1024" s="5">
        <v>-48649.75</v>
      </c>
      <c r="E1024">
        <f>D1024/MAX($B$2:B1024,100000)</f>
        <v>-3.1375604842057842E-2</v>
      </c>
      <c r="G1024" s="2"/>
      <c r="H1024" s="5"/>
      <c r="K1024" s="5"/>
    </row>
    <row r="1025" spans="1:11" x14ac:dyDescent="0.25">
      <c r="A1025" s="2">
        <v>43693</v>
      </c>
      <c r="B1025">
        <v>1479789.63</v>
      </c>
      <c r="C1025">
        <v>59367.1</v>
      </c>
      <c r="D1025" s="5">
        <v>-70770.13</v>
      </c>
      <c r="E1025">
        <f>D1025/MAX($B$2:B1025,100000)</f>
        <v>-4.5641665856475382E-2</v>
      </c>
      <c r="G1025" s="2"/>
      <c r="H1025" s="5"/>
      <c r="K1025" s="5"/>
    </row>
    <row r="1026" spans="1:11" x14ac:dyDescent="0.25">
      <c r="A1026" s="2">
        <v>43700</v>
      </c>
      <c r="B1026">
        <v>1509781.88</v>
      </c>
      <c r="C1026">
        <v>59367.1</v>
      </c>
      <c r="D1026" s="5">
        <v>-40777.879999999997</v>
      </c>
      <c r="E1026">
        <f>D1026/MAX($B$2:B1026,100000)</f>
        <v>-2.6298812412743202E-2</v>
      </c>
      <c r="G1026" s="2"/>
      <c r="H1026" s="5"/>
      <c r="K1026" s="5"/>
    </row>
    <row r="1027" spans="1:11" x14ac:dyDescent="0.25">
      <c r="A1027" s="2">
        <v>43707</v>
      </c>
      <c r="B1027">
        <v>1535355.38</v>
      </c>
      <c r="C1027">
        <v>175029.3</v>
      </c>
      <c r="D1027" s="5">
        <v>-15204.38</v>
      </c>
      <c r="E1027">
        <f>D1027/MAX($B$2:B1027,100000)</f>
        <v>-9.8057362833002728E-3</v>
      </c>
      <c r="G1027" s="2"/>
      <c r="H1027" s="5"/>
      <c r="K1027" s="5"/>
    </row>
    <row r="1028" spans="1:11" x14ac:dyDescent="0.25">
      <c r="A1028" s="2">
        <v>43714</v>
      </c>
      <c r="B1028">
        <v>1547442.38</v>
      </c>
      <c r="C1028">
        <v>175029.3</v>
      </c>
      <c r="D1028" s="5">
        <v>-3117.38</v>
      </c>
      <c r="E1028">
        <f>D1028/MAX($B$2:B1028,100000)</f>
        <v>-2.0104868580523906E-3</v>
      </c>
      <c r="G1028" s="2"/>
      <c r="H1028" s="5"/>
      <c r="K1028" s="5"/>
    </row>
    <row r="1029" spans="1:11" x14ac:dyDescent="0.25">
      <c r="A1029" s="2">
        <v>43721</v>
      </c>
      <c r="B1029">
        <v>1536796.25</v>
      </c>
      <c r="C1029">
        <v>55850.04</v>
      </c>
      <c r="D1029" s="5">
        <v>-13763.5</v>
      </c>
      <c r="E1029">
        <f>D1029/MAX($B$2:B1029,100000)</f>
        <v>-8.8764718676594048E-3</v>
      </c>
      <c r="G1029" s="2"/>
      <c r="H1029" s="5"/>
      <c r="K1029" s="5"/>
    </row>
    <row r="1030" spans="1:11" x14ac:dyDescent="0.25">
      <c r="A1030" s="2">
        <v>43728</v>
      </c>
      <c r="B1030">
        <v>1541728.63</v>
      </c>
      <c r="C1030">
        <v>55850.04</v>
      </c>
      <c r="D1030" s="5">
        <v>-8831.1299999999992</v>
      </c>
      <c r="E1030">
        <f>D1030/MAX($B$2:B1030,100000)</f>
        <v>-5.6954464347471929E-3</v>
      </c>
      <c r="G1030" s="2"/>
      <c r="H1030" s="5"/>
      <c r="K1030" s="5"/>
    </row>
    <row r="1031" spans="1:11" x14ac:dyDescent="0.25">
      <c r="A1031" s="2">
        <v>43735</v>
      </c>
      <c r="B1031">
        <v>1557025.38</v>
      </c>
      <c r="C1031">
        <v>55850.04</v>
      </c>
      <c r="D1031" s="5">
        <v>0</v>
      </c>
      <c r="E1031">
        <f>D1031/MAX($B$2:B1031,100000)</f>
        <v>0</v>
      </c>
      <c r="G1031" s="2"/>
      <c r="H1031" s="5"/>
      <c r="K1031" s="5"/>
    </row>
    <row r="1032" spans="1:11" x14ac:dyDescent="0.25">
      <c r="A1032" s="2">
        <v>43742</v>
      </c>
      <c r="B1032">
        <v>1535914.5</v>
      </c>
      <c r="C1032">
        <v>55850.04</v>
      </c>
      <c r="D1032" s="5">
        <v>-21110.880000000001</v>
      </c>
      <c r="E1032">
        <f>D1032/MAX($B$2:B1032,100000)</f>
        <v>-1.3558468777175618E-2</v>
      </c>
      <c r="G1032" s="2"/>
      <c r="H1032" s="5"/>
      <c r="K1032" s="5"/>
    </row>
    <row r="1033" spans="1:11" x14ac:dyDescent="0.25">
      <c r="A1033" s="2">
        <v>43749</v>
      </c>
      <c r="B1033">
        <v>1555696.63</v>
      </c>
      <c r="C1033">
        <v>55850.04</v>
      </c>
      <c r="D1033" s="5">
        <v>-1328.75</v>
      </c>
      <c r="E1033">
        <f>D1033/MAX($B$2:B1033,100000)</f>
        <v>-8.5339007126524814E-4</v>
      </c>
      <c r="G1033" s="2"/>
      <c r="H1033" s="5"/>
      <c r="K1033" s="5"/>
    </row>
    <row r="1034" spans="1:11" x14ac:dyDescent="0.25">
      <c r="A1034" s="2">
        <v>43756</v>
      </c>
      <c r="B1034">
        <v>1544323.88</v>
      </c>
      <c r="C1034">
        <v>55850.04</v>
      </c>
      <c r="D1034" s="5">
        <v>-12701.5</v>
      </c>
      <c r="E1034">
        <f>D1034/MAX($B$2:B1034,100000)</f>
        <v>-8.1575420434058694E-3</v>
      </c>
      <c r="G1034" s="2"/>
      <c r="H1034" s="5"/>
      <c r="K1034" s="5"/>
    </row>
    <row r="1035" spans="1:11" x14ac:dyDescent="0.25">
      <c r="A1035" s="2">
        <v>43763</v>
      </c>
      <c r="B1035">
        <v>1579601.38</v>
      </c>
      <c r="C1035">
        <v>55850.04</v>
      </c>
      <c r="D1035" s="5">
        <v>0</v>
      </c>
      <c r="E1035">
        <f>D1035/MAX($B$2:B1035,100000)</f>
        <v>0</v>
      </c>
      <c r="G1035" s="2"/>
      <c r="H1035" s="5"/>
      <c r="K1035" s="5"/>
    </row>
    <row r="1036" spans="1:11" x14ac:dyDescent="0.25">
      <c r="A1036" s="2">
        <v>43770</v>
      </c>
      <c r="B1036">
        <v>1582347.88</v>
      </c>
      <c r="C1036">
        <v>55850.04</v>
      </c>
      <c r="D1036" s="5">
        <v>0</v>
      </c>
      <c r="E1036">
        <f>D1036/MAX($B$2:B1036,100000)</f>
        <v>0</v>
      </c>
      <c r="G1036" s="2"/>
      <c r="H1036" s="5"/>
      <c r="K1036" s="5"/>
    </row>
    <row r="1037" spans="1:11" x14ac:dyDescent="0.25">
      <c r="A1037" s="2">
        <v>43777</v>
      </c>
      <c r="B1037">
        <v>1572396.5</v>
      </c>
      <c r="C1037">
        <v>55850.04</v>
      </c>
      <c r="D1037" s="5">
        <v>-9951.3799999999992</v>
      </c>
      <c r="E1037">
        <f>D1037/MAX($B$2:B1037,100000)</f>
        <v>-6.288996323615007E-3</v>
      </c>
      <c r="G1037" s="2"/>
      <c r="H1037" s="5"/>
      <c r="K1037" s="5"/>
    </row>
    <row r="1038" spans="1:11" x14ac:dyDescent="0.25">
      <c r="A1038" s="2">
        <v>43784</v>
      </c>
      <c r="B1038">
        <v>1572584.63</v>
      </c>
      <c r="C1038">
        <v>55850.04</v>
      </c>
      <c r="D1038" s="5">
        <v>-9763.25</v>
      </c>
      <c r="E1038">
        <f>D1038/MAX($B$2:B1038,100000)</f>
        <v>-6.170103378278613E-3</v>
      </c>
      <c r="G1038" s="2"/>
      <c r="H1038" s="5"/>
      <c r="K1038" s="5"/>
    </row>
    <row r="1039" spans="1:11" x14ac:dyDescent="0.25">
      <c r="A1039" s="2">
        <v>43791</v>
      </c>
      <c r="B1039">
        <v>1570803.5</v>
      </c>
      <c r="C1039">
        <v>55850.04</v>
      </c>
      <c r="D1039" s="5">
        <v>-11544.38</v>
      </c>
      <c r="E1039">
        <f>D1039/MAX($B$2:B1039,100000)</f>
        <v>-7.2957281681952264E-3</v>
      </c>
      <c r="G1039" s="2"/>
      <c r="H1039" s="5"/>
      <c r="K1039" s="5"/>
    </row>
    <row r="1040" spans="1:11" x14ac:dyDescent="0.25">
      <c r="A1040" s="2">
        <v>43798</v>
      </c>
      <c r="B1040">
        <v>1598202</v>
      </c>
      <c r="C1040">
        <v>55850.04</v>
      </c>
      <c r="D1040" s="5">
        <v>0</v>
      </c>
      <c r="E1040">
        <f>D1040/MAX($B$2:B1040,100000)</f>
        <v>0</v>
      </c>
      <c r="G1040" s="2"/>
      <c r="H1040" s="5"/>
      <c r="K1040" s="5"/>
    </row>
    <row r="1041" spans="1:11" x14ac:dyDescent="0.25">
      <c r="A1041" s="2">
        <v>43805</v>
      </c>
      <c r="B1041">
        <v>1588272.88</v>
      </c>
      <c r="C1041">
        <v>55850.04</v>
      </c>
      <c r="D1041" s="5">
        <v>-9929.1299999999992</v>
      </c>
      <c r="E1041">
        <f>D1041/MAX($B$2:B1041,100000)</f>
        <v>-6.2126877578679036E-3</v>
      </c>
      <c r="G1041" s="2"/>
      <c r="H1041" s="5"/>
      <c r="K1041" s="5"/>
    </row>
    <row r="1042" spans="1:11" x14ac:dyDescent="0.25">
      <c r="A1042" s="2">
        <v>43812</v>
      </c>
      <c r="B1042">
        <v>1556189.75</v>
      </c>
      <c r="C1042">
        <v>55850.04</v>
      </c>
      <c r="D1042" s="5">
        <v>-42012.25</v>
      </c>
      <c r="E1042">
        <f>D1042/MAX($B$2:B1042,100000)</f>
        <v>-2.6287196487052324E-2</v>
      </c>
      <c r="G1042" s="2"/>
      <c r="H1042" s="5"/>
      <c r="K1042" s="5"/>
    </row>
    <row r="1043" spans="1:11" x14ac:dyDescent="0.25">
      <c r="A1043" s="2">
        <v>43819</v>
      </c>
      <c r="B1043">
        <v>1588998.13</v>
      </c>
      <c r="C1043">
        <v>161368.45000000001</v>
      </c>
      <c r="D1043" s="5">
        <v>-9203.8799999999992</v>
      </c>
      <c r="E1043">
        <f>D1043/MAX($B$2:B1043,100000)</f>
        <v>-5.7588965600093101E-3</v>
      </c>
      <c r="G1043" s="2"/>
      <c r="H1043" s="5"/>
      <c r="K1043" s="5"/>
    </row>
    <row r="1044" spans="1:11" x14ac:dyDescent="0.25">
      <c r="A1044" s="2">
        <v>43826</v>
      </c>
      <c r="B1044">
        <v>1595837.13</v>
      </c>
      <c r="C1044">
        <v>38931.78</v>
      </c>
      <c r="D1044" s="5">
        <v>-2364.88</v>
      </c>
      <c r="E1044">
        <f>D1044/MAX($B$2:B1044,100000)</f>
        <v>-1.4797128272896669E-3</v>
      </c>
      <c r="G1044" s="2"/>
      <c r="H1044" s="5"/>
      <c r="K1044" s="5"/>
    </row>
    <row r="1045" spans="1:11" x14ac:dyDescent="0.25">
      <c r="A1045" s="2">
        <v>43833</v>
      </c>
      <c r="B1045">
        <v>1571087.75</v>
      </c>
      <c r="C1045">
        <v>38931.78</v>
      </c>
      <c r="D1045" s="5">
        <v>-27114.25</v>
      </c>
      <c r="E1045">
        <f>D1045/MAX($B$2:B1045,100000)</f>
        <v>-1.6965471198259044E-2</v>
      </c>
      <c r="G1045" s="2"/>
      <c r="H1045" s="5"/>
      <c r="K1045" s="5"/>
    </row>
    <row r="1046" spans="1:11" x14ac:dyDescent="0.25">
      <c r="A1046" s="2">
        <v>43840</v>
      </c>
      <c r="B1046">
        <v>1591272.13</v>
      </c>
      <c r="C1046">
        <v>38931.78</v>
      </c>
      <c r="D1046" s="5">
        <v>-6929.88</v>
      </c>
      <c r="E1046">
        <f>D1046/MAX($B$2:B1046,100000)</f>
        <v>-4.336047633528177E-3</v>
      </c>
      <c r="G1046" s="2"/>
      <c r="H1046" s="5"/>
      <c r="K1046" s="5"/>
    </row>
    <row r="1047" spans="1:11" x14ac:dyDescent="0.25">
      <c r="A1047" s="2">
        <v>43847</v>
      </c>
      <c r="B1047">
        <v>1632092.75</v>
      </c>
      <c r="C1047">
        <v>38931.78</v>
      </c>
      <c r="D1047" s="5">
        <v>0</v>
      </c>
      <c r="E1047">
        <f>D1047/MAX($B$2:B1047,100000)</f>
        <v>0</v>
      </c>
      <c r="G1047" s="2"/>
      <c r="H1047" s="5"/>
      <c r="K1047" s="5"/>
    </row>
    <row r="1048" spans="1:11" x14ac:dyDescent="0.25">
      <c r="A1048" s="2">
        <v>43854</v>
      </c>
      <c r="B1048">
        <v>1635829</v>
      </c>
      <c r="C1048">
        <v>38931.78</v>
      </c>
      <c r="D1048" s="5">
        <v>0</v>
      </c>
      <c r="E1048">
        <f>D1048/MAX($B$2:B1048,100000)</f>
        <v>0</v>
      </c>
      <c r="G1048" s="2"/>
      <c r="H1048" s="5"/>
      <c r="K1048" s="5"/>
    </row>
    <row r="1049" spans="1:11" x14ac:dyDescent="0.25">
      <c r="A1049" s="2">
        <v>43861</v>
      </c>
      <c r="B1049">
        <v>1614273.38</v>
      </c>
      <c r="C1049">
        <v>38931.78</v>
      </c>
      <c r="D1049" s="5">
        <v>-21555.63</v>
      </c>
      <c r="E1049">
        <f>D1049/MAX($B$2:B1049,100000)</f>
        <v>-1.3177190280891218E-2</v>
      </c>
      <c r="G1049" s="2"/>
      <c r="H1049" s="5"/>
      <c r="K1049" s="5"/>
    </row>
    <row r="1050" spans="1:11" x14ac:dyDescent="0.25">
      <c r="A1050" s="2">
        <v>43868</v>
      </c>
      <c r="B1050">
        <v>1595878.5</v>
      </c>
      <c r="C1050">
        <v>38931.78</v>
      </c>
      <c r="D1050" s="5">
        <v>-39950.5</v>
      </c>
      <c r="E1050">
        <f>D1050/MAX($B$2:B1050,100000)</f>
        <v>-2.4422173711310901E-2</v>
      </c>
      <c r="G1050" s="2"/>
      <c r="H1050" s="5"/>
      <c r="K1050" s="5"/>
    </row>
    <row r="1051" spans="1:11" x14ac:dyDescent="0.25">
      <c r="A1051" s="2">
        <v>43875</v>
      </c>
      <c r="B1051">
        <v>1609395.75</v>
      </c>
      <c r="C1051">
        <v>38931.78</v>
      </c>
      <c r="D1051" s="5">
        <v>-26433.25</v>
      </c>
      <c r="E1051">
        <f>D1051/MAX($B$2:B1051,100000)</f>
        <v>-1.6158932260034516E-2</v>
      </c>
      <c r="G1051" s="2"/>
      <c r="H1051" s="5"/>
      <c r="K1051" s="5"/>
    </row>
    <row r="1052" spans="1:11" x14ac:dyDescent="0.25">
      <c r="A1052" s="2">
        <v>43882</v>
      </c>
      <c r="B1052">
        <v>1609725.38</v>
      </c>
      <c r="C1052">
        <v>38931.78</v>
      </c>
      <c r="D1052" s="5">
        <v>-26103.63</v>
      </c>
      <c r="E1052">
        <f>D1052/MAX($B$2:B1052,100000)</f>
        <v>-1.5957431980971118E-2</v>
      </c>
      <c r="G1052" s="2"/>
      <c r="H1052" s="5"/>
      <c r="K1052" s="5"/>
    </row>
    <row r="1053" spans="1:11" x14ac:dyDescent="0.25">
      <c r="A1053" s="2">
        <v>43889</v>
      </c>
      <c r="B1053">
        <v>1500097.63</v>
      </c>
      <c r="C1053">
        <v>38931.78</v>
      </c>
      <c r="D1053" s="5">
        <v>-135731.38</v>
      </c>
      <c r="E1053">
        <f>D1053/MAX($B$2:B1053,100000)</f>
        <v>-8.2974063914993568E-2</v>
      </c>
      <c r="G1053" s="2"/>
      <c r="H1053" s="5"/>
      <c r="K1053" s="5"/>
    </row>
    <row r="1054" spans="1:11" x14ac:dyDescent="0.25">
      <c r="A1054" s="2">
        <v>43896</v>
      </c>
      <c r="B1054">
        <v>1490186.5</v>
      </c>
      <c r="C1054">
        <v>38931.78</v>
      </c>
      <c r="D1054" s="5">
        <v>-145642.5</v>
      </c>
      <c r="E1054">
        <f>D1054/MAX($B$2:B1054,100000)</f>
        <v>-8.903283900701113E-2</v>
      </c>
      <c r="G1054" s="2"/>
      <c r="H1054" s="5"/>
      <c r="K1054" s="5"/>
    </row>
    <row r="1055" spans="1:11" x14ac:dyDescent="0.25">
      <c r="A1055" s="2">
        <v>43903</v>
      </c>
      <c r="B1055">
        <v>1389800.38</v>
      </c>
      <c r="C1055">
        <v>479229.16</v>
      </c>
      <c r="D1055" s="5">
        <v>-246028.63</v>
      </c>
      <c r="E1055">
        <f>D1055/MAX($B$2:B1055,100000)</f>
        <v>-0.15039996845636067</v>
      </c>
      <c r="G1055" s="2"/>
      <c r="H1055" s="5"/>
      <c r="K1055" s="5"/>
    </row>
    <row r="1056" spans="1:11" x14ac:dyDescent="0.25">
      <c r="A1056" s="2">
        <v>43910</v>
      </c>
      <c r="B1056">
        <v>1342353</v>
      </c>
      <c r="C1056">
        <v>666981.25</v>
      </c>
      <c r="D1056" s="5">
        <v>-293476</v>
      </c>
      <c r="E1056">
        <f>D1056/MAX($B$2:B1056,100000)</f>
        <v>-0.17940506006434659</v>
      </c>
      <c r="G1056" s="2"/>
      <c r="H1056" s="5"/>
      <c r="K1056" s="5"/>
    </row>
    <row r="1057" spans="1:11" x14ac:dyDescent="0.25">
      <c r="A1057" s="2">
        <v>43917</v>
      </c>
      <c r="B1057">
        <v>1336259.1299999999</v>
      </c>
      <c r="C1057">
        <v>1242356.5</v>
      </c>
      <c r="D1057" s="5">
        <v>-299569.88</v>
      </c>
      <c r="E1057">
        <f>D1057/MAX($B$2:B1057,100000)</f>
        <v>-0.18313031496568408</v>
      </c>
      <c r="G1057" s="2"/>
      <c r="H1057" s="5"/>
      <c r="K1057" s="5"/>
    </row>
    <row r="1058" spans="1:11" x14ac:dyDescent="0.25">
      <c r="A1058" s="2">
        <v>43924</v>
      </c>
      <c r="B1058">
        <v>1336259.1299999999</v>
      </c>
      <c r="C1058">
        <v>1336259.1299999999</v>
      </c>
      <c r="D1058" s="5">
        <v>-299569.88</v>
      </c>
      <c r="E1058">
        <f>D1058/MAX($B$2:B1058,100000)</f>
        <v>-0.18313031496568408</v>
      </c>
      <c r="G1058" s="2"/>
      <c r="H1058" s="5"/>
      <c r="K1058" s="5"/>
    </row>
    <row r="1059" spans="1:11" x14ac:dyDescent="0.25">
      <c r="A1059" s="2">
        <v>43930</v>
      </c>
      <c r="B1059">
        <v>1336259.1299999999</v>
      </c>
      <c r="C1059">
        <v>1336259.1299999999</v>
      </c>
      <c r="D1059" s="5">
        <v>-299569.88</v>
      </c>
      <c r="E1059">
        <f>D1059/MAX($B$2:B1059,100000)</f>
        <v>-0.18313031496568408</v>
      </c>
      <c r="G1059" s="2"/>
      <c r="H1059" s="5"/>
      <c r="K1059" s="5"/>
    </row>
    <row r="1060" spans="1:11" x14ac:dyDescent="0.25">
      <c r="A1060" s="2">
        <v>43938</v>
      </c>
      <c r="B1060">
        <v>1336259.1299999999</v>
      </c>
      <c r="C1060">
        <v>1336259.1299999999</v>
      </c>
      <c r="D1060" s="5">
        <v>-299569.88</v>
      </c>
      <c r="E1060">
        <f>D1060/MAX($B$2:B1060,100000)</f>
        <v>-0.18313031496568408</v>
      </c>
      <c r="G1060" s="2"/>
      <c r="H1060" s="5"/>
      <c r="K1060" s="5"/>
    </row>
    <row r="1061" spans="1:11" x14ac:dyDescent="0.25">
      <c r="A1061" s="2">
        <v>43945</v>
      </c>
      <c r="B1061">
        <v>1336259.1299999999</v>
      </c>
      <c r="C1061">
        <v>1336259.1299999999</v>
      </c>
      <c r="D1061" s="5">
        <v>-299569.88</v>
      </c>
      <c r="E1061">
        <f>D1061/MAX($B$2:B1061,100000)</f>
        <v>-0.18313031496568408</v>
      </c>
      <c r="G1061" s="2"/>
      <c r="H1061" s="5"/>
      <c r="K1061" s="5"/>
    </row>
    <row r="1062" spans="1:11" x14ac:dyDescent="0.25">
      <c r="A1062" s="2">
        <v>43952</v>
      </c>
      <c r="B1062">
        <v>1336259.1299999999</v>
      </c>
      <c r="C1062">
        <v>1336259.1299999999</v>
      </c>
      <c r="D1062" s="5">
        <v>-299569.88</v>
      </c>
      <c r="E1062">
        <f>D1062/MAX($B$2:B1062,100000)</f>
        <v>-0.18313031496568408</v>
      </c>
      <c r="G1062" s="2"/>
      <c r="H1062" s="5"/>
      <c r="K1062" s="5"/>
    </row>
    <row r="1063" spans="1:11" x14ac:dyDescent="0.25">
      <c r="A1063" s="2">
        <v>43959</v>
      </c>
      <c r="B1063">
        <v>1336259.1299999999</v>
      </c>
      <c r="C1063">
        <v>1336259.1299999999</v>
      </c>
      <c r="D1063" s="5">
        <v>-299569.88</v>
      </c>
      <c r="E1063">
        <f>D1063/MAX($B$2:B1063,100000)</f>
        <v>-0.18313031496568408</v>
      </c>
      <c r="G1063" s="2"/>
      <c r="H1063" s="5"/>
      <c r="K1063" s="5"/>
    </row>
    <row r="1064" spans="1:11" x14ac:dyDescent="0.25">
      <c r="A1064" s="2">
        <v>43966</v>
      </c>
      <c r="B1064">
        <v>1336259.1299999999</v>
      </c>
      <c r="C1064">
        <v>1336259.1299999999</v>
      </c>
      <c r="D1064" s="5">
        <v>-299569.88</v>
      </c>
      <c r="E1064">
        <f>D1064/MAX($B$2:B1064,100000)</f>
        <v>-0.18313031496568408</v>
      </c>
      <c r="G1064" s="2"/>
      <c r="H1064" s="5"/>
      <c r="K1064" s="5"/>
    </row>
    <row r="1065" spans="1:11" x14ac:dyDescent="0.25">
      <c r="A1065" s="2">
        <v>43973</v>
      </c>
      <c r="B1065">
        <v>1336259.1299999999</v>
      </c>
      <c r="C1065">
        <v>1336259.1299999999</v>
      </c>
      <c r="D1065" s="5">
        <v>-299569.88</v>
      </c>
      <c r="E1065">
        <f>D1065/MAX($B$2:B1065,100000)</f>
        <v>-0.18313031496568408</v>
      </c>
      <c r="G1065" s="2"/>
      <c r="H1065" s="5"/>
      <c r="K1065" s="5"/>
    </row>
    <row r="1066" spans="1:11" x14ac:dyDescent="0.25">
      <c r="A1066" s="2">
        <v>43980</v>
      </c>
      <c r="B1066">
        <v>1336259.1299999999</v>
      </c>
      <c r="C1066">
        <v>1336259.1299999999</v>
      </c>
      <c r="D1066" s="5">
        <v>-299569.88</v>
      </c>
      <c r="E1066">
        <f>D1066/MAX($B$2:B1066,100000)</f>
        <v>-0.18313031496568408</v>
      </c>
      <c r="G1066" s="2"/>
      <c r="H1066" s="5"/>
      <c r="K1066" s="5"/>
    </row>
    <row r="1067" spans="1:11" x14ac:dyDescent="0.25">
      <c r="A1067" s="2">
        <v>43987</v>
      </c>
      <c r="B1067">
        <v>1336259.1299999999</v>
      </c>
      <c r="C1067">
        <v>1336259.1299999999</v>
      </c>
      <c r="D1067" s="5">
        <v>-299569.88</v>
      </c>
      <c r="E1067">
        <f>D1067/MAX($B$2:B1067,100000)</f>
        <v>-0.18313031496568408</v>
      </c>
      <c r="G1067" s="2"/>
      <c r="H1067" s="5"/>
      <c r="K1067" s="5"/>
    </row>
    <row r="1068" spans="1:11" x14ac:dyDescent="0.25">
      <c r="A1068" s="2">
        <v>43994</v>
      </c>
      <c r="B1068">
        <v>1333749</v>
      </c>
      <c r="C1068">
        <v>1233368.3799999999</v>
      </c>
      <c r="D1068" s="5">
        <v>-302080</v>
      </c>
      <c r="E1068">
        <f>D1068/MAX($B$2:B1068,100000)</f>
        <v>-0.18466477853125235</v>
      </c>
      <c r="G1068" s="2"/>
      <c r="H1068" s="5"/>
      <c r="K1068" s="5"/>
    </row>
    <row r="1069" spans="1:11" x14ac:dyDescent="0.25">
      <c r="A1069" s="2">
        <v>44001</v>
      </c>
      <c r="B1069">
        <v>1326835.6299999999</v>
      </c>
      <c r="C1069">
        <v>1233368.3799999999</v>
      </c>
      <c r="D1069" s="5">
        <v>-308993.38</v>
      </c>
      <c r="E1069">
        <f>D1069/MAX($B$2:B1069,100000)</f>
        <v>-0.18889100266592657</v>
      </c>
      <c r="G1069" s="2"/>
      <c r="H1069" s="5"/>
      <c r="K1069" s="5"/>
    </row>
    <row r="1070" spans="1:11" x14ac:dyDescent="0.25">
      <c r="A1070" s="2">
        <v>44008</v>
      </c>
      <c r="B1070">
        <v>1329479</v>
      </c>
      <c r="C1070">
        <v>1233368.3799999999</v>
      </c>
      <c r="D1070" s="5">
        <v>-306350</v>
      </c>
      <c r="E1070">
        <f>D1070/MAX($B$2:B1070,100000)</f>
        <v>-0.18727507581782693</v>
      </c>
      <c r="G1070" s="2"/>
      <c r="H1070" s="5"/>
      <c r="K1070" s="5"/>
    </row>
    <row r="1071" spans="1:11" x14ac:dyDescent="0.25">
      <c r="A1071" s="2">
        <v>44015</v>
      </c>
      <c r="B1071">
        <v>1328394.5</v>
      </c>
      <c r="C1071">
        <v>1233368.3799999999</v>
      </c>
      <c r="D1071" s="5">
        <v>-307434.5</v>
      </c>
      <c r="E1071">
        <f>D1071/MAX($B$2:B1071,100000)</f>
        <v>-0.18793804242374967</v>
      </c>
      <c r="G1071" s="2"/>
      <c r="H1071" s="5"/>
      <c r="K1071" s="5"/>
    </row>
    <row r="1072" spans="1:11" x14ac:dyDescent="0.25">
      <c r="A1072" s="2">
        <v>44022</v>
      </c>
      <c r="B1072">
        <v>1334020.1299999999</v>
      </c>
      <c r="C1072">
        <v>1233368.3799999999</v>
      </c>
      <c r="D1072" s="5">
        <v>-301808.88</v>
      </c>
      <c r="E1072">
        <f>D1072/MAX($B$2:B1072,100000)</f>
        <v>-0.18449903993632585</v>
      </c>
      <c r="G1072" s="2"/>
      <c r="H1072" s="5"/>
      <c r="K1072" s="5"/>
    </row>
    <row r="1073" spans="1:11" x14ac:dyDescent="0.25">
      <c r="A1073" s="2">
        <v>44029</v>
      </c>
      <c r="B1073">
        <v>1344458.13</v>
      </c>
      <c r="C1073">
        <v>1233368.3799999999</v>
      </c>
      <c r="D1073" s="5">
        <v>-291370.88</v>
      </c>
      <c r="E1073">
        <f>D1073/MAX($B$2:B1073,100000)</f>
        <v>-0.17811817738895691</v>
      </c>
      <c r="G1073" s="2"/>
      <c r="H1073" s="5"/>
      <c r="K1073" s="5"/>
    </row>
    <row r="1074" spans="1:11" x14ac:dyDescent="0.25">
      <c r="A1074" s="2">
        <v>44036</v>
      </c>
      <c r="B1074">
        <v>1338417.6299999999</v>
      </c>
      <c r="C1074">
        <v>1026280</v>
      </c>
      <c r="D1074" s="5">
        <v>-297411.38</v>
      </c>
      <c r="E1074">
        <f>D1074/MAX($B$2:B1074,100000)</f>
        <v>-0.18181080051765802</v>
      </c>
      <c r="G1074" s="2"/>
      <c r="H1074" s="5"/>
      <c r="K1074" s="5"/>
    </row>
    <row r="1075" spans="1:11" x14ac:dyDescent="0.25">
      <c r="A1075" s="2">
        <v>44043</v>
      </c>
      <c r="B1075">
        <v>1345097.75</v>
      </c>
      <c r="C1075">
        <v>1026280</v>
      </c>
      <c r="D1075" s="5">
        <v>-290731.25</v>
      </c>
      <c r="E1075">
        <f>D1075/MAX($B$2:B1075,100000)</f>
        <v>-0.17772716463640148</v>
      </c>
      <c r="G1075" s="2"/>
      <c r="H1075" s="5"/>
      <c r="K1075" s="5"/>
    </row>
    <row r="1076" spans="1:11" x14ac:dyDescent="0.25">
      <c r="A1076" s="2">
        <v>44050</v>
      </c>
      <c r="B1076">
        <v>1351188</v>
      </c>
      <c r="C1076">
        <v>1026280</v>
      </c>
      <c r="D1076" s="5">
        <v>-284641</v>
      </c>
      <c r="E1076">
        <f>D1076/MAX($B$2:B1076,100000)</f>
        <v>-0.17400412879341301</v>
      </c>
      <c r="G1076" s="2"/>
      <c r="H1076" s="5"/>
      <c r="K1076" s="5"/>
    </row>
    <row r="1077" spans="1:11" x14ac:dyDescent="0.25">
      <c r="A1077" s="2">
        <v>44057</v>
      </c>
      <c r="B1077">
        <v>1346161</v>
      </c>
      <c r="C1077">
        <v>714321</v>
      </c>
      <c r="D1077" s="5">
        <v>-289668</v>
      </c>
      <c r="E1077">
        <f>D1077/MAX($B$2:B1077,100000)</f>
        <v>-0.17707718838582762</v>
      </c>
      <c r="G1077" s="2"/>
      <c r="H1077" s="5"/>
      <c r="K1077" s="5"/>
    </row>
    <row r="1078" spans="1:11" x14ac:dyDescent="0.25">
      <c r="A1078" s="2">
        <v>44064</v>
      </c>
      <c r="B1078">
        <v>1345786.5</v>
      </c>
      <c r="C1078">
        <v>403387.84</v>
      </c>
      <c r="D1078" s="5">
        <v>-290042.5</v>
      </c>
      <c r="E1078">
        <f>D1078/MAX($B$2:B1078,100000)</f>
        <v>-0.17730612429538783</v>
      </c>
      <c r="G1078" s="2"/>
      <c r="H1078" s="5"/>
      <c r="K1078" s="5"/>
    </row>
    <row r="1079" spans="1:11" x14ac:dyDescent="0.25">
      <c r="A1079" s="2">
        <v>44071</v>
      </c>
      <c r="B1079">
        <v>1346149.63</v>
      </c>
      <c r="C1079">
        <v>403387.84</v>
      </c>
      <c r="D1079" s="5">
        <v>-289679.38</v>
      </c>
      <c r="E1079">
        <f>D1079/MAX($B$2:B1079,100000)</f>
        <v>-0.17708414510318621</v>
      </c>
      <c r="G1079" s="2"/>
      <c r="H1079" s="5"/>
      <c r="K1079" s="5"/>
    </row>
    <row r="1080" spans="1:11" x14ac:dyDescent="0.25">
      <c r="A1080" s="2">
        <v>44078</v>
      </c>
      <c r="B1080">
        <v>1334066.5</v>
      </c>
      <c r="C1080">
        <v>403387.84</v>
      </c>
      <c r="D1080" s="5">
        <v>-301762.5</v>
      </c>
      <c r="E1080">
        <f>D1080/MAX($B$2:B1080,100000)</f>
        <v>-0.18447068733956912</v>
      </c>
      <c r="G1080" s="2"/>
      <c r="H1080" s="5"/>
      <c r="K1080" s="5"/>
    </row>
    <row r="1081" spans="1:11" x14ac:dyDescent="0.25">
      <c r="A1081" s="2">
        <v>44085</v>
      </c>
      <c r="B1081">
        <v>1330097</v>
      </c>
      <c r="C1081">
        <v>403387.84</v>
      </c>
      <c r="D1081" s="5">
        <v>-305732</v>
      </c>
      <c r="E1081">
        <f>D1081/MAX($B$2:B1081,100000)</f>
        <v>-0.18689728571873956</v>
      </c>
      <c r="G1081" s="2"/>
      <c r="H1081" s="5"/>
      <c r="K1081" s="5"/>
    </row>
    <row r="1082" spans="1:11" x14ac:dyDescent="0.25">
      <c r="A1082" s="2">
        <v>44092</v>
      </c>
      <c r="B1082">
        <v>1339974.1299999999</v>
      </c>
      <c r="C1082">
        <v>403387.84</v>
      </c>
      <c r="D1082" s="5">
        <v>-295854.88</v>
      </c>
      <c r="E1082">
        <f>D1082/MAX($B$2:B1082,100000)</f>
        <v>-0.18085929519528018</v>
      </c>
      <c r="G1082" s="2"/>
      <c r="H1082" s="5"/>
      <c r="K1082" s="5"/>
    </row>
    <row r="1083" spans="1:11" x14ac:dyDescent="0.25">
      <c r="A1083" s="2">
        <v>44099</v>
      </c>
      <c r="B1083">
        <v>1342428.63</v>
      </c>
      <c r="C1083">
        <v>494039.38</v>
      </c>
      <c r="D1083" s="5">
        <v>-293400.38</v>
      </c>
      <c r="E1083">
        <f>D1083/MAX($B$2:B1083,100000)</f>
        <v>-0.17935883273862976</v>
      </c>
      <c r="G1083" s="2"/>
      <c r="H1083" s="5"/>
      <c r="K1083" s="5"/>
    </row>
    <row r="1084" spans="1:11" x14ac:dyDescent="0.25">
      <c r="A1084" s="2">
        <v>44106</v>
      </c>
      <c r="B1084">
        <v>1324335.3799999999</v>
      </c>
      <c r="C1084">
        <v>610987.81000000006</v>
      </c>
      <c r="D1084" s="5">
        <v>-311493.63</v>
      </c>
      <c r="E1084">
        <f>D1084/MAX($B$2:B1084,100000)</f>
        <v>-0.19041943259350458</v>
      </c>
      <c r="G1084" s="2"/>
      <c r="H1084" s="5"/>
      <c r="K1084" s="5"/>
    </row>
    <row r="1085" spans="1:11" x14ac:dyDescent="0.25">
      <c r="A1085" s="2">
        <v>44113</v>
      </c>
      <c r="B1085">
        <v>1347714.63</v>
      </c>
      <c r="C1085">
        <v>610987.81000000006</v>
      </c>
      <c r="D1085" s="5">
        <v>-288114.38</v>
      </c>
      <c r="E1085">
        <f>D1085/MAX($B$2:B1085,100000)</f>
        <v>-0.17612744363866883</v>
      </c>
      <c r="G1085" s="2"/>
      <c r="H1085" s="5"/>
      <c r="K1085" s="5"/>
    </row>
    <row r="1086" spans="1:11" x14ac:dyDescent="0.25">
      <c r="A1086" s="2">
        <v>44120</v>
      </c>
      <c r="B1086">
        <v>1364240.5</v>
      </c>
      <c r="C1086">
        <v>196263.45</v>
      </c>
      <c r="D1086" s="5">
        <v>-271588.5</v>
      </c>
      <c r="E1086">
        <f>D1086/MAX($B$2:B1086,100000)</f>
        <v>-0.1660249940550021</v>
      </c>
      <c r="G1086" s="2"/>
      <c r="H1086" s="5"/>
      <c r="K1086" s="5"/>
    </row>
    <row r="1087" spans="1:11" x14ac:dyDescent="0.25">
      <c r="A1087" s="2">
        <v>44127</v>
      </c>
      <c r="B1087">
        <v>1339949.5</v>
      </c>
      <c r="C1087">
        <v>90650.14</v>
      </c>
      <c r="D1087" s="5">
        <v>-295879.5</v>
      </c>
      <c r="E1087">
        <f>D1087/MAX($B$2:B1087,100000)</f>
        <v>-0.18087434566815969</v>
      </c>
      <c r="G1087" s="2"/>
      <c r="H1087" s="5"/>
      <c r="K1087" s="5"/>
    </row>
    <row r="1088" spans="1:11" x14ac:dyDescent="0.25">
      <c r="A1088" s="2">
        <v>44134</v>
      </c>
      <c r="B1088">
        <v>1281675.1299999999</v>
      </c>
      <c r="C1088">
        <v>90650.14</v>
      </c>
      <c r="D1088" s="5">
        <v>-354153.88</v>
      </c>
      <c r="E1088">
        <f>D1088/MAX($B$2:B1088,100000)</f>
        <v>-0.21649810585336243</v>
      </c>
      <c r="G1088" s="2"/>
      <c r="H1088" s="5"/>
      <c r="K1088" s="5"/>
    </row>
    <row r="1089" spans="1:11" x14ac:dyDescent="0.25">
      <c r="A1089" s="2">
        <v>44141</v>
      </c>
      <c r="B1089">
        <v>1335378.8799999999</v>
      </c>
      <c r="C1089">
        <v>90650.14</v>
      </c>
      <c r="D1089" s="5">
        <v>-300450.13</v>
      </c>
      <c r="E1089">
        <f>D1089/MAX($B$2:B1089,100000)</f>
        <v>-0.1836684213325476</v>
      </c>
      <c r="G1089" s="2"/>
      <c r="H1089" s="5"/>
      <c r="K1089" s="5"/>
    </row>
    <row r="1090" spans="1:11" x14ac:dyDescent="0.25">
      <c r="A1090" s="2">
        <v>44148</v>
      </c>
      <c r="B1090">
        <v>1337485.8799999999</v>
      </c>
      <c r="C1090">
        <v>72300.97</v>
      </c>
      <c r="D1090" s="5">
        <v>-298343.13</v>
      </c>
      <c r="E1090">
        <f>D1090/MAX($B$2:B1090,100000)</f>
        <v>-0.18238038939277884</v>
      </c>
      <c r="G1090" s="2"/>
      <c r="H1090" s="5"/>
      <c r="K1090" s="5"/>
    </row>
    <row r="1091" spans="1:11" x14ac:dyDescent="0.25">
      <c r="A1091" s="2">
        <v>44155</v>
      </c>
      <c r="B1091">
        <v>1350087.88</v>
      </c>
      <c r="C1091">
        <v>72300.97</v>
      </c>
      <c r="D1091" s="5">
        <v>-285741.13</v>
      </c>
      <c r="E1091">
        <f>D1091/MAX($B$2:B1091,100000)</f>
        <v>-0.17467665018776413</v>
      </c>
      <c r="G1091" s="2"/>
      <c r="H1091" s="5"/>
      <c r="K1091" s="5"/>
    </row>
    <row r="1092" spans="1:11" x14ac:dyDescent="0.25">
      <c r="A1092" s="2">
        <v>44162</v>
      </c>
      <c r="B1092">
        <v>1361890.88</v>
      </c>
      <c r="C1092">
        <v>72300.97</v>
      </c>
      <c r="D1092" s="5">
        <v>-273938.13</v>
      </c>
      <c r="E1092">
        <f>D1092/MAX($B$2:B1092,100000)</f>
        <v>-0.16746134834386725</v>
      </c>
      <c r="G1092" s="2"/>
      <c r="H1092" s="5"/>
      <c r="K1092" s="5"/>
    </row>
    <row r="1093" spans="1:11" x14ac:dyDescent="0.25">
      <c r="A1093" s="2">
        <v>44169</v>
      </c>
      <c r="B1093">
        <v>1371346.88</v>
      </c>
      <c r="C1093">
        <v>72300.97</v>
      </c>
      <c r="D1093" s="5">
        <v>-264482.13</v>
      </c>
      <c r="E1093">
        <f>D1093/MAX($B$2:B1093,100000)</f>
        <v>-0.16168079304132646</v>
      </c>
      <c r="G1093" s="2"/>
      <c r="H1093" s="5"/>
      <c r="K1093" s="5"/>
    </row>
    <row r="1094" spans="1:11" x14ac:dyDescent="0.25">
      <c r="A1094" s="2">
        <v>44176</v>
      </c>
      <c r="B1094">
        <v>1362036.13</v>
      </c>
      <c r="C1094">
        <v>72300.97</v>
      </c>
      <c r="D1094" s="5">
        <v>-273792.88</v>
      </c>
      <c r="E1094">
        <f>D1094/MAX($B$2:B1094,100000)</f>
        <v>-0.16737255544436491</v>
      </c>
      <c r="G1094" s="2"/>
      <c r="H1094" s="5"/>
      <c r="K1094" s="5"/>
    </row>
    <row r="1095" spans="1:11" x14ac:dyDescent="0.25">
      <c r="A1095" s="2">
        <v>44183</v>
      </c>
      <c r="B1095">
        <v>1362504.38</v>
      </c>
      <c r="C1095">
        <v>72300.97</v>
      </c>
      <c r="D1095" s="5">
        <v>-273324.63</v>
      </c>
      <c r="E1095">
        <f>D1095/MAX($B$2:B1095,100000)</f>
        <v>-0.16708630914355962</v>
      </c>
      <c r="G1095" s="2"/>
      <c r="H1095" s="5"/>
      <c r="K1095" s="5"/>
    </row>
    <row r="1096" spans="1:11" x14ac:dyDescent="0.25">
      <c r="A1096" s="2">
        <v>44189</v>
      </c>
      <c r="B1096">
        <v>1372238.5</v>
      </c>
      <c r="C1096">
        <v>72300.97</v>
      </c>
      <c r="D1096" s="5">
        <v>-263590.5</v>
      </c>
      <c r="E1096">
        <f>D1096/MAX($B$2:B1096,100000)</f>
        <v>-0.16113572995710432</v>
      </c>
      <c r="G1096" s="2"/>
      <c r="H1096" s="5"/>
      <c r="K1096" s="5"/>
    </row>
    <row r="1097" spans="1:11" x14ac:dyDescent="0.25">
      <c r="A1097" s="2">
        <v>44196</v>
      </c>
      <c r="B1097">
        <v>1357463</v>
      </c>
      <c r="C1097">
        <v>72300.97</v>
      </c>
      <c r="D1097" s="5">
        <v>-278366</v>
      </c>
      <c r="E1097">
        <f>D1097/MAX($B$2:B1097,100000)</f>
        <v>-0.17016815327274429</v>
      </c>
      <c r="G1097" s="2"/>
      <c r="H1097" s="5"/>
      <c r="K1097" s="5"/>
    </row>
    <row r="1098" spans="1:11" x14ac:dyDescent="0.25">
      <c r="A1098" s="2">
        <v>44204</v>
      </c>
      <c r="B1098">
        <v>1379614.5</v>
      </c>
      <c r="C1098">
        <v>72300.97</v>
      </c>
      <c r="D1098" s="5">
        <v>-256214.5</v>
      </c>
      <c r="E1098">
        <f>D1098/MAX($B$2:B1098,100000)</f>
        <v>-0.15662670120165373</v>
      </c>
      <c r="G1098" s="2"/>
      <c r="H1098" s="5"/>
      <c r="K1098" s="5"/>
    </row>
    <row r="1099" spans="1:11" x14ac:dyDescent="0.25">
      <c r="A1099" s="2">
        <v>44211</v>
      </c>
      <c r="B1099">
        <v>1368474.88</v>
      </c>
      <c r="C1099">
        <v>72300.97</v>
      </c>
      <c r="D1099" s="5">
        <v>-267354.13</v>
      </c>
      <c r="E1099">
        <f>D1099/MAX($B$2:B1099,100000)</f>
        <v>-0.16343647777365483</v>
      </c>
      <c r="G1099" s="2"/>
      <c r="H1099" s="5"/>
      <c r="K1099" s="5"/>
    </row>
    <row r="1100" spans="1:11" x14ac:dyDescent="0.25">
      <c r="A1100" s="2">
        <v>44218</v>
      </c>
      <c r="B1100">
        <v>1373935.88</v>
      </c>
      <c r="C1100">
        <v>72300.97</v>
      </c>
      <c r="D1100" s="5">
        <v>-261893.13</v>
      </c>
      <c r="E1100">
        <f>D1100/MAX($B$2:B1100,100000)</f>
        <v>-0.16009810927670312</v>
      </c>
      <c r="G1100" s="2"/>
      <c r="H1100" s="5"/>
      <c r="K1100" s="5"/>
    </row>
    <row r="1101" spans="1:11" x14ac:dyDescent="0.25">
      <c r="A1101" s="2">
        <v>44225</v>
      </c>
      <c r="B1101">
        <v>1359102.38</v>
      </c>
      <c r="C1101">
        <v>72300.97</v>
      </c>
      <c r="D1101" s="5">
        <v>-276726.63</v>
      </c>
      <c r="E1101">
        <f>D1101/MAX($B$2:B1101,100000)</f>
        <v>-0.16916598862106003</v>
      </c>
      <c r="G1101" s="2"/>
      <c r="H1101" s="5"/>
      <c r="K1101" s="5"/>
    </row>
    <row r="1102" spans="1:11" x14ac:dyDescent="0.25">
      <c r="A1102" s="2">
        <v>44232</v>
      </c>
      <c r="B1102">
        <v>1376366.25</v>
      </c>
      <c r="C1102">
        <v>72300.97</v>
      </c>
      <c r="D1102" s="5">
        <v>-259462.75</v>
      </c>
      <c r="E1102">
        <f>D1102/MAX($B$2:B1102,100000)</f>
        <v>-0.15861239163751223</v>
      </c>
      <c r="G1102" s="2"/>
      <c r="H1102" s="5"/>
      <c r="K1102" s="5"/>
    </row>
    <row r="1103" spans="1:11" x14ac:dyDescent="0.25">
      <c r="A1103" s="2">
        <v>44239</v>
      </c>
      <c r="B1103">
        <v>1379246</v>
      </c>
      <c r="C1103">
        <v>72300.97</v>
      </c>
      <c r="D1103" s="5">
        <v>-256583</v>
      </c>
      <c r="E1103">
        <f>D1103/MAX($B$2:B1103,100000)</f>
        <v>-0.15685196924617426</v>
      </c>
      <c r="G1103" s="2"/>
      <c r="H1103" s="5"/>
      <c r="K1103" s="5"/>
    </row>
    <row r="1104" spans="1:11" x14ac:dyDescent="0.25">
      <c r="A1104" s="2">
        <v>44246</v>
      </c>
      <c r="B1104">
        <v>1359691.5</v>
      </c>
      <c r="C1104">
        <v>72300.97</v>
      </c>
      <c r="D1104" s="5">
        <v>-276137.5</v>
      </c>
      <c r="E1104">
        <f>D1104/MAX($B$2:B1104,100000)</f>
        <v>-0.16880584706592192</v>
      </c>
      <c r="G1104" s="2"/>
      <c r="H1104" s="5"/>
      <c r="K1104" s="5"/>
    </row>
    <row r="1105" spans="1:11" x14ac:dyDescent="0.25">
      <c r="A1105" s="2">
        <v>44253</v>
      </c>
      <c r="B1105">
        <v>1348489.63</v>
      </c>
      <c r="C1105">
        <v>72300.97</v>
      </c>
      <c r="D1105" s="5">
        <v>-287339.38</v>
      </c>
      <c r="E1105">
        <f>D1105/MAX($B$2:B1105,100000)</f>
        <v>-0.17565367773770976</v>
      </c>
      <c r="G1105" s="2"/>
      <c r="H1105" s="5"/>
      <c r="K1105" s="5"/>
    </row>
    <row r="1106" spans="1:11" x14ac:dyDescent="0.25">
      <c r="A1106" s="2">
        <v>44260</v>
      </c>
      <c r="B1106">
        <v>1354021.63</v>
      </c>
      <c r="C1106">
        <v>72300.97</v>
      </c>
      <c r="D1106" s="5">
        <v>-281807.38</v>
      </c>
      <c r="E1106">
        <f>D1106/MAX($B$2:B1106,100000)</f>
        <v>-0.17227190617112181</v>
      </c>
      <c r="G1106" s="2"/>
      <c r="H1106" s="5"/>
      <c r="K1106" s="5"/>
    </row>
    <row r="1107" spans="1:11" x14ac:dyDescent="0.25">
      <c r="A1107" s="2">
        <v>44267</v>
      </c>
      <c r="B1107">
        <v>1369015.63</v>
      </c>
      <c r="C1107">
        <v>277261.40999999997</v>
      </c>
      <c r="D1107" s="5">
        <v>-266813.38</v>
      </c>
      <c r="E1107">
        <f>D1107/MAX($B$2:B1107,100000)</f>
        <v>-0.16310591143695338</v>
      </c>
      <c r="G1107" s="2"/>
      <c r="H1107" s="5"/>
      <c r="K1107" s="5"/>
    </row>
    <row r="1108" spans="1:11" x14ac:dyDescent="0.25">
      <c r="A1108" s="2">
        <v>44274</v>
      </c>
      <c r="B1108">
        <v>1372661.75</v>
      </c>
      <c r="C1108">
        <v>277261.40999999997</v>
      </c>
      <c r="D1108" s="5">
        <v>-263167.25</v>
      </c>
      <c r="E1108">
        <f>D1108/MAX($B$2:B1108,100000)</f>
        <v>-0.16087699264409666</v>
      </c>
      <c r="G1108" s="2"/>
      <c r="H1108" s="5"/>
      <c r="K1108" s="5"/>
    </row>
    <row r="1109" spans="1:11" x14ac:dyDescent="0.25">
      <c r="A1109" s="2">
        <v>44281</v>
      </c>
      <c r="B1109">
        <v>1388906.75</v>
      </c>
      <c r="C1109">
        <v>277261.40999999997</v>
      </c>
      <c r="D1109" s="5">
        <v>-246922.25</v>
      </c>
      <c r="E1109">
        <f>D1109/MAX($B$2:B1109,100000)</f>
        <v>-0.15094624804915427</v>
      </c>
      <c r="G1109" s="2"/>
      <c r="H1109" s="5"/>
      <c r="K1109" s="5"/>
    </row>
    <row r="1110" spans="1:11" x14ac:dyDescent="0.25">
      <c r="A1110" s="2">
        <v>44287</v>
      </c>
      <c r="B1110">
        <v>1386323.38</v>
      </c>
      <c r="C1110">
        <v>409340.56</v>
      </c>
      <c r="D1110" s="5">
        <v>-249505.63</v>
      </c>
      <c r="E1110">
        <f>D1110/MAX($B$2:B1110,100000)</f>
        <v>-0.1525254962468571</v>
      </c>
      <c r="G1110" s="2"/>
      <c r="H1110" s="5"/>
      <c r="K1110" s="5"/>
    </row>
    <row r="1111" spans="1:11" x14ac:dyDescent="0.25">
      <c r="A1111" s="2">
        <v>44295</v>
      </c>
      <c r="B1111">
        <v>1406560.88</v>
      </c>
      <c r="C1111">
        <v>301935.71999999997</v>
      </c>
      <c r="D1111" s="5">
        <v>-229268.13</v>
      </c>
      <c r="E1111">
        <f>D1111/MAX($B$2:B1111,100000)</f>
        <v>-0.1401540931234255</v>
      </c>
      <c r="G1111" s="2"/>
      <c r="H1111" s="5"/>
      <c r="K1111" s="5"/>
    </row>
    <row r="1112" spans="1:11" x14ac:dyDescent="0.25">
      <c r="A1112" s="2">
        <v>44302</v>
      </c>
      <c r="B1112">
        <v>1412083</v>
      </c>
      <c r="C1112">
        <v>85527.69</v>
      </c>
      <c r="D1112" s="5">
        <v>-223746</v>
      </c>
      <c r="E1112">
        <f>D1112/MAX($B$2:B1112,100000)</f>
        <v>-0.13677835519482781</v>
      </c>
      <c r="G1112" s="2"/>
      <c r="H1112" s="5"/>
      <c r="K1112" s="5"/>
    </row>
    <row r="1113" spans="1:11" x14ac:dyDescent="0.25">
      <c r="A1113" s="2">
        <v>44309</v>
      </c>
      <c r="B1113">
        <v>1395909.75</v>
      </c>
      <c r="C1113">
        <v>85527.69</v>
      </c>
      <c r="D1113" s="5">
        <v>-239919.25</v>
      </c>
      <c r="E1113">
        <f>D1113/MAX($B$2:B1113,100000)</f>
        <v>-0.146665238237004</v>
      </c>
      <c r="G1113" s="2"/>
      <c r="H1113" s="5"/>
      <c r="K1113" s="5"/>
    </row>
    <row r="1114" spans="1:11" x14ac:dyDescent="0.25">
      <c r="A1114" s="2">
        <v>44316</v>
      </c>
      <c r="B1114">
        <v>1395557.88</v>
      </c>
      <c r="C1114">
        <v>85527.69</v>
      </c>
      <c r="D1114" s="5">
        <v>-240271.13</v>
      </c>
      <c r="E1114">
        <f>D1114/MAX($B$2:B1114,100000)</f>
        <v>-0.14688034629536462</v>
      </c>
      <c r="G1114" s="2"/>
      <c r="H1114" s="5"/>
      <c r="K1114" s="5"/>
    </row>
    <row r="1115" spans="1:11" x14ac:dyDescent="0.25">
      <c r="A1115" s="2">
        <v>44323</v>
      </c>
      <c r="B1115">
        <v>1409130.5</v>
      </c>
      <c r="C1115">
        <v>85527.69</v>
      </c>
      <c r="D1115" s="5">
        <v>-226698.5</v>
      </c>
      <c r="E1115">
        <f>D1115/MAX($B$2:B1115,100000)</f>
        <v>-0.13858325044977196</v>
      </c>
      <c r="G1115" s="2"/>
      <c r="H1115" s="5"/>
      <c r="K1115" s="5"/>
    </row>
    <row r="1116" spans="1:11" x14ac:dyDescent="0.25">
      <c r="A1116" s="2">
        <v>44330</v>
      </c>
      <c r="B1116">
        <v>1384850</v>
      </c>
      <c r="C1116">
        <v>85527.69</v>
      </c>
      <c r="D1116" s="5">
        <v>-250979</v>
      </c>
      <c r="E1116">
        <f>D1116/MAX($B$2:B1116,100000)</f>
        <v>-0.15342618329911012</v>
      </c>
      <c r="G1116" s="2"/>
      <c r="H1116" s="5"/>
      <c r="K1116" s="5"/>
    </row>
    <row r="1117" spans="1:11" x14ac:dyDescent="0.25">
      <c r="A1117" s="2">
        <v>44337</v>
      </c>
      <c r="B1117">
        <v>1379450.13</v>
      </c>
      <c r="C1117">
        <v>85527.69</v>
      </c>
      <c r="D1117" s="5">
        <v>-256378.88</v>
      </c>
      <c r="E1117">
        <f>D1117/MAX($B$2:B1117,100000)</f>
        <v>-0.15672718847752423</v>
      </c>
      <c r="G1117" s="2"/>
      <c r="H1117" s="5"/>
      <c r="K1117" s="5"/>
    </row>
    <row r="1118" spans="1:11" x14ac:dyDescent="0.25">
      <c r="A1118" s="2">
        <v>44344</v>
      </c>
      <c r="B1118">
        <v>1400044.63</v>
      </c>
      <c r="C1118">
        <v>85527.69</v>
      </c>
      <c r="D1118" s="5">
        <v>-235784.38</v>
      </c>
      <c r="E1118">
        <f>D1118/MAX($B$2:B1118,100000)</f>
        <v>-0.14413754738423148</v>
      </c>
      <c r="G1118" s="2"/>
      <c r="H1118" s="5"/>
      <c r="K1118" s="5"/>
    </row>
    <row r="1119" spans="1:11" x14ac:dyDescent="0.25">
      <c r="A1119" s="2">
        <v>44351</v>
      </c>
      <c r="B1119">
        <v>1412727.75</v>
      </c>
      <c r="C1119">
        <v>85527.69</v>
      </c>
      <c r="D1119" s="5">
        <v>-223101.25</v>
      </c>
      <c r="E1119">
        <f>D1119/MAX($B$2:B1119,100000)</f>
        <v>-0.13638421253077185</v>
      </c>
      <c r="G1119" s="2"/>
      <c r="H1119" s="5"/>
      <c r="K1119" s="5"/>
    </row>
    <row r="1120" spans="1:11" x14ac:dyDescent="0.25">
      <c r="A1120" s="2">
        <v>44358</v>
      </c>
      <c r="B1120">
        <v>1431634.5</v>
      </c>
      <c r="C1120">
        <v>85527.69</v>
      </c>
      <c r="D1120" s="5">
        <v>-204194.5</v>
      </c>
      <c r="E1120">
        <f>D1120/MAX($B$2:B1120,100000)</f>
        <v>-0.1248263113076</v>
      </c>
      <c r="G1120" s="2"/>
      <c r="H1120" s="5"/>
      <c r="K1120" s="5"/>
    </row>
    <row r="1121" spans="1:11" x14ac:dyDescent="0.25">
      <c r="A1121" s="2">
        <v>44365</v>
      </c>
      <c r="B1121">
        <v>1438043.88</v>
      </c>
      <c r="C1121">
        <v>85527.69</v>
      </c>
      <c r="D1121" s="5">
        <v>-197785.13</v>
      </c>
      <c r="E1121">
        <f>D1121/MAX($B$2:B1121,100000)</f>
        <v>-0.12090819394936757</v>
      </c>
      <c r="G1121" s="2"/>
      <c r="H1121" s="5"/>
      <c r="K1121" s="5"/>
    </row>
    <row r="1122" spans="1:11" x14ac:dyDescent="0.25">
      <c r="A1122" s="2">
        <v>44372</v>
      </c>
      <c r="B1122">
        <v>1449963.25</v>
      </c>
      <c r="C1122">
        <v>85527.69</v>
      </c>
      <c r="D1122" s="5">
        <v>-185865.75</v>
      </c>
      <c r="E1122">
        <f>D1122/MAX($B$2:B1122,100000)</f>
        <v>-0.11362174774991762</v>
      </c>
      <c r="G1122" s="2"/>
      <c r="H1122" s="5"/>
      <c r="K1122" s="5"/>
    </row>
    <row r="1123" spans="1:11" x14ac:dyDescent="0.25">
      <c r="A1123" s="2">
        <v>44379</v>
      </c>
      <c r="B1123">
        <v>1467307</v>
      </c>
      <c r="C1123">
        <v>85527.69</v>
      </c>
      <c r="D1123" s="5">
        <v>-168522</v>
      </c>
      <c r="E1123">
        <f>D1123/MAX($B$2:B1123,100000)</f>
        <v>-0.10301932536958325</v>
      </c>
      <c r="G1123" s="2"/>
      <c r="H1123" s="5"/>
      <c r="K1123" s="5"/>
    </row>
    <row r="1124" spans="1:11" x14ac:dyDescent="0.25">
      <c r="A1124" s="2">
        <v>44386</v>
      </c>
      <c r="B1124">
        <v>1452603.5</v>
      </c>
      <c r="C1124">
        <v>85527.69</v>
      </c>
      <c r="D1124" s="5">
        <v>-183225.5</v>
      </c>
      <c r="E1124">
        <f>D1124/MAX($B$2:B1124,100000)</f>
        <v>-0.11200773430474702</v>
      </c>
      <c r="G1124" s="2"/>
      <c r="H1124" s="5"/>
      <c r="K1124" s="5"/>
    </row>
    <row r="1125" spans="1:11" x14ac:dyDescent="0.25">
      <c r="A1125" s="2">
        <v>44393</v>
      </c>
      <c r="B1125">
        <v>1480495.5</v>
      </c>
      <c r="C1125">
        <v>85527.69</v>
      </c>
      <c r="D1125" s="5">
        <v>-155333.5</v>
      </c>
      <c r="E1125">
        <f>D1125/MAX($B$2:B1125,100000)</f>
        <v>-9.4957052356939506E-2</v>
      </c>
      <c r="G1125" s="2"/>
      <c r="H1125" s="5"/>
      <c r="K1125" s="5"/>
    </row>
    <row r="1126" spans="1:11" x14ac:dyDescent="0.25">
      <c r="A1126" s="2">
        <v>44400</v>
      </c>
      <c r="B1126">
        <v>1495614.88</v>
      </c>
      <c r="C1126">
        <v>85527.69</v>
      </c>
      <c r="D1126" s="5">
        <v>-140214.13</v>
      </c>
      <c r="E1126">
        <f>D1126/MAX($B$2:B1126,100000)</f>
        <v>-8.5714417582766905E-2</v>
      </c>
      <c r="G1126" s="2"/>
      <c r="H1126" s="5"/>
      <c r="K1126" s="5"/>
    </row>
    <row r="1127" spans="1:11" x14ac:dyDescent="0.25">
      <c r="A1127" s="2">
        <v>44407</v>
      </c>
      <c r="B1127">
        <v>1494201</v>
      </c>
      <c r="C1127">
        <v>85527.69</v>
      </c>
      <c r="D1127" s="5">
        <v>-141628</v>
      </c>
      <c r="E1127">
        <f>D1127/MAX($B$2:B1127,100000)</f>
        <v>-8.6578731640043066E-2</v>
      </c>
      <c r="G1127" s="2"/>
      <c r="H1127" s="5"/>
      <c r="K1127" s="5"/>
    </row>
    <row r="1128" spans="1:11" x14ac:dyDescent="0.25">
      <c r="A1128" s="2">
        <v>44414</v>
      </c>
      <c r="B1128">
        <v>1505599.5</v>
      </c>
      <c r="C1128">
        <v>85527.69</v>
      </c>
      <c r="D1128" s="5">
        <v>-130229.5</v>
      </c>
      <c r="E1128">
        <f>D1128/MAX($B$2:B1128,100000)</f>
        <v>-7.9610705030904824E-2</v>
      </c>
      <c r="G1128" s="2"/>
      <c r="H1128" s="5"/>
      <c r="K1128" s="5"/>
    </row>
    <row r="1129" spans="1:11" x14ac:dyDescent="0.25">
      <c r="A1129" s="2">
        <v>44421</v>
      </c>
      <c r="B1129">
        <v>1522023.63</v>
      </c>
      <c r="C1129">
        <v>85527.69</v>
      </c>
      <c r="D1129" s="5">
        <v>-113805.38</v>
      </c>
      <c r="E1129">
        <f>D1129/MAX($B$2:B1129,100000)</f>
        <v>-6.9570462438311095E-2</v>
      </c>
      <c r="G1129" s="2"/>
      <c r="H1129" s="5"/>
      <c r="K1129" s="5"/>
    </row>
    <row r="1130" spans="1:11" x14ac:dyDescent="0.25">
      <c r="A1130" s="2">
        <v>44428</v>
      </c>
      <c r="B1130">
        <v>1561595.38</v>
      </c>
      <c r="C1130">
        <v>85527.69</v>
      </c>
      <c r="D1130" s="5">
        <v>-74233.63</v>
      </c>
      <c r="E1130">
        <f>D1130/MAX($B$2:B1130,100000)</f>
        <v>-4.5379822707630205E-2</v>
      </c>
      <c r="G1130" s="2"/>
      <c r="H1130" s="5"/>
      <c r="K1130" s="5"/>
    </row>
    <row r="1131" spans="1:11" x14ac:dyDescent="0.25">
      <c r="A1131" s="2">
        <v>44435</v>
      </c>
      <c r="B1131">
        <v>1562694.38</v>
      </c>
      <c r="C1131">
        <v>85527.69</v>
      </c>
      <c r="D1131" s="5">
        <v>-73134.63</v>
      </c>
      <c r="E1131">
        <f>D1131/MAX($B$2:B1131,100000)</f>
        <v>-4.4707992094528221E-2</v>
      </c>
      <c r="G1131" s="2"/>
      <c r="H1131" s="5"/>
      <c r="K1131" s="5"/>
    </row>
    <row r="1132" spans="1:11" x14ac:dyDescent="0.25">
      <c r="A1132" s="2">
        <v>44442</v>
      </c>
      <c r="B1132">
        <v>1567851.5</v>
      </c>
      <c r="C1132">
        <v>85527.69</v>
      </c>
      <c r="D1132" s="5">
        <v>-67977.5</v>
      </c>
      <c r="E1132">
        <f>D1132/MAX($B$2:B1132,100000)</f>
        <v>-4.155538262251128E-2</v>
      </c>
      <c r="G1132" s="2"/>
      <c r="H1132" s="5"/>
      <c r="K1132" s="5"/>
    </row>
    <row r="1133" spans="1:11" x14ac:dyDescent="0.25">
      <c r="A1133" s="2">
        <v>44449</v>
      </c>
      <c r="B1133">
        <v>1551480</v>
      </c>
      <c r="C1133">
        <v>85527.69</v>
      </c>
      <c r="D1133" s="5">
        <v>-84349</v>
      </c>
      <c r="E1133">
        <f>D1133/MAX($B$2:B1133,100000)</f>
        <v>-5.1563458038706982E-2</v>
      </c>
      <c r="G1133" s="2"/>
      <c r="H1133" s="5"/>
      <c r="K1133" s="5"/>
    </row>
    <row r="1134" spans="1:11" x14ac:dyDescent="0.25">
      <c r="A1134" s="2">
        <v>44456</v>
      </c>
      <c r="B1134">
        <v>1564394.5</v>
      </c>
      <c r="C1134">
        <v>85527.69</v>
      </c>
      <c r="D1134" s="5">
        <v>-71434.5</v>
      </c>
      <c r="E1134">
        <f>D1134/MAX($B$2:B1134,100000)</f>
        <v>-4.3668684196208771E-2</v>
      </c>
      <c r="G1134" s="2"/>
      <c r="H1134" s="5"/>
      <c r="K1134" s="5"/>
    </row>
    <row r="1135" spans="1:11" x14ac:dyDescent="0.25">
      <c r="A1135" s="2">
        <v>44463</v>
      </c>
      <c r="B1135">
        <v>1565004.88</v>
      </c>
      <c r="C1135">
        <v>85527.69</v>
      </c>
      <c r="D1135" s="5">
        <v>-70824.13</v>
      </c>
      <c r="E1135">
        <f>D1135/MAX($B$2:B1135,100000)</f>
        <v>-4.3295558398830196E-2</v>
      </c>
      <c r="G1135" s="2"/>
      <c r="H1135" s="5"/>
      <c r="K1135" s="5"/>
    </row>
    <row r="1136" spans="1:11" x14ac:dyDescent="0.25">
      <c r="A1136" s="2">
        <v>44470</v>
      </c>
      <c r="B1136">
        <v>1539655.63</v>
      </c>
      <c r="C1136">
        <v>85527.69</v>
      </c>
      <c r="D1136" s="5">
        <v>-96173.38</v>
      </c>
      <c r="E1136">
        <f>D1136/MAX($B$2:B1136,100000)</f>
        <v>-5.8791829708361942E-2</v>
      </c>
      <c r="G1136" s="2"/>
      <c r="H1136" s="5"/>
      <c r="K1136" s="5"/>
    </row>
    <row r="1137" spans="1:11" x14ac:dyDescent="0.25">
      <c r="A1137" s="2">
        <v>44477</v>
      </c>
      <c r="B1137">
        <v>1555534.25</v>
      </c>
      <c r="C1137">
        <v>85527.69</v>
      </c>
      <c r="D1137" s="5">
        <v>-80294.75</v>
      </c>
      <c r="E1137">
        <f>D1137/MAX($B$2:B1137,100000)</f>
        <v>-4.9085051065851017E-2</v>
      </c>
      <c r="G1137" s="2"/>
      <c r="H1137" s="5"/>
      <c r="K1137" s="5"/>
    </row>
    <row r="1138" spans="1:11" x14ac:dyDescent="0.25">
      <c r="A1138" s="2">
        <v>44484</v>
      </c>
      <c r="B1138">
        <v>1570251</v>
      </c>
      <c r="C1138">
        <v>204069.13</v>
      </c>
      <c r="D1138" s="5">
        <v>-65578</v>
      </c>
      <c r="E1138">
        <f>D1138/MAX($B$2:B1138,100000)</f>
        <v>-4.0088542262057957E-2</v>
      </c>
      <c r="G1138" s="2"/>
      <c r="H1138" s="5"/>
      <c r="K1138" s="5"/>
    </row>
    <row r="1139" spans="1:11" x14ac:dyDescent="0.25">
      <c r="A1139" s="2">
        <v>44491</v>
      </c>
      <c r="B1139">
        <v>1583755.63</v>
      </c>
      <c r="C1139">
        <v>204069.13</v>
      </c>
      <c r="D1139" s="5">
        <v>-52073.38</v>
      </c>
      <c r="E1139">
        <f>D1139/MAX($B$2:B1139,100000)</f>
        <v>-3.1833021666690102E-2</v>
      </c>
      <c r="G1139" s="2"/>
      <c r="H1139" s="5"/>
      <c r="K1139" s="5"/>
    </row>
    <row r="1140" spans="1:11" x14ac:dyDescent="0.25">
      <c r="A1140" s="2">
        <v>44498</v>
      </c>
      <c r="B1140">
        <v>1564249.25</v>
      </c>
      <c r="C1140">
        <v>204069.13</v>
      </c>
      <c r="D1140" s="5">
        <v>-71579.75</v>
      </c>
      <c r="E1140">
        <f>D1140/MAX($B$2:B1140,100000)</f>
        <v>-4.3757477095711102E-2</v>
      </c>
      <c r="G1140" s="2"/>
      <c r="H1140" s="5"/>
      <c r="K1140" s="5"/>
    </row>
    <row r="1141" spans="1:11" x14ac:dyDescent="0.25">
      <c r="A1141" s="2">
        <v>44505</v>
      </c>
      <c r="B1141">
        <v>1583853</v>
      </c>
      <c r="C1141">
        <v>204069.13</v>
      </c>
      <c r="D1141" s="5">
        <v>-51976</v>
      </c>
      <c r="E1141">
        <f>D1141/MAX($B$2:B1141,100000)</f>
        <v>-3.1773492217096043E-2</v>
      </c>
      <c r="G1141" s="2"/>
      <c r="H1141" s="5"/>
      <c r="K1141" s="5"/>
    </row>
    <row r="1142" spans="1:11" x14ac:dyDescent="0.25">
      <c r="A1142" s="2">
        <v>44512</v>
      </c>
      <c r="B1142">
        <v>1576813.13</v>
      </c>
      <c r="C1142">
        <v>204069.13</v>
      </c>
      <c r="D1142" s="5">
        <v>-59015.88</v>
      </c>
      <c r="E1142">
        <f>D1142/MAX($B$2:B1142,100000)</f>
        <v>-3.6077047173023583E-2</v>
      </c>
      <c r="G1142" s="2"/>
      <c r="H1142" s="5"/>
      <c r="K1142" s="5"/>
    </row>
    <row r="1143" spans="1:11" x14ac:dyDescent="0.25">
      <c r="A1143" s="2">
        <v>44519</v>
      </c>
      <c r="B1143">
        <v>1587460.88</v>
      </c>
      <c r="C1143">
        <v>82375.72</v>
      </c>
      <c r="D1143" s="5">
        <v>-48368.13</v>
      </c>
      <c r="E1143">
        <f>D1143/MAX($B$2:B1143,100000)</f>
        <v>-2.9567962176975708E-2</v>
      </c>
      <c r="G1143" s="2"/>
      <c r="H1143" s="5"/>
      <c r="K1143" s="5"/>
    </row>
    <row r="1144" spans="1:11" x14ac:dyDescent="0.25">
      <c r="A1144" s="2">
        <v>44526</v>
      </c>
      <c r="B1144">
        <v>1569948.13</v>
      </c>
      <c r="C1144">
        <v>82375.72</v>
      </c>
      <c r="D1144" s="5">
        <v>-65880.88</v>
      </c>
      <c r="E1144">
        <f>D1144/MAX($B$2:B1144,100000)</f>
        <v>-4.0273696089261166E-2</v>
      </c>
      <c r="G1144" s="2"/>
      <c r="H1144" s="5"/>
      <c r="K1144" s="5"/>
    </row>
    <row r="1145" spans="1:11" x14ac:dyDescent="0.25">
      <c r="A1145" s="2">
        <v>44533</v>
      </c>
      <c r="B1145">
        <v>1555455</v>
      </c>
      <c r="C1145">
        <v>221294.78</v>
      </c>
      <c r="D1145" s="5">
        <v>-80374</v>
      </c>
      <c r="E1145">
        <f>D1145/MAX($B$2:B1145,100000)</f>
        <v>-4.9133497449916831E-2</v>
      </c>
      <c r="G1145" s="2"/>
      <c r="H1145" s="5"/>
      <c r="K1145" s="5"/>
    </row>
    <row r="1146" spans="1:11" x14ac:dyDescent="0.25">
      <c r="A1146" s="2">
        <v>44540</v>
      </c>
      <c r="B1146">
        <v>1576166.63</v>
      </c>
      <c r="C1146">
        <v>221294.78</v>
      </c>
      <c r="D1146" s="5">
        <v>-59662.38</v>
      </c>
      <c r="E1146">
        <f>D1146/MAX($B$2:B1146,100000)</f>
        <v>-3.6472259631049456E-2</v>
      </c>
      <c r="G1146" s="2"/>
      <c r="H1146" s="5"/>
      <c r="K1146" s="5"/>
    </row>
    <row r="1147" spans="1:11" x14ac:dyDescent="0.25">
      <c r="A1147" s="2">
        <v>44547</v>
      </c>
      <c r="B1147">
        <v>1594335.13</v>
      </c>
      <c r="C1147">
        <v>221294.78</v>
      </c>
      <c r="D1147" s="5">
        <v>-41493.879999999997</v>
      </c>
      <c r="E1147">
        <f>D1147/MAX($B$2:B1147,100000)</f>
        <v>-2.5365658635468621E-2</v>
      </c>
      <c r="G1147" s="2"/>
      <c r="H1147" s="5"/>
      <c r="K1147" s="5"/>
    </row>
    <row r="1148" spans="1:11" x14ac:dyDescent="0.25">
      <c r="A1148" s="2">
        <v>44554</v>
      </c>
      <c r="B1148">
        <v>1599235</v>
      </c>
      <c r="C1148">
        <v>221294.78</v>
      </c>
      <c r="D1148" s="5">
        <v>-36594</v>
      </c>
      <c r="E1148">
        <f>D1148/MAX($B$2:B1148,100000)</f>
        <v>-2.2370308877028101E-2</v>
      </c>
      <c r="G1148" s="2"/>
      <c r="H1148" s="5"/>
      <c r="K1148" s="5"/>
    </row>
    <row r="1149" spans="1:11" x14ac:dyDescent="0.25">
      <c r="A1149" s="2">
        <v>44561</v>
      </c>
      <c r="B1149">
        <v>1609772.75</v>
      </c>
      <c r="C1149">
        <v>97397.3</v>
      </c>
      <c r="D1149" s="5">
        <v>-26056.25</v>
      </c>
      <c r="E1149">
        <f>D1149/MAX($B$2:B1149,100000)</f>
        <v>-1.5928468073374419E-2</v>
      </c>
      <c r="G1149" s="2"/>
      <c r="H1149" s="5"/>
      <c r="K1149" s="5"/>
    </row>
    <row r="1150" spans="1:11" x14ac:dyDescent="0.25">
      <c r="A1150" s="2">
        <v>44568</v>
      </c>
      <c r="B1150">
        <v>1601535.38</v>
      </c>
      <c r="C1150">
        <v>97397.3</v>
      </c>
      <c r="D1150" s="5">
        <v>-34293.629999999997</v>
      </c>
      <c r="E1150">
        <f>D1150/MAX($B$2:B1150,100000)</f>
        <v>-2.0964067760138743E-2</v>
      </c>
      <c r="G1150" s="2"/>
      <c r="H1150" s="5"/>
      <c r="K1150" s="5"/>
    </row>
    <row r="1151" spans="1:11" x14ac:dyDescent="0.25">
      <c r="A1151" s="2">
        <v>44575</v>
      </c>
      <c r="B1151">
        <v>1576832.75</v>
      </c>
      <c r="C1151">
        <v>97397.3</v>
      </c>
      <c r="D1151" s="5">
        <v>-58996.25</v>
      </c>
      <c r="E1151">
        <f>D1151/MAX($B$2:B1151,100000)</f>
        <v>-3.6065047141235422E-2</v>
      </c>
      <c r="G1151" s="2"/>
      <c r="H1151" s="5"/>
      <c r="K1151" s="5"/>
    </row>
    <row r="1152" spans="1:11" x14ac:dyDescent="0.25">
      <c r="A1152" s="2">
        <v>44582</v>
      </c>
      <c r="B1152">
        <v>1554524.75</v>
      </c>
      <c r="C1152">
        <v>97397.3</v>
      </c>
      <c r="D1152" s="5">
        <v>-81304.25</v>
      </c>
      <c r="E1152">
        <f>D1152/MAX($B$2:B1152,100000)</f>
        <v>-4.970216935877772E-2</v>
      </c>
      <c r="G1152" s="2"/>
      <c r="H1152" s="5"/>
      <c r="K1152" s="5"/>
    </row>
    <row r="1153" spans="1:11" x14ac:dyDescent="0.25">
      <c r="A1153" s="2">
        <v>44589</v>
      </c>
      <c r="B1153">
        <v>1532042.63</v>
      </c>
      <c r="C1153">
        <v>97397.3</v>
      </c>
      <c r="D1153" s="5">
        <v>-103786.38</v>
      </c>
      <c r="E1153">
        <f>D1153/MAX($B$2:B1153,100000)</f>
        <v>-6.3445739132880027E-2</v>
      </c>
      <c r="G1153" s="2"/>
      <c r="H1153" s="5"/>
      <c r="K1153" s="5"/>
    </row>
    <row r="1154" spans="1:11" x14ac:dyDescent="0.25">
      <c r="A1154" s="2">
        <v>44596</v>
      </c>
      <c r="B1154">
        <v>1554548.63</v>
      </c>
      <c r="C1154">
        <v>97397.3</v>
      </c>
      <c r="D1154" s="5">
        <v>-81280.38</v>
      </c>
      <c r="E1154">
        <f>D1154/MAX($B$2:B1154,100000)</f>
        <v>-4.9687577369028187E-2</v>
      </c>
      <c r="G1154" s="2"/>
      <c r="H1154" s="5"/>
      <c r="K1154" s="5"/>
    </row>
    <row r="1155" spans="1:11" x14ac:dyDescent="0.25">
      <c r="A1155" s="2">
        <v>44603</v>
      </c>
      <c r="B1155">
        <v>1551473.38</v>
      </c>
      <c r="C1155">
        <v>459113.56</v>
      </c>
      <c r="D1155" s="5">
        <v>-84355.63</v>
      </c>
      <c r="E1155">
        <f>D1155/MAX($B$2:B1155,100000)</f>
        <v>-5.1567511029575831E-2</v>
      </c>
      <c r="G1155" s="2"/>
      <c r="H1155" s="5"/>
      <c r="K1155" s="5"/>
    </row>
    <row r="1156" spans="1:11" x14ac:dyDescent="0.25">
      <c r="A1156" s="2">
        <v>44610</v>
      </c>
      <c r="B1156">
        <v>1580861.88</v>
      </c>
      <c r="C1156">
        <v>459113.56</v>
      </c>
      <c r="D1156" s="5">
        <v>-54967.13</v>
      </c>
      <c r="E1156">
        <f>D1156/MAX($B$2:B1156,100000)</f>
        <v>-3.3602002409787328E-2</v>
      </c>
      <c r="G1156" s="2"/>
      <c r="H1156" s="5"/>
      <c r="K1156" s="5"/>
    </row>
    <row r="1157" spans="1:11" x14ac:dyDescent="0.25">
      <c r="A1157" s="2">
        <v>44617</v>
      </c>
      <c r="B1157">
        <v>1558694.13</v>
      </c>
      <c r="C1157">
        <v>459113.56</v>
      </c>
      <c r="D1157" s="5">
        <v>-77134.880000000005</v>
      </c>
      <c r="E1157">
        <f>D1157/MAX($B$2:B1157,100000)</f>
        <v>-4.7153388282027038E-2</v>
      </c>
      <c r="G1157" s="2"/>
      <c r="H1157" s="5"/>
      <c r="K1157" s="5"/>
    </row>
    <row r="1158" spans="1:11" x14ac:dyDescent="0.25">
      <c r="A1158" s="2">
        <v>44624</v>
      </c>
      <c r="B1158">
        <v>1559026.88</v>
      </c>
      <c r="C1158">
        <v>459113.56</v>
      </c>
      <c r="D1158" s="5">
        <v>-76802.13</v>
      </c>
      <c r="E1158">
        <f>D1158/MAX($B$2:B1158,100000)</f>
        <v>-4.6949974600034604E-2</v>
      </c>
      <c r="G1158" s="2"/>
      <c r="H1158" s="5"/>
      <c r="K1158" s="5"/>
    </row>
    <row r="1159" spans="1:11" x14ac:dyDescent="0.25">
      <c r="A1159" s="2">
        <v>44631</v>
      </c>
      <c r="B1159">
        <v>1556105.75</v>
      </c>
      <c r="C1159">
        <v>459113.56</v>
      </c>
      <c r="D1159" s="5">
        <v>-79723.25</v>
      </c>
      <c r="E1159">
        <f>D1159/MAX($B$2:B1159,100000)</f>
        <v>-4.8735686920821183E-2</v>
      </c>
      <c r="G1159" s="2"/>
      <c r="H1159" s="5"/>
      <c r="K1159" s="5"/>
    </row>
    <row r="1160" spans="1:11" x14ac:dyDescent="0.25">
      <c r="A1160" s="2">
        <v>44638</v>
      </c>
      <c r="B1160">
        <v>1580836.5</v>
      </c>
      <c r="C1160">
        <v>459113.56</v>
      </c>
      <c r="D1160" s="5">
        <v>-54992.5</v>
      </c>
      <c r="E1160">
        <f>D1160/MAX($B$2:B1160,100000)</f>
        <v>-3.3617511365796791E-2</v>
      </c>
      <c r="G1160" s="2"/>
      <c r="H1160" s="5"/>
      <c r="K1160" s="5"/>
    </row>
    <row r="1161" spans="1:11" x14ac:dyDescent="0.25">
      <c r="A1161" s="2">
        <v>44645</v>
      </c>
      <c r="B1161">
        <v>1587690</v>
      </c>
      <c r="C1161">
        <v>336813.44</v>
      </c>
      <c r="D1161" s="5">
        <v>-48139</v>
      </c>
      <c r="E1161">
        <f>D1161/MAX($B$2:B1161,100000)</f>
        <v>-2.9427892524218607E-2</v>
      </c>
      <c r="G1161" s="2"/>
      <c r="H1161" s="5"/>
      <c r="K1161" s="5"/>
    </row>
    <row r="1162" spans="1:11" x14ac:dyDescent="0.25">
      <c r="A1162" s="2">
        <v>44652</v>
      </c>
      <c r="B1162">
        <v>1587043</v>
      </c>
      <c r="C1162">
        <v>91682.48</v>
      </c>
      <c r="D1162" s="5">
        <v>-48786</v>
      </c>
      <c r="E1162">
        <f>D1162/MAX($B$2:B1162,100000)</f>
        <v>-2.9823410637664451E-2</v>
      </c>
      <c r="G1162" s="2"/>
      <c r="H1162" s="5"/>
      <c r="K1162" s="5"/>
    </row>
    <row r="1163" spans="1:11" x14ac:dyDescent="0.25">
      <c r="A1163" s="2">
        <v>44659</v>
      </c>
      <c r="B1163">
        <v>1583092.25</v>
      </c>
      <c r="C1163">
        <v>91682.48</v>
      </c>
      <c r="D1163" s="5">
        <v>-52736.75</v>
      </c>
      <c r="E1163">
        <f>D1163/MAX($B$2:B1163,100000)</f>
        <v>-3.2238546938585882E-2</v>
      </c>
      <c r="G1163" s="2"/>
      <c r="H1163" s="5"/>
      <c r="K1163" s="5"/>
    </row>
    <row r="1164" spans="1:11" x14ac:dyDescent="0.25">
      <c r="A1164" s="2">
        <v>44665</v>
      </c>
      <c r="B1164">
        <v>1591483.88</v>
      </c>
      <c r="C1164">
        <v>91682.48</v>
      </c>
      <c r="D1164" s="5">
        <v>-44345.13</v>
      </c>
      <c r="E1164">
        <f>D1164/MAX($B$2:B1164,100000)</f>
        <v>-2.7108658667868095E-2</v>
      </c>
      <c r="G1164" s="2"/>
      <c r="H1164" s="5"/>
      <c r="K1164" s="5"/>
    </row>
    <row r="1165" spans="1:11" x14ac:dyDescent="0.25">
      <c r="A1165" s="2">
        <v>44673</v>
      </c>
      <c r="B1165">
        <v>1611982.75</v>
      </c>
      <c r="C1165">
        <v>91682.48</v>
      </c>
      <c r="D1165" s="5">
        <v>-23846.25</v>
      </c>
      <c r="E1165">
        <f>D1165/MAX($B$2:B1165,100000)</f>
        <v>-1.457747111709109E-2</v>
      </c>
      <c r="G1165" s="2"/>
      <c r="H1165" s="5"/>
      <c r="K1165" s="5"/>
    </row>
    <row r="1166" spans="1:11" x14ac:dyDescent="0.25">
      <c r="A1166" s="2">
        <v>44680</v>
      </c>
      <c r="B1166">
        <v>1617787.25</v>
      </c>
      <c r="C1166">
        <v>91682.48</v>
      </c>
      <c r="D1166" s="5">
        <v>-18041.75</v>
      </c>
      <c r="E1166">
        <f>D1166/MAX($B$2:B1166,100000)</f>
        <v>-1.1029117346617526E-2</v>
      </c>
      <c r="G1166" s="2"/>
      <c r="H1166" s="5"/>
      <c r="K1166" s="5"/>
    </row>
    <row r="1167" spans="1:11" x14ac:dyDescent="0.25">
      <c r="A1167" s="2">
        <v>44687</v>
      </c>
      <c r="B1167">
        <v>1567901.38</v>
      </c>
      <c r="C1167">
        <v>91682.48</v>
      </c>
      <c r="D1167" s="5">
        <v>-67927.63</v>
      </c>
      <c r="E1167">
        <f>D1167/MAX($B$2:B1167,100000)</f>
        <v>-4.1524896550923111E-2</v>
      </c>
      <c r="G1167" s="2"/>
      <c r="H1167" s="5"/>
      <c r="K1167" s="5"/>
    </row>
    <row r="1168" spans="1:11" x14ac:dyDescent="0.25">
      <c r="A1168" s="2">
        <v>44694</v>
      </c>
      <c r="B1168">
        <v>1557685.38</v>
      </c>
      <c r="C1168">
        <v>91682.48</v>
      </c>
      <c r="D1168" s="5">
        <v>-78143.63</v>
      </c>
      <c r="E1168">
        <f>D1168/MAX($B$2:B1168,100000)</f>
        <v>-4.777004809182378E-2</v>
      </c>
      <c r="G1168" s="2"/>
      <c r="H1168" s="5"/>
      <c r="K1168" s="5"/>
    </row>
    <row r="1169" spans="1:11" x14ac:dyDescent="0.25">
      <c r="A1169" s="2">
        <v>44701</v>
      </c>
      <c r="B1169">
        <v>1564140.5</v>
      </c>
      <c r="C1169">
        <v>228001.75</v>
      </c>
      <c r="D1169" s="5">
        <v>-71688.5</v>
      </c>
      <c r="E1169">
        <f>D1169/MAX($B$2:B1169,100000)</f>
        <v>-4.3823957149555365E-2</v>
      </c>
      <c r="G1169" s="2"/>
      <c r="H1169" s="5"/>
      <c r="K1169" s="5"/>
    </row>
    <row r="1170" spans="1:11" x14ac:dyDescent="0.25">
      <c r="A1170" s="2">
        <v>44708</v>
      </c>
      <c r="B1170">
        <v>1558405.5</v>
      </c>
      <c r="C1170">
        <v>228001.75</v>
      </c>
      <c r="D1170" s="5">
        <v>-77423.5</v>
      </c>
      <c r="E1170">
        <f>D1170/MAX($B$2:B1170,100000)</f>
        <v>-4.7329824816652599E-2</v>
      </c>
      <c r="G1170" s="2"/>
      <c r="H1170" s="5"/>
      <c r="K1170" s="5"/>
    </row>
    <row r="1171" spans="1:11" x14ac:dyDescent="0.25">
      <c r="A1171" s="2">
        <v>44715</v>
      </c>
      <c r="B1171">
        <v>1558878.75</v>
      </c>
      <c r="C1171">
        <v>228001.75</v>
      </c>
      <c r="D1171" s="5">
        <v>-76950.25</v>
      </c>
      <c r="E1171">
        <f>D1171/MAX($B$2:B1171,100000)</f>
        <v>-4.7040521961647583E-2</v>
      </c>
      <c r="G1171" s="2"/>
      <c r="H1171" s="5"/>
      <c r="K1171" s="5"/>
    </row>
    <row r="1172" spans="1:11" x14ac:dyDescent="0.25">
      <c r="A1172" s="2">
        <v>44722</v>
      </c>
      <c r="B1172">
        <v>1479093.63</v>
      </c>
      <c r="C1172">
        <v>228001.75</v>
      </c>
      <c r="D1172" s="5">
        <v>-156735.38</v>
      </c>
      <c r="E1172">
        <f>D1172/MAX($B$2:B1172,100000)</f>
        <v>-9.5814036797244706E-2</v>
      </c>
      <c r="G1172" s="2"/>
      <c r="H1172" s="5"/>
      <c r="K1172" s="5"/>
    </row>
    <row r="1173" spans="1:11" x14ac:dyDescent="0.25">
      <c r="A1173" s="2">
        <v>44729</v>
      </c>
      <c r="B1173">
        <v>1422793.75</v>
      </c>
      <c r="C1173">
        <v>228001.75</v>
      </c>
      <c r="D1173" s="5">
        <v>-213035.25</v>
      </c>
      <c r="E1173">
        <f>D1173/MAX($B$2:B1173,100000)</f>
        <v>-0.13023075761586328</v>
      </c>
      <c r="G1173" s="2"/>
      <c r="H1173" s="5"/>
      <c r="K1173" s="5"/>
    </row>
    <row r="1174" spans="1:11" x14ac:dyDescent="0.25">
      <c r="A1174" s="2">
        <v>44736</v>
      </c>
      <c r="B1174">
        <v>1445368</v>
      </c>
      <c r="C1174">
        <v>645678.56000000006</v>
      </c>
      <c r="D1174" s="5">
        <v>-190461</v>
      </c>
      <c r="E1174">
        <f>D1174/MAX($B$2:B1174,100000)</f>
        <v>-0.11643087388718502</v>
      </c>
      <c r="G1174" s="2"/>
      <c r="H1174" s="5"/>
      <c r="K1174" s="5"/>
    </row>
    <row r="1175" spans="1:11" x14ac:dyDescent="0.25">
      <c r="A1175" s="2">
        <v>44743</v>
      </c>
      <c r="B1175">
        <v>1454344.63</v>
      </c>
      <c r="C1175">
        <v>1070231.8799999999</v>
      </c>
      <c r="D1175" s="5">
        <v>-181484.38</v>
      </c>
      <c r="E1175">
        <f>D1175/MAX($B$2:B1175,100000)</f>
        <v>-0.11094336877509814</v>
      </c>
      <c r="G1175" s="2"/>
      <c r="H1175" s="5"/>
      <c r="K1175" s="5"/>
    </row>
    <row r="1176" spans="1:11" x14ac:dyDescent="0.25">
      <c r="A1176" s="2">
        <v>44750</v>
      </c>
      <c r="B1176">
        <v>1458779.88</v>
      </c>
      <c r="C1176">
        <v>1070231.8799999999</v>
      </c>
      <c r="D1176" s="5">
        <v>-177049.13</v>
      </c>
      <c r="E1176">
        <f>D1176/MAX($B$2:B1176,100000)</f>
        <v>-0.10823205237222228</v>
      </c>
      <c r="G1176" s="2"/>
      <c r="H1176" s="5"/>
      <c r="K1176" s="5"/>
    </row>
    <row r="1177" spans="1:11" x14ac:dyDescent="0.25">
      <c r="A1177" s="2">
        <v>44757</v>
      </c>
      <c r="B1177">
        <v>1463855.75</v>
      </c>
      <c r="C1177">
        <v>1070231.8799999999</v>
      </c>
      <c r="D1177" s="5">
        <v>-171973.25</v>
      </c>
      <c r="E1177">
        <f>D1177/MAX($B$2:B1177,100000)</f>
        <v>-0.10512911190595105</v>
      </c>
      <c r="G1177" s="2"/>
      <c r="H1177" s="5"/>
      <c r="K1177" s="5"/>
    </row>
    <row r="1178" spans="1:11" x14ac:dyDescent="0.25">
      <c r="A1178" s="2">
        <v>44764</v>
      </c>
      <c r="B1178">
        <v>1465388.38</v>
      </c>
      <c r="C1178">
        <v>1070231.8799999999</v>
      </c>
      <c r="D1178" s="5">
        <v>-170440.63</v>
      </c>
      <c r="E1178">
        <f>D1178/MAX($B$2:B1178,100000)</f>
        <v>-0.10419220468643116</v>
      </c>
      <c r="G1178" s="2"/>
      <c r="H1178" s="5"/>
      <c r="K1178" s="5"/>
    </row>
    <row r="1179" spans="1:11" x14ac:dyDescent="0.25">
      <c r="A1179" s="2">
        <v>44771</v>
      </c>
      <c r="B1179">
        <v>1473243</v>
      </c>
      <c r="C1179">
        <v>1070231.8799999999</v>
      </c>
      <c r="D1179" s="5">
        <v>-162586</v>
      </c>
      <c r="E1179">
        <f>D1179/MAX($B$2:B1179,100000)</f>
        <v>-9.9390584223656625E-2</v>
      </c>
      <c r="G1179" s="2"/>
      <c r="H1179" s="5"/>
      <c r="K1179" s="5"/>
    </row>
    <row r="1180" spans="1:11" x14ac:dyDescent="0.25">
      <c r="A1180" s="2">
        <v>44778</v>
      </c>
      <c r="B1180">
        <v>1473978.38</v>
      </c>
      <c r="C1180">
        <v>1070231.8799999999</v>
      </c>
      <c r="D1180" s="5">
        <v>-161850.63</v>
      </c>
      <c r="E1180">
        <f>D1180/MAX($B$2:B1180,100000)</f>
        <v>-9.894104457128465E-2</v>
      </c>
      <c r="G1180" s="2"/>
      <c r="H1180" s="5"/>
      <c r="K1180" s="5"/>
    </row>
    <row r="1181" spans="1:11" x14ac:dyDescent="0.25">
      <c r="A1181" s="2">
        <v>44785</v>
      </c>
      <c r="B1181">
        <v>1465965.88</v>
      </c>
      <c r="C1181">
        <v>1070231.8799999999</v>
      </c>
      <c r="D1181" s="5">
        <v>-169863.13</v>
      </c>
      <c r="E1181">
        <f>D1181/MAX($B$2:B1181,100000)</f>
        <v>-0.10383917267636165</v>
      </c>
      <c r="G1181" s="2"/>
      <c r="H1181" s="5"/>
      <c r="K1181" s="5"/>
    </row>
    <row r="1182" spans="1:11" x14ac:dyDescent="0.25">
      <c r="A1182" s="2">
        <v>44792</v>
      </c>
      <c r="B1182">
        <v>1488134.88</v>
      </c>
      <c r="C1182">
        <v>1070231.8799999999</v>
      </c>
      <c r="D1182" s="5">
        <v>-147694.13</v>
      </c>
      <c r="E1182">
        <f>D1182/MAX($B$2:B1182,100000)</f>
        <v>-9.0287022665572009E-2</v>
      </c>
      <c r="G1182" s="2"/>
      <c r="H1182" s="5"/>
      <c r="K1182" s="5"/>
    </row>
    <row r="1183" spans="1:11" x14ac:dyDescent="0.25">
      <c r="A1183" s="2">
        <v>44799</v>
      </c>
      <c r="B1183">
        <v>1481002.63</v>
      </c>
      <c r="C1183">
        <v>955812.56</v>
      </c>
      <c r="D1183" s="5">
        <v>-154826.38</v>
      </c>
      <c r="E1183">
        <f>D1183/MAX($B$2:B1183,100000)</f>
        <v>-9.4647044403785491E-2</v>
      </c>
      <c r="G1183" s="2"/>
      <c r="H1183" s="5"/>
      <c r="K1183" s="5"/>
    </row>
    <row r="1184" spans="1:11" x14ac:dyDescent="0.25">
      <c r="A1184" s="2">
        <v>44806</v>
      </c>
      <c r="B1184">
        <v>1455218.25</v>
      </c>
      <c r="C1184">
        <v>729113.38</v>
      </c>
      <c r="D1184" s="5">
        <v>-180610.75</v>
      </c>
      <c r="E1184">
        <f>D1184/MAX($B$2:B1184,100000)</f>
        <v>-0.11040930928599506</v>
      </c>
      <c r="G1184" s="2"/>
      <c r="H1184" s="5"/>
      <c r="K1184" s="5"/>
    </row>
    <row r="1185" spans="1:11" x14ac:dyDescent="0.25">
      <c r="A1185" s="2">
        <v>44813</v>
      </c>
      <c r="B1185">
        <v>1467985.63</v>
      </c>
      <c r="C1185">
        <v>729113.38</v>
      </c>
      <c r="D1185" s="5">
        <v>-167843.38</v>
      </c>
      <c r="E1185">
        <f>D1185/MAX($B$2:B1185,100000)</f>
        <v>-0.10260447760737829</v>
      </c>
      <c r="G1185" s="2"/>
      <c r="H1185" s="5"/>
      <c r="K1185" s="5"/>
    </row>
    <row r="1186" spans="1:11" x14ac:dyDescent="0.25">
      <c r="A1186" s="2">
        <v>44820</v>
      </c>
      <c r="B1186">
        <v>1461147</v>
      </c>
      <c r="C1186">
        <v>615376.18999999994</v>
      </c>
      <c r="D1186" s="5">
        <v>-174682</v>
      </c>
      <c r="E1186">
        <f>D1186/MAX($B$2:B1186,100000)</f>
        <v>-0.10678500014365805</v>
      </c>
      <c r="G1186" s="2"/>
      <c r="H1186" s="5"/>
      <c r="K1186" s="5"/>
    </row>
    <row r="1187" spans="1:11" x14ac:dyDescent="0.25">
      <c r="A1187" s="2">
        <v>44827</v>
      </c>
      <c r="B1187">
        <v>1461352</v>
      </c>
      <c r="C1187">
        <v>615376.18999999994</v>
      </c>
      <c r="D1187" s="5">
        <v>-174477</v>
      </c>
      <c r="E1187">
        <f>D1187/MAX($B$2:B1187,100000)</f>
        <v>-0.10665968142146887</v>
      </c>
      <c r="G1187" s="2"/>
      <c r="H1187" s="5"/>
      <c r="K1187" s="5"/>
    </row>
    <row r="1188" spans="1:11" x14ac:dyDescent="0.25">
      <c r="A1188" s="2">
        <v>44834</v>
      </c>
      <c r="B1188">
        <v>1456395.88</v>
      </c>
      <c r="C1188">
        <v>615376.18999999994</v>
      </c>
      <c r="D1188" s="5">
        <v>-179433.13</v>
      </c>
      <c r="E1188">
        <f>D1188/MAX($B$2:B1188,100000)</f>
        <v>-0.10968941741465643</v>
      </c>
      <c r="G1188" s="2"/>
      <c r="H1188" s="5"/>
      <c r="K1188" s="5"/>
    </row>
    <row r="1189" spans="1:11" x14ac:dyDescent="0.25">
      <c r="A1189" s="2">
        <v>44841</v>
      </c>
      <c r="B1189">
        <v>1516447.25</v>
      </c>
      <c r="C1189">
        <v>717396.81</v>
      </c>
      <c r="D1189" s="5">
        <v>-119381.75</v>
      </c>
      <c r="E1189">
        <f>D1189/MAX($B$2:B1189,100000)</f>
        <v>-7.2979357866867503E-2</v>
      </c>
      <c r="G1189" s="2"/>
      <c r="H1189" s="5"/>
      <c r="K1189" s="5"/>
    </row>
    <row r="1190" spans="1:11" x14ac:dyDescent="0.25">
      <c r="A1190" s="2">
        <v>44848</v>
      </c>
      <c r="B1190">
        <v>1510180.13</v>
      </c>
      <c r="C1190">
        <v>717396.81</v>
      </c>
      <c r="D1190" s="5">
        <v>-125648.88</v>
      </c>
      <c r="E1190">
        <f>D1190/MAX($B$2:B1190,100000)</f>
        <v>-7.6810522371225848E-2</v>
      </c>
      <c r="G1190" s="2"/>
      <c r="H1190" s="5"/>
      <c r="K1190" s="5"/>
    </row>
    <row r="1191" spans="1:11" x14ac:dyDescent="0.25">
      <c r="A1191" s="2">
        <v>44855</v>
      </c>
      <c r="B1191">
        <v>1517800.63</v>
      </c>
      <c r="C1191">
        <v>717396.81</v>
      </c>
      <c r="D1191" s="5">
        <v>-118028.38</v>
      </c>
      <c r="E1191">
        <f>D1191/MAX($B$2:B1191,100000)</f>
        <v>-7.2152028115408148E-2</v>
      </c>
      <c r="G1191" s="2"/>
      <c r="H1191" s="5"/>
      <c r="K1191" s="5"/>
    </row>
    <row r="1192" spans="1:11" x14ac:dyDescent="0.25">
      <c r="A1192" s="2">
        <v>44862</v>
      </c>
      <c r="B1192">
        <v>1490996</v>
      </c>
      <c r="C1192">
        <v>717396.81</v>
      </c>
      <c r="D1192" s="5">
        <v>-144833</v>
      </c>
      <c r="E1192">
        <f>D1192/MAX($B$2:B1192,100000)</f>
        <v>-8.853798288207386E-2</v>
      </c>
      <c r="G1192" s="2"/>
      <c r="H1192" s="5"/>
      <c r="K1192" s="5"/>
    </row>
    <row r="1193" spans="1:11" x14ac:dyDescent="0.25">
      <c r="A1193" s="2">
        <v>44869</v>
      </c>
      <c r="B1193">
        <v>1497908.75</v>
      </c>
      <c r="C1193">
        <v>717396.81</v>
      </c>
      <c r="D1193" s="5">
        <v>-137920.25</v>
      </c>
      <c r="E1193">
        <f>D1193/MAX($B$2:B1193,100000)</f>
        <v>-8.4312143873228801E-2</v>
      </c>
      <c r="G1193" s="2"/>
      <c r="H1193" s="5"/>
      <c r="K1193" s="5"/>
    </row>
    <row r="1194" spans="1:11" x14ac:dyDescent="0.25">
      <c r="A1194" s="2">
        <v>44876</v>
      </c>
      <c r="B1194">
        <v>1496985.75</v>
      </c>
      <c r="C1194">
        <v>864570.63</v>
      </c>
      <c r="D1194" s="5">
        <v>-138843.25</v>
      </c>
      <c r="E1194">
        <f>D1194/MAX($B$2:B1194,100000)</f>
        <v>-8.487638377850007E-2</v>
      </c>
      <c r="G1194" s="2"/>
      <c r="H1194" s="5"/>
      <c r="K1194" s="5"/>
    </row>
    <row r="1195" spans="1:11" x14ac:dyDescent="0.25">
      <c r="A1195" s="2">
        <v>44883</v>
      </c>
      <c r="B1195">
        <v>1466891.38</v>
      </c>
      <c r="C1195">
        <v>518031.41</v>
      </c>
      <c r="D1195" s="5">
        <v>-168937.63</v>
      </c>
      <c r="E1195">
        <f>D1195/MAX($B$2:B1195,100000)</f>
        <v>-0.10327340449399051</v>
      </c>
      <c r="G1195" s="2"/>
      <c r="H1195" s="5"/>
      <c r="K1195" s="5"/>
    </row>
    <row r="1196" spans="1:11" x14ac:dyDescent="0.25">
      <c r="A1196" s="2">
        <v>44890</v>
      </c>
      <c r="B1196">
        <v>1463307.38</v>
      </c>
      <c r="C1196">
        <v>64713.25</v>
      </c>
      <c r="D1196" s="5">
        <v>-172521.63</v>
      </c>
      <c r="E1196">
        <f>D1196/MAX($B$2:B1196,100000)</f>
        <v>-0.10546434254436131</v>
      </c>
      <c r="G1196" s="2"/>
      <c r="H1196" s="5"/>
      <c r="K1196" s="5"/>
    </row>
    <row r="1197" spans="1:11" x14ac:dyDescent="0.25">
      <c r="A1197" s="2">
        <v>44897</v>
      </c>
      <c r="B1197">
        <v>1478755.13</v>
      </c>
      <c r="C1197">
        <v>64713.25</v>
      </c>
      <c r="D1197" s="5">
        <v>-157073.88</v>
      </c>
      <c r="E1197">
        <f>D1197/MAX($B$2:B1197,100000)</f>
        <v>-9.6020965516566831E-2</v>
      </c>
      <c r="G1197" s="2"/>
      <c r="H1197" s="5"/>
      <c r="K1197" s="5"/>
    </row>
    <row r="1198" spans="1:11" x14ac:dyDescent="0.25">
      <c r="A1198" s="2">
        <v>44904</v>
      </c>
      <c r="B1198">
        <v>1507351.13</v>
      </c>
      <c r="C1198">
        <v>64713.25</v>
      </c>
      <c r="D1198" s="5">
        <v>-128477.88</v>
      </c>
      <c r="E1198">
        <f>D1198/MAX($B$2:B1198,100000)</f>
        <v>-7.85399207374365E-2</v>
      </c>
      <c r="G1198" s="2"/>
      <c r="H1198" s="5"/>
      <c r="K1198" s="5"/>
    </row>
    <row r="1199" spans="1:11" x14ac:dyDescent="0.25">
      <c r="A1199" s="2">
        <v>44911</v>
      </c>
      <c r="B1199">
        <v>1485910.13</v>
      </c>
      <c r="C1199">
        <v>64713.25</v>
      </c>
      <c r="D1199" s="5">
        <v>-149918.88</v>
      </c>
      <c r="E1199">
        <f>D1199/MAX($B$2:B1199,100000)</f>
        <v>-9.164703645674456E-2</v>
      </c>
      <c r="G1199" s="2"/>
      <c r="H1199" s="5"/>
      <c r="K1199" s="5"/>
    </row>
    <row r="1200" spans="1:11" x14ac:dyDescent="0.25">
      <c r="A1200" s="2">
        <v>44918</v>
      </c>
      <c r="B1200">
        <v>1507412.13</v>
      </c>
      <c r="C1200">
        <v>64713.25</v>
      </c>
      <c r="D1200" s="5">
        <v>-128416.88</v>
      </c>
      <c r="E1200">
        <f>D1200/MAX($B$2:B1200,100000)</f>
        <v>-7.8502630776199719E-2</v>
      </c>
      <c r="G1200" s="2"/>
      <c r="H1200" s="5"/>
      <c r="K1200" s="5"/>
    </row>
    <row r="1201" spans="1:11" x14ac:dyDescent="0.25">
      <c r="A1201" s="2">
        <v>44925</v>
      </c>
      <c r="B1201">
        <v>1496980.5</v>
      </c>
      <c r="C1201">
        <v>64713.25</v>
      </c>
      <c r="D1201" s="5">
        <v>-138848.5</v>
      </c>
      <c r="E1201">
        <f>D1201/MAX($B$2:B1201,100000)</f>
        <v>-8.48795931604098E-2</v>
      </c>
      <c r="G1201" s="2"/>
      <c r="H1201" s="5"/>
      <c r="K1201" s="5"/>
    </row>
    <row r="1202" spans="1:11" x14ac:dyDescent="0.25">
      <c r="A1202" s="2">
        <v>44932</v>
      </c>
      <c r="B1202">
        <v>1528468.5</v>
      </c>
      <c r="C1202">
        <v>64713.25</v>
      </c>
      <c r="D1202" s="5">
        <v>-107360.5</v>
      </c>
      <c r="E1202">
        <f>D1202/MAX($B$2:B1202,100000)</f>
        <v>-6.5630637432152139E-2</v>
      </c>
      <c r="G1202" s="2"/>
      <c r="H1202" s="5"/>
      <c r="K1202" s="5"/>
    </row>
    <row r="1203" spans="1:11" x14ac:dyDescent="0.25">
      <c r="A1203" s="2">
        <v>44939</v>
      </c>
      <c r="B1203">
        <v>1541583</v>
      </c>
      <c r="C1203">
        <v>64713.25</v>
      </c>
      <c r="D1203" s="5">
        <v>-94246</v>
      </c>
      <c r="E1203">
        <f>D1203/MAX($B$2:B1203,100000)</f>
        <v>-5.7613601421664488E-2</v>
      </c>
      <c r="G1203" s="2"/>
      <c r="H1203" s="5"/>
      <c r="K1203" s="5"/>
    </row>
    <row r="1204" spans="1:11" x14ac:dyDescent="0.25">
      <c r="A1204" s="2">
        <v>44946</v>
      </c>
      <c r="B1204">
        <v>1563457.25</v>
      </c>
      <c r="C1204">
        <v>64713.25</v>
      </c>
      <c r="D1204" s="5">
        <v>-72371.75</v>
      </c>
      <c r="E1204">
        <f>D1204/MAX($B$2:B1204,100000)</f>
        <v>-4.4241635280949293E-2</v>
      </c>
      <c r="G1204" s="2"/>
      <c r="H1204" s="5"/>
      <c r="K1204" s="5"/>
    </row>
    <row r="1205" spans="1:11" x14ac:dyDescent="0.25">
      <c r="A1205" s="2">
        <v>44953</v>
      </c>
      <c r="B1205">
        <v>1545031.88</v>
      </c>
      <c r="C1205">
        <v>64713.25</v>
      </c>
      <c r="D1205" s="5">
        <v>-90797.13</v>
      </c>
      <c r="E1205">
        <f>D1205/MAX($B$2:B1205,100000)</f>
        <v>-5.5505269805095771E-2</v>
      </c>
      <c r="G1205" s="2"/>
      <c r="H1205" s="5"/>
      <c r="K1205" s="5"/>
    </row>
    <row r="1206" spans="1:11" x14ac:dyDescent="0.25">
      <c r="A1206" s="2">
        <v>44960</v>
      </c>
      <c r="B1206">
        <v>1515932.63</v>
      </c>
      <c r="C1206">
        <v>64713.25</v>
      </c>
      <c r="D1206" s="5">
        <v>-119896.38</v>
      </c>
      <c r="E1206">
        <f>D1206/MAX($B$2:B1206,100000)</f>
        <v>-7.3293956764429541E-2</v>
      </c>
      <c r="G1206" s="2"/>
      <c r="H1206" s="5"/>
      <c r="K1206" s="5"/>
    </row>
    <row r="1207" spans="1:11" x14ac:dyDescent="0.25">
      <c r="A1207" s="2">
        <v>44967</v>
      </c>
      <c r="B1207">
        <v>1494316</v>
      </c>
      <c r="C1207">
        <v>64713.25</v>
      </c>
      <c r="D1207" s="5">
        <v>-141513</v>
      </c>
      <c r="E1207">
        <f>D1207/MAX($B$2:B1207,100000)</f>
        <v>-8.6508430893449131E-2</v>
      </c>
      <c r="G1207" s="2"/>
      <c r="H1207" s="5"/>
      <c r="K1207" s="5"/>
    </row>
    <row r="1208" spans="1:11" x14ac:dyDescent="0.25">
      <c r="A1208" s="2">
        <v>44974</v>
      </c>
      <c r="B1208">
        <v>1525737.25</v>
      </c>
      <c r="C1208">
        <v>64713.25</v>
      </c>
      <c r="D1208" s="5">
        <v>-110091.75</v>
      </c>
      <c r="E1208">
        <f>D1208/MAX($B$2:B1208,100000)</f>
        <v>-6.7300280163757942E-2</v>
      </c>
      <c r="G1208" s="2"/>
      <c r="H1208" s="5"/>
      <c r="K1208" s="5"/>
    </row>
    <row r="1209" spans="1:11" x14ac:dyDescent="0.25">
      <c r="A1209" s="2">
        <v>44981</v>
      </c>
      <c r="B1209">
        <v>1493193.63</v>
      </c>
      <c r="C1209">
        <v>64713.25</v>
      </c>
      <c r="D1209" s="5">
        <v>-142635.38</v>
      </c>
      <c r="E1209">
        <f>D1209/MAX($B$2:B1209,100000)</f>
        <v>-8.7194553953989076E-2</v>
      </c>
      <c r="G1209" s="2"/>
      <c r="H1209" s="5"/>
      <c r="K1209" s="5"/>
    </row>
    <row r="1210" spans="1:11" x14ac:dyDescent="0.25">
      <c r="A1210" s="2">
        <v>44988</v>
      </c>
      <c r="B1210">
        <v>1519988.63</v>
      </c>
      <c r="C1210">
        <v>64713.25</v>
      </c>
      <c r="D1210" s="5">
        <v>-115840.38</v>
      </c>
      <c r="E1210">
        <f>D1210/MAX($B$2:B1210,100000)</f>
        <v>-7.0814479997603666E-2</v>
      </c>
      <c r="G1210" s="2"/>
      <c r="H1210" s="5"/>
      <c r="K1210" s="5"/>
    </row>
    <row r="1211" spans="1:11" x14ac:dyDescent="0.25">
      <c r="A1211" s="2">
        <v>44995</v>
      </c>
      <c r="B1211">
        <v>1481380.25</v>
      </c>
      <c r="C1211">
        <v>64713.25</v>
      </c>
      <c r="D1211" s="5">
        <v>-154448.75</v>
      </c>
      <c r="E1211">
        <f>D1211/MAX($B$2:B1211,100000)</f>
        <v>-9.4416195091296215E-2</v>
      </c>
      <c r="G1211" s="2"/>
      <c r="H1211" s="5"/>
      <c r="K1211" s="5"/>
    </row>
    <row r="1212" spans="1:11" x14ac:dyDescent="0.25">
      <c r="A1212" s="2">
        <v>45002</v>
      </c>
      <c r="B1212">
        <v>1428246.75</v>
      </c>
      <c r="C1212">
        <v>178952.3</v>
      </c>
      <c r="D1212" s="5">
        <v>-207582.25</v>
      </c>
      <c r="E1212">
        <f>D1212/MAX($B$2:B1212,100000)</f>
        <v>-0.12689727960563116</v>
      </c>
      <c r="G1212" s="2"/>
      <c r="H1212" s="5"/>
      <c r="K1212" s="5"/>
    </row>
    <row r="1213" spans="1:11" x14ac:dyDescent="0.25">
      <c r="A1213" s="2">
        <v>45009</v>
      </c>
      <c r="B1213">
        <v>1398232.75</v>
      </c>
      <c r="C1213">
        <v>178952.3</v>
      </c>
      <c r="D1213" s="5">
        <v>-237596.25</v>
      </c>
      <c r="E1213">
        <f>D1213/MAX($B$2:B1213,100000)</f>
        <v>-0.14524516315580663</v>
      </c>
      <c r="G1213" s="2"/>
      <c r="H1213" s="5"/>
      <c r="K1213" s="5"/>
    </row>
    <row r="1214" spans="1:11" x14ac:dyDescent="0.25">
      <c r="A1214" s="2">
        <v>45016</v>
      </c>
      <c r="B1214">
        <v>1434977.38</v>
      </c>
      <c r="C1214">
        <v>479604.28</v>
      </c>
      <c r="D1214" s="5">
        <v>-200851.63</v>
      </c>
      <c r="E1214">
        <f>D1214/MAX($B$2:B1214,100000)</f>
        <v>-0.12278277864006568</v>
      </c>
      <c r="G1214" s="2"/>
      <c r="H1214" s="5"/>
      <c r="K1214" s="5"/>
    </row>
    <row r="1215" spans="1:11" x14ac:dyDescent="0.25">
      <c r="A1215" s="2">
        <v>45022</v>
      </c>
      <c r="B1215">
        <v>1430764.38</v>
      </c>
      <c r="C1215">
        <v>599445.25</v>
      </c>
      <c r="D1215" s="5">
        <v>-205064.63</v>
      </c>
      <c r="E1215">
        <f>D1215/MAX($B$2:B1215,100000)</f>
        <v>-0.12535823120876327</v>
      </c>
      <c r="G1215" s="2"/>
      <c r="H1215" s="5"/>
      <c r="K1215" s="5"/>
    </row>
    <row r="1216" spans="1:11" x14ac:dyDescent="0.25">
      <c r="A1216" s="2">
        <v>45030</v>
      </c>
      <c r="B1216">
        <v>1446710.75</v>
      </c>
      <c r="C1216">
        <v>599445.25</v>
      </c>
      <c r="D1216" s="5">
        <v>-189118.25</v>
      </c>
      <c r="E1216">
        <f>D1216/MAX($B$2:B1216,100000)</f>
        <v>-0.11561003625684592</v>
      </c>
      <c r="G1216" s="2"/>
      <c r="H1216" s="5"/>
      <c r="K1216" s="5"/>
    </row>
    <row r="1217" spans="1:11" x14ac:dyDescent="0.25">
      <c r="A1217" s="2">
        <v>45037</v>
      </c>
      <c r="B1217">
        <v>1433492.38</v>
      </c>
      <c r="C1217">
        <v>488156.84</v>
      </c>
      <c r="D1217" s="5">
        <v>-202336.63</v>
      </c>
      <c r="E1217">
        <f>D1217/MAX($B$2:B1217,100000)</f>
        <v>-0.12369057523738729</v>
      </c>
      <c r="G1217" s="2"/>
      <c r="H1217" s="5"/>
      <c r="K1217" s="5"/>
    </row>
    <row r="1218" spans="1:11" x14ac:dyDescent="0.25">
      <c r="A1218" s="2">
        <v>45044</v>
      </c>
      <c r="B1218">
        <v>1419943</v>
      </c>
      <c r="C1218">
        <v>488156.84</v>
      </c>
      <c r="D1218" s="5">
        <v>-215886</v>
      </c>
      <c r="E1218">
        <f>D1218/MAX($B$2:B1218,100000)</f>
        <v>-0.13197345199284277</v>
      </c>
      <c r="G1218" s="2"/>
      <c r="H1218" s="5"/>
      <c r="K1218" s="5"/>
    </row>
    <row r="1219" spans="1:11" x14ac:dyDescent="0.25">
      <c r="A1219" s="2">
        <v>45051</v>
      </c>
      <c r="B1219">
        <v>1417407.13</v>
      </c>
      <c r="C1219">
        <v>488156.84</v>
      </c>
      <c r="D1219" s="5">
        <v>-218421.88</v>
      </c>
      <c r="E1219">
        <f>D1219/MAX($B$2:B1219,100000)</f>
        <v>-0.1335236629256481</v>
      </c>
      <c r="G1219" s="2"/>
      <c r="H1219" s="5"/>
      <c r="K1219" s="5"/>
    </row>
    <row r="1220" spans="1:11" x14ac:dyDescent="0.25">
      <c r="A1220" s="2">
        <v>45058</v>
      </c>
      <c r="B1220">
        <v>1420942.38</v>
      </c>
      <c r="C1220">
        <v>488156.84</v>
      </c>
      <c r="D1220" s="5">
        <v>-214886.63</v>
      </c>
      <c r="E1220">
        <f>D1220/MAX($B$2:B1220,100000)</f>
        <v>-0.13136252627872474</v>
      </c>
      <c r="G1220" s="2"/>
      <c r="H1220" s="5"/>
      <c r="K1220" s="5"/>
    </row>
    <row r="1221" spans="1:11" x14ac:dyDescent="0.25">
      <c r="A1221" s="2">
        <v>45065</v>
      </c>
      <c r="B1221">
        <v>1417704</v>
      </c>
      <c r="C1221">
        <v>488156.84</v>
      </c>
      <c r="D1221" s="5">
        <v>-218125</v>
      </c>
      <c r="E1221">
        <f>D1221/MAX($B$2:B1221,100000)</f>
        <v>-0.13334217696348458</v>
      </c>
      <c r="G1221" s="2"/>
      <c r="H1221" s="5"/>
      <c r="K1221" s="5"/>
    </row>
    <row r="1222" spans="1:11" x14ac:dyDescent="0.25">
      <c r="A1222" s="2">
        <v>45072</v>
      </c>
      <c r="B1222">
        <v>1405447.38</v>
      </c>
      <c r="C1222">
        <v>488156.84</v>
      </c>
      <c r="D1222" s="5">
        <v>-230381.63</v>
      </c>
      <c r="E1222">
        <f>D1222/MAX($B$2:B1222,100000)</f>
        <v>-0.14083478774370672</v>
      </c>
      <c r="G1222" s="2"/>
      <c r="H1222" s="5"/>
      <c r="K1222" s="5"/>
    </row>
    <row r="1223" spans="1:11" x14ac:dyDescent="0.25">
      <c r="A1223" s="2">
        <v>45079</v>
      </c>
      <c r="B1223">
        <v>1419754.88</v>
      </c>
      <c r="C1223">
        <v>577306</v>
      </c>
      <c r="D1223" s="5">
        <v>-216074.13</v>
      </c>
      <c r="E1223">
        <f>D1223/MAX($B$2:B1223,100000)</f>
        <v>-0.13208845790116205</v>
      </c>
      <c r="G1223" s="2"/>
      <c r="H1223" s="5"/>
      <c r="K1223" s="5"/>
    </row>
    <row r="1224" spans="1:11" x14ac:dyDescent="0.25">
      <c r="A1224" s="2">
        <v>45086</v>
      </c>
      <c r="B1224">
        <v>1429115.63</v>
      </c>
      <c r="C1224">
        <v>577306</v>
      </c>
      <c r="D1224" s="5">
        <v>-206713.38</v>
      </c>
      <c r="E1224">
        <f>D1224/MAX($B$2:B1224,100000)</f>
        <v>-0.12636612995612623</v>
      </c>
      <c r="G1224" s="2"/>
      <c r="H1224" s="5"/>
      <c r="K1224" s="5"/>
    </row>
    <row r="1225" spans="1:11" x14ac:dyDescent="0.25">
      <c r="A1225" s="2">
        <v>45093</v>
      </c>
      <c r="B1225">
        <v>1440770.88</v>
      </c>
      <c r="C1225">
        <v>577306</v>
      </c>
      <c r="D1225" s="5">
        <v>-195058.13</v>
      </c>
      <c r="E1225">
        <f>D1225/MAX($B$2:B1225,100000)</f>
        <v>-0.11924114928883153</v>
      </c>
      <c r="G1225" s="2"/>
      <c r="H1225" s="5"/>
      <c r="K1225" s="5"/>
    </row>
    <row r="1226" spans="1:11" x14ac:dyDescent="0.25">
      <c r="A1226" s="2">
        <v>45100</v>
      </c>
      <c r="B1226">
        <v>1414313.25</v>
      </c>
      <c r="C1226">
        <v>577306</v>
      </c>
      <c r="D1226" s="5">
        <v>-221515.75</v>
      </c>
      <c r="E1226">
        <f>D1226/MAX($B$2:B1226,100000)</f>
        <v>-0.13541497919403556</v>
      </c>
      <c r="G1226" s="2"/>
      <c r="H1226" s="5"/>
      <c r="K1226" s="5"/>
    </row>
    <row r="1227" spans="1:11" x14ac:dyDescent="0.25">
      <c r="A1227" s="2">
        <v>45107</v>
      </c>
      <c r="B1227">
        <v>1427345.88</v>
      </c>
      <c r="C1227">
        <v>704228.25</v>
      </c>
      <c r="D1227" s="5">
        <v>-208483.13</v>
      </c>
      <c r="E1227">
        <f>D1227/MAX($B$2:B1227,100000)</f>
        <v>-0.1274479973151228</v>
      </c>
      <c r="G1227" s="2"/>
      <c r="H1227" s="5"/>
      <c r="K1227" s="5"/>
    </row>
    <row r="1228" spans="1:11" x14ac:dyDescent="0.25">
      <c r="A1228" s="2">
        <v>45114</v>
      </c>
      <c r="B1228">
        <v>1413329.88</v>
      </c>
      <c r="C1228">
        <v>704228.25</v>
      </c>
      <c r="D1228" s="5">
        <v>-222499.13</v>
      </c>
      <c r="E1228">
        <f>D1228/MAX($B$2:B1228,100000)</f>
        <v>-0.13601613004782284</v>
      </c>
      <c r="G1228" s="2"/>
      <c r="H1228" s="5"/>
      <c r="K1228" s="5"/>
    </row>
    <row r="1229" spans="1:11" x14ac:dyDescent="0.25">
      <c r="A1229" s="2">
        <v>45121</v>
      </c>
      <c r="B1229">
        <v>1444817.5</v>
      </c>
      <c r="C1229">
        <v>704228.25</v>
      </c>
      <c r="D1229" s="5">
        <v>-191011.5</v>
      </c>
      <c r="E1229">
        <f>D1229/MAX($B$2:B1229,100000)</f>
        <v>-0.11676740050457597</v>
      </c>
      <c r="G1229" s="2"/>
      <c r="H1229" s="5"/>
      <c r="K1229" s="5"/>
    </row>
    <row r="1230" spans="1:11" x14ac:dyDescent="0.25">
      <c r="A1230" s="2">
        <v>45128</v>
      </c>
      <c r="B1230">
        <v>1437203</v>
      </c>
      <c r="C1230">
        <v>481869.09</v>
      </c>
      <c r="D1230" s="5">
        <v>-198626</v>
      </c>
      <c r="E1230">
        <f>D1230/MAX($B$2:B1230,100000)</f>
        <v>-0.12142222689535398</v>
      </c>
      <c r="G1230" s="2"/>
      <c r="H1230" s="5"/>
      <c r="K1230" s="5"/>
    </row>
    <row r="1231" spans="1:11" x14ac:dyDescent="0.25">
      <c r="A1231" s="2">
        <v>45135</v>
      </c>
      <c r="B1231">
        <v>1434015.75</v>
      </c>
      <c r="C1231">
        <v>260736.66</v>
      </c>
      <c r="D1231" s="5">
        <v>-201813.25</v>
      </c>
      <c r="E1231">
        <f>D1231/MAX($B$2:B1231,100000)</f>
        <v>-0.12337062736997571</v>
      </c>
      <c r="G1231" s="2"/>
      <c r="H1231" s="5"/>
      <c r="K1231" s="5"/>
    </row>
    <row r="1232" spans="1:11" x14ac:dyDescent="0.25">
      <c r="A1232" s="2">
        <v>45142</v>
      </c>
      <c r="B1232">
        <v>1423020</v>
      </c>
      <c r="C1232">
        <v>39585.43</v>
      </c>
      <c r="D1232" s="5">
        <v>-212809</v>
      </c>
      <c r="E1232">
        <f>D1232/MAX($B$2:B1232,100000)</f>
        <v>-0.13009244853832522</v>
      </c>
      <c r="G1232" s="2"/>
      <c r="H1232" s="5"/>
      <c r="K1232" s="5"/>
    </row>
    <row r="1233" spans="1:11" x14ac:dyDescent="0.25">
      <c r="A1233" s="2">
        <v>45149</v>
      </c>
      <c r="B1233">
        <v>1412646.38</v>
      </c>
      <c r="C1233">
        <v>39585.43</v>
      </c>
      <c r="D1233" s="5">
        <v>-223182.63</v>
      </c>
      <c r="E1233">
        <f>D1233/MAX($B$2:B1233,100000)</f>
        <v>-0.13643396100692676</v>
      </c>
      <c r="G1233" s="2"/>
      <c r="H1233" s="5"/>
      <c r="K1233" s="5"/>
    </row>
    <row r="1234" spans="1:11" x14ac:dyDescent="0.25">
      <c r="A1234" s="2">
        <v>45156</v>
      </c>
      <c r="B1234">
        <v>1380415.5</v>
      </c>
      <c r="C1234">
        <v>39585.43</v>
      </c>
      <c r="D1234" s="5">
        <v>-255413.5</v>
      </c>
      <c r="E1234">
        <f>D1234/MAX($B$2:B1234,100000)</f>
        <v>-0.15613704121885599</v>
      </c>
      <c r="G1234" s="2"/>
      <c r="H1234" s="5"/>
      <c r="K1234" s="5"/>
    </row>
    <row r="1235" spans="1:11" x14ac:dyDescent="0.25">
      <c r="A1235" s="2">
        <v>45163</v>
      </c>
      <c r="B1235">
        <v>1346765.13</v>
      </c>
      <c r="C1235">
        <v>39585.43</v>
      </c>
      <c r="D1235" s="5">
        <v>-289063.88</v>
      </c>
      <c r="E1235">
        <f>D1235/MAX($B$2:B1235,100000)</f>
        <v>-0.17670788328119871</v>
      </c>
      <c r="G1235" s="2"/>
      <c r="H1235" s="5"/>
      <c r="K1235" s="5"/>
    </row>
    <row r="1236" spans="1:11" x14ac:dyDescent="0.25">
      <c r="A1236" s="2">
        <v>45170</v>
      </c>
      <c r="B1236">
        <v>1381624.88</v>
      </c>
      <c r="C1236">
        <v>39585.43</v>
      </c>
      <c r="D1236" s="5">
        <v>-254204.13</v>
      </c>
      <c r="E1236">
        <f>D1236/MAX($B$2:B1236,100000)</f>
        <v>-0.15539774022834904</v>
      </c>
      <c r="G1236" s="2"/>
      <c r="H1236" s="5"/>
      <c r="K1236" s="5"/>
    </row>
    <row r="1237" spans="1:11" x14ac:dyDescent="0.25">
      <c r="A1237" s="2">
        <v>45177</v>
      </c>
      <c r="B1237">
        <v>1350226.63</v>
      </c>
      <c r="C1237">
        <v>116474.43</v>
      </c>
      <c r="D1237" s="5">
        <v>-285602.38</v>
      </c>
      <c r="E1237">
        <f>D1237/MAX($B$2:B1237,100000)</f>
        <v>-0.17459183080872145</v>
      </c>
      <c r="G1237" s="2"/>
      <c r="H1237" s="5"/>
      <c r="K1237" s="5"/>
    </row>
    <row r="1238" spans="1:11" x14ac:dyDescent="0.25">
      <c r="A1238" s="2">
        <v>45184</v>
      </c>
      <c r="B1238">
        <v>1392929.75</v>
      </c>
      <c r="C1238">
        <v>116474.43</v>
      </c>
      <c r="D1238" s="5">
        <v>-242899.25</v>
      </c>
      <c r="E1238">
        <f>D1238/MAX($B$2:B1238,100000)</f>
        <v>-0.14848694454004666</v>
      </c>
      <c r="G1238" s="2"/>
      <c r="H1238" s="5"/>
      <c r="K1238" s="5"/>
    </row>
    <row r="1239" spans="1:11" x14ac:dyDescent="0.25">
      <c r="A1239" s="2">
        <v>45191</v>
      </c>
      <c r="B1239">
        <v>1362619.88</v>
      </c>
      <c r="C1239">
        <v>225576.06</v>
      </c>
      <c r="D1239" s="5">
        <v>-273209.13</v>
      </c>
      <c r="E1239">
        <f>D1239/MAX($B$2:B1239,100000)</f>
        <v>-0.16701570274154573</v>
      </c>
      <c r="G1239" s="2"/>
      <c r="H1239" s="5"/>
      <c r="K1239" s="5"/>
    </row>
    <row r="1240" spans="1:11" x14ac:dyDescent="0.25">
      <c r="A1240" s="2">
        <v>45198</v>
      </c>
      <c r="B1240">
        <v>1358535.88</v>
      </c>
      <c r="C1240">
        <v>225576.06</v>
      </c>
      <c r="D1240" s="5">
        <v>-277293.13</v>
      </c>
      <c r="E1240">
        <f>D1240/MAX($B$2:B1240,100000)</f>
        <v>-0.16951229621189012</v>
      </c>
      <c r="G1240" s="2"/>
      <c r="H1240" s="5"/>
      <c r="K1240" s="5"/>
    </row>
    <row r="1241" spans="1:11" x14ac:dyDescent="0.25">
      <c r="A1241" s="2">
        <v>45205</v>
      </c>
      <c r="B1241">
        <v>1337337</v>
      </c>
      <c r="C1241">
        <v>225576.06</v>
      </c>
      <c r="D1241" s="5">
        <v>-298492</v>
      </c>
      <c r="E1241">
        <f>D1241/MAX($B$2:B1241,100000)</f>
        <v>-0.18247139523752176</v>
      </c>
      <c r="G1241" s="2"/>
      <c r="H1241" s="5"/>
      <c r="K1241" s="5"/>
    </row>
    <row r="1242" spans="1:11" x14ac:dyDescent="0.25">
      <c r="A1242" s="2">
        <v>45212</v>
      </c>
      <c r="B1242">
        <v>1363270</v>
      </c>
      <c r="C1242">
        <v>225576.06</v>
      </c>
      <c r="D1242" s="5">
        <v>-272559</v>
      </c>
      <c r="E1242">
        <f>D1242/MAX($B$2:B1242,100000)</f>
        <v>-0.16661827122517084</v>
      </c>
      <c r="G1242" s="2"/>
      <c r="H1242" s="5"/>
      <c r="K1242" s="5"/>
    </row>
    <row r="1243" spans="1:11" x14ac:dyDescent="0.25">
      <c r="A1243" s="2">
        <v>45219</v>
      </c>
      <c r="B1243">
        <v>1360705.75</v>
      </c>
      <c r="C1243">
        <v>225576.06</v>
      </c>
      <c r="D1243" s="5">
        <v>-275123.25</v>
      </c>
      <c r="E1243">
        <f>D1243/MAX($B$2:B1243,100000)</f>
        <v>-0.16818582504650548</v>
      </c>
      <c r="G1243" s="2"/>
      <c r="H1243" s="5"/>
      <c r="K1243" s="5"/>
    </row>
    <row r="1244" spans="1:11" x14ac:dyDescent="0.25">
      <c r="A1244" s="2">
        <v>45226</v>
      </c>
      <c r="B1244">
        <v>1351950.38</v>
      </c>
      <c r="C1244">
        <v>225576.06</v>
      </c>
      <c r="D1244" s="5">
        <v>-283878.63</v>
      </c>
      <c r="E1244">
        <f>D1244/MAX($B$2:B1244,100000)</f>
        <v>-0.17353808374836246</v>
      </c>
      <c r="G1244" s="2"/>
      <c r="H1244" s="5"/>
      <c r="K1244" s="5"/>
    </row>
    <row r="1245" spans="1:11" x14ac:dyDescent="0.25">
      <c r="A1245" s="2">
        <v>45233</v>
      </c>
      <c r="B1245">
        <v>1354812.13</v>
      </c>
      <c r="C1245">
        <v>225576.06</v>
      </c>
      <c r="D1245" s="5">
        <v>-281016.88</v>
      </c>
      <c r="E1245">
        <f>D1245/MAX($B$2:B1245,100000)</f>
        <v>-0.17178866495214354</v>
      </c>
      <c r="G1245" s="2"/>
      <c r="H1245" s="5"/>
      <c r="K1245" s="5"/>
    </row>
    <row r="1246" spans="1:11" x14ac:dyDescent="0.25">
      <c r="A1246" s="2">
        <v>45240</v>
      </c>
      <c r="B1246">
        <v>1351071.5</v>
      </c>
      <c r="C1246">
        <v>321286.21999999997</v>
      </c>
      <c r="D1246" s="5">
        <v>-284757.5</v>
      </c>
      <c r="E1246">
        <f>D1246/MAX($B$2:B1246,100000)</f>
        <v>-0.17407534650626685</v>
      </c>
      <c r="G1246" s="2"/>
      <c r="H1246" s="5"/>
      <c r="K1246" s="5"/>
    </row>
    <row r="1247" spans="1:11" x14ac:dyDescent="0.25">
      <c r="A1247" s="2">
        <v>45247</v>
      </c>
      <c r="B1247">
        <v>1367423.38</v>
      </c>
      <c r="C1247">
        <v>321286.21999999997</v>
      </c>
      <c r="D1247" s="5">
        <v>-268405.63</v>
      </c>
      <c r="E1247">
        <f>D1247/MAX($B$2:B1247,100000)</f>
        <v>-0.16407927112185933</v>
      </c>
      <c r="G1247" s="2"/>
      <c r="H1247" s="5"/>
      <c r="K1247" s="5"/>
    </row>
    <row r="1248" spans="1:11" x14ac:dyDescent="0.25">
      <c r="A1248" s="2">
        <v>45254</v>
      </c>
      <c r="B1248">
        <v>1373666.63</v>
      </c>
      <c r="C1248">
        <v>321286.21999999997</v>
      </c>
      <c r="D1248" s="5">
        <v>-262162.38</v>
      </c>
      <c r="E1248">
        <f>D1248/MAX($B$2:B1248,100000)</f>
        <v>-0.16026270472035892</v>
      </c>
      <c r="G1248" s="2"/>
      <c r="H1248" s="5"/>
      <c r="K1248" s="5"/>
    </row>
    <row r="1249" spans="1:11" x14ac:dyDescent="0.25">
      <c r="A1249" s="2">
        <v>45261</v>
      </c>
      <c r="B1249">
        <v>1361224.63</v>
      </c>
      <c r="C1249">
        <v>321286.21999999997</v>
      </c>
      <c r="D1249" s="5">
        <v>-274604.38</v>
      </c>
      <c r="E1249">
        <f>D1249/MAX($B$2:B1249,100000)</f>
        <v>-0.16786863419098208</v>
      </c>
      <c r="G1249" s="2"/>
      <c r="H1249" s="5"/>
      <c r="K1249" s="5"/>
    </row>
    <row r="1250" spans="1:11" x14ac:dyDescent="0.25">
      <c r="A1250" s="2">
        <v>45268</v>
      </c>
      <c r="B1250">
        <v>1385508</v>
      </c>
      <c r="C1250">
        <v>308244.5</v>
      </c>
      <c r="D1250" s="5">
        <v>-250321</v>
      </c>
      <c r="E1250">
        <f>D1250/MAX($B$2:B1250,100000)</f>
        <v>-0.15302394076642487</v>
      </c>
      <c r="G1250" s="2"/>
      <c r="H1250" s="5"/>
      <c r="K1250" s="5"/>
    </row>
    <row r="1251" spans="1:11" x14ac:dyDescent="0.25">
      <c r="A1251" s="2">
        <v>45275</v>
      </c>
      <c r="B1251">
        <v>1430781.88</v>
      </c>
      <c r="C1251">
        <v>298404.19</v>
      </c>
      <c r="D1251" s="5">
        <v>-205047.13</v>
      </c>
      <c r="E1251">
        <f>D1251/MAX($B$2:B1251,100000)</f>
        <v>-0.1253475332690642</v>
      </c>
      <c r="G1251" s="2"/>
      <c r="H1251" s="5"/>
      <c r="K1251" s="5"/>
    </row>
    <row r="1252" spans="1:11" x14ac:dyDescent="0.25">
      <c r="A1252" s="2">
        <v>45282</v>
      </c>
      <c r="B1252">
        <v>1429918.13</v>
      </c>
      <c r="C1252">
        <v>79105.17</v>
      </c>
      <c r="D1252" s="5">
        <v>-205910.88</v>
      </c>
      <c r="E1252">
        <f>D1252/MAX($B$2:B1252,100000)</f>
        <v>-0.1258755530070686</v>
      </c>
      <c r="G1252" s="2"/>
      <c r="H1252" s="5"/>
      <c r="K1252" s="5"/>
    </row>
    <row r="1253" spans="1:11" x14ac:dyDescent="0.25">
      <c r="A1253" s="2">
        <v>45289</v>
      </c>
      <c r="B1253">
        <v>1448675.5</v>
      </c>
      <c r="C1253">
        <v>79105.17</v>
      </c>
      <c r="D1253" s="5">
        <v>-187153.5</v>
      </c>
      <c r="E1253">
        <f>D1253/MAX($B$2:B1253,100000)</f>
        <v>-0.11440896328405964</v>
      </c>
      <c r="G1253" s="2"/>
      <c r="H1253" s="5"/>
      <c r="K1253" s="5"/>
    </row>
    <row r="1254" spans="1:11" x14ac:dyDescent="0.25">
      <c r="A1254" s="2">
        <v>45296</v>
      </c>
      <c r="B1254">
        <v>1418863.63</v>
      </c>
      <c r="C1254">
        <v>79105.17</v>
      </c>
      <c r="D1254" s="5">
        <v>-216965.38</v>
      </c>
      <c r="E1254">
        <f>D1254/MAX($B$2:B1254,100000)</f>
        <v>-0.13263328868726498</v>
      </c>
      <c r="G1254" s="2"/>
      <c r="H1254" s="5"/>
      <c r="K1254" s="5"/>
    </row>
    <row r="1255" spans="1:11" x14ac:dyDescent="0.25">
      <c r="A1255" s="2">
        <v>45303</v>
      </c>
      <c r="B1255">
        <v>1412023.25</v>
      </c>
      <c r="C1255">
        <v>79105.17</v>
      </c>
      <c r="D1255" s="5">
        <v>-223805.75</v>
      </c>
      <c r="E1255">
        <f>D1255/MAX($B$2:B1255,100000)</f>
        <v>-0.13681488101751466</v>
      </c>
      <c r="G1255" s="2"/>
      <c r="H1255" s="5"/>
      <c r="K1255" s="5"/>
    </row>
    <row r="1256" spans="1:11" x14ac:dyDescent="0.25">
      <c r="A1256" s="2">
        <v>45310</v>
      </c>
      <c r="B1256">
        <v>1399419.5</v>
      </c>
      <c r="C1256">
        <v>79105.17</v>
      </c>
      <c r="D1256" s="5">
        <v>-236409.5</v>
      </c>
      <c r="E1256">
        <f>D1256/MAX($B$2:B1256,100000)</f>
        <v>-0.14451969001649928</v>
      </c>
      <c r="G1256" s="2"/>
      <c r="H1256" s="5"/>
      <c r="K1256" s="5"/>
    </row>
    <row r="1257" spans="1:11" x14ac:dyDescent="0.25">
      <c r="A1257" s="2">
        <v>45316</v>
      </c>
      <c r="B1257">
        <v>1427361.75</v>
      </c>
      <c r="C1257">
        <v>79105.17</v>
      </c>
      <c r="D1257" s="5">
        <v>-208467.25</v>
      </c>
      <c r="E1257">
        <f>D1257/MAX($B$2:B1257,100000)</f>
        <v>-0.12743828969898444</v>
      </c>
      <c r="G1257" s="2"/>
      <c r="H1257" s="5"/>
      <c r="K1257" s="5"/>
    </row>
    <row r="1258" spans="1:11" x14ac:dyDescent="0.25">
      <c r="A1258" s="2">
        <v>45324</v>
      </c>
      <c r="B1258">
        <v>1454884.25</v>
      </c>
      <c r="C1258">
        <v>79105.17</v>
      </c>
      <c r="D1258" s="5">
        <v>-180944.75</v>
      </c>
      <c r="E1258">
        <f>D1258/MAX($B$2:B1258,100000)</f>
        <v>-0.11061348710653741</v>
      </c>
      <c r="G1258" s="2"/>
      <c r="H1258" s="5"/>
      <c r="K1258" s="5"/>
    </row>
    <row r="1259" spans="1:11" x14ac:dyDescent="0.25">
      <c r="A1259" s="2">
        <v>45331</v>
      </c>
      <c r="B1259">
        <v>1430335.38</v>
      </c>
      <c r="C1259">
        <v>79105.17</v>
      </c>
      <c r="D1259" s="5">
        <v>-205493.63</v>
      </c>
      <c r="E1259">
        <f>D1259/MAX($B$2:B1259,100000)</f>
        <v>-0.1256204835591006</v>
      </c>
      <c r="G1259" s="2"/>
      <c r="H1259" s="5"/>
      <c r="K1259" s="5"/>
    </row>
    <row r="1260" spans="1:11" x14ac:dyDescent="0.25">
      <c r="A1260" s="2">
        <v>45338</v>
      </c>
      <c r="B1260">
        <v>1438509.25</v>
      </c>
      <c r="C1260">
        <v>79105.17</v>
      </c>
      <c r="D1260" s="5">
        <v>-197319.75</v>
      </c>
      <c r="E1260">
        <f>D1260/MAX($B$2:B1260,100000)</f>
        <v>-0.12062370211067294</v>
      </c>
      <c r="G1260" s="2"/>
      <c r="H1260" s="5"/>
      <c r="K1260" s="5"/>
    </row>
    <row r="1261" spans="1:11" x14ac:dyDescent="0.25">
      <c r="A1261" s="2">
        <v>45345</v>
      </c>
      <c r="B1261">
        <v>1429530.25</v>
      </c>
      <c r="C1261">
        <v>79105.17</v>
      </c>
      <c r="D1261" s="5">
        <v>-206298.75</v>
      </c>
      <c r="E1261">
        <f>D1261/MAX($B$2:B1261,100000)</f>
        <v>-0.12611266214255892</v>
      </c>
      <c r="G1261" s="2"/>
      <c r="H1261" s="5"/>
      <c r="K1261" s="5"/>
    </row>
    <row r="1262" spans="1:11" x14ac:dyDescent="0.25">
      <c r="A1262" s="2">
        <v>45352</v>
      </c>
      <c r="B1262">
        <v>1424687.63</v>
      </c>
      <c r="C1262">
        <v>79105.17</v>
      </c>
      <c r="D1262" s="5">
        <v>-211141.38</v>
      </c>
      <c r="E1262">
        <f>D1262/MAX($B$2:B1262,100000)</f>
        <v>-0.12907301435541246</v>
      </c>
      <c r="G1262" s="2"/>
      <c r="H1262" s="5"/>
      <c r="K1262" s="5"/>
    </row>
    <row r="1263" spans="1:11" x14ac:dyDescent="0.25">
      <c r="A1263" s="2">
        <v>45359</v>
      </c>
      <c r="B1263">
        <v>1440178.38</v>
      </c>
      <c r="C1263">
        <v>79105.17</v>
      </c>
      <c r="D1263" s="5">
        <v>-195650.63</v>
      </c>
      <c r="E1263">
        <f>D1263/MAX($B$2:B1263,100000)</f>
        <v>-0.11960335096150025</v>
      </c>
      <c r="G1263" s="2"/>
      <c r="H1263" s="5"/>
      <c r="K1263" s="5"/>
    </row>
    <row r="1264" spans="1:11" x14ac:dyDescent="0.25">
      <c r="A1264" s="2">
        <v>45366</v>
      </c>
      <c r="B1264">
        <v>1410794.5</v>
      </c>
      <c r="C1264">
        <v>79105.17</v>
      </c>
      <c r="D1264" s="5">
        <v>-225034.5</v>
      </c>
      <c r="E1264">
        <f>D1264/MAX($B$2:B1264,100000)</f>
        <v>-0.13756602921209979</v>
      </c>
      <c r="G1264" s="2"/>
      <c r="H1264" s="5"/>
      <c r="K1264" s="5"/>
    </row>
    <row r="1265" spans="1:11" x14ac:dyDescent="0.25">
      <c r="A1265" s="2">
        <v>45373</v>
      </c>
      <c r="B1265">
        <v>1436810</v>
      </c>
      <c r="C1265">
        <v>79105.17</v>
      </c>
      <c r="D1265" s="5">
        <v>-199019</v>
      </c>
      <c r="E1265">
        <f>D1265/MAX($B$2:B1265,100000)</f>
        <v>-0.12166247205545323</v>
      </c>
      <c r="G1265" s="2"/>
      <c r="H1265" s="5"/>
      <c r="K1265" s="5"/>
    </row>
    <row r="1266" spans="1:11" x14ac:dyDescent="0.25">
      <c r="A1266" s="2">
        <v>45379</v>
      </c>
      <c r="B1266">
        <v>1463483</v>
      </c>
      <c r="C1266">
        <v>79105.17</v>
      </c>
      <c r="D1266" s="5">
        <v>-172346</v>
      </c>
      <c r="E1266">
        <f>D1266/MAX($B$2:B1266,100000)</f>
        <v>-0.10535697802154137</v>
      </c>
      <c r="G1266" s="2"/>
      <c r="H1266" s="5"/>
      <c r="K1266" s="5"/>
    </row>
    <row r="1267" spans="1:11" x14ac:dyDescent="0.25">
      <c r="A1267" s="2">
        <v>45387</v>
      </c>
      <c r="B1267">
        <v>1438197</v>
      </c>
      <c r="C1267">
        <v>79105.17</v>
      </c>
      <c r="D1267" s="5">
        <v>-197632</v>
      </c>
      <c r="E1267">
        <f>D1267/MAX($B$2:B1267,100000)</f>
        <v>-0.12081458392044646</v>
      </c>
      <c r="G1267" s="2"/>
      <c r="H1267" s="5"/>
      <c r="K1267" s="5"/>
    </row>
    <row r="1268" spans="1:11" x14ac:dyDescent="0.25">
      <c r="A1268" s="2">
        <v>45394</v>
      </c>
      <c r="B1268">
        <v>1437266.13</v>
      </c>
      <c r="C1268">
        <v>79105.17</v>
      </c>
      <c r="D1268" s="5">
        <v>-198562.88</v>
      </c>
      <c r="E1268">
        <f>D1268/MAX($B$2:B1268,100000)</f>
        <v>-0.12138364095513651</v>
      </c>
      <c r="G1268" s="2"/>
      <c r="H1268" s="5"/>
      <c r="K1268" s="5"/>
    </row>
    <row r="1269" spans="1:11" x14ac:dyDescent="0.25">
      <c r="A1269" s="2">
        <v>45401</v>
      </c>
      <c r="B1269">
        <v>1410328.88</v>
      </c>
      <c r="C1269">
        <v>79105.17</v>
      </c>
      <c r="D1269" s="5">
        <v>-225500.13</v>
      </c>
      <c r="E1269">
        <f>D1269/MAX($B$2:B1269,100000)</f>
        <v>-0.13785067387850442</v>
      </c>
      <c r="G1269" s="2"/>
      <c r="H1269" s="5"/>
      <c r="K1269" s="5"/>
    </row>
    <row r="1270" spans="1:11" x14ac:dyDescent="0.25">
      <c r="A1270" s="2">
        <v>45408</v>
      </c>
      <c r="B1270">
        <v>1411609.75</v>
      </c>
      <c r="C1270">
        <v>79105.17</v>
      </c>
      <c r="D1270" s="5">
        <v>-224219.25</v>
      </c>
      <c r="E1270">
        <f>D1270/MAX($B$2:B1270,100000)</f>
        <v>-0.13706765804983284</v>
      </c>
      <c r="G1270" s="2"/>
      <c r="H1270" s="5"/>
      <c r="K1270" s="5"/>
    </row>
    <row r="1271" spans="1:11" x14ac:dyDescent="0.25">
      <c r="A1271" s="2">
        <v>45415</v>
      </c>
      <c r="B1271">
        <v>1407120</v>
      </c>
      <c r="C1271">
        <v>79105.17</v>
      </c>
      <c r="D1271" s="5">
        <v>-228709</v>
      </c>
      <c r="E1271">
        <f>D1271/MAX($B$2:B1271,100000)</f>
        <v>-0.13981229089348582</v>
      </c>
      <c r="G1271" s="2"/>
      <c r="H1271" s="5"/>
      <c r="K1271" s="5"/>
    </row>
    <row r="1272" spans="1:11" x14ac:dyDescent="0.25">
      <c r="A1272" s="2">
        <v>45422</v>
      </c>
      <c r="B1272">
        <v>1424139.75</v>
      </c>
      <c r="C1272">
        <v>79105.17</v>
      </c>
      <c r="D1272" s="5">
        <v>-211689.25</v>
      </c>
      <c r="E1272">
        <f>D1272/MAX($B$2:B1272,100000)</f>
        <v>-0.12940793322529434</v>
      </c>
      <c r="G1272" s="2"/>
      <c r="H1272" s="5"/>
      <c r="K1272" s="5"/>
    </row>
    <row r="1273" spans="1:11" x14ac:dyDescent="0.25">
      <c r="A1273" s="2">
        <v>45429</v>
      </c>
      <c r="B1273">
        <v>1438325.88</v>
      </c>
      <c r="C1273">
        <v>79105.17</v>
      </c>
      <c r="D1273" s="5">
        <v>-197503.13</v>
      </c>
      <c r="E1273">
        <f>D1273/MAX($B$2:B1273,100000)</f>
        <v>-0.12073580429250245</v>
      </c>
      <c r="G1273" s="2"/>
      <c r="H1273" s="5"/>
      <c r="K1273" s="5"/>
    </row>
    <row r="1274" spans="1:11" x14ac:dyDescent="0.25">
      <c r="A1274" s="2">
        <v>45436</v>
      </c>
      <c r="B1274">
        <v>1432989.38</v>
      </c>
      <c r="C1274">
        <v>79105.17</v>
      </c>
      <c r="D1274" s="5">
        <v>-202839.63</v>
      </c>
      <c r="E1274">
        <f>D1274/MAX($B$2:B1274,100000)</f>
        <v>-0.12399806458988073</v>
      </c>
      <c r="G1274" s="2"/>
      <c r="H1274" s="5"/>
      <c r="K1274" s="5"/>
    </row>
    <row r="1275" spans="1:11" x14ac:dyDescent="0.25">
      <c r="A1275" s="2">
        <v>45443</v>
      </c>
      <c r="B1275">
        <v>1423644.25</v>
      </c>
      <c r="C1275">
        <v>79105.17</v>
      </c>
      <c r="D1275" s="5">
        <v>-212184.75</v>
      </c>
      <c r="E1275">
        <f>D1275/MAX($B$2:B1275,100000)</f>
        <v>-0.12971083774648817</v>
      </c>
      <c r="G1275" s="2"/>
      <c r="H1275" s="5"/>
      <c r="K1275" s="5"/>
    </row>
    <row r="1276" spans="1:11" x14ac:dyDescent="0.25">
      <c r="A1276" s="2">
        <v>45450</v>
      </c>
      <c r="B1276">
        <v>1438816.25</v>
      </c>
      <c r="C1276">
        <v>79105.17</v>
      </c>
      <c r="D1276" s="5">
        <v>-197012.75</v>
      </c>
      <c r="E1276">
        <f>D1276/MAX($B$2:B1276,100000)</f>
        <v>-0.12043602968280914</v>
      </c>
      <c r="G1276" s="2"/>
      <c r="H1276" s="5"/>
      <c r="K1276" s="5"/>
    </row>
    <row r="1277" spans="1:11" x14ac:dyDescent="0.25">
      <c r="A1277" s="2">
        <v>45457</v>
      </c>
      <c r="B1277">
        <v>1418774.63</v>
      </c>
      <c r="C1277">
        <v>240998.16</v>
      </c>
      <c r="D1277" s="5">
        <v>-217054.38</v>
      </c>
      <c r="E1277">
        <f>D1277/MAX($B$2:B1277,100000)</f>
        <v>-0.1326876953520203</v>
      </c>
      <c r="G1277" s="2"/>
      <c r="H1277" s="5"/>
      <c r="K1277" s="5"/>
    </row>
    <row r="1278" spans="1:11" x14ac:dyDescent="0.25">
      <c r="A1278" s="2">
        <v>45464</v>
      </c>
      <c r="B1278">
        <v>1439979.13</v>
      </c>
      <c r="C1278">
        <v>240998.16</v>
      </c>
      <c r="D1278" s="5">
        <v>-195849.88</v>
      </c>
      <c r="E1278">
        <f>D1278/MAX($B$2:B1278,100000)</f>
        <v>-0.11972515464635974</v>
      </c>
      <c r="G1278" s="2"/>
      <c r="H1278" s="5"/>
      <c r="K1278" s="5"/>
    </row>
    <row r="1279" spans="1:11" x14ac:dyDescent="0.25">
      <c r="A1279" s="2">
        <v>45471</v>
      </c>
      <c r="B1279">
        <v>1432485.38</v>
      </c>
      <c r="C1279">
        <v>240998.16</v>
      </c>
      <c r="D1279" s="5">
        <v>-203343.63</v>
      </c>
      <c r="E1279">
        <f>D1279/MAX($B$2:B1279,100000)</f>
        <v>-0.12430616525321413</v>
      </c>
      <c r="G1279" s="2"/>
      <c r="H1279" s="5"/>
      <c r="K1279" s="5"/>
    </row>
    <row r="1280" spans="1:11" x14ac:dyDescent="0.25">
      <c r="A1280" s="2">
        <v>45478</v>
      </c>
      <c r="B1280">
        <v>1445676.88</v>
      </c>
      <c r="C1280">
        <v>240998.16</v>
      </c>
      <c r="D1280" s="5">
        <v>-190152.13</v>
      </c>
      <c r="E1280">
        <f>D1280/MAX($B$2:B1280,100000)</f>
        <v>-0.11624205830805054</v>
      </c>
      <c r="G1280" s="2"/>
      <c r="H1280" s="5"/>
      <c r="K1280" s="5"/>
    </row>
    <row r="1281" spans="1:11" x14ac:dyDescent="0.25">
      <c r="A1281" s="2">
        <v>45485</v>
      </c>
      <c r="B1281">
        <v>1456830.75</v>
      </c>
      <c r="C1281">
        <v>231104.91</v>
      </c>
      <c r="D1281" s="5">
        <v>-178998.25</v>
      </c>
      <c r="E1281">
        <f>D1281/MAX($B$2:B1281,100000)</f>
        <v>-0.10942357055658018</v>
      </c>
      <c r="G1281" s="2"/>
      <c r="H1281" s="5"/>
      <c r="K1281" s="5"/>
    </row>
    <row r="1282" spans="1:11" x14ac:dyDescent="0.25">
      <c r="A1282" s="2">
        <v>45492</v>
      </c>
      <c r="B1282">
        <v>1457207.25</v>
      </c>
      <c r="C1282">
        <v>231104.91</v>
      </c>
      <c r="D1282" s="5">
        <v>-178621.75</v>
      </c>
      <c r="E1282">
        <f>D1282/MAX($B$2:B1282,100000)</f>
        <v>-0.10919341202534005</v>
      </c>
      <c r="G1282" s="2"/>
      <c r="H1282" s="5"/>
      <c r="K1282" s="5"/>
    </row>
    <row r="1283" spans="1:11" x14ac:dyDescent="0.25">
      <c r="A1283" s="2">
        <v>45499</v>
      </c>
      <c r="B1283">
        <v>1452817.5</v>
      </c>
      <c r="C1283">
        <v>231104.91</v>
      </c>
      <c r="D1283" s="5">
        <v>-183011.5</v>
      </c>
      <c r="E1283">
        <f>D1283/MAX($B$2:B1283,100000)</f>
        <v>-0.11187691378499831</v>
      </c>
      <c r="G1283" s="2"/>
      <c r="H1283" s="5"/>
      <c r="K1283" s="5"/>
    </row>
    <row r="1284" spans="1:11" x14ac:dyDescent="0.25">
      <c r="A1284" s="2">
        <v>45506</v>
      </c>
      <c r="B1284">
        <v>1453985.13</v>
      </c>
      <c r="C1284">
        <v>258078.97</v>
      </c>
      <c r="D1284" s="5">
        <v>-181843.88</v>
      </c>
      <c r="E1284">
        <f>D1284/MAX($B$2:B1284,100000)</f>
        <v>-0.11116313502205916</v>
      </c>
      <c r="G1284" s="2"/>
      <c r="H1284" s="5"/>
      <c r="K1284" s="5"/>
    </row>
    <row r="1285" spans="1:11" x14ac:dyDescent="0.25">
      <c r="A1285" s="2">
        <v>45513</v>
      </c>
      <c r="B1285">
        <v>1423059.25</v>
      </c>
      <c r="C1285">
        <v>258078.97</v>
      </c>
      <c r="D1285" s="5">
        <v>-212769.75</v>
      </c>
      <c r="E1285">
        <f>D1285/MAX($B$2:B1285,100000)</f>
        <v>-0.13006845458785729</v>
      </c>
      <c r="G1285" s="2"/>
      <c r="H1285" s="5"/>
      <c r="K1285" s="5"/>
    </row>
    <row r="1286" spans="1:11" x14ac:dyDescent="0.25">
      <c r="A1286" s="2">
        <v>45520</v>
      </c>
      <c r="B1286">
        <v>1478854.13</v>
      </c>
      <c r="C1286">
        <v>258078.97</v>
      </c>
      <c r="D1286" s="5">
        <v>-156974.88</v>
      </c>
      <c r="E1286">
        <f>D1286/MAX($B$2:B1286,100000)</f>
        <v>-9.5960445743412059E-2</v>
      </c>
      <c r="G1286" s="2"/>
      <c r="H1286" s="5"/>
      <c r="K1286" s="5"/>
    </row>
    <row r="1287" spans="1:11" x14ac:dyDescent="0.25">
      <c r="A1287" s="2">
        <v>45527</v>
      </c>
      <c r="B1287">
        <v>1444959.63</v>
      </c>
      <c r="C1287">
        <v>30253.52</v>
      </c>
      <c r="D1287" s="5">
        <v>-190869.38</v>
      </c>
      <c r="E1287">
        <f>D1287/MAX($B$2:B1287,100000)</f>
        <v>-0.11668052100800268</v>
      </c>
      <c r="G1287" s="2"/>
      <c r="H1287" s="5"/>
      <c r="K1287" s="5"/>
    </row>
    <row r="1288" spans="1:11" x14ac:dyDescent="0.25">
      <c r="A1288" s="2">
        <v>45534</v>
      </c>
      <c r="B1288">
        <v>1452928.63</v>
      </c>
      <c r="C1288">
        <v>30253.52</v>
      </c>
      <c r="D1288" s="5">
        <v>-182900.38</v>
      </c>
      <c r="E1288">
        <f>D1288/MAX($B$2:B1288,100000)</f>
        <v>-0.11180898492446338</v>
      </c>
      <c r="G1288" s="2"/>
      <c r="H1288" s="5"/>
      <c r="K1288" s="5"/>
    </row>
    <row r="1289" spans="1:11" x14ac:dyDescent="0.25">
      <c r="A1289" s="2">
        <v>45541</v>
      </c>
      <c r="B1289">
        <v>1434755.75</v>
      </c>
      <c r="C1289">
        <v>30253.52</v>
      </c>
      <c r="D1289" s="5">
        <v>-201073.25</v>
      </c>
      <c r="E1289">
        <f>D1289/MAX($B$2:B1289,100000)</f>
        <v>-0.12291825734841479</v>
      </c>
      <c r="G1289" s="2"/>
      <c r="H1289" s="5"/>
      <c r="K1289" s="5"/>
    </row>
    <row r="1290" spans="1:11" x14ac:dyDescent="0.25">
      <c r="A1290" s="2">
        <v>45548</v>
      </c>
      <c r="B1290">
        <v>1451790.88</v>
      </c>
      <c r="C1290">
        <v>30253.52</v>
      </c>
      <c r="D1290" s="5">
        <v>-184038.13</v>
      </c>
      <c r="E1290">
        <f>D1290/MAX($B$2:B1290,100000)</f>
        <v>-0.11250450383261332</v>
      </c>
      <c r="G1290" s="2"/>
      <c r="H1290" s="5"/>
      <c r="K1290" s="5"/>
    </row>
    <row r="1291" spans="1:11" x14ac:dyDescent="0.25">
      <c r="A1291" s="2">
        <v>45555</v>
      </c>
      <c r="B1291">
        <v>1486047.25</v>
      </c>
      <c r="C1291">
        <v>102791.07</v>
      </c>
      <c r="D1291" s="5">
        <v>-149781.75</v>
      </c>
      <c r="E1291">
        <f>D1291/MAX($B$2:B1291,100000)</f>
        <v>-9.15632074012626E-2</v>
      </c>
      <c r="G1291" s="2"/>
      <c r="H1291" s="5"/>
      <c r="K1291" s="5"/>
    </row>
    <row r="1292" spans="1:11" x14ac:dyDescent="0.25">
      <c r="A1292" s="2">
        <v>45562</v>
      </c>
      <c r="B1292">
        <v>1461394.88</v>
      </c>
      <c r="C1292">
        <v>102791.07</v>
      </c>
      <c r="D1292" s="5">
        <v>-174434.13</v>
      </c>
      <c r="E1292">
        <f>D1292/MAX($B$2:B1292,100000)</f>
        <v>-0.10663347452576033</v>
      </c>
      <c r="G1292" s="2"/>
      <c r="H1292" s="5"/>
      <c r="K1292" s="5"/>
    </row>
    <row r="1293" spans="1:11" x14ac:dyDescent="0.25">
      <c r="A1293" s="2">
        <v>45569</v>
      </c>
      <c r="B1293">
        <v>1456351.25</v>
      </c>
      <c r="C1293">
        <v>102791.07</v>
      </c>
      <c r="D1293" s="5">
        <v>-179477.75</v>
      </c>
      <c r="E1293">
        <f>D1293/MAX($B$2:B1293,100000)</f>
        <v>-0.10971669410433486</v>
      </c>
      <c r="G1293" s="2"/>
      <c r="H1293" s="5"/>
      <c r="K1293" s="5"/>
    </row>
    <row r="1294" spans="1:11" x14ac:dyDescent="0.25">
      <c r="A1294" s="2">
        <v>45576</v>
      </c>
      <c r="B1294">
        <v>1475208.13</v>
      </c>
      <c r="C1294">
        <v>102791.07</v>
      </c>
      <c r="D1294" s="5">
        <v>-160620.88</v>
      </c>
      <c r="E1294">
        <f>D1294/MAX($B$2:B1294,100000)</f>
        <v>-9.8189285065859583E-2</v>
      </c>
      <c r="G1294" s="2"/>
      <c r="H1294" s="5"/>
      <c r="K1294" s="5"/>
    </row>
    <row r="1295" spans="1:11" x14ac:dyDescent="0.25">
      <c r="A1295" s="2">
        <v>45583</v>
      </c>
      <c r="B1295">
        <v>1522667.63</v>
      </c>
      <c r="C1295">
        <v>102791.07</v>
      </c>
      <c r="D1295" s="5">
        <v>-113161.38</v>
      </c>
      <c r="E1295">
        <f>D1295/MAX($B$2:B1295,100000)</f>
        <v>-6.9176778257385094E-2</v>
      </c>
      <c r="G1295" s="2"/>
      <c r="H1295" s="5"/>
      <c r="K1295" s="5"/>
    </row>
    <row r="1296" spans="1:11" x14ac:dyDescent="0.25">
      <c r="A1296" s="2">
        <v>45590</v>
      </c>
      <c r="B1296">
        <v>1503266</v>
      </c>
      <c r="C1296">
        <v>102791.07</v>
      </c>
      <c r="D1296" s="5">
        <v>-132563</v>
      </c>
      <c r="E1296">
        <f>D1296/MAX($B$2:B1296,100000)</f>
        <v>-8.1037198875921632E-2</v>
      </c>
      <c r="G1296" s="2"/>
      <c r="H1296" s="5"/>
      <c r="K1296" s="5"/>
    </row>
    <row r="1297" spans="1:11" x14ac:dyDescent="0.25">
      <c r="A1297" s="2">
        <v>45597</v>
      </c>
      <c r="B1297">
        <v>1487230.5</v>
      </c>
      <c r="C1297">
        <v>102791.07</v>
      </c>
      <c r="D1297" s="5">
        <v>-148598.5</v>
      </c>
      <c r="E1297">
        <f>D1297/MAX($B$2:B1297,100000)</f>
        <v>-9.0839873849895073E-2</v>
      </c>
      <c r="G1297" s="2"/>
      <c r="H1297" s="5"/>
      <c r="K1297" s="5"/>
    </row>
    <row r="1298" spans="1:11" x14ac:dyDescent="0.25">
      <c r="A1298" s="2">
        <v>45604</v>
      </c>
      <c r="B1298">
        <v>1508673.88</v>
      </c>
      <c r="C1298">
        <v>102791.07</v>
      </c>
      <c r="D1298" s="5">
        <v>-127155.13</v>
      </c>
      <c r="E1298">
        <f>D1298/MAX($B$2:B1298,100000)</f>
        <v>-7.7731309323896325E-2</v>
      </c>
      <c r="G1298" s="2"/>
      <c r="H1298" s="5"/>
      <c r="K1298" s="5"/>
    </row>
    <row r="1299" spans="1:11" x14ac:dyDescent="0.25">
      <c r="A1299" s="2">
        <v>45611</v>
      </c>
      <c r="B1299">
        <v>1520220.13</v>
      </c>
      <c r="C1299">
        <v>102791.07</v>
      </c>
      <c r="D1299" s="5">
        <v>-115608.88</v>
      </c>
      <c r="E1299">
        <f>D1299/MAX($B$2:B1299,100000)</f>
        <v>-7.0672961538155887E-2</v>
      </c>
      <c r="G1299" s="2"/>
      <c r="H1299" s="5"/>
      <c r="K1299" s="5"/>
    </row>
    <row r="1300" spans="1:11" x14ac:dyDescent="0.25">
      <c r="A1300" s="2">
        <v>45618</v>
      </c>
      <c r="B1300">
        <v>1527281.75</v>
      </c>
      <c r="C1300">
        <v>102791.07</v>
      </c>
      <c r="D1300" s="5">
        <v>-108547.25</v>
      </c>
      <c r="E1300">
        <f>D1300/MAX($B$2:B1300,100000)</f>
        <v>-6.6356110571459487E-2</v>
      </c>
      <c r="G1300" s="2"/>
      <c r="H1300" s="5"/>
      <c r="K1300" s="5"/>
    </row>
    <row r="1301" spans="1:11" x14ac:dyDescent="0.25">
      <c r="A1301" s="2">
        <v>45625</v>
      </c>
      <c r="B1301">
        <v>1520977.88</v>
      </c>
      <c r="C1301">
        <v>102791.07</v>
      </c>
      <c r="D1301" s="5">
        <v>-114851.13</v>
      </c>
      <c r="E1301">
        <f>D1301/MAX($B$2:B1301,100000)</f>
        <v>-7.0209740749185887E-2</v>
      </c>
      <c r="G1301" s="2"/>
      <c r="H1301" s="5"/>
      <c r="K1301" s="5"/>
    </row>
    <row r="1302" spans="1:11" x14ac:dyDescent="0.25">
      <c r="A1302" s="2">
        <v>45632</v>
      </c>
      <c r="B1302">
        <v>1511824.13</v>
      </c>
      <c r="C1302">
        <v>102791.07</v>
      </c>
      <c r="D1302" s="5">
        <v>-124004.88</v>
      </c>
      <c r="E1302">
        <f>D1302/MAX($B$2:B1302,100000)</f>
        <v>-7.5805527350352633E-2</v>
      </c>
      <c r="G1302" s="2"/>
      <c r="H1302" s="5"/>
      <c r="K1302" s="5"/>
    </row>
    <row r="1303" spans="1:11" x14ac:dyDescent="0.25">
      <c r="A1303" s="2">
        <v>45639</v>
      </c>
      <c r="B1303">
        <v>1518222.5</v>
      </c>
      <c r="C1303">
        <v>86232.7</v>
      </c>
      <c r="D1303" s="5">
        <v>-117606.5</v>
      </c>
      <c r="E1303">
        <f>D1303/MAX($B$2:B1303,100000)</f>
        <v>-7.1894128298251217E-2</v>
      </c>
      <c r="G1303" s="2"/>
      <c r="H1303" s="5"/>
      <c r="K1303" s="5"/>
    </row>
    <row r="1304" spans="1:11" x14ac:dyDescent="0.25">
      <c r="A1304" s="2">
        <v>45646</v>
      </c>
      <c r="B1304">
        <v>1496464.25</v>
      </c>
      <c r="C1304">
        <v>86232.7</v>
      </c>
      <c r="D1304" s="5">
        <v>-139364.75</v>
      </c>
      <c r="E1304">
        <f>D1304/MAX($B$2:B1304,100000)</f>
        <v>-8.519518238153255E-2</v>
      </c>
      <c r="G1304" s="2"/>
      <c r="H1304" s="5"/>
      <c r="K1304" s="5"/>
    </row>
    <row r="1305" spans="1:11" x14ac:dyDescent="0.25">
      <c r="A1305" s="2">
        <v>45653</v>
      </c>
      <c r="B1305">
        <v>1537248.5</v>
      </c>
      <c r="C1305">
        <v>187754.52</v>
      </c>
      <c r="D1305" s="5">
        <v>-98580.5</v>
      </c>
      <c r="E1305">
        <f>D1305/MAX($B$2:B1305,100000)</f>
        <v>-6.0263328257415656E-2</v>
      </c>
      <c r="G1305" s="2"/>
      <c r="H1305" s="5"/>
      <c r="K1305" s="5"/>
    </row>
    <row r="1306" spans="1:11" x14ac:dyDescent="0.25">
      <c r="A1306" s="2">
        <v>45660</v>
      </c>
      <c r="B1306">
        <v>1530293.63</v>
      </c>
      <c r="C1306">
        <v>187754.52</v>
      </c>
      <c r="D1306" s="5">
        <v>-105535.38</v>
      </c>
      <c r="E1306">
        <f>D1306/MAX($B$2:B1306,100000)</f>
        <v>-6.4514921791947691E-2</v>
      </c>
      <c r="G1306" s="2"/>
      <c r="H1306" s="5"/>
      <c r="K1306" s="5"/>
    </row>
    <row r="1307" spans="1:11" x14ac:dyDescent="0.25">
      <c r="A1307" s="2">
        <v>45667</v>
      </c>
      <c r="B1307">
        <v>1556404.75</v>
      </c>
      <c r="C1307">
        <v>187754.52</v>
      </c>
      <c r="D1307" s="5">
        <v>-79424.25</v>
      </c>
      <c r="E1307">
        <f>D1307/MAX($B$2:B1307,100000)</f>
        <v>-4.8552904979676972E-2</v>
      </c>
      <c r="G1307" s="2"/>
      <c r="H1307" s="5"/>
      <c r="K1307" s="5"/>
    </row>
    <row r="1308" spans="1:11" x14ac:dyDescent="0.25">
      <c r="A1308" s="2">
        <v>45674</v>
      </c>
      <c r="B1308">
        <v>1550170.75</v>
      </c>
      <c r="C1308">
        <v>187754.52</v>
      </c>
      <c r="D1308" s="5">
        <v>-85658.25</v>
      </c>
      <c r="E1308">
        <f>D1308/MAX($B$2:B1308,100000)</f>
        <v>-5.2363816755907858E-2</v>
      </c>
      <c r="G1308" s="2"/>
      <c r="H1308" s="5"/>
      <c r="K1308" s="5"/>
    </row>
    <row r="1309" spans="1:11" x14ac:dyDescent="0.25">
      <c r="A1309" s="2">
        <v>45681</v>
      </c>
      <c r="B1309">
        <v>1579577.13</v>
      </c>
      <c r="C1309">
        <v>187754.52</v>
      </c>
      <c r="D1309" s="5">
        <v>-56251.88</v>
      </c>
      <c r="E1309">
        <f>D1309/MAX($B$2:B1309,100000)</f>
        <v>-3.4387384011409505E-2</v>
      </c>
      <c r="G1309" s="2"/>
      <c r="H1309" s="5"/>
      <c r="K1309" s="5"/>
    </row>
    <row r="1310" spans="1:11" x14ac:dyDescent="0.25">
      <c r="A1310" s="2">
        <v>45688</v>
      </c>
      <c r="B1310">
        <v>1575373.25</v>
      </c>
      <c r="C1310">
        <v>187754.52</v>
      </c>
      <c r="D1310" s="5">
        <v>-60455.75</v>
      </c>
      <c r="E1310">
        <f>D1310/MAX($B$2:B1310,100000)</f>
        <v>-3.6957255312138372E-2</v>
      </c>
      <c r="G1310" s="2"/>
      <c r="H1310" s="5"/>
      <c r="K1310" s="5"/>
    </row>
    <row r="1311" spans="1:11" x14ac:dyDescent="0.25">
      <c r="A1311" s="2">
        <v>45695</v>
      </c>
      <c r="B1311">
        <v>1584271.88</v>
      </c>
      <c r="C1311">
        <v>68201.039999999994</v>
      </c>
      <c r="D1311" s="5">
        <v>-51557.13</v>
      </c>
      <c r="E1311">
        <f>D1311/MAX($B$2:B1311,100000)</f>
        <v>-3.1517432445567352E-2</v>
      </c>
      <c r="G1311" s="2"/>
      <c r="H1311" s="5"/>
      <c r="K1311" s="5"/>
    </row>
    <row r="1312" spans="1:11" x14ac:dyDescent="0.25">
      <c r="A1312" s="2">
        <v>45702</v>
      </c>
      <c r="B1312">
        <v>1588159.25</v>
      </c>
      <c r="C1312">
        <v>68201.039999999994</v>
      </c>
      <c r="D1312" s="5">
        <v>-47669.75</v>
      </c>
      <c r="E1312">
        <f>D1312/MAX($B$2:B1312,100000)</f>
        <v>-2.9141034912573381E-2</v>
      </c>
      <c r="G1312" s="2"/>
      <c r="H1312" s="5"/>
      <c r="K1312" s="5"/>
    </row>
    <row r="1313" spans="1:11" x14ac:dyDescent="0.25">
      <c r="A1313" s="2">
        <v>45709</v>
      </c>
      <c r="B1313">
        <v>1519862.25</v>
      </c>
      <c r="C1313">
        <v>68201.039999999994</v>
      </c>
      <c r="D1313" s="5">
        <v>-115966.75</v>
      </c>
      <c r="E1313">
        <f>D1313/MAX($B$2:B1313,100000)</f>
        <v>-7.0891731348447784E-2</v>
      </c>
      <c r="G1313" s="2"/>
      <c r="H1313" s="5"/>
      <c r="K1313" s="5"/>
    </row>
    <row r="1314" spans="1:11" x14ac:dyDescent="0.25">
      <c r="A1314" s="2">
        <v>45716</v>
      </c>
      <c r="B1314">
        <v>1523512.5</v>
      </c>
      <c r="C1314">
        <v>68201.039999999994</v>
      </c>
      <c r="D1314" s="5">
        <v>-112316.5</v>
      </c>
      <c r="E1314">
        <f>D1314/MAX($B$2:B1314,100000)</f>
        <v>-6.8660293954930493E-2</v>
      </c>
      <c r="G1314" s="2"/>
      <c r="H1314" s="5"/>
      <c r="K1314" s="5"/>
    </row>
    <row r="1315" spans="1:11" x14ac:dyDescent="0.25">
      <c r="A1315" s="2">
        <v>45723</v>
      </c>
      <c r="B1315">
        <v>1500694.5</v>
      </c>
      <c r="C1315">
        <v>414861.41</v>
      </c>
      <c r="D1315" s="5">
        <v>-135134.5</v>
      </c>
      <c r="E1315">
        <f>D1315/MAX($B$2:B1315,100000)</f>
        <v>-8.260918470084587E-2</v>
      </c>
      <c r="G1315" s="2"/>
      <c r="H1315" s="5"/>
      <c r="K1315" s="5"/>
    </row>
    <row r="1316" spans="1:11" x14ac:dyDescent="0.25">
      <c r="A1316" s="2">
        <v>45730</v>
      </c>
      <c r="B1316">
        <v>1479135.63</v>
      </c>
      <c r="C1316">
        <v>414861.41</v>
      </c>
      <c r="D1316" s="5">
        <v>-156693.38</v>
      </c>
      <c r="E1316">
        <f>D1316/MAX($B$2:B1316,100000)</f>
        <v>-9.5788361741966921E-2</v>
      </c>
      <c r="G1316" s="2"/>
      <c r="H1316" s="5"/>
      <c r="K1316" s="5"/>
    </row>
    <row r="1317" spans="1:11" x14ac:dyDescent="0.25">
      <c r="A1317" s="2">
        <v>45737</v>
      </c>
      <c r="B1317">
        <v>1496930.38</v>
      </c>
      <c r="C1317">
        <v>523871.59</v>
      </c>
      <c r="D1317" s="5">
        <v>-138898.63</v>
      </c>
      <c r="E1317">
        <f>D1317/MAX($B$2:B1317,100000)</f>
        <v>-8.4910238172816357E-2</v>
      </c>
      <c r="G1317" s="2"/>
      <c r="H1317" s="5"/>
      <c r="K1317" s="5"/>
    </row>
    <row r="1318" spans="1:11" x14ac:dyDescent="0.25">
      <c r="A1318" s="2">
        <v>45744</v>
      </c>
      <c r="B1318">
        <v>1506304.88</v>
      </c>
      <c r="C1318">
        <v>686160.94</v>
      </c>
      <c r="D1318" s="5">
        <v>-129524.13</v>
      </c>
      <c r="E1318">
        <f>D1318/MAX($B$2:B1318,100000)</f>
        <v>-7.9179504703731265E-2</v>
      </c>
      <c r="G1318" s="2"/>
      <c r="H1318" s="5"/>
      <c r="K1318" s="5"/>
    </row>
    <row r="1319" spans="1:11" x14ac:dyDescent="0.25">
      <c r="A1319" s="2">
        <v>45751</v>
      </c>
      <c r="B1319">
        <v>1489012.88</v>
      </c>
      <c r="C1319">
        <v>686160.94</v>
      </c>
      <c r="D1319" s="5">
        <v>-146816.13</v>
      </c>
      <c r="E1319">
        <f>D1319/MAX($B$2:B1319,100000)</f>
        <v>-8.9750291748098371E-2</v>
      </c>
      <c r="G1319" s="2"/>
      <c r="H1319" s="5"/>
      <c r="K1319" s="5"/>
    </row>
    <row r="1320" spans="1:11" x14ac:dyDescent="0.25">
      <c r="A1320" s="2">
        <v>45758</v>
      </c>
      <c r="B1320">
        <v>1464163</v>
      </c>
      <c r="C1320">
        <v>686160.94</v>
      </c>
      <c r="D1320" s="5">
        <v>-171666</v>
      </c>
      <c r="E1320">
        <f>D1320/MAX($B$2:B1320,100000)</f>
        <v>-0.10494128665037727</v>
      </c>
      <c r="G1320" s="2"/>
      <c r="H1320" s="5"/>
      <c r="K1320" s="5"/>
    </row>
    <row r="1321" spans="1:11" x14ac:dyDescent="0.25">
      <c r="A1321" s="2">
        <v>45764</v>
      </c>
      <c r="B1321">
        <v>1486163.88</v>
      </c>
      <c r="C1321">
        <v>835947.38</v>
      </c>
      <c r="D1321" s="5">
        <v>-149665.13</v>
      </c>
      <c r="E1321">
        <f>D1321/MAX($B$2:B1321,100000)</f>
        <v>-9.1491916331107967E-2</v>
      </c>
      <c r="G1321" s="2"/>
      <c r="H1321" s="5"/>
      <c r="K1321" s="5"/>
    </row>
    <row r="1322" spans="1:11" x14ac:dyDescent="0.25">
      <c r="A1322" s="2">
        <v>45771</v>
      </c>
      <c r="B1322">
        <v>1492553.63</v>
      </c>
      <c r="C1322">
        <v>835947.38</v>
      </c>
      <c r="D1322" s="5">
        <v>-143275.38</v>
      </c>
      <c r="E1322">
        <f>D1322/MAX($B$2:B1322,100000)</f>
        <v>-8.7585792891555297E-2</v>
      </c>
      <c r="G1322" s="2"/>
      <c r="H1322" s="5"/>
      <c r="K1322" s="5"/>
    </row>
    <row r="1323" spans="1:11" x14ac:dyDescent="0.25">
      <c r="A1323" s="2">
        <v>45779</v>
      </c>
      <c r="B1323">
        <v>1518931.88</v>
      </c>
      <c r="C1323">
        <v>835947.38</v>
      </c>
      <c r="D1323" s="5">
        <v>-116897.13</v>
      </c>
      <c r="E1323">
        <f>D1323/MAX($B$2:B1323,100000)</f>
        <v>-7.1460482727717878E-2</v>
      </c>
      <c r="G1323" s="2"/>
      <c r="H1323" s="5"/>
      <c r="K1323" s="5"/>
    </row>
    <row r="1324" spans="1:11" x14ac:dyDescent="0.25">
      <c r="A1324" s="2">
        <v>45786</v>
      </c>
      <c r="B1324">
        <v>1548056</v>
      </c>
      <c r="C1324">
        <v>134405.92000000001</v>
      </c>
      <c r="D1324" s="5">
        <v>-87773</v>
      </c>
      <c r="E1324">
        <f>D1324/MAX($B$2:B1324,100000)</f>
        <v>-5.3656586354686217E-2</v>
      </c>
      <c r="G1324" s="2"/>
      <c r="H1324" s="5"/>
      <c r="K1324" s="5"/>
    </row>
    <row r="1325" spans="1:11" x14ac:dyDescent="0.25">
      <c r="A1325" s="2">
        <v>45793</v>
      </c>
      <c r="B1325">
        <v>1543641.63</v>
      </c>
      <c r="C1325">
        <v>14541.18</v>
      </c>
      <c r="D1325" s="5">
        <v>-92187.38</v>
      </c>
      <c r="E1325">
        <f>D1325/MAX($B$2:B1325,100000)</f>
        <v>-5.6355144700332371E-2</v>
      </c>
      <c r="G1325" s="2"/>
      <c r="H1325" s="5"/>
      <c r="K1325" s="5"/>
    </row>
    <row r="1326" spans="1:11" x14ac:dyDescent="0.25">
      <c r="A1326" s="2">
        <v>45800</v>
      </c>
      <c r="B1326">
        <v>1554682.38</v>
      </c>
      <c r="C1326">
        <v>14541.18</v>
      </c>
      <c r="D1326" s="5">
        <v>-81146.63</v>
      </c>
      <c r="E1326">
        <f>D1326/MAX($B$2:B1326,100000)</f>
        <v>-4.9605814544185244E-2</v>
      </c>
      <c r="G1326" s="2"/>
      <c r="H1326" s="5"/>
      <c r="K1326" s="5"/>
    </row>
    <row r="1327" spans="1:11" x14ac:dyDescent="0.25">
      <c r="A1327" s="2">
        <v>45807</v>
      </c>
      <c r="B1327">
        <v>1555587.25</v>
      </c>
      <c r="C1327">
        <v>14541.18</v>
      </c>
      <c r="D1327" s="5">
        <v>-80241.75</v>
      </c>
      <c r="E1327">
        <f>D1327/MAX($B$2:B1327,100000)</f>
        <v>-4.9052651591333811E-2</v>
      </c>
      <c r="G1327" s="2"/>
      <c r="H1327" s="5"/>
      <c r="K1327" s="5"/>
    </row>
    <row r="1328" spans="1:11" x14ac:dyDescent="0.25">
      <c r="A1328" s="2">
        <v>45814</v>
      </c>
      <c r="B1328">
        <v>1576662.38</v>
      </c>
      <c r="C1328">
        <v>14541.18</v>
      </c>
      <c r="D1328" s="5">
        <v>-59166.63</v>
      </c>
      <c r="E1328">
        <f>D1328/MAX($B$2:B1328,100000)</f>
        <v>-3.6169202282145624E-2</v>
      </c>
      <c r="G1328" s="2"/>
      <c r="H1328" s="5"/>
      <c r="K1328" s="5"/>
    </row>
    <row r="1329" spans="1:11" x14ac:dyDescent="0.25">
      <c r="A1329" s="2">
        <v>45821</v>
      </c>
      <c r="B1329">
        <v>1597135.75</v>
      </c>
      <c r="C1329">
        <v>14541.18</v>
      </c>
      <c r="D1329" s="5">
        <v>-38693.25</v>
      </c>
      <c r="E1329">
        <f>D1329/MAX($B$2:B1329,100000)</f>
        <v>-2.3653603157787275E-2</v>
      </c>
      <c r="G1329" s="2"/>
      <c r="H1329" s="5"/>
      <c r="K1329" s="5"/>
    </row>
    <row r="1330" spans="1:11" x14ac:dyDescent="0.25">
      <c r="A1330" s="2">
        <v>45828</v>
      </c>
      <c r="B1330">
        <v>1580270.25</v>
      </c>
      <c r="C1330">
        <v>14541.18</v>
      </c>
      <c r="D1330" s="5">
        <v>-55558.75</v>
      </c>
      <c r="E1330">
        <f>D1330/MAX($B$2:B1330,100000)</f>
        <v>-3.3963666128916895E-2</v>
      </c>
      <c r="G1330" s="2"/>
      <c r="H1330" s="5"/>
      <c r="K1330" s="5"/>
    </row>
    <row r="1331" spans="1:11" x14ac:dyDescent="0.25">
      <c r="A1331" s="2">
        <v>45835</v>
      </c>
      <c r="B1331">
        <v>1571871.88</v>
      </c>
      <c r="C1331">
        <v>14541.18</v>
      </c>
      <c r="D1331" s="5">
        <v>-63957.13</v>
      </c>
      <c r="E1331">
        <f>D1331/MAX($B$2:B1331,100000)</f>
        <v>-3.9097686860912723E-2</v>
      </c>
      <c r="G1331" s="2"/>
      <c r="H1331" s="5"/>
      <c r="K1331" s="5"/>
    </row>
    <row r="1332" spans="1:11" x14ac:dyDescent="0.25">
      <c r="A1332" s="2">
        <v>45842</v>
      </c>
      <c r="B1332">
        <v>1585378.25</v>
      </c>
      <c r="C1332">
        <v>14541.18</v>
      </c>
      <c r="D1332">
        <v>-50450.75</v>
      </c>
      <c r="E1332">
        <f>D1332/MAX($B$2:B1332,100000)</f>
        <v>-3.0841090358466564E-2</v>
      </c>
      <c r="H1332" s="2"/>
    </row>
    <row r="1333" spans="1:11" x14ac:dyDescent="0.25">
      <c r="A1333" s="2">
        <v>45849</v>
      </c>
      <c r="B1333">
        <v>1578796.13</v>
      </c>
      <c r="C1333">
        <v>14541.18</v>
      </c>
      <c r="D1333">
        <v>-57032.88</v>
      </c>
      <c r="E1333">
        <f>D1333/MAX($B$2:B1333,100000)</f>
        <v>-3.4864817777408276E-2</v>
      </c>
      <c r="H1333" s="2"/>
    </row>
    <row r="1334" spans="1:11" x14ac:dyDescent="0.25">
      <c r="A1334" s="2">
        <v>45856</v>
      </c>
      <c r="B1334">
        <v>1603867</v>
      </c>
      <c r="C1334">
        <v>14541.18</v>
      </c>
      <c r="D1334">
        <v>-31962</v>
      </c>
      <c r="E1334">
        <f>D1334/MAX($B$2:B1334,100000)</f>
        <v>-1.9538717066392635E-2</v>
      </c>
      <c r="H1334" s="2"/>
    </row>
    <row r="1335" spans="1:11" x14ac:dyDescent="0.25">
      <c r="A1335" s="2">
        <v>45863</v>
      </c>
      <c r="B1335">
        <v>1581431.25</v>
      </c>
      <c r="C1335">
        <v>14541.18</v>
      </c>
      <c r="D1335">
        <v>-54397.75</v>
      </c>
      <c r="E1335">
        <f>D1335/MAX($B$2:B1335,100000)</f>
        <v>-3.3253934243738188E-2</v>
      </c>
      <c r="H1335" s="2"/>
    </row>
    <row r="1336" spans="1:11" x14ac:dyDescent="0.25">
      <c r="A1336" s="2">
        <v>45870</v>
      </c>
      <c r="B1336">
        <v>1603862.5</v>
      </c>
      <c r="C1336">
        <v>14541.18</v>
      </c>
      <c r="D1336">
        <v>-31966.5</v>
      </c>
      <c r="E1336">
        <f>D1336/MAX($B$2:B1336,100000)</f>
        <v>-1.95414679651724E-2</v>
      </c>
      <c r="G1336" s="10"/>
      <c r="H1336" s="2"/>
    </row>
    <row r="1337" spans="1:11" x14ac:dyDescent="0.25">
      <c r="A1337" s="2">
        <v>45873</v>
      </c>
      <c r="B1337">
        <v>1605276.9</v>
      </c>
      <c r="C1337">
        <v>14541.18</v>
      </c>
      <c r="D1337">
        <f t="shared" ref="D1337" si="0">B1337-MAX(B2:B1337,100000)</f>
        <v>-30552.100000000093</v>
      </c>
      <c r="E1337">
        <f>D1337/MAX($B$2:B1337,100000)</f>
        <v>-1.8676829913151127E-2</v>
      </c>
    </row>
    <row r="1338" spans="1:11" x14ac:dyDescent="0.25">
      <c r="A1338" s="6">
        <v>45877</v>
      </c>
      <c r="B1338">
        <v>1631042.5</v>
      </c>
      <c r="C1338">
        <v>14541.18</v>
      </c>
      <c r="D1338">
        <f t="shared" ref="D1338" si="1">B1338-MAX(B3:B1338,100000)</f>
        <v>-4786.5</v>
      </c>
      <c r="E1338">
        <f>D1338/MAX($B$2:B1338,100000)</f>
        <v>-2.926039335407307E-3</v>
      </c>
    </row>
    <row r="1339" spans="1:11" x14ac:dyDescent="0.25">
      <c r="A1339" s="2">
        <v>45880</v>
      </c>
      <c r="B1339">
        <v>1630704.9</v>
      </c>
      <c r="C1339">
        <v>14541.18</v>
      </c>
      <c r="D1339">
        <f t="shared" ref="D1339" si="2">B1339-MAX(B4:B1339,100000)</f>
        <v>-5124.1000000000931</v>
      </c>
      <c r="E1339">
        <f>D1339/MAX($B$2:B1339,100000)</f>
        <v>-3.1324178749735413E-3</v>
      </c>
    </row>
    <row r="1340" spans="1:11" x14ac:dyDescent="0.25">
      <c r="A1340" s="2">
        <v>45884</v>
      </c>
      <c r="B1340">
        <v>1648174.5</v>
      </c>
      <c r="C1340">
        <v>14541.18</v>
      </c>
      <c r="D1340">
        <f t="shared" ref="D1340" si="3">B1340-MAX(B5:B1340,100000)</f>
        <v>0</v>
      </c>
      <c r="E1340">
        <f>D1340/MAX($B$2:B1340,100000)</f>
        <v>0</v>
      </c>
    </row>
    <row r="1341" spans="1:11" x14ac:dyDescent="0.25">
      <c r="A1341" s="2">
        <v>45887</v>
      </c>
      <c r="B1341">
        <v>1654785.8</v>
      </c>
      <c r="C1341">
        <v>14541.18</v>
      </c>
      <c r="D1341">
        <f t="shared" ref="D1341:D1342" si="4">B1341-MAX(B6:B1341,100000)</f>
        <v>0</v>
      </c>
      <c r="E1341">
        <f>D1341/MAX($B$2:B1341,100000)</f>
        <v>0</v>
      </c>
    </row>
    <row r="1342" spans="1:11" x14ac:dyDescent="0.25">
      <c r="A1342" s="2">
        <v>45891</v>
      </c>
      <c r="B1342">
        <v>1661834.2</v>
      </c>
      <c r="C1342">
        <v>14541.18</v>
      </c>
      <c r="D1342">
        <f t="shared" si="4"/>
        <v>0</v>
      </c>
      <c r="E1342">
        <f>D1342/MAX($B$2:B1342,100000)</f>
        <v>0</v>
      </c>
    </row>
    <row r="1343" spans="1:11" x14ac:dyDescent="0.25">
      <c r="A1343" s="2">
        <v>45894</v>
      </c>
      <c r="B1343">
        <v>1656581</v>
      </c>
      <c r="C1343">
        <v>-23070.954559999976</v>
      </c>
      <c r="D1343">
        <f t="shared" ref="D1343" si="5">B1343-MAX(B8:B1343,100000)</f>
        <v>-5253.1999999999534</v>
      </c>
      <c r="E1343">
        <f>D1343/MAX($B$2:B1343,100000)</f>
        <v>-3.1610855041976833E-3</v>
      </c>
    </row>
    <row r="1344" spans="1:11" x14ac:dyDescent="0.25">
      <c r="A1344" s="2">
        <f>A1342+7</f>
        <v>45898</v>
      </c>
      <c r="B1344">
        <v>1621866.8</v>
      </c>
      <c r="C1344">
        <v>-23070.954559999976</v>
      </c>
      <c r="D1344">
        <f t="shared" ref="D1344" si="6">B1344-MAX(B9:B1344,100000)</f>
        <v>-39967.399999999907</v>
      </c>
      <c r="E1344">
        <f>D1344/MAX($B$2:B1344,100000)</f>
        <v>-2.4050172995597217E-2</v>
      </c>
      <c r="I1344" s="2"/>
    </row>
    <row r="1345" spans="1:5" x14ac:dyDescent="0.25">
      <c r="A1345" s="2">
        <v>45900</v>
      </c>
      <c r="B1345">
        <v>1621866.8</v>
      </c>
      <c r="C1345">
        <v>-23070.954559999976</v>
      </c>
      <c r="D1345">
        <f t="shared" ref="D1345" si="7">B1345-MAX(B10:B1345,100000)</f>
        <v>-39967.399999999907</v>
      </c>
      <c r="E1345">
        <f>D1345/MAX($B$2:B1345,100000)</f>
        <v>-2.4050172995597217E-2</v>
      </c>
    </row>
    <row r="1346" spans="1:5" x14ac:dyDescent="0.25">
      <c r="A1346" s="2">
        <v>45901</v>
      </c>
      <c r="B1346">
        <v>1607169.5</v>
      </c>
      <c r="C1346">
        <v>-23070.954559999976</v>
      </c>
      <c r="D1346">
        <f t="shared" ref="D1346" si="8">B1346-MAX(B11:B1346,100000)</f>
        <v>-54664.699999999953</v>
      </c>
      <c r="E1346">
        <f>D1346/MAX($B$2:B1346,100000)</f>
        <v>-3.2894196063602464E-2</v>
      </c>
    </row>
    <row r="1347" spans="1:5" x14ac:dyDescent="0.25">
      <c r="A1347" s="2">
        <v>45907</v>
      </c>
      <c r="B1347">
        <v>1604069.8</v>
      </c>
      <c r="C1347">
        <v>-23070.954559999976</v>
      </c>
      <c r="D1347">
        <f t="shared" ref="D1347" si="9">B1347-MAX(B12:B1347,100000)</f>
        <v>-57764.399999999907</v>
      </c>
      <c r="E1347">
        <f>D1347/MAX($B$2:B1347,100000)</f>
        <v>-3.4759424255440111E-2</v>
      </c>
    </row>
    <row r="1348" spans="1:5" x14ac:dyDescent="0.25">
      <c r="A1348" s="2">
        <v>45908</v>
      </c>
      <c r="B1348">
        <v>1594201.2</v>
      </c>
      <c r="C1348">
        <v>-23070.954559999976</v>
      </c>
      <c r="D1348">
        <f t="shared" ref="D1348" si="10">B1348-MAX(B13:B1348,100000)</f>
        <v>-67633</v>
      </c>
      <c r="E1348">
        <f>D1348/MAX($B$2:B1348,100000)</f>
        <v>-4.0697802464289161E-2</v>
      </c>
    </row>
    <row r="1349" spans="1:5" x14ac:dyDescent="0.25">
      <c r="A1349" s="2">
        <v>45914</v>
      </c>
      <c r="B1349">
        <v>1622447.8</v>
      </c>
      <c r="C1349">
        <v>-23070.954559999976</v>
      </c>
      <c r="D1349">
        <f t="shared" ref="D1349" si="11">B1349-MAX(B14:B1349,100000)</f>
        <v>-39386.399999999907</v>
      </c>
      <c r="E1349">
        <f>D1349/MAX($B$2:B1349,100000)</f>
        <v>-2.3700559297672358E-2</v>
      </c>
    </row>
    <row r="1350" spans="1:5" x14ac:dyDescent="0.25">
      <c r="A1350" s="2">
        <v>45915</v>
      </c>
      <c r="B1350">
        <v>1620991.4</v>
      </c>
      <c r="C1350">
        <v>-23070.954559999976</v>
      </c>
      <c r="D1350">
        <f t="shared" ref="D1350" si="12">B1350-MAX(B15:B1350,100000)</f>
        <v>-40842.800000000047</v>
      </c>
      <c r="E1350">
        <f>D1350/MAX($B$2:B1350,100000)</f>
        <v>-2.4576940346997339E-2</v>
      </c>
    </row>
    <row r="1351" spans="1:5" x14ac:dyDescent="0.25">
      <c r="A1351" s="2">
        <v>45921</v>
      </c>
      <c r="B1351">
        <v>1605734.1</v>
      </c>
      <c r="C1351">
        <v>-23070.954559999976</v>
      </c>
      <c r="D1351">
        <f t="shared" ref="D1351" si="13">B1351-MAX(B16:B1351,100000)</f>
        <v>-56100.09999999986</v>
      </c>
      <c r="E1351">
        <f>D1351/MAX($B$2:B1351,100000)</f>
        <v>-3.3757940473243278E-2</v>
      </c>
    </row>
    <row r="1352" spans="1:5" x14ac:dyDescent="0.25">
      <c r="A1352" s="2">
        <v>45922</v>
      </c>
      <c r="B1352">
        <v>1604099.8</v>
      </c>
      <c r="C1352">
        <v>-23070.954559999976</v>
      </c>
      <c r="D1352">
        <f t="shared" ref="D1352" si="14">B1352-MAX(B17:B1352,100000)</f>
        <v>-57734.399999999907</v>
      </c>
      <c r="E1352">
        <f>D1352/MAX($B$2:B1352,100000)</f>
        <v>-3.474137191303435E-2</v>
      </c>
    </row>
    <row r="1353" spans="1:5" x14ac:dyDescent="0.25">
      <c r="A1353" s="2">
        <v>45928</v>
      </c>
      <c r="B1353">
        <v>1593750.6</v>
      </c>
      <c r="C1353">
        <v>-23070.954559999976</v>
      </c>
      <c r="D1353">
        <f t="shared" ref="D1353" si="15">B1353-MAX(B18:B1353,100000)</f>
        <v>-68083.59999999986</v>
      </c>
      <c r="E1353">
        <f>D1353/MAX($B$2:B1353,100000)</f>
        <v>-4.0968948647223571E-2</v>
      </c>
    </row>
    <row r="1354" spans="1:5" x14ac:dyDescent="0.25">
      <c r="A1354" s="2">
        <v>45929</v>
      </c>
      <c r="B1354">
        <v>1601217.6</v>
      </c>
      <c r="C1354">
        <v>-23070.954559999976</v>
      </c>
      <c r="D1354">
        <f t="shared" ref="D1354" si="16">B1354-MAX(B19:B1354,100000)</f>
        <v>-60616.59999999986</v>
      </c>
      <c r="E1354">
        <f>D1354/MAX($B$2:B1354,100000)</f>
        <v>-3.6475720622430242E-2</v>
      </c>
    </row>
    <row r="1355" spans="1:5" x14ac:dyDescent="0.25">
      <c r="A1355" s="2">
        <v>45930</v>
      </c>
      <c r="B1355">
        <v>1597659.1</v>
      </c>
      <c r="C1355">
        <v>-23070.954559999976</v>
      </c>
      <c r="D1355">
        <f t="shared" ref="D1355" si="17">B1355-MAX(B20:B1355,100000)</f>
        <v>-64175.09999999986</v>
      </c>
      <c r="E1355">
        <f>D1355/MAX($B$2:B1355,100000)</f>
        <v>-3.8617029304126645E-2</v>
      </c>
    </row>
    <row r="1356" spans="1:5" x14ac:dyDescent="0.25">
      <c r="A1356" s="2">
        <v>45935</v>
      </c>
      <c r="B1356">
        <v>1616247.8</v>
      </c>
      <c r="C1356">
        <v>-23070.954559999976</v>
      </c>
      <c r="D1356">
        <f t="shared" ref="D1356" si="18">B1356-MAX(B21:B1356,100000)</f>
        <v>-45586.399999999907</v>
      </c>
      <c r="E1356">
        <f>D1356/MAX($B$2:B1356,100000)</f>
        <v>-2.7431376728195813E-2</v>
      </c>
    </row>
    <row r="1357" spans="1:5" x14ac:dyDescent="0.25">
      <c r="A1357" s="2">
        <v>45936</v>
      </c>
      <c r="B1357">
        <v>1612858.6</v>
      </c>
      <c r="C1357">
        <v>-23070.954559999976</v>
      </c>
      <c r="D1357">
        <f t="shared" ref="D1357" si="19">B1357-MAX(B22:B1357,100000)</f>
        <v>-48975.59999999986</v>
      </c>
      <c r="E1357">
        <f>D1357/MAX($B$2:B1357,100000)</f>
        <v>-2.9470810024249026E-2</v>
      </c>
    </row>
    <row r="1358" spans="1:5" x14ac:dyDescent="0.25">
      <c r="A1358" s="2">
        <v>45942</v>
      </c>
      <c r="B1358">
        <v>1625615.8</v>
      </c>
      <c r="C1358">
        <v>-23070.954559999976</v>
      </c>
      <c r="D1358">
        <f t="shared" ref="D1358" si="20">B1358-MAX(B23:B1358,100000)</f>
        <v>-36218.399999999907</v>
      </c>
      <c r="E1358">
        <f>D1358/MAX($B$2:B1358,100000)</f>
        <v>-2.1794231939624247E-2</v>
      </c>
    </row>
    <row r="1359" spans="1:5" x14ac:dyDescent="0.25">
      <c r="A1359" s="2">
        <v>45943</v>
      </c>
      <c r="B1359">
        <v>1614967.4</v>
      </c>
      <c r="C1359">
        <v>-23070.954559999976</v>
      </c>
      <c r="D1359">
        <f t="shared" ref="D1359" si="21">B1359-MAX(B24:B1359,100000)</f>
        <v>-46866.800000000047</v>
      </c>
      <c r="E1359">
        <f>D1359/MAX($B$2:B1359,100000)</f>
        <v>-2.8201850702073678E-2</v>
      </c>
    </row>
    <row r="1360" spans="1:5" x14ac:dyDescent="0.25">
      <c r="A1360" s="2">
        <v>45949</v>
      </c>
      <c r="B1360">
        <v>1624869.9</v>
      </c>
      <c r="C1360">
        <v>-23070.954559999976</v>
      </c>
      <c r="D1360">
        <f t="shared" ref="D1360" si="22">B1360-MAX(B25:B1360,100000)</f>
        <v>-36964.300000000047</v>
      </c>
      <c r="E1360">
        <f>D1360/MAX($B$2:B1360,100000)</f>
        <v>-2.2243073346306177E-2</v>
      </c>
    </row>
    <row r="1361" spans="1:5" x14ac:dyDescent="0.25">
      <c r="A1361" s="2">
        <v>45950</v>
      </c>
      <c r="B1361">
        <v>1634184</v>
      </c>
      <c r="C1361">
        <v>-23070.954559999976</v>
      </c>
      <c r="D1361">
        <f t="shared" ref="D1361" si="23">B1361-MAX(B26:B1361,100000)</f>
        <v>-27650.199999999953</v>
      </c>
      <c r="E1361">
        <f>D1361/MAX($B$2:B1361,100000)</f>
        <v>-1.6638362599590232E-2</v>
      </c>
    </row>
    <row r="1362" spans="1:5" x14ac:dyDescent="0.25">
      <c r="A1362" s="2">
        <v>45956</v>
      </c>
      <c r="B1362">
        <v>1634845.9</v>
      </c>
      <c r="C1362">
        <v>-23070.954559999976</v>
      </c>
      <c r="D1362">
        <f t="shared" ref="D1362" si="24">B1362-MAX(B27:B1362,100000)</f>
        <v>-26988.300000000047</v>
      </c>
      <c r="E1362">
        <f>D1362/MAX($B$2:B1362,100000)</f>
        <v>-1.6240067751644566E-2</v>
      </c>
    </row>
    <row r="1363" spans="1:5" x14ac:dyDescent="0.25">
      <c r="A1363" s="2">
        <v>45957</v>
      </c>
      <c r="B1363">
        <v>1632838.4</v>
      </c>
      <c r="C1363">
        <v>-23070.954559999976</v>
      </c>
      <c r="D1363">
        <f t="shared" ref="D1363" si="25">B1363-MAX(B28:B1363,100000)</f>
        <v>-28995.800000000047</v>
      </c>
      <c r="E1363">
        <f>D1363/MAX($B$2:B1363,100000)</f>
        <v>-1.7448070330963249E-2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0"/>
  <sheetViews>
    <sheetView workbookViewId="0">
      <selection activeCell="M3" sqref="M3"/>
    </sheetView>
  </sheetViews>
  <sheetFormatPr defaultRowHeight="15" x14ac:dyDescent="0.25"/>
  <cols>
    <col min="1" max="1" width="10.140625" bestFit="1" customWidth="1"/>
    <col min="2" max="2" width="10.140625" customWidth="1"/>
    <col min="3" max="3" width="10.42578125" bestFit="1" customWidth="1"/>
    <col min="4" max="4" width="10.7109375" bestFit="1" customWidth="1"/>
    <col min="6" max="6" width="10.7109375" bestFit="1" customWidth="1"/>
    <col min="10" max="10" width="10.140625" bestFit="1" customWidth="1"/>
    <col min="13" max="13" width="10.140625" bestFit="1" customWidth="1"/>
    <col min="14" max="14" width="11.140625" bestFit="1" customWidth="1"/>
    <col min="15" max="15" width="19.140625" customWidth="1"/>
    <col min="16" max="16" width="10.85546875" bestFit="1" customWidth="1"/>
    <col min="17" max="17" width="22.28515625" bestFit="1" customWidth="1"/>
    <col min="18" max="19" width="10.7109375" bestFit="1" customWidth="1"/>
    <col min="21" max="22" width="13.28515625" bestFit="1" customWidth="1"/>
    <col min="23" max="23" width="14.28515625" bestFit="1" customWidth="1"/>
  </cols>
  <sheetData>
    <row r="1" spans="1:30" x14ac:dyDescent="0.25">
      <c r="A1" s="1" t="s">
        <v>1</v>
      </c>
      <c r="B1" s="1" t="s">
        <v>337</v>
      </c>
      <c r="C1" s="1" t="s">
        <v>64</v>
      </c>
      <c r="D1" s="1" t="s">
        <v>60</v>
      </c>
      <c r="E1" s="1" t="s">
        <v>65</v>
      </c>
      <c r="F1" s="1" t="s">
        <v>66</v>
      </c>
      <c r="G1" s="1" t="s">
        <v>67</v>
      </c>
      <c r="H1" s="1" t="s">
        <v>68</v>
      </c>
      <c r="I1" s="1" t="s">
        <v>69</v>
      </c>
      <c r="J1" s="1" t="s">
        <v>70</v>
      </c>
      <c r="K1" s="1" t="s">
        <v>71</v>
      </c>
      <c r="N1" s="19"/>
      <c r="O1" s="19"/>
    </row>
    <row r="2" spans="1:30" x14ac:dyDescent="0.25">
      <c r="A2" s="15" t="s">
        <v>105</v>
      </c>
      <c r="B2" t="s">
        <v>168</v>
      </c>
      <c r="C2" s="15" t="s">
        <v>335</v>
      </c>
      <c r="D2" s="14">
        <v>45894</v>
      </c>
      <c r="E2" s="15">
        <v>10.6</v>
      </c>
      <c r="F2" s="14">
        <v>45954</v>
      </c>
      <c r="G2" s="4">
        <v>10.06</v>
      </c>
      <c r="H2" s="3">
        <f>G2/E2-1</f>
        <v>-5.0943396226414972E-2</v>
      </c>
      <c r="I2" s="15">
        <f t="shared" ref="I2:I3" si="0">K2*E2*J2</f>
        <v>-7032.9583999999832</v>
      </c>
      <c r="J2" s="17">
        <f t="shared" ref="J2:J3" si="1">H2-0.002</f>
        <v>-5.2943396226414974E-2</v>
      </c>
      <c r="K2" s="15">
        <v>12532</v>
      </c>
      <c r="N2" s="4"/>
    </row>
    <row r="3" spans="1:30" x14ac:dyDescent="0.25">
      <c r="A3" s="3" t="s">
        <v>135</v>
      </c>
      <c r="B3" t="s">
        <v>158</v>
      </c>
      <c r="C3" t="s">
        <v>335</v>
      </c>
      <c r="D3" s="2">
        <v>45793</v>
      </c>
      <c r="E3">
        <v>8.6199999999999992</v>
      </c>
      <c r="F3" s="14">
        <v>45954</v>
      </c>
      <c r="G3" s="4">
        <v>9.1199999999999992</v>
      </c>
      <c r="H3" s="3">
        <f t="shared" ref="H3" si="2">G3/E3-1</f>
        <v>5.8004640371229765E-2</v>
      </c>
      <c r="I3">
        <f t="shared" si="0"/>
        <v>6952.2267600000077</v>
      </c>
      <c r="J3" s="3">
        <f t="shared" si="1"/>
        <v>5.6004640371229764E-2</v>
      </c>
      <c r="K3">
        <v>14401</v>
      </c>
      <c r="N3" s="4"/>
      <c r="P3" s="11"/>
      <c r="Q3" s="13"/>
      <c r="R3" s="2"/>
      <c r="T3" s="3"/>
      <c r="V3" s="3"/>
      <c r="AA3" s="3"/>
      <c r="AB3" s="3"/>
      <c r="AC3" s="3"/>
      <c r="AD3" s="3"/>
    </row>
    <row r="4" spans="1:30" x14ac:dyDescent="0.25">
      <c r="A4" s="3" t="s">
        <v>80</v>
      </c>
      <c r="B4" t="s">
        <v>131</v>
      </c>
      <c r="C4" t="s">
        <v>335</v>
      </c>
      <c r="D4" s="2">
        <v>45786</v>
      </c>
      <c r="E4">
        <v>3.07</v>
      </c>
      <c r="F4" s="14">
        <v>45954</v>
      </c>
      <c r="G4" s="4">
        <v>3.55</v>
      </c>
      <c r="H4" s="3">
        <f t="shared" ref="H4:H13" si="3">G4/E4-1</f>
        <v>0.15635179153094469</v>
      </c>
      <c r="I4">
        <f t="shared" ref="I4:I13" si="4">K4*E4*J4</f>
        <v>18256.878080000006</v>
      </c>
      <c r="J4" s="3">
        <f t="shared" ref="J4:J13" si="5">H4-0.002</f>
        <v>0.15435179153094469</v>
      </c>
      <c r="K4">
        <v>38528</v>
      </c>
      <c r="N4" s="4"/>
      <c r="P4" s="11"/>
      <c r="Q4" s="12"/>
      <c r="R4" s="2"/>
      <c r="T4" s="3"/>
      <c r="V4" s="3"/>
      <c r="AA4" s="3"/>
      <c r="AB4" s="3"/>
      <c r="AC4" s="3"/>
      <c r="AD4" s="3"/>
    </row>
    <row r="5" spans="1:30" x14ac:dyDescent="0.25">
      <c r="A5" s="3" t="s">
        <v>81</v>
      </c>
      <c r="B5" t="s">
        <v>132</v>
      </c>
      <c r="C5" t="s">
        <v>335</v>
      </c>
      <c r="D5" s="2">
        <v>45786</v>
      </c>
      <c r="E5">
        <v>3.64</v>
      </c>
      <c r="F5" s="14">
        <v>45954</v>
      </c>
      <c r="G5" s="4">
        <v>3.91</v>
      </c>
      <c r="H5" s="3">
        <f t="shared" si="3"/>
        <v>7.4175824175824134E-2</v>
      </c>
      <c r="I5">
        <f t="shared" si="4"/>
        <v>8656.6239999999943</v>
      </c>
      <c r="J5" s="3">
        <f t="shared" si="5"/>
        <v>7.2175824175824133E-2</v>
      </c>
      <c r="K5">
        <v>32950</v>
      </c>
      <c r="N5" s="4"/>
      <c r="P5" s="11"/>
      <c r="Q5" s="12"/>
      <c r="R5" s="2"/>
      <c r="T5" s="3"/>
      <c r="V5" s="3"/>
      <c r="AA5" s="3"/>
      <c r="AB5" s="3"/>
      <c r="AC5" s="3"/>
      <c r="AD5" s="3"/>
    </row>
    <row r="6" spans="1:30" x14ac:dyDescent="0.25">
      <c r="A6" s="3" t="s">
        <v>45</v>
      </c>
      <c r="B6" t="s">
        <v>134</v>
      </c>
      <c r="C6" t="s">
        <v>335</v>
      </c>
      <c r="D6" s="2">
        <v>45786</v>
      </c>
      <c r="E6">
        <v>5.18</v>
      </c>
      <c r="F6" s="14">
        <v>45954</v>
      </c>
      <c r="G6" s="4">
        <v>5.0199999999999996</v>
      </c>
      <c r="H6" s="3">
        <f t="shared" si="3"/>
        <v>-3.0888030888030937E-2</v>
      </c>
      <c r="I6">
        <f t="shared" si="4"/>
        <v>-3841.2772800000062</v>
      </c>
      <c r="J6" s="3">
        <f t="shared" si="5"/>
        <v>-3.2888030888030939E-2</v>
      </c>
      <c r="K6">
        <v>22548</v>
      </c>
      <c r="N6" s="4"/>
      <c r="P6" s="11"/>
      <c r="Q6" s="12"/>
      <c r="R6" s="2"/>
      <c r="T6" s="3"/>
      <c r="V6" s="3"/>
      <c r="AA6" s="3"/>
      <c r="AB6" s="3"/>
      <c r="AC6" s="3"/>
      <c r="AD6" s="3"/>
    </row>
    <row r="7" spans="1:30" x14ac:dyDescent="0.25">
      <c r="A7" s="3" t="s">
        <v>36</v>
      </c>
      <c r="B7" t="s">
        <v>35</v>
      </c>
      <c r="C7" t="s">
        <v>335</v>
      </c>
      <c r="D7" s="2">
        <v>45786</v>
      </c>
      <c r="E7">
        <v>2.2999999999999998</v>
      </c>
      <c r="F7" s="14">
        <v>45954</v>
      </c>
      <c r="G7" s="4">
        <v>2.42</v>
      </c>
      <c r="H7" s="3">
        <f t="shared" si="3"/>
        <v>5.2173913043478404E-2</v>
      </c>
      <c r="I7">
        <f t="shared" si="4"/>
        <v>5982.7976000000162</v>
      </c>
      <c r="J7" s="3">
        <f t="shared" si="5"/>
        <v>5.0173913043478402E-2</v>
      </c>
      <c r="K7">
        <v>51844</v>
      </c>
      <c r="N7" s="4"/>
      <c r="P7" s="18"/>
      <c r="Q7" s="12"/>
      <c r="R7" s="2"/>
      <c r="T7" s="3"/>
      <c r="V7" s="3"/>
      <c r="AA7" s="3"/>
      <c r="AB7" s="3"/>
      <c r="AC7" s="3"/>
      <c r="AD7" s="3"/>
    </row>
    <row r="8" spans="1:30" x14ac:dyDescent="0.25">
      <c r="A8" s="3" t="s">
        <v>31</v>
      </c>
      <c r="B8" t="s">
        <v>30</v>
      </c>
      <c r="C8" t="s">
        <v>335</v>
      </c>
      <c r="D8" s="2">
        <v>45786</v>
      </c>
      <c r="E8">
        <v>4.3499999999999996</v>
      </c>
      <c r="F8" s="14">
        <v>45954</v>
      </c>
      <c r="G8" s="4">
        <v>5.39</v>
      </c>
      <c r="H8" s="3">
        <f t="shared" si="3"/>
        <v>0.23908045977011505</v>
      </c>
      <c r="I8">
        <f t="shared" si="4"/>
        <v>27702.780600000013</v>
      </c>
      <c r="J8" s="3">
        <f t="shared" si="5"/>
        <v>0.23708045977011505</v>
      </c>
      <c r="K8">
        <v>26862</v>
      </c>
      <c r="N8" s="4"/>
      <c r="P8" s="11"/>
      <c r="Q8" s="12"/>
      <c r="R8" s="2"/>
      <c r="T8" s="3"/>
      <c r="V8" s="3"/>
      <c r="AA8" s="3"/>
      <c r="AB8" s="3"/>
      <c r="AC8" s="3"/>
      <c r="AD8" s="3"/>
    </row>
    <row r="9" spans="1:30" x14ac:dyDescent="0.25">
      <c r="A9" s="3" t="s">
        <v>25</v>
      </c>
      <c r="B9" t="s">
        <v>24</v>
      </c>
      <c r="C9" t="s">
        <v>335</v>
      </c>
      <c r="D9" s="2">
        <v>45695</v>
      </c>
      <c r="E9">
        <v>3.8413110000000001</v>
      </c>
      <c r="F9" s="14">
        <v>45954</v>
      </c>
      <c r="G9" s="4">
        <v>4.7699999999999996</v>
      </c>
      <c r="H9" s="3">
        <f t="shared" si="3"/>
        <v>0.24176355416158679</v>
      </c>
      <c r="I9">
        <f t="shared" si="4"/>
        <v>28635.930304775971</v>
      </c>
      <c r="J9" s="3">
        <f t="shared" si="5"/>
        <v>0.23976355416158679</v>
      </c>
      <c r="K9">
        <v>31092</v>
      </c>
      <c r="N9" s="4"/>
      <c r="P9" s="11"/>
      <c r="Q9" s="12"/>
      <c r="R9" s="2"/>
      <c r="T9" s="3"/>
      <c r="V9" s="3"/>
      <c r="AA9" s="3"/>
      <c r="AB9" s="3"/>
      <c r="AC9" s="3"/>
      <c r="AD9" s="3"/>
    </row>
    <row r="10" spans="1:30" x14ac:dyDescent="0.25">
      <c r="A10" s="3" t="s">
        <v>118</v>
      </c>
      <c r="B10" t="s">
        <v>160</v>
      </c>
      <c r="C10" t="s">
        <v>335</v>
      </c>
      <c r="D10" s="2">
        <v>45639</v>
      </c>
      <c r="E10">
        <v>13.27768</v>
      </c>
      <c r="F10" s="14">
        <v>45954</v>
      </c>
      <c r="G10" s="4">
        <v>22.53</v>
      </c>
      <c r="H10" s="3">
        <f t="shared" si="3"/>
        <v>0.69683257918552033</v>
      </c>
      <c r="I10">
        <f t="shared" si="4"/>
        <v>80540.925307199999</v>
      </c>
      <c r="J10" s="3">
        <f t="shared" si="5"/>
        <v>0.69483257918552033</v>
      </c>
      <c r="K10">
        <v>8730</v>
      </c>
      <c r="N10" s="4"/>
      <c r="P10" s="11"/>
      <c r="Q10" s="12"/>
      <c r="R10" s="2"/>
      <c r="T10" s="3"/>
      <c r="V10" s="3"/>
      <c r="AA10" s="3"/>
      <c r="AB10" s="3"/>
      <c r="AC10" s="3"/>
      <c r="AD10" s="3"/>
    </row>
    <row r="11" spans="1:30" x14ac:dyDescent="0.25">
      <c r="A11" s="3" t="s">
        <v>136</v>
      </c>
      <c r="B11" t="s">
        <v>161</v>
      </c>
      <c r="C11" t="s">
        <v>335</v>
      </c>
      <c r="D11" s="2">
        <v>45499</v>
      </c>
      <c r="E11">
        <v>3.696536</v>
      </c>
      <c r="F11" s="14">
        <v>45954</v>
      </c>
      <c r="G11" s="4">
        <v>4.9000000000000004</v>
      </c>
      <c r="H11" s="3">
        <f t="shared" si="3"/>
        <v>0.32556534009137206</v>
      </c>
      <c r="I11">
        <f t="shared" si="4"/>
        <v>36012.499571152002</v>
      </c>
      <c r="J11" s="3">
        <f t="shared" si="5"/>
        <v>0.32356534009137206</v>
      </c>
      <c r="K11">
        <v>30109</v>
      </c>
      <c r="N11" s="4"/>
      <c r="P11" s="11"/>
      <c r="Q11" s="12"/>
      <c r="R11" s="2"/>
      <c r="T11" s="3"/>
      <c r="V11" s="3"/>
      <c r="AA11" s="3"/>
      <c r="AB11" s="3"/>
      <c r="AC11" s="3"/>
      <c r="AD11" s="3"/>
    </row>
    <row r="12" spans="1:30" x14ac:dyDescent="0.25">
      <c r="A12" s="3" t="s">
        <v>115</v>
      </c>
      <c r="B12" t="s">
        <v>163</v>
      </c>
      <c r="C12" t="s">
        <v>335</v>
      </c>
      <c r="D12" s="2">
        <v>45282</v>
      </c>
      <c r="E12">
        <v>5.588908</v>
      </c>
      <c r="F12" s="14">
        <v>45954</v>
      </c>
      <c r="G12" s="4">
        <v>7.08</v>
      </c>
      <c r="H12" s="3">
        <f t="shared" si="3"/>
        <v>0.26679487298771076</v>
      </c>
      <c r="I12">
        <f t="shared" si="4"/>
        <v>29003.358178032013</v>
      </c>
      <c r="J12" s="3">
        <f t="shared" si="5"/>
        <v>0.26479487298771076</v>
      </c>
      <c r="K12">
        <v>19598</v>
      </c>
      <c r="N12" s="4"/>
      <c r="P12" s="11"/>
      <c r="Q12" s="12"/>
      <c r="R12" s="2"/>
      <c r="T12" s="3"/>
      <c r="V12" s="3"/>
      <c r="AA12" s="3"/>
      <c r="AB12" s="3"/>
      <c r="AC12" s="3"/>
      <c r="AD12" s="3"/>
    </row>
    <row r="13" spans="1:30" x14ac:dyDescent="0.25">
      <c r="A13" s="3" t="s">
        <v>137</v>
      </c>
      <c r="B13" t="s">
        <v>164</v>
      </c>
      <c r="C13" t="s">
        <v>335</v>
      </c>
      <c r="D13" s="2">
        <v>45275</v>
      </c>
      <c r="E13">
        <v>2.2089750000000001</v>
      </c>
      <c r="F13" s="14">
        <v>45954</v>
      </c>
      <c r="G13" s="4">
        <v>2.4300000000000002</v>
      </c>
      <c r="H13" s="3">
        <f t="shared" si="3"/>
        <v>0.10005771907785288</v>
      </c>
      <c r="I13">
        <f t="shared" si="4"/>
        <v>10712.301657750004</v>
      </c>
      <c r="J13" s="3">
        <f t="shared" si="5"/>
        <v>9.8057719077852878E-2</v>
      </c>
      <c r="K13">
        <v>49455</v>
      </c>
      <c r="N13" s="4"/>
      <c r="P13" s="11"/>
      <c r="Q13" s="12"/>
      <c r="R13" s="2"/>
      <c r="T13" s="3"/>
      <c r="V13" s="3"/>
      <c r="AA13" s="3"/>
      <c r="AB13" s="3"/>
      <c r="AC13" s="3"/>
      <c r="AD13" s="3"/>
    </row>
    <row r="14" spans="1:30" x14ac:dyDescent="0.25">
      <c r="A14" s="3" t="s">
        <v>40</v>
      </c>
      <c r="B14" t="s">
        <v>39</v>
      </c>
      <c r="C14" t="s">
        <v>336</v>
      </c>
      <c r="D14" s="2">
        <v>45786</v>
      </c>
      <c r="E14">
        <v>3.5</v>
      </c>
      <c r="F14" s="2">
        <v>45894</v>
      </c>
      <c r="G14" s="4">
        <v>2.86</v>
      </c>
      <c r="H14" s="3">
        <f t="shared" ref="H14" si="6">G14/E14-1</f>
        <v>-0.18285714285714294</v>
      </c>
      <c r="I14">
        <f>K14*E14*J14</f>
        <v>-21594.272000000008</v>
      </c>
      <c r="J14" s="3">
        <f t="shared" ref="J14" si="7">H14-0.002</f>
        <v>-0.18485714285714294</v>
      </c>
      <c r="K14">
        <v>33376</v>
      </c>
      <c r="O14" s="4"/>
      <c r="P14" s="11"/>
      <c r="Q14" s="12"/>
      <c r="R14" s="2"/>
      <c r="T14" s="3"/>
      <c r="V14" s="3"/>
      <c r="AA14" s="3"/>
      <c r="AB14" s="3"/>
      <c r="AC14" s="3"/>
      <c r="AD14" s="3"/>
    </row>
    <row r="15" spans="1:30" x14ac:dyDescent="0.25">
      <c r="A15" s="3" t="s">
        <v>72</v>
      </c>
      <c r="B15" t="s">
        <v>165</v>
      </c>
      <c r="C15" t="s">
        <v>336</v>
      </c>
      <c r="D15" s="2">
        <v>45506</v>
      </c>
      <c r="E15">
        <v>2.7</v>
      </c>
      <c r="F15" s="2">
        <v>45758</v>
      </c>
      <c r="G15">
        <v>3.6</v>
      </c>
      <c r="H15" s="3">
        <v>0.33329999999999999</v>
      </c>
      <c r="I15">
        <v>37486.25</v>
      </c>
      <c r="J15" s="3">
        <v>0.33100000000000002</v>
      </c>
      <c r="K15">
        <v>41945</v>
      </c>
      <c r="P15" s="2"/>
      <c r="R15" s="2"/>
      <c r="T15" s="3"/>
      <c r="V15" s="3"/>
      <c r="AA15" s="3"/>
      <c r="AB15" s="3"/>
      <c r="AC15" s="3"/>
      <c r="AD15" s="3"/>
    </row>
    <row r="16" spans="1:30" x14ac:dyDescent="0.25">
      <c r="A16" s="3" t="s">
        <v>79</v>
      </c>
      <c r="B16" t="s">
        <v>166</v>
      </c>
      <c r="C16" t="s">
        <v>336</v>
      </c>
      <c r="D16" s="2">
        <v>45135</v>
      </c>
      <c r="E16">
        <v>97.787260000000003</v>
      </c>
      <c r="F16" s="2">
        <v>45737</v>
      </c>
      <c r="G16">
        <v>143.88999999999999</v>
      </c>
      <c r="H16" s="3">
        <v>0.47149999999999997</v>
      </c>
      <c r="I16">
        <v>52143.98</v>
      </c>
      <c r="J16" s="3">
        <v>0.46899999999999997</v>
      </c>
      <c r="K16">
        <v>1137</v>
      </c>
      <c r="P16" s="2"/>
      <c r="R16" s="2"/>
      <c r="T16" s="3"/>
      <c r="V16" s="3"/>
      <c r="AA16" s="3"/>
      <c r="AB16" s="3"/>
      <c r="AC16" s="3"/>
      <c r="AD16" s="3"/>
    </row>
    <row r="17" spans="1:30" x14ac:dyDescent="0.25">
      <c r="A17" s="3" t="s">
        <v>117</v>
      </c>
      <c r="B17" t="s">
        <v>167</v>
      </c>
      <c r="C17" t="s">
        <v>336</v>
      </c>
      <c r="D17" s="2">
        <v>45282</v>
      </c>
      <c r="E17">
        <v>2.7426889999999999</v>
      </c>
      <c r="F17" s="2">
        <v>45730</v>
      </c>
      <c r="G17">
        <v>2.7319439999999999</v>
      </c>
      <c r="H17" s="3">
        <v>-3.8999999999999998E-3</v>
      </c>
      <c r="I17">
        <v>-652.45000000000005</v>
      </c>
      <c r="J17" s="3">
        <v>-5.8999999999999999E-3</v>
      </c>
      <c r="K17">
        <v>40226</v>
      </c>
      <c r="P17" s="2"/>
      <c r="R17" s="2"/>
      <c r="T17" s="3"/>
      <c r="V17" s="3"/>
      <c r="AA17" s="3"/>
      <c r="AB17" s="3"/>
      <c r="AC17" s="3"/>
      <c r="AD17" s="3"/>
    </row>
    <row r="18" spans="1:30" x14ac:dyDescent="0.25">
      <c r="A18" t="s">
        <v>105</v>
      </c>
      <c r="B18" t="s">
        <v>168</v>
      </c>
      <c r="C18" t="s">
        <v>336</v>
      </c>
      <c r="D18" s="2">
        <v>45527</v>
      </c>
      <c r="E18">
        <v>10.07382</v>
      </c>
      <c r="F18" s="2">
        <v>45716</v>
      </c>
      <c r="G18">
        <v>8.6627080000000003</v>
      </c>
      <c r="H18" s="3">
        <v>-0.1401</v>
      </c>
      <c r="I18">
        <v>-16268.79</v>
      </c>
      <c r="J18" s="3">
        <v>-0.1419</v>
      </c>
      <c r="K18">
        <v>11378</v>
      </c>
      <c r="P18" s="2"/>
      <c r="R18" s="2"/>
      <c r="T18" s="3"/>
      <c r="V18" s="3"/>
      <c r="AA18" s="3"/>
      <c r="AB18" s="3"/>
      <c r="AC18" s="3"/>
      <c r="AD18" s="3"/>
    </row>
    <row r="19" spans="1:30" x14ac:dyDescent="0.25">
      <c r="A19" t="s">
        <v>75</v>
      </c>
      <c r="B19" t="s">
        <v>169</v>
      </c>
      <c r="C19" t="s">
        <v>336</v>
      </c>
      <c r="D19" s="2">
        <v>45268</v>
      </c>
      <c r="E19">
        <v>12.95567</v>
      </c>
      <c r="F19" s="2">
        <v>45716</v>
      </c>
      <c r="G19">
        <v>13.58675</v>
      </c>
      <c r="H19" s="3">
        <v>4.87E-2</v>
      </c>
      <c r="I19">
        <v>4948.1400000000003</v>
      </c>
      <c r="J19" s="3">
        <v>4.6699999999999998E-2</v>
      </c>
      <c r="K19">
        <v>8185</v>
      </c>
      <c r="P19" s="2"/>
      <c r="R19" s="2"/>
      <c r="T19" s="3"/>
      <c r="V19" s="3"/>
      <c r="AA19" s="3"/>
      <c r="AB19" s="3"/>
      <c r="AC19" s="3"/>
      <c r="AD19" s="3"/>
    </row>
    <row r="20" spans="1:30" x14ac:dyDescent="0.25">
      <c r="A20" t="s">
        <v>101</v>
      </c>
      <c r="B20" t="s">
        <v>170</v>
      </c>
      <c r="C20" t="s">
        <v>336</v>
      </c>
      <c r="D20" s="2">
        <v>45177</v>
      </c>
      <c r="E20">
        <v>26.35557</v>
      </c>
      <c r="F20" s="2">
        <v>45716</v>
      </c>
      <c r="G20">
        <v>34.185600000000001</v>
      </c>
      <c r="H20" s="3">
        <v>0.29709999999999998</v>
      </c>
      <c r="I20">
        <v>31753.9</v>
      </c>
      <c r="J20" s="3">
        <v>0.29480000000000001</v>
      </c>
      <c r="K20">
        <v>4087</v>
      </c>
      <c r="P20" s="2"/>
      <c r="R20" s="2"/>
      <c r="T20" s="3"/>
      <c r="V20" s="3"/>
      <c r="AA20" s="3"/>
      <c r="AB20" s="3"/>
      <c r="AC20" s="3"/>
      <c r="AD20" s="3"/>
    </row>
    <row r="21" spans="1:30" x14ac:dyDescent="0.25">
      <c r="A21" t="s">
        <v>81</v>
      </c>
      <c r="B21" t="s">
        <v>132</v>
      </c>
      <c r="C21" t="s">
        <v>336</v>
      </c>
      <c r="D21" s="2">
        <v>45527</v>
      </c>
      <c r="E21">
        <v>3.6396850000000001</v>
      </c>
      <c r="F21" s="2">
        <v>45646</v>
      </c>
      <c r="G21">
        <v>3.2504140000000001</v>
      </c>
      <c r="H21" s="3">
        <v>-0.107</v>
      </c>
      <c r="I21">
        <v>-12473.53</v>
      </c>
      <c r="J21" s="3">
        <v>-0.10879999999999999</v>
      </c>
      <c r="K21">
        <v>31486</v>
      </c>
      <c r="P21" s="2"/>
      <c r="R21" s="2"/>
      <c r="T21" s="3"/>
      <c r="V21" s="3"/>
      <c r="AA21" s="3"/>
      <c r="AB21" s="3"/>
      <c r="AC21" s="3"/>
      <c r="AD21" s="3"/>
    </row>
    <row r="22" spans="1:30" x14ac:dyDescent="0.25">
      <c r="A22" t="s">
        <v>99</v>
      </c>
      <c r="B22" t="s">
        <v>171</v>
      </c>
      <c r="C22" t="s">
        <v>336</v>
      </c>
      <c r="D22" s="2">
        <v>45142</v>
      </c>
      <c r="E22">
        <v>7.1551619999999998</v>
      </c>
      <c r="F22" s="2">
        <v>45632</v>
      </c>
      <c r="G22">
        <v>6.4484979999999998</v>
      </c>
      <c r="H22" s="3">
        <v>-9.8799999999999999E-2</v>
      </c>
      <c r="I22">
        <v>-11200.16</v>
      </c>
      <c r="J22" s="3">
        <v>-0.1007</v>
      </c>
      <c r="K22">
        <v>15550</v>
      </c>
      <c r="P22" s="2"/>
      <c r="R22" s="2"/>
      <c r="T22" s="3"/>
      <c r="V22" s="3"/>
      <c r="AA22" s="3"/>
      <c r="AB22" s="3"/>
      <c r="AC22" s="3"/>
      <c r="AD22" s="3"/>
    </row>
    <row r="23" spans="1:30" x14ac:dyDescent="0.25">
      <c r="A23" t="s">
        <v>87</v>
      </c>
      <c r="B23" t="s">
        <v>172</v>
      </c>
      <c r="C23" t="s">
        <v>336</v>
      </c>
      <c r="D23" s="2">
        <v>45485</v>
      </c>
      <c r="E23">
        <v>8.6439319999999995</v>
      </c>
      <c r="F23" s="2">
        <v>45548</v>
      </c>
      <c r="G23">
        <v>5.6598430000000004</v>
      </c>
      <c r="H23" s="3">
        <v>-0.34520000000000001</v>
      </c>
      <c r="I23">
        <v>-38739.21</v>
      </c>
      <c r="J23" s="3">
        <v>-0.34689999999999999</v>
      </c>
      <c r="K23">
        <v>12920</v>
      </c>
      <c r="P23" s="2"/>
      <c r="R23" s="2"/>
      <c r="T23" s="3"/>
      <c r="V23" s="3"/>
      <c r="AA23" s="3"/>
      <c r="AB23" s="3"/>
      <c r="AC23" s="3"/>
      <c r="AD23" s="3"/>
    </row>
    <row r="24" spans="1:30" x14ac:dyDescent="0.25">
      <c r="A24" t="s">
        <v>138</v>
      </c>
      <c r="B24" t="s">
        <v>173</v>
      </c>
      <c r="C24" t="s">
        <v>336</v>
      </c>
      <c r="D24" s="2">
        <v>44890</v>
      </c>
      <c r="E24">
        <v>92.587500000000006</v>
      </c>
      <c r="F24" s="2">
        <v>45499</v>
      </c>
      <c r="G24">
        <v>107.5629</v>
      </c>
      <c r="H24" s="3">
        <v>0.16170000000000001</v>
      </c>
      <c r="I24">
        <v>18188.330000000002</v>
      </c>
      <c r="J24" s="3">
        <v>0.15959999999999999</v>
      </c>
      <c r="K24">
        <v>1231</v>
      </c>
      <c r="P24" s="2"/>
      <c r="R24" s="2"/>
      <c r="T24" s="3"/>
      <c r="V24" s="3"/>
      <c r="AA24" s="3"/>
      <c r="AB24" s="3"/>
      <c r="AC24" s="3"/>
      <c r="AD24" s="3"/>
    </row>
    <row r="25" spans="1:30" x14ac:dyDescent="0.25">
      <c r="A25" t="s">
        <v>113</v>
      </c>
      <c r="B25" t="s">
        <v>174</v>
      </c>
      <c r="C25" t="s">
        <v>336</v>
      </c>
      <c r="D25" s="2">
        <v>44883</v>
      </c>
      <c r="E25">
        <v>38.313299999999998</v>
      </c>
      <c r="F25" s="2">
        <v>45499</v>
      </c>
      <c r="G25">
        <v>39.760440000000003</v>
      </c>
      <c r="H25" s="3">
        <v>3.78E-2</v>
      </c>
      <c r="I25">
        <v>4152.38</v>
      </c>
      <c r="J25" s="3">
        <v>3.5700000000000003E-2</v>
      </c>
      <c r="K25">
        <v>3033</v>
      </c>
      <c r="P25" s="2"/>
      <c r="R25" s="2"/>
      <c r="T25" s="3"/>
      <c r="V25" s="3"/>
      <c r="AA25" s="3"/>
      <c r="AB25" s="3"/>
      <c r="AC25" s="3"/>
      <c r="AD25" s="3"/>
    </row>
    <row r="26" spans="1:30" x14ac:dyDescent="0.25">
      <c r="A26" t="s">
        <v>139</v>
      </c>
      <c r="B26" t="s">
        <v>175</v>
      </c>
      <c r="C26" t="s">
        <v>336</v>
      </c>
      <c r="D26" s="2">
        <v>44883</v>
      </c>
      <c r="E26">
        <v>2.3662589999999999</v>
      </c>
      <c r="F26" s="2">
        <v>45478</v>
      </c>
      <c r="G26">
        <v>2.0750220000000001</v>
      </c>
      <c r="H26" s="3">
        <v>-0.1231</v>
      </c>
      <c r="I26">
        <v>-14521.06</v>
      </c>
      <c r="J26" s="3">
        <v>-0.125</v>
      </c>
      <c r="K26">
        <v>49111</v>
      </c>
      <c r="P26" s="2"/>
      <c r="R26" s="2"/>
      <c r="T26" s="3"/>
      <c r="V26" s="3"/>
      <c r="AA26" s="3"/>
      <c r="AB26" s="3"/>
      <c r="AC26" s="3"/>
      <c r="AD26" s="3"/>
    </row>
    <row r="27" spans="1:30" x14ac:dyDescent="0.25">
      <c r="A27" t="s">
        <v>95</v>
      </c>
      <c r="B27" t="s">
        <v>176</v>
      </c>
      <c r="C27" t="s">
        <v>336</v>
      </c>
      <c r="D27" s="2">
        <v>44890</v>
      </c>
      <c r="E27">
        <v>16.067329999999998</v>
      </c>
      <c r="F27" s="2">
        <v>45450</v>
      </c>
      <c r="G27">
        <v>22.999580000000002</v>
      </c>
      <c r="H27" s="3">
        <v>0.43140000000000001</v>
      </c>
      <c r="I27">
        <v>48907.13</v>
      </c>
      <c r="J27" s="3">
        <v>0.42899999999999999</v>
      </c>
      <c r="K27">
        <v>7095</v>
      </c>
      <c r="P27" s="2"/>
      <c r="R27" s="2"/>
      <c r="T27" s="3"/>
      <c r="V27" s="3"/>
      <c r="AA27" s="3"/>
      <c r="AB27" s="3"/>
      <c r="AC27" s="3"/>
      <c r="AD27" s="3"/>
    </row>
    <row r="28" spans="1:30" x14ac:dyDescent="0.25">
      <c r="A28" t="s">
        <v>89</v>
      </c>
      <c r="B28" t="s">
        <v>177</v>
      </c>
      <c r="C28" t="s">
        <v>336</v>
      </c>
      <c r="D28" s="2">
        <v>45191</v>
      </c>
      <c r="E28">
        <v>7.9152880000000003</v>
      </c>
      <c r="F28" s="2">
        <v>45275</v>
      </c>
      <c r="G28">
        <v>7.182391</v>
      </c>
      <c r="H28" s="3">
        <v>-9.2600000000000002E-2</v>
      </c>
      <c r="I28">
        <v>-10176.469999999999</v>
      </c>
      <c r="J28" s="3">
        <v>-9.4500000000000001E-2</v>
      </c>
      <c r="K28">
        <v>13605</v>
      </c>
      <c r="P28" s="2"/>
      <c r="R28" s="2"/>
      <c r="T28" s="3"/>
      <c r="V28" s="3"/>
      <c r="AA28" s="3"/>
      <c r="AB28" s="3"/>
      <c r="AC28" s="3"/>
      <c r="AD28" s="3"/>
    </row>
    <row r="29" spans="1:30" x14ac:dyDescent="0.25">
      <c r="A29" t="s">
        <v>84</v>
      </c>
      <c r="B29" t="s">
        <v>178</v>
      </c>
      <c r="C29" t="s">
        <v>336</v>
      </c>
      <c r="D29" s="2">
        <v>45142</v>
      </c>
      <c r="E29">
        <v>33.277320000000003</v>
      </c>
      <c r="F29" s="2">
        <v>45268</v>
      </c>
      <c r="G29">
        <v>27.8538</v>
      </c>
      <c r="H29" s="3">
        <v>-0.16300000000000001</v>
      </c>
      <c r="I29">
        <v>-18335.189999999999</v>
      </c>
      <c r="J29" s="3">
        <v>-0.1648</v>
      </c>
      <c r="K29">
        <v>3343</v>
      </c>
      <c r="P29" s="2"/>
      <c r="R29" s="2"/>
      <c r="T29" s="3"/>
      <c r="V29" s="3"/>
      <c r="AA29" s="3"/>
      <c r="AB29" s="3"/>
      <c r="AC29" s="3"/>
      <c r="AD29" s="3"/>
    </row>
    <row r="30" spans="1:30" x14ac:dyDescent="0.25">
      <c r="A30" t="s">
        <v>286</v>
      </c>
      <c r="B30" t="s">
        <v>179</v>
      </c>
      <c r="C30" t="s">
        <v>336</v>
      </c>
      <c r="D30" s="2">
        <v>45128</v>
      </c>
      <c r="E30">
        <v>3.1294369999999998</v>
      </c>
      <c r="F30" s="2">
        <v>45233</v>
      </c>
      <c r="G30">
        <v>2.6991390000000002</v>
      </c>
      <c r="H30" s="3">
        <v>-0.13750000000000001</v>
      </c>
      <c r="I30">
        <v>-15590.22</v>
      </c>
      <c r="J30" s="3">
        <v>-0.1394</v>
      </c>
      <c r="K30">
        <v>35747</v>
      </c>
      <c r="P30" s="2"/>
      <c r="R30" s="2"/>
      <c r="T30" s="3"/>
      <c r="V30" s="3"/>
      <c r="AA30" s="3"/>
      <c r="AB30" s="3"/>
      <c r="AC30" s="3"/>
      <c r="AD30" s="3"/>
    </row>
    <row r="31" spans="1:30" x14ac:dyDescent="0.25">
      <c r="A31" t="s">
        <v>28</v>
      </c>
      <c r="B31" t="s">
        <v>180</v>
      </c>
      <c r="C31" t="s">
        <v>336</v>
      </c>
      <c r="D31" s="2">
        <v>45128</v>
      </c>
      <c r="E31">
        <v>13.38044</v>
      </c>
      <c r="F31" s="2">
        <v>45184</v>
      </c>
      <c r="G31">
        <v>13.163410000000001</v>
      </c>
      <c r="H31" s="3">
        <v>-1.6199999999999999E-2</v>
      </c>
      <c r="I31">
        <v>-2036.03</v>
      </c>
      <c r="J31" s="3">
        <v>-1.8200000000000001E-2</v>
      </c>
      <c r="K31">
        <v>8359</v>
      </c>
      <c r="P31" s="2"/>
      <c r="R31" s="2"/>
      <c r="T31" s="3"/>
      <c r="V31" s="3"/>
      <c r="AA31" s="3"/>
      <c r="AB31" s="3"/>
      <c r="AC31" s="3"/>
      <c r="AD31" s="3"/>
    </row>
    <row r="32" spans="1:30" x14ac:dyDescent="0.25">
      <c r="A32" t="s">
        <v>117</v>
      </c>
      <c r="B32" t="s">
        <v>167</v>
      </c>
      <c r="C32" t="s">
        <v>336</v>
      </c>
      <c r="D32" s="2">
        <v>45135</v>
      </c>
      <c r="E32">
        <v>2.3355670000000002</v>
      </c>
      <c r="F32" s="2">
        <v>45184</v>
      </c>
      <c r="G32">
        <v>2.2634259999999999</v>
      </c>
      <c r="H32" s="3">
        <v>-3.09E-2</v>
      </c>
      <c r="I32">
        <v>-3656.81</v>
      </c>
      <c r="J32" s="3">
        <v>-3.2899999999999999E-2</v>
      </c>
      <c r="K32">
        <v>47652</v>
      </c>
      <c r="P32" s="2"/>
      <c r="R32" s="2"/>
      <c r="T32" s="3"/>
      <c r="V32" s="3"/>
      <c r="AA32" s="3"/>
      <c r="AB32" s="3"/>
      <c r="AC32" s="3"/>
      <c r="AD32" s="3"/>
    </row>
    <row r="33" spans="1:30" x14ac:dyDescent="0.25">
      <c r="A33" t="s">
        <v>140</v>
      </c>
      <c r="B33" t="s">
        <v>181</v>
      </c>
      <c r="C33" t="s">
        <v>336</v>
      </c>
      <c r="D33" s="2">
        <v>45037</v>
      </c>
      <c r="E33">
        <v>10.17454</v>
      </c>
      <c r="F33" s="2">
        <v>45170</v>
      </c>
      <c r="G33">
        <v>6.6974179999999999</v>
      </c>
      <c r="H33" s="3">
        <v>-0.3417</v>
      </c>
      <c r="I33">
        <v>-38447.910000000003</v>
      </c>
      <c r="J33" s="3">
        <v>-0.34339999999999998</v>
      </c>
      <c r="K33">
        <v>11004</v>
      </c>
      <c r="P33" s="2"/>
      <c r="R33" s="2"/>
      <c r="T33" s="3"/>
      <c r="V33" s="3"/>
      <c r="AA33" s="3"/>
      <c r="AB33" s="3"/>
      <c r="AC33" s="3"/>
      <c r="AD33" s="3"/>
    </row>
    <row r="34" spans="1:30" x14ac:dyDescent="0.25">
      <c r="A34" t="s">
        <v>141</v>
      </c>
      <c r="B34" t="s">
        <v>182</v>
      </c>
      <c r="C34" t="s">
        <v>336</v>
      </c>
      <c r="D34" s="2">
        <v>44890</v>
      </c>
      <c r="E34">
        <v>0.99093569999999997</v>
      </c>
      <c r="F34" s="2">
        <v>45170</v>
      </c>
      <c r="G34">
        <v>0.97065049999999997</v>
      </c>
      <c r="H34" s="3">
        <v>-2.0500000000000001E-2</v>
      </c>
      <c r="I34">
        <v>-2560.4499999999998</v>
      </c>
      <c r="J34" s="3">
        <v>-2.2499999999999999E-2</v>
      </c>
      <c r="K34">
        <v>115093</v>
      </c>
      <c r="P34" s="2"/>
      <c r="R34" s="2"/>
      <c r="T34" s="3"/>
      <c r="V34" s="3"/>
      <c r="AA34" s="3"/>
      <c r="AB34" s="3"/>
      <c r="AC34" s="3"/>
      <c r="AD34" s="3"/>
    </row>
    <row r="35" spans="1:30" x14ac:dyDescent="0.25">
      <c r="A35" t="s">
        <v>135</v>
      </c>
      <c r="B35" t="s">
        <v>158</v>
      </c>
      <c r="C35" t="s">
        <v>336</v>
      </c>
      <c r="D35" s="2">
        <v>44561</v>
      </c>
      <c r="E35">
        <v>8.3717020000000009</v>
      </c>
      <c r="F35" s="2">
        <v>45100</v>
      </c>
      <c r="G35">
        <v>8.5932460000000006</v>
      </c>
      <c r="H35" s="3">
        <v>2.6499999999999999E-2</v>
      </c>
      <c r="I35">
        <v>3024.79</v>
      </c>
      <c r="J35" s="3">
        <v>2.4400000000000002E-2</v>
      </c>
      <c r="K35">
        <v>14785</v>
      </c>
      <c r="P35" s="2"/>
      <c r="R35" s="2"/>
      <c r="T35" s="3"/>
      <c r="V35" s="3"/>
      <c r="AA35" s="3"/>
      <c r="AB35" s="3"/>
      <c r="AC35" s="3"/>
      <c r="AD35" s="3"/>
    </row>
    <row r="36" spans="1:30" x14ac:dyDescent="0.25">
      <c r="A36" t="s">
        <v>90</v>
      </c>
      <c r="B36" t="s">
        <v>183</v>
      </c>
      <c r="C36" t="s">
        <v>336</v>
      </c>
      <c r="D36" s="2">
        <v>44806</v>
      </c>
      <c r="E36">
        <v>3.1855519999999999</v>
      </c>
      <c r="F36" s="2">
        <v>45072</v>
      </c>
      <c r="G36">
        <v>2.5106449999999998</v>
      </c>
      <c r="H36" s="3">
        <v>-0.21190000000000001</v>
      </c>
      <c r="I36">
        <v>-24356.75</v>
      </c>
      <c r="J36" s="3">
        <v>-0.2137</v>
      </c>
      <c r="K36">
        <v>35787</v>
      </c>
      <c r="P36" s="2"/>
      <c r="R36" s="2"/>
      <c r="T36" s="3"/>
      <c r="V36" s="3"/>
      <c r="AA36" s="3"/>
      <c r="AB36" s="3"/>
      <c r="AC36" s="3"/>
      <c r="AD36" s="3"/>
    </row>
    <row r="37" spans="1:30" x14ac:dyDescent="0.25">
      <c r="A37" t="s">
        <v>91</v>
      </c>
      <c r="B37" t="s">
        <v>184</v>
      </c>
      <c r="C37" t="s">
        <v>336</v>
      </c>
      <c r="D37" s="2">
        <v>44890</v>
      </c>
      <c r="E37">
        <v>5.8372440000000001</v>
      </c>
      <c r="F37" s="2">
        <v>45016</v>
      </c>
      <c r="G37">
        <v>6.1833629999999999</v>
      </c>
      <c r="H37" s="3">
        <v>5.9299999999999999E-2</v>
      </c>
      <c r="I37">
        <v>6526.61</v>
      </c>
      <c r="J37" s="3">
        <v>5.7200000000000001E-2</v>
      </c>
      <c r="K37">
        <v>19535</v>
      </c>
      <c r="P37" s="2"/>
      <c r="R37" s="2"/>
      <c r="T37" s="3"/>
      <c r="V37" s="3"/>
      <c r="AA37" s="3"/>
      <c r="AB37" s="3"/>
      <c r="AC37" s="3"/>
      <c r="AD37" s="3"/>
    </row>
    <row r="38" spans="1:30" x14ac:dyDescent="0.25">
      <c r="A38" t="s">
        <v>126</v>
      </c>
      <c r="B38" t="s">
        <v>185</v>
      </c>
      <c r="C38" t="s">
        <v>336</v>
      </c>
      <c r="D38" s="2">
        <v>44883</v>
      </c>
      <c r="E38">
        <v>29.51549</v>
      </c>
      <c r="F38" s="2">
        <v>45009</v>
      </c>
      <c r="G38">
        <v>18.54757</v>
      </c>
      <c r="H38" s="3">
        <v>-0.37159999999999999</v>
      </c>
      <c r="I38">
        <v>-43358.91</v>
      </c>
      <c r="J38" s="3">
        <v>-0.37319999999999998</v>
      </c>
      <c r="K38">
        <v>3936</v>
      </c>
      <c r="P38" s="2"/>
      <c r="R38" s="2"/>
      <c r="T38" s="3"/>
      <c r="V38" s="3"/>
      <c r="AA38" s="3"/>
      <c r="AB38" s="3"/>
      <c r="AC38" s="3"/>
      <c r="AD38" s="3"/>
    </row>
    <row r="39" spans="1:30" x14ac:dyDescent="0.25">
      <c r="A39" t="s">
        <v>84</v>
      </c>
      <c r="B39" t="s">
        <v>178</v>
      </c>
      <c r="C39" t="s">
        <v>336</v>
      </c>
      <c r="D39" s="2">
        <v>44806</v>
      </c>
      <c r="E39">
        <v>27.906690000000001</v>
      </c>
      <c r="F39" s="2">
        <v>45009</v>
      </c>
      <c r="G39">
        <v>27.20552</v>
      </c>
      <c r="H39" s="3">
        <v>-2.5100000000000001E-2</v>
      </c>
      <c r="I39">
        <v>-3089.41</v>
      </c>
      <c r="J39" s="3">
        <v>-2.7099999999999999E-2</v>
      </c>
      <c r="K39">
        <v>4085</v>
      </c>
      <c r="P39" s="2"/>
      <c r="R39" s="2"/>
      <c r="T39" s="3"/>
      <c r="V39" s="3"/>
      <c r="AA39" s="3"/>
      <c r="AB39" s="3"/>
      <c r="AC39" s="3"/>
      <c r="AD39" s="3"/>
    </row>
    <row r="40" spans="1:30" x14ac:dyDescent="0.25">
      <c r="A40" t="s">
        <v>142</v>
      </c>
      <c r="B40" t="s">
        <v>186</v>
      </c>
      <c r="C40" t="s">
        <v>336</v>
      </c>
      <c r="D40" s="2">
        <v>44302</v>
      </c>
      <c r="E40">
        <v>5.9960889999999996</v>
      </c>
      <c r="F40" s="2">
        <v>45009</v>
      </c>
      <c r="G40">
        <v>6.5478110000000003</v>
      </c>
      <c r="H40" s="3">
        <v>9.1999999999999998E-2</v>
      </c>
      <c r="I40">
        <v>9720.84</v>
      </c>
      <c r="J40" s="3">
        <v>8.9899999999999994E-2</v>
      </c>
      <c r="K40">
        <v>18029</v>
      </c>
      <c r="P40" s="2"/>
      <c r="R40" s="2"/>
      <c r="T40" s="3"/>
      <c r="V40" s="3"/>
      <c r="AA40" s="3"/>
      <c r="AB40" s="3"/>
      <c r="AC40" s="3"/>
      <c r="AD40" s="3"/>
    </row>
    <row r="41" spans="1:30" x14ac:dyDescent="0.25">
      <c r="A41" t="s">
        <v>85</v>
      </c>
      <c r="B41" t="s">
        <v>187</v>
      </c>
      <c r="C41" t="s">
        <v>336</v>
      </c>
      <c r="D41" s="2">
        <v>44876</v>
      </c>
      <c r="E41">
        <v>1.8972009999999999</v>
      </c>
      <c r="F41" s="2">
        <v>44995</v>
      </c>
      <c r="G41">
        <v>1.882422</v>
      </c>
      <c r="H41" s="3">
        <v>-7.7999999999999996E-3</v>
      </c>
      <c r="I41">
        <v>-1135.19</v>
      </c>
      <c r="J41" s="3">
        <v>-9.7999999999999997E-3</v>
      </c>
      <c r="K41">
        <v>61168</v>
      </c>
      <c r="P41" s="2"/>
      <c r="R41" s="2"/>
      <c r="T41" s="3"/>
      <c r="V41" s="3"/>
      <c r="AA41" s="3"/>
      <c r="AB41" s="3"/>
      <c r="AC41" s="3"/>
      <c r="AD41" s="3"/>
    </row>
    <row r="42" spans="1:30" x14ac:dyDescent="0.25">
      <c r="A42" t="s">
        <v>87</v>
      </c>
      <c r="B42" t="s">
        <v>172</v>
      </c>
      <c r="C42" t="s">
        <v>336</v>
      </c>
      <c r="D42" s="2">
        <v>44820</v>
      </c>
      <c r="E42">
        <v>7.5257350000000001</v>
      </c>
      <c r="F42" s="2">
        <v>44869</v>
      </c>
      <c r="G42">
        <v>8.0143090000000008</v>
      </c>
      <c r="H42" s="3">
        <v>6.4899999999999999E-2</v>
      </c>
      <c r="I42">
        <v>7190.6</v>
      </c>
      <c r="J42" s="3">
        <v>6.2899999999999998E-2</v>
      </c>
      <c r="K42">
        <v>15201</v>
      </c>
      <c r="P42" s="2"/>
      <c r="R42" s="2"/>
      <c r="T42" s="3"/>
      <c r="V42" s="3"/>
      <c r="AA42" s="3"/>
      <c r="AB42" s="3"/>
      <c r="AC42" s="3"/>
      <c r="AD42" s="3"/>
    </row>
    <row r="43" spans="1:30" x14ac:dyDescent="0.25">
      <c r="A43" t="s">
        <v>86</v>
      </c>
      <c r="B43" t="s">
        <v>188</v>
      </c>
      <c r="C43" t="s">
        <v>336</v>
      </c>
      <c r="D43" s="2">
        <v>44799</v>
      </c>
      <c r="E43">
        <v>3.5457719999999999</v>
      </c>
      <c r="F43" s="2">
        <v>44869</v>
      </c>
      <c r="G43">
        <v>4.3987660000000002</v>
      </c>
      <c r="H43" s="3">
        <v>0.24060000000000001</v>
      </c>
      <c r="I43">
        <v>27426.080000000002</v>
      </c>
      <c r="J43" s="3">
        <v>0.23830000000000001</v>
      </c>
      <c r="K43">
        <v>32455</v>
      </c>
      <c r="P43" s="2"/>
      <c r="R43" s="2"/>
      <c r="T43" s="3"/>
      <c r="V43" s="3"/>
      <c r="AA43" s="3"/>
      <c r="AB43" s="3"/>
      <c r="AC43" s="3"/>
      <c r="AD43" s="3"/>
    </row>
    <row r="44" spans="1:30" x14ac:dyDescent="0.25">
      <c r="A44" t="s">
        <v>81</v>
      </c>
      <c r="B44" t="s">
        <v>132</v>
      </c>
      <c r="C44" t="s">
        <v>336</v>
      </c>
      <c r="D44" s="2">
        <v>44064</v>
      </c>
      <c r="E44">
        <v>3.2422080000000002</v>
      </c>
      <c r="F44" s="2">
        <v>44834</v>
      </c>
      <c r="G44">
        <v>3.1972809999999998</v>
      </c>
      <c r="H44" s="3">
        <v>-1.3899999999999999E-2</v>
      </c>
      <c r="I44">
        <v>-1640.65</v>
      </c>
      <c r="J44" s="3">
        <v>-1.5800000000000002E-2</v>
      </c>
      <c r="K44">
        <v>31940</v>
      </c>
      <c r="P44" s="2"/>
      <c r="R44" s="2"/>
      <c r="T44" s="3"/>
      <c r="V44" s="3"/>
      <c r="AA44" s="3"/>
      <c r="AB44" s="3"/>
      <c r="AC44" s="3"/>
      <c r="AD44" s="3"/>
    </row>
    <row r="45" spans="1:30" x14ac:dyDescent="0.25">
      <c r="A45" t="s">
        <v>143</v>
      </c>
      <c r="B45" t="s">
        <v>189</v>
      </c>
      <c r="C45" t="s">
        <v>336</v>
      </c>
      <c r="D45" s="2">
        <v>44652</v>
      </c>
      <c r="E45">
        <v>3.8408259999999999</v>
      </c>
      <c r="F45" s="2">
        <v>44736</v>
      </c>
      <c r="G45">
        <v>3.3760129999999999</v>
      </c>
      <c r="H45" s="3">
        <v>-0.121</v>
      </c>
      <c r="I45">
        <v>-15051.62</v>
      </c>
      <c r="J45" s="3">
        <v>-0.1229</v>
      </c>
      <c r="K45">
        <v>31887</v>
      </c>
      <c r="P45" s="2"/>
      <c r="R45" s="2"/>
      <c r="T45" s="3"/>
      <c r="V45" s="3"/>
      <c r="AA45" s="3"/>
      <c r="AB45" s="3"/>
      <c r="AC45" s="3"/>
      <c r="AD45" s="3"/>
    </row>
    <row r="46" spans="1:30" x14ac:dyDescent="0.25">
      <c r="A46" t="s">
        <v>104</v>
      </c>
      <c r="B46" t="s">
        <v>190</v>
      </c>
      <c r="C46" t="s">
        <v>336</v>
      </c>
      <c r="D46" s="2">
        <v>44064</v>
      </c>
      <c r="E46">
        <v>12.469709999999999</v>
      </c>
      <c r="F46" s="2">
        <v>44736</v>
      </c>
      <c r="G46">
        <v>14.61537</v>
      </c>
      <c r="H46" s="3">
        <v>0.1721</v>
      </c>
      <c r="I46">
        <v>17588.41</v>
      </c>
      <c r="J46" s="3">
        <v>0.1699</v>
      </c>
      <c r="K46">
        <v>8302</v>
      </c>
      <c r="P46" s="2"/>
      <c r="R46" s="2"/>
      <c r="T46" s="3"/>
      <c r="V46" s="3"/>
      <c r="AA46" s="3"/>
      <c r="AB46" s="3"/>
      <c r="AC46" s="3"/>
      <c r="AD46" s="3"/>
    </row>
    <row r="47" spans="1:30" x14ac:dyDescent="0.25">
      <c r="A47" t="s">
        <v>144</v>
      </c>
      <c r="B47" t="s">
        <v>191</v>
      </c>
      <c r="C47" t="s">
        <v>336</v>
      </c>
      <c r="D47" s="2">
        <v>44057</v>
      </c>
      <c r="E47">
        <v>3.6547510000000001</v>
      </c>
      <c r="F47" s="2">
        <v>44736</v>
      </c>
      <c r="G47">
        <v>3.4775930000000002</v>
      </c>
      <c r="H47" s="3">
        <v>-4.8500000000000001E-2</v>
      </c>
      <c r="I47">
        <v>-5237.53</v>
      </c>
      <c r="J47" s="3">
        <v>-5.04E-2</v>
      </c>
      <c r="K47">
        <v>28420</v>
      </c>
      <c r="P47" s="2"/>
      <c r="R47" s="2"/>
      <c r="T47" s="3"/>
      <c r="V47" s="3"/>
      <c r="AA47" s="3"/>
      <c r="AB47" s="3"/>
      <c r="AC47" s="3"/>
      <c r="AD47" s="3"/>
    </row>
    <row r="48" spans="1:30" x14ac:dyDescent="0.25">
      <c r="A48" t="s">
        <v>88</v>
      </c>
      <c r="B48" t="s">
        <v>192</v>
      </c>
      <c r="C48" t="s">
        <v>336</v>
      </c>
      <c r="D48" s="2">
        <v>44652</v>
      </c>
      <c r="E48">
        <v>45.204439999999998</v>
      </c>
      <c r="F48" s="2">
        <v>44729</v>
      </c>
      <c r="G48">
        <v>32.829250000000002</v>
      </c>
      <c r="H48" s="3">
        <v>-0.27379999999999999</v>
      </c>
      <c r="I48">
        <v>-33723.33</v>
      </c>
      <c r="J48" s="3">
        <v>-0.27550000000000002</v>
      </c>
      <c r="K48">
        <v>2708</v>
      </c>
      <c r="P48" s="2"/>
      <c r="R48" s="2"/>
      <c r="T48" s="3"/>
      <c r="V48" s="3"/>
      <c r="AA48" s="3"/>
      <c r="AB48" s="3"/>
      <c r="AC48" s="3"/>
      <c r="AD48" s="3"/>
    </row>
    <row r="49" spans="1:30" x14ac:dyDescent="0.25">
      <c r="A49" t="s">
        <v>109</v>
      </c>
      <c r="B49" t="s">
        <v>193</v>
      </c>
      <c r="C49" t="s">
        <v>336</v>
      </c>
      <c r="D49" s="2">
        <v>44645</v>
      </c>
      <c r="E49">
        <v>8.4104030000000005</v>
      </c>
      <c r="F49" s="2">
        <v>44729</v>
      </c>
      <c r="G49">
        <v>7.5676930000000002</v>
      </c>
      <c r="H49" s="3">
        <v>-0.1002</v>
      </c>
      <c r="I49">
        <v>-12474.1</v>
      </c>
      <c r="J49" s="3">
        <v>-0.1021</v>
      </c>
      <c r="K49">
        <v>14527</v>
      </c>
      <c r="P49" s="2"/>
      <c r="R49" s="2"/>
      <c r="T49" s="3"/>
      <c r="V49" s="3"/>
      <c r="AA49" s="3"/>
      <c r="AB49" s="3"/>
      <c r="AC49" s="3"/>
      <c r="AD49" s="3"/>
    </row>
    <row r="50" spans="1:30" x14ac:dyDescent="0.25">
      <c r="A50" t="s">
        <v>101</v>
      </c>
      <c r="B50" t="s">
        <v>170</v>
      </c>
      <c r="C50" t="s">
        <v>336</v>
      </c>
      <c r="D50" s="2">
        <v>44519</v>
      </c>
      <c r="E50">
        <v>24.446380000000001</v>
      </c>
      <c r="F50" s="2">
        <v>44729</v>
      </c>
      <c r="G50">
        <v>22.794740000000001</v>
      </c>
      <c r="H50" s="3">
        <v>-6.7599999999999993E-2</v>
      </c>
      <c r="I50">
        <v>-8448.5400000000009</v>
      </c>
      <c r="J50" s="3">
        <v>-6.9500000000000006E-2</v>
      </c>
      <c r="K50">
        <v>4973</v>
      </c>
      <c r="P50" s="2"/>
      <c r="R50" s="2"/>
      <c r="T50" s="3"/>
      <c r="V50" s="3"/>
      <c r="AA50" s="3"/>
      <c r="AB50" s="3"/>
      <c r="AC50" s="3"/>
      <c r="AD50" s="3"/>
    </row>
    <row r="51" spans="1:30" x14ac:dyDescent="0.25">
      <c r="A51" t="s">
        <v>145</v>
      </c>
      <c r="B51" t="s">
        <v>194</v>
      </c>
      <c r="C51" t="s">
        <v>336</v>
      </c>
      <c r="D51" s="2">
        <v>44302</v>
      </c>
      <c r="E51">
        <v>7.8513089999999996</v>
      </c>
      <c r="F51" s="2">
        <v>44729</v>
      </c>
      <c r="G51">
        <v>7.692285</v>
      </c>
      <c r="H51" s="3">
        <v>-2.0299999999999999E-2</v>
      </c>
      <c r="I51">
        <v>-2403.27</v>
      </c>
      <c r="J51" s="3">
        <v>-2.2200000000000001E-2</v>
      </c>
      <c r="K51">
        <v>13767</v>
      </c>
      <c r="P51" s="2"/>
      <c r="R51" s="2"/>
      <c r="T51" s="3"/>
      <c r="V51" s="3"/>
      <c r="AA51" s="3"/>
      <c r="AB51" s="3"/>
      <c r="AC51" s="3"/>
      <c r="AD51" s="3"/>
    </row>
    <row r="52" spans="1:30" x14ac:dyDescent="0.25">
      <c r="A52" t="s">
        <v>107</v>
      </c>
      <c r="B52" t="s">
        <v>195</v>
      </c>
      <c r="C52" t="s">
        <v>336</v>
      </c>
      <c r="D52" s="2">
        <v>44148</v>
      </c>
      <c r="E52">
        <v>1.0931219999999999</v>
      </c>
      <c r="F52" s="2">
        <v>44701</v>
      </c>
      <c r="G52">
        <v>1.13314</v>
      </c>
      <c r="H52" s="3">
        <v>3.6600000000000001E-2</v>
      </c>
      <c r="I52">
        <v>3576.38</v>
      </c>
      <c r="J52" s="3">
        <v>3.4599999999999999E-2</v>
      </c>
      <c r="K52">
        <v>94634</v>
      </c>
      <c r="P52" s="2"/>
      <c r="R52" s="2"/>
      <c r="T52" s="3"/>
      <c r="V52" s="3"/>
      <c r="AA52" s="3"/>
      <c r="AB52" s="3"/>
      <c r="AC52" s="3"/>
      <c r="AD52" s="3"/>
    </row>
    <row r="53" spans="1:30" x14ac:dyDescent="0.25">
      <c r="A53" t="s">
        <v>97</v>
      </c>
      <c r="B53" t="s">
        <v>196</v>
      </c>
      <c r="C53" t="s">
        <v>336</v>
      </c>
      <c r="D53" s="2">
        <v>44057</v>
      </c>
      <c r="E53">
        <v>2.9340320000000002</v>
      </c>
      <c r="F53" s="2">
        <v>44694</v>
      </c>
      <c r="G53">
        <v>3.8533750000000002</v>
      </c>
      <c r="H53" s="3">
        <v>0.31330000000000002</v>
      </c>
      <c r="I53">
        <v>32315.42</v>
      </c>
      <c r="J53" s="3">
        <v>0.311</v>
      </c>
      <c r="K53">
        <v>35412</v>
      </c>
      <c r="P53" s="2"/>
      <c r="R53" s="2"/>
      <c r="T53" s="3"/>
      <c r="V53" s="3"/>
      <c r="AA53" s="3"/>
      <c r="AB53" s="3"/>
      <c r="AC53" s="3"/>
      <c r="AD53" s="3"/>
    </row>
    <row r="54" spans="1:30" x14ac:dyDescent="0.25">
      <c r="A54" t="s">
        <v>88</v>
      </c>
      <c r="B54" t="s">
        <v>192</v>
      </c>
      <c r="C54" t="s">
        <v>336</v>
      </c>
      <c r="D54" s="2">
        <v>44287</v>
      </c>
      <c r="E54">
        <v>43.181980000000003</v>
      </c>
      <c r="F54" s="2">
        <v>44596</v>
      </c>
      <c r="G54">
        <v>36.847549999999998</v>
      </c>
      <c r="H54" s="3">
        <v>-0.1467</v>
      </c>
      <c r="I54">
        <v>-15914.27</v>
      </c>
      <c r="J54" s="3">
        <v>-0.14849999999999999</v>
      </c>
      <c r="K54">
        <v>2481</v>
      </c>
      <c r="P54" s="2"/>
      <c r="R54" s="2"/>
      <c r="T54" s="3"/>
      <c r="V54" s="3"/>
      <c r="AA54" s="3"/>
      <c r="AB54" s="3"/>
      <c r="AC54" s="3"/>
      <c r="AD54" s="3"/>
    </row>
    <row r="55" spans="1:30" x14ac:dyDescent="0.25">
      <c r="A55" t="s">
        <v>96</v>
      </c>
      <c r="B55" t="s">
        <v>197</v>
      </c>
      <c r="C55" t="s">
        <v>336</v>
      </c>
      <c r="D55" s="2">
        <v>44120</v>
      </c>
      <c r="E55">
        <v>2.5234549999999998</v>
      </c>
      <c r="F55" s="2">
        <v>44596</v>
      </c>
      <c r="G55">
        <v>3.0364110000000002</v>
      </c>
      <c r="H55" s="3">
        <v>0.20330000000000001</v>
      </c>
      <c r="I55">
        <v>20826.07</v>
      </c>
      <c r="J55" s="3">
        <v>0.2011</v>
      </c>
      <c r="K55">
        <v>41045</v>
      </c>
      <c r="P55" s="2"/>
      <c r="R55" s="2"/>
      <c r="T55" s="3"/>
      <c r="V55" s="3"/>
      <c r="AA55" s="3"/>
      <c r="AB55" s="3"/>
      <c r="AC55" s="3"/>
      <c r="AD55" s="3"/>
    </row>
    <row r="56" spans="1:30" x14ac:dyDescent="0.25">
      <c r="A56" t="s">
        <v>287</v>
      </c>
      <c r="B56" t="s">
        <v>198</v>
      </c>
      <c r="C56" t="s">
        <v>336</v>
      </c>
      <c r="D56" s="2">
        <v>44120</v>
      </c>
      <c r="E56">
        <v>1.8375509999999999</v>
      </c>
      <c r="F56" s="2">
        <v>44596</v>
      </c>
      <c r="G56">
        <v>2.59</v>
      </c>
      <c r="H56" s="3">
        <v>0.40949999999999998</v>
      </c>
      <c r="I56">
        <v>42175.69</v>
      </c>
      <c r="J56" s="3">
        <v>0.40710000000000002</v>
      </c>
      <c r="K56">
        <v>56383</v>
      </c>
      <c r="P56" s="2"/>
      <c r="R56" s="2"/>
      <c r="T56" s="3"/>
      <c r="V56" s="3"/>
      <c r="AA56" s="3"/>
      <c r="AB56" s="3"/>
      <c r="AC56" s="3"/>
      <c r="AD56" s="3"/>
    </row>
    <row r="57" spans="1:30" x14ac:dyDescent="0.25">
      <c r="A57" t="s">
        <v>288</v>
      </c>
      <c r="B57" t="s">
        <v>199</v>
      </c>
      <c r="C57" t="s">
        <v>336</v>
      </c>
      <c r="D57" s="2">
        <v>44036</v>
      </c>
      <c r="E57">
        <v>2.0526409999999999</v>
      </c>
      <c r="F57" s="2">
        <v>44529</v>
      </c>
      <c r="G57">
        <v>2.759582</v>
      </c>
      <c r="H57" s="3">
        <v>0.34439999999999998</v>
      </c>
      <c r="I57">
        <v>35380.97</v>
      </c>
      <c r="J57" s="3">
        <v>0.34210000000000002</v>
      </c>
      <c r="K57">
        <v>50391</v>
      </c>
      <c r="P57" s="2"/>
      <c r="R57" s="2"/>
      <c r="T57" s="3"/>
      <c r="V57" s="3"/>
      <c r="AA57" s="3"/>
      <c r="AB57" s="3"/>
      <c r="AC57" s="3"/>
      <c r="AD57" s="3"/>
    </row>
    <row r="58" spans="1:30" x14ac:dyDescent="0.25">
      <c r="A58" t="s">
        <v>80</v>
      </c>
      <c r="B58" t="s">
        <v>131</v>
      </c>
      <c r="C58" t="s">
        <v>336</v>
      </c>
      <c r="D58" s="2">
        <v>44295</v>
      </c>
      <c r="E58">
        <v>2.7186620000000001</v>
      </c>
      <c r="F58" s="2">
        <v>44477</v>
      </c>
      <c r="G58">
        <v>3.006561</v>
      </c>
      <c r="H58" s="3">
        <v>0.10589999999999999</v>
      </c>
      <c r="I58">
        <v>11136.55</v>
      </c>
      <c r="J58" s="3">
        <v>0.1038</v>
      </c>
      <c r="K58">
        <v>39467</v>
      </c>
      <c r="P58" s="2"/>
      <c r="R58" s="2"/>
      <c r="T58" s="3"/>
      <c r="V58" s="3"/>
      <c r="AA58" s="3"/>
      <c r="AB58" s="3"/>
      <c r="AC58" s="3"/>
      <c r="AD58" s="3"/>
    </row>
    <row r="59" spans="1:30" x14ac:dyDescent="0.25">
      <c r="A59" t="s">
        <v>113</v>
      </c>
      <c r="B59" t="s">
        <v>174</v>
      </c>
      <c r="C59" t="s">
        <v>336</v>
      </c>
      <c r="D59" s="2">
        <v>44057</v>
      </c>
      <c r="E59">
        <v>24.610420000000001</v>
      </c>
      <c r="F59" s="2">
        <v>44281</v>
      </c>
      <c r="G59">
        <v>29.500250000000001</v>
      </c>
      <c r="H59" s="3">
        <v>0.19869999999999999</v>
      </c>
      <c r="I59">
        <v>20411.57</v>
      </c>
      <c r="J59" s="3">
        <v>0.19650000000000001</v>
      </c>
      <c r="K59">
        <v>4221</v>
      </c>
      <c r="P59" s="2"/>
      <c r="R59" s="2"/>
      <c r="T59" s="3"/>
      <c r="V59" s="3"/>
      <c r="AA59" s="3"/>
      <c r="AB59" s="3"/>
      <c r="AC59" s="3"/>
      <c r="AD59" s="3"/>
    </row>
    <row r="60" spans="1:30" x14ac:dyDescent="0.25">
      <c r="A60" t="s">
        <v>138</v>
      </c>
      <c r="B60" t="s">
        <v>173</v>
      </c>
      <c r="C60" t="s">
        <v>336</v>
      </c>
      <c r="D60" s="2">
        <v>44036</v>
      </c>
      <c r="E60">
        <v>73.055689999999998</v>
      </c>
      <c r="F60" s="2">
        <v>44281</v>
      </c>
      <c r="G60">
        <v>81.242840000000001</v>
      </c>
      <c r="H60" s="3">
        <v>0.11210000000000001</v>
      </c>
      <c r="I60">
        <v>11374.45</v>
      </c>
      <c r="J60" s="3">
        <v>0.11</v>
      </c>
      <c r="K60">
        <v>1416</v>
      </c>
      <c r="P60" s="2"/>
      <c r="R60" s="2"/>
      <c r="T60" s="3"/>
      <c r="V60" s="3"/>
      <c r="AA60" s="3"/>
      <c r="AB60" s="3"/>
      <c r="AC60" s="3"/>
      <c r="AD60" s="3"/>
    </row>
    <row r="61" spans="1:30" x14ac:dyDescent="0.25">
      <c r="A61" t="s">
        <v>98</v>
      </c>
      <c r="B61" t="s">
        <v>200</v>
      </c>
      <c r="C61" t="s">
        <v>336</v>
      </c>
      <c r="D61" s="2">
        <v>44148</v>
      </c>
      <c r="E61">
        <v>1.024232</v>
      </c>
      <c r="F61" s="2">
        <v>44260</v>
      </c>
      <c r="G61">
        <v>0.95419880000000001</v>
      </c>
      <c r="H61" s="3">
        <v>-6.8400000000000002E-2</v>
      </c>
      <c r="I61">
        <v>-7274.25</v>
      </c>
      <c r="J61" s="3">
        <v>-7.0300000000000001E-2</v>
      </c>
      <c r="K61">
        <v>101015</v>
      </c>
      <c r="P61" s="2"/>
      <c r="R61" s="2"/>
      <c r="T61" s="3"/>
      <c r="V61" s="3"/>
      <c r="AA61" s="3"/>
      <c r="AB61" s="3"/>
      <c r="AC61" s="3"/>
      <c r="AD61" s="3"/>
    </row>
    <row r="62" spans="1:30" x14ac:dyDescent="0.25">
      <c r="A62" t="s">
        <v>146</v>
      </c>
      <c r="B62" t="s">
        <v>201</v>
      </c>
      <c r="C62" t="s">
        <v>336</v>
      </c>
      <c r="D62" s="2">
        <v>44127</v>
      </c>
      <c r="E62">
        <v>3.2092170000000002</v>
      </c>
      <c r="F62" s="2">
        <v>44260</v>
      </c>
      <c r="G62">
        <v>3.3086639999999998</v>
      </c>
      <c r="H62" s="3">
        <v>3.1E-2</v>
      </c>
      <c r="I62">
        <v>3055.23</v>
      </c>
      <c r="J62" s="3">
        <v>2.9000000000000001E-2</v>
      </c>
      <c r="K62">
        <v>32877</v>
      </c>
      <c r="P62" s="2"/>
      <c r="R62" s="2"/>
      <c r="T62" s="3"/>
      <c r="V62" s="3"/>
      <c r="AA62" s="3"/>
      <c r="AB62" s="3"/>
      <c r="AC62" s="3"/>
      <c r="AD62" s="3"/>
    </row>
    <row r="63" spans="1:30" x14ac:dyDescent="0.25">
      <c r="A63" t="s">
        <v>289</v>
      </c>
      <c r="B63" t="s">
        <v>202</v>
      </c>
      <c r="C63" t="s">
        <v>336</v>
      </c>
      <c r="D63" s="2">
        <v>44120</v>
      </c>
      <c r="E63">
        <v>31.78068</v>
      </c>
      <c r="F63" s="2">
        <v>44141</v>
      </c>
      <c r="G63">
        <v>29.285440000000001</v>
      </c>
      <c r="H63" s="3">
        <v>-7.85E-2</v>
      </c>
      <c r="I63">
        <v>-8328.4500000000007</v>
      </c>
      <c r="J63" s="3">
        <v>-8.0399999999999999E-2</v>
      </c>
      <c r="K63">
        <v>3258</v>
      </c>
      <c r="P63" s="2"/>
      <c r="R63" s="2"/>
      <c r="T63" s="3"/>
      <c r="V63" s="3"/>
      <c r="AA63" s="3"/>
      <c r="AB63" s="3"/>
      <c r="AC63" s="3"/>
      <c r="AD63" s="3"/>
    </row>
    <row r="64" spans="1:30" x14ac:dyDescent="0.25">
      <c r="A64" t="s">
        <v>121</v>
      </c>
      <c r="B64" t="s">
        <v>203</v>
      </c>
      <c r="C64" t="s">
        <v>336</v>
      </c>
      <c r="D64" s="2">
        <v>44120</v>
      </c>
      <c r="E64">
        <v>8.9446809999999992</v>
      </c>
      <c r="F64" s="2">
        <v>44141</v>
      </c>
      <c r="G64">
        <v>8.0774209999999993</v>
      </c>
      <c r="H64" s="3">
        <v>-9.7000000000000003E-2</v>
      </c>
      <c r="I64">
        <v>-10240.870000000001</v>
      </c>
      <c r="J64" s="3">
        <v>-9.8900000000000002E-2</v>
      </c>
      <c r="K64">
        <v>11581</v>
      </c>
      <c r="P64" s="2"/>
      <c r="R64" s="2"/>
      <c r="T64" s="3"/>
      <c r="V64" s="3"/>
      <c r="AA64" s="3"/>
      <c r="AB64" s="3"/>
      <c r="AC64" s="3"/>
      <c r="AD64" s="3"/>
    </row>
    <row r="65" spans="1:30" x14ac:dyDescent="0.25">
      <c r="A65" t="s">
        <v>95</v>
      </c>
      <c r="B65" t="s">
        <v>176</v>
      </c>
      <c r="C65" t="s">
        <v>336</v>
      </c>
      <c r="D65" s="2">
        <v>43994</v>
      </c>
      <c r="E65">
        <v>8.7523750000000007</v>
      </c>
      <c r="F65" s="2">
        <v>44099</v>
      </c>
      <c r="G65">
        <v>9.9681060000000006</v>
      </c>
      <c r="H65" s="3">
        <v>0.1389</v>
      </c>
      <c r="I65">
        <v>14057.8</v>
      </c>
      <c r="J65" s="3">
        <v>0.1368</v>
      </c>
      <c r="K65">
        <v>11744</v>
      </c>
      <c r="P65" s="2"/>
      <c r="R65" s="2"/>
      <c r="T65" s="3"/>
      <c r="V65" s="3"/>
      <c r="AA65" s="3"/>
      <c r="AB65" s="3"/>
      <c r="AC65" s="3"/>
      <c r="AD65" s="3"/>
    </row>
    <row r="66" spans="1:30" x14ac:dyDescent="0.25">
      <c r="A66" t="s">
        <v>119</v>
      </c>
      <c r="B66" t="s">
        <v>204</v>
      </c>
      <c r="C66" t="s">
        <v>336</v>
      </c>
      <c r="D66" s="2">
        <v>44064</v>
      </c>
      <c r="E66">
        <v>9.3863950000000003</v>
      </c>
      <c r="F66" s="2">
        <v>44092</v>
      </c>
      <c r="G66">
        <v>8.2261249999999997</v>
      </c>
      <c r="H66" s="3">
        <v>-0.1236</v>
      </c>
      <c r="I66">
        <v>-12993.33</v>
      </c>
      <c r="J66" s="3">
        <v>-0.1255</v>
      </c>
      <c r="K66">
        <v>11031</v>
      </c>
      <c r="P66" s="2"/>
      <c r="R66" s="2"/>
      <c r="T66" s="3"/>
      <c r="V66" s="3"/>
      <c r="AA66" s="3"/>
      <c r="AB66" s="3"/>
      <c r="AC66" s="3"/>
      <c r="AD66" s="3"/>
    </row>
    <row r="67" spans="1:30" x14ac:dyDescent="0.25">
      <c r="A67" t="s">
        <v>82</v>
      </c>
      <c r="B67" t="s">
        <v>205</v>
      </c>
      <c r="C67" t="s">
        <v>336</v>
      </c>
      <c r="D67" s="2">
        <v>42307</v>
      </c>
      <c r="E67">
        <v>1.7258309999999999</v>
      </c>
      <c r="F67" s="2">
        <v>43917</v>
      </c>
      <c r="G67">
        <v>2.4826760000000001</v>
      </c>
      <c r="H67" s="3">
        <v>0.4385</v>
      </c>
      <c r="I67">
        <v>28494.82</v>
      </c>
      <c r="J67" s="3">
        <v>0.43609999999999999</v>
      </c>
      <c r="K67">
        <v>37860</v>
      </c>
      <c r="P67" s="2"/>
      <c r="R67" s="2"/>
      <c r="T67" s="3"/>
      <c r="V67" s="3"/>
      <c r="AA67" s="3"/>
      <c r="AB67" s="3"/>
      <c r="AC67" s="3"/>
      <c r="AD67" s="3"/>
    </row>
    <row r="68" spans="1:30" x14ac:dyDescent="0.25">
      <c r="A68" t="s">
        <v>73</v>
      </c>
      <c r="B68" t="s">
        <v>206</v>
      </c>
      <c r="C68" t="s">
        <v>336</v>
      </c>
      <c r="D68" s="2">
        <v>43826</v>
      </c>
      <c r="E68">
        <v>15.73377</v>
      </c>
      <c r="F68" s="2">
        <v>43910</v>
      </c>
      <c r="G68">
        <v>12.305809999999999</v>
      </c>
      <c r="H68" s="3">
        <v>-0.21790000000000001</v>
      </c>
      <c r="I68">
        <v>-26866.94</v>
      </c>
      <c r="J68" s="3">
        <v>-0.21970000000000001</v>
      </c>
      <c r="K68">
        <v>7774</v>
      </c>
      <c r="P68" s="2"/>
      <c r="R68" s="2"/>
      <c r="T68" s="3"/>
      <c r="V68" s="3"/>
      <c r="AA68" s="3"/>
      <c r="AB68" s="3"/>
      <c r="AC68" s="3"/>
      <c r="AD68" s="3"/>
    </row>
    <row r="69" spans="1:30" x14ac:dyDescent="0.25">
      <c r="A69" t="s">
        <v>144</v>
      </c>
      <c r="B69" t="s">
        <v>191</v>
      </c>
      <c r="C69" t="s">
        <v>336</v>
      </c>
      <c r="D69" s="2">
        <v>43252</v>
      </c>
      <c r="E69">
        <v>2.675144</v>
      </c>
      <c r="F69" s="2">
        <v>43910</v>
      </c>
      <c r="G69">
        <v>3.1954910000000001</v>
      </c>
      <c r="H69" s="3">
        <v>0.19450000000000001</v>
      </c>
      <c r="I69">
        <v>16522.919999999998</v>
      </c>
      <c r="J69" s="3">
        <v>0.1923</v>
      </c>
      <c r="K69">
        <v>32116</v>
      </c>
      <c r="P69" s="2"/>
      <c r="R69" s="2"/>
      <c r="T69" s="3"/>
      <c r="V69" s="3"/>
      <c r="AA69" s="3"/>
      <c r="AB69" s="3"/>
      <c r="AC69" s="3"/>
      <c r="AD69" s="3"/>
    </row>
    <row r="70" spans="1:30" x14ac:dyDescent="0.25">
      <c r="A70" t="s">
        <v>81</v>
      </c>
      <c r="B70" t="s">
        <v>132</v>
      </c>
      <c r="C70" t="s">
        <v>336</v>
      </c>
      <c r="D70" s="2">
        <v>43077</v>
      </c>
      <c r="E70">
        <v>2.2245949999999999</v>
      </c>
      <c r="F70" s="2">
        <v>43910</v>
      </c>
      <c r="G70">
        <v>2.6140590000000001</v>
      </c>
      <c r="H70" s="3">
        <v>0.17510000000000001</v>
      </c>
      <c r="I70">
        <v>15403.48</v>
      </c>
      <c r="J70" s="3">
        <v>0.1729</v>
      </c>
      <c r="K70">
        <v>40048</v>
      </c>
      <c r="P70" s="2"/>
      <c r="R70" s="2"/>
      <c r="T70" s="3"/>
      <c r="V70" s="3"/>
      <c r="AA70" s="3"/>
      <c r="AB70" s="3"/>
      <c r="AC70" s="3"/>
      <c r="AD70" s="3"/>
    </row>
    <row r="71" spans="1:30" x14ac:dyDescent="0.25">
      <c r="A71" t="s">
        <v>96</v>
      </c>
      <c r="B71" t="s">
        <v>197</v>
      </c>
      <c r="C71" t="s">
        <v>336</v>
      </c>
      <c r="D71" s="2">
        <v>42650</v>
      </c>
      <c r="E71">
        <v>1.993241</v>
      </c>
      <c r="F71" s="2">
        <v>43910</v>
      </c>
      <c r="G71">
        <v>2.485484</v>
      </c>
      <c r="H71" s="3">
        <v>0.247</v>
      </c>
      <c r="I71">
        <v>18927.689999999999</v>
      </c>
      <c r="J71" s="3">
        <v>0.2447</v>
      </c>
      <c r="K71">
        <v>38805</v>
      </c>
      <c r="P71" s="2"/>
      <c r="R71" s="2"/>
      <c r="T71" s="3"/>
      <c r="V71" s="3"/>
      <c r="AA71" s="3"/>
      <c r="AB71" s="3"/>
      <c r="AC71" s="3"/>
      <c r="AD71" s="3"/>
    </row>
    <row r="72" spans="1:30" x14ac:dyDescent="0.25">
      <c r="A72" t="s">
        <v>135</v>
      </c>
      <c r="B72" t="s">
        <v>158</v>
      </c>
      <c r="C72" t="s">
        <v>336</v>
      </c>
      <c r="D72" s="2">
        <v>42307</v>
      </c>
      <c r="E72">
        <v>5.6599830000000004</v>
      </c>
      <c r="F72" s="2">
        <v>43910</v>
      </c>
      <c r="G72">
        <v>6.8602489999999996</v>
      </c>
      <c r="H72" s="3">
        <v>0.21210000000000001</v>
      </c>
      <c r="I72">
        <v>13708.96</v>
      </c>
      <c r="J72" s="3">
        <v>0.20979999999999999</v>
      </c>
      <c r="K72">
        <v>11542</v>
      </c>
      <c r="P72" s="2"/>
      <c r="R72" s="2"/>
      <c r="T72" s="3"/>
      <c r="V72" s="3"/>
      <c r="AA72" s="3"/>
      <c r="AB72" s="3"/>
      <c r="AC72" s="3"/>
      <c r="AD72" s="3"/>
    </row>
    <row r="73" spans="1:30" x14ac:dyDescent="0.25">
      <c r="A73" t="s">
        <v>122</v>
      </c>
      <c r="B73" t="s">
        <v>207</v>
      </c>
      <c r="C73" t="s">
        <v>336</v>
      </c>
      <c r="D73" s="2">
        <v>40431</v>
      </c>
      <c r="E73">
        <v>1.4433370000000001</v>
      </c>
      <c r="F73" s="2">
        <v>43910</v>
      </c>
      <c r="G73">
        <v>3.7075100000000001</v>
      </c>
      <c r="H73" s="3">
        <v>1.5687</v>
      </c>
      <c r="I73">
        <v>59308.37</v>
      </c>
      <c r="J73" s="3">
        <v>1.5650999999999999</v>
      </c>
      <c r="K73">
        <v>26254</v>
      </c>
      <c r="P73" s="2"/>
      <c r="R73" s="2"/>
      <c r="T73" s="3"/>
      <c r="V73" s="3"/>
      <c r="AA73" s="3"/>
      <c r="AB73" s="3"/>
      <c r="AC73" s="3"/>
      <c r="AD73" s="3"/>
    </row>
    <row r="74" spans="1:30" x14ac:dyDescent="0.25">
      <c r="A74" t="s">
        <v>290</v>
      </c>
      <c r="B74" t="s">
        <v>208</v>
      </c>
      <c r="C74" t="s">
        <v>336</v>
      </c>
      <c r="D74" s="2">
        <v>40431</v>
      </c>
      <c r="E74">
        <v>1.375461</v>
      </c>
      <c r="F74" s="2">
        <v>43903</v>
      </c>
      <c r="G74">
        <v>6.8250000000000002</v>
      </c>
      <c r="H74" s="3">
        <v>3.9620000000000002</v>
      </c>
      <c r="I74">
        <v>149838.14000000001</v>
      </c>
      <c r="J74" s="3">
        <v>3.956</v>
      </c>
      <c r="K74">
        <v>27537</v>
      </c>
      <c r="P74" s="2"/>
      <c r="R74" s="2"/>
      <c r="T74" s="3"/>
      <c r="V74" s="3"/>
      <c r="AA74" s="3"/>
      <c r="AB74" s="3"/>
      <c r="AC74" s="3"/>
      <c r="AD74" s="3"/>
    </row>
    <row r="75" spans="1:30" x14ac:dyDescent="0.25">
      <c r="A75" t="s">
        <v>108</v>
      </c>
      <c r="B75" t="s">
        <v>209</v>
      </c>
      <c r="C75" t="s">
        <v>336</v>
      </c>
      <c r="D75" s="2">
        <v>43721</v>
      </c>
      <c r="E75">
        <v>11.002700000000001</v>
      </c>
      <c r="F75" s="2">
        <v>43896</v>
      </c>
      <c r="G75">
        <v>7.3419619999999997</v>
      </c>
      <c r="H75" s="3">
        <v>-0.3327</v>
      </c>
      <c r="I75">
        <v>-39811.360000000001</v>
      </c>
      <c r="J75" s="3">
        <v>-0.33439999999999998</v>
      </c>
      <c r="K75">
        <v>10821</v>
      </c>
      <c r="P75" s="2"/>
      <c r="R75" s="2"/>
      <c r="T75" s="3"/>
      <c r="V75" s="3"/>
      <c r="AA75" s="3"/>
      <c r="AB75" s="3"/>
      <c r="AC75" s="3"/>
      <c r="AD75" s="3"/>
    </row>
    <row r="76" spans="1:30" x14ac:dyDescent="0.25">
      <c r="A76" t="s">
        <v>95</v>
      </c>
      <c r="B76" t="s">
        <v>176</v>
      </c>
      <c r="C76" t="s">
        <v>336</v>
      </c>
      <c r="D76" s="2">
        <v>43483</v>
      </c>
      <c r="E76">
        <v>2.1108579999999999</v>
      </c>
      <c r="F76" s="2">
        <v>43896</v>
      </c>
      <c r="G76">
        <v>5.2456469999999999</v>
      </c>
      <c r="H76" s="3">
        <v>1.4851000000000001</v>
      </c>
      <c r="I76">
        <v>137597.65</v>
      </c>
      <c r="J76" s="3">
        <v>1.4816</v>
      </c>
      <c r="K76">
        <v>43997</v>
      </c>
      <c r="P76" s="2"/>
      <c r="R76" s="2"/>
      <c r="T76" s="3"/>
      <c r="V76" s="3"/>
      <c r="AA76" s="3"/>
      <c r="AB76" s="3"/>
      <c r="AC76" s="3"/>
      <c r="AD76" s="3"/>
    </row>
    <row r="77" spans="1:30" x14ac:dyDescent="0.25">
      <c r="A77" t="s">
        <v>93</v>
      </c>
      <c r="B77" t="s">
        <v>210</v>
      </c>
      <c r="C77" t="s">
        <v>336</v>
      </c>
      <c r="D77" s="2">
        <v>42440</v>
      </c>
      <c r="E77">
        <v>31.193999999999999</v>
      </c>
      <c r="F77" s="2">
        <v>43896</v>
      </c>
      <c r="G77">
        <v>61.209209999999999</v>
      </c>
      <c r="H77" s="3">
        <v>0.96220000000000006</v>
      </c>
      <c r="I77">
        <v>63795.42</v>
      </c>
      <c r="J77" s="3">
        <v>0.95920000000000005</v>
      </c>
      <c r="K77">
        <v>2132</v>
      </c>
      <c r="P77" s="2"/>
      <c r="R77" s="2"/>
      <c r="T77" s="3"/>
      <c r="V77" s="3"/>
      <c r="AA77" s="3"/>
      <c r="AB77" s="3"/>
      <c r="AC77" s="3"/>
      <c r="AD77" s="3"/>
    </row>
    <row r="78" spans="1:30" x14ac:dyDescent="0.25">
      <c r="A78" t="s">
        <v>287</v>
      </c>
      <c r="B78" t="s">
        <v>198</v>
      </c>
      <c r="C78" t="s">
        <v>336</v>
      </c>
      <c r="D78" s="2">
        <v>41250</v>
      </c>
      <c r="E78">
        <v>0.63561590000000001</v>
      </c>
      <c r="F78" s="2">
        <v>43812</v>
      </c>
      <c r="G78">
        <v>1.5162359999999999</v>
      </c>
      <c r="H78" s="3">
        <v>1.3855</v>
      </c>
      <c r="I78">
        <v>61195.86</v>
      </c>
      <c r="J78" s="3">
        <v>1.3821000000000001</v>
      </c>
      <c r="K78">
        <v>69662</v>
      </c>
      <c r="P78" s="2"/>
      <c r="R78" s="2"/>
      <c r="T78" s="3"/>
      <c r="V78" s="3"/>
      <c r="AA78" s="3"/>
      <c r="AB78" s="3"/>
      <c r="AC78" s="3"/>
      <c r="AD78" s="3"/>
    </row>
    <row r="79" spans="1:30" x14ac:dyDescent="0.25">
      <c r="A79" t="s">
        <v>94</v>
      </c>
      <c r="B79" t="s">
        <v>211</v>
      </c>
      <c r="C79" t="s">
        <v>336</v>
      </c>
      <c r="D79" s="2">
        <v>43273</v>
      </c>
      <c r="E79">
        <v>2.9275319999999998</v>
      </c>
      <c r="F79" s="2">
        <v>43700</v>
      </c>
      <c r="G79">
        <v>3.8142580000000001</v>
      </c>
      <c r="H79" s="3">
        <v>0.3029</v>
      </c>
      <c r="I79">
        <v>26710.16</v>
      </c>
      <c r="J79" s="3">
        <v>0.30059999999999998</v>
      </c>
      <c r="K79">
        <v>30353</v>
      </c>
      <c r="P79" s="2"/>
      <c r="R79" s="2"/>
      <c r="T79" s="3"/>
      <c r="V79" s="3"/>
      <c r="AA79" s="3"/>
      <c r="AB79" s="3"/>
      <c r="AC79" s="3"/>
      <c r="AD79" s="3"/>
    </row>
    <row r="80" spans="1:30" x14ac:dyDescent="0.25">
      <c r="A80" t="s">
        <v>120</v>
      </c>
      <c r="B80" t="s">
        <v>212</v>
      </c>
      <c r="C80" t="s">
        <v>336</v>
      </c>
      <c r="D80" s="2">
        <v>43231</v>
      </c>
      <c r="E80">
        <v>6.6040460000000003</v>
      </c>
      <c r="F80" s="2">
        <v>43392</v>
      </c>
      <c r="G80">
        <v>6.3587049999999996</v>
      </c>
      <c r="H80" s="3">
        <v>-3.7199999999999997E-2</v>
      </c>
      <c r="I80">
        <v>-3375.26</v>
      </c>
      <c r="J80" s="3">
        <v>-3.9100000000000003E-2</v>
      </c>
      <c r="K80">
        <v>13067</v>
      </c>
      <c r="P80" s="2"/>
      <c r="R80" s="2"/>
      <c r="T80" s="3"/>
      <c r="V80" s="3"/>
      <c r="AA80" s="3"/>
      <c r="AB80" s="3"/>
      <c r="AC80" s="3"/>
      <c r="AD80" s="3"/>
    </row>
    <row r="81" spans="1:30" x14ac:dyDescent="0.25">
      <c r="A81" t="s">
        <v>101</v>
      </c>
      <c r="B81" t="s">
        <v>170</v>
      </c>
      <c r="C81" t="s">
        <v>336</v>
      </c>
      <c r="D81" s="2">
        <v>42706</v>
      </c>
      <c r="E81">
        <v>18.39866</v>
      </c>
      <c r="F81" s="2">
        <v>43252</v>
      </c>
      <c r="G81">
        <v>18.808540000000001</v>
      </c>
      <c r="H81" s="3">
        <v>2.23E-2</v>
      </c>
      <c r="I81">
        <v>1498.52</v>
      </c>
      <c r="J81" s="3">
        <v>2.0299999999999999E-2</v>
      </c>
      <c r="K81">
        <v>4021</v>
      </c>
      <c r="P81" s="2"/>
      <c r="R81" s="2"/>
      <c r="T81" s="3"/>
      <c r="V81" s="3"/>
      <c r="AA81" s="3"/>
      <c r="AB81" s="3"/>
      <c r="AC81" s="3"/>
      <c r="AD81" s="3"/>
    </row>
    <row r="82" spans="1:30" x14ac:dyDescent="0.25">
      <c r="A82" t="s">
        <v>142</v>
      </c>
      <c r="B82" t="s">
        <v>186</v>
      </c>
      <c r="C82" t="s">
        <v>336</v>
      </c>
      <c r="D82" s="2">
        <v>43028</v>
      </c>
      <c r="E82">
        <v>3.9590390000000002</v>
      </c>
      <c r="F82" s="2">
        <v>43154</v>
      </c>
      <c r="G82">
        <v>2.8154780000000001</v>
      </c>
      <c r="H82" s="3">
        <v>-0.2888</v>
      </c>
      <c r="I82">
        <v>-25210.75</v>
      </c>
      <c r="J82" s="3">
        <v>-0.29060000000000002</v>
      </c>
      <c r="K82">
        <v>21916</v>
      </c>
      <c r="P82" s="2"/>
      <c r="R82" s="2"/>
      <c r="T82" s="3"/>
      <c r="V82" s="3"/>
      <c r="AA82" s="3"/>
      <c r="AB82" s="3"/>
      <c r="AC82" s="3"/>
      <c r="AD82" s="3"/>
    </row>
    <row r="83" spans="1:30" x14ac:dyDescent="0.25">
      <c r="A83" t="s">
        <v>102</v>
      </c>
      <c r="B83" t="s">
        <v>213</v>
      </c>
      <c r="C83" t="s">
        <v>336</v>
      </c>
      <c r="D83" s="2">
        <v>42979</v>
      </c>
      <c r="E83">
        <v>2.658633</v>
      </c>
      <c r="F83" s="2">
        <v>43147</v>
      </c>
      <c r="G83">
        <v>3.4412569999999998</v>
      </c>
      <c r="H83" s="3">
        <v>0.2944</v>
      </c>
      <c r="I83">
        <v>25183.45</v>
      </c>
      <c r="J83" s="3">
        <v>0.29210000000000003</v>
      </c>
      <c r="K83">
        <v>32431</v>
      </c>
      <c r="P83" s="2"/>
      <c r="R83" s="2"/>
      <c r="T83" s="3"/>
      <c r="V83" s="3"/>
      <c r="AA83" s="3"/>
      <c r="AB83" s="3"/>
      <c r="AC83" s="3"/>
      <c r="AD83" s="3"/>
    </row>
    <row r="84" spans="1:30" x14ac:dyDescent="0.25">
      <c r="A84" t="s">
        <v>100</v>
      </c>
      <c r="B84" t="s">
        <v>214</v>
      </c>
      <c r="C84" t="s">
        <v>336</v>
      </c>
      <c r="D84" s="2">
        <v>42657</v>
      </c>
      <c r="E84">
        <v>13.06062</v>
      </c>
      <c r="F84" s="2">
        <v>43070</v>
      </c>
      <c r="G84">
        <v>14.639340000000001</v>
      </c>
      <c r="H84" s="3">
        <v>0.12089999999999999</v>
      </c>
      <c r="I84">
        <v>9053.2999999999993</v>
      </c>
      <c r="J84" s="3">
        <v>0.1188</v>
      </c>
      <c r="K84">
        <v>5837</v>
      </c>
      <c r="P84" s="2"/>
      <c r="R84" s="2"/>
      <c r="T84" s="3"/>
      <c r="V84" s="3"/>
      <c r="AA84" s="3"/>
      <c r="AB84" s="3"/>
      <c r="AC84" s="3"/>
      <c r="AD84" s="3"/>
    </row>
    <row r="85" spans="1:30" x14ac:dyDescent="0.25">
      <c r="A85" t="s">
        <v>74</v>
      </c>
      <c r="B85" t="s">
        <v>215</v>
      </c>
      <c r="C85" t="s">
        <v>336</v>
      </c>
      <c r="D85" s="2">
        <v>42440</v>
      </c>
      <c r="E85">
        <v>5.0307579999999996</v>
      </c>
      <c r="F85" s="2">
        <v>43000</v>
      </c>
      <c r="G85">
        <v>9.6191759999999995</v>
      </c>
      <c r="H85" s="3">
        <v>0.91210000000000002</v>
      </c>
      <c r="I85">
        <v>60460.69</v>
      </c>
      <c r="J85" s="3">
        <v>0.90920000000000001</v>
      </c>
      <c r="K85">
        <v>13219</v>
      </c>
      <c r="P85" s="2"/>
      <c r="R85" s="2"/>
      <c r="T85" s="3"/>
      <c r="V85" s="3"/>
      <c r="AA85" s="3"/>
      <c r="AB85" s="3"/>
      <c r="AC85" s="3"/>
      <c r="AD85" s="3"/>
    </row>
    <row r="86" spans="1:30" x14ac:dyDescent="0.25">
      <c r="A86" t="s">
        <v>119</v>
      </c>
      <c r="B86" t="s">
        <v>204</v>
      </c>
      <c r="C86" t="s">
        <v>336</v>
      </c>
      <c r="D86" s="2">
        <v>42706</v>
      </c>
      <c r="E86">
        <v>8.6552039999999995</v>
      </c>
      <c r="F86" s="2">
        <v>42916</v>
      </c>
      <c r="G86">
        <v>9.2336170000000006</v>
      </c>
      <c r="H86" s="3">
        <v>6.6799999999999998E-2</v>
      </c>
      <c r="I86">
        <v>4790.8599999999997</v>
      </c>
      <c r="J86" s="3">
        <v>6.4799999999999996E-2</v>
      </c>
      <c r="K86">
        <v>8547</v>
      </c>
      <c r="P86" s="2"/>
      <c r="R86" s="2"/>
      <c r="T86" s="3"/>
      <c r="V86" s="3"/>
      <c r="AA86" s="3"/>
      <c r="AB86" s="3"/>
      <c r="AC86" s="3"/>
      <c r="AD86" s="3"/>
    </row>
    <row r="87" spans="1:30" x14ac:dyDescent="0.25">
      <c r="A87" t="s">
        <v>123</v>
      </c>
      <c r="B87" t="s">
        <v>216</v>
      </c>
      <c r="C87" t="s">
        <v>336</v>
      </c>
      <c r="D87" s="2">
        <v>42440</v>
      </c>
      <c r="E87">
        <v>0.65802970000000005</v>
      </c>
      <c r="F87" s="2">
        <v>42678</v>
      </c>
      <c r="G87">
        <v>1.0210999999999999</v>
      </c>
      <c r="H87" s="3">
        <v>0.55179999999999996</v>
      </c>
      <c r="I87">
        <v>36530.5</v>
      </c>
      <c r="J87" s="3">
        <v>0.54920000000000002</v>
      </c>
      <c r="K87">
        <v>101083</v>
      </c>
      <c r="P87" s="2"/>
      <c r="R87" s="2"/>
      <c r="T87" s="3"/>
      <c r="V87" s="3"/>
      <c r="AA87" s="3"/>
      <c r="AB87" s="3"/>
      <c r="AC87" s="3"/>
      <c r="AD87" s="3"/>
    </row>
    <row r="88" spans="1:30" x14ac:dyDescent="0.25">
      <c r="A88" t="s">
        <v>103</v>
      </c>
      <c r="B88" t="s">
        <v>217</v>
      </c>
      <c r="C88" t="s">
        <v>336</v>
      </c>
      <c r="D88" s="2">
        <v>40851</v>
      </c>
      <c r="E88">
        <v>12.00189</v>
      </c>
      <c r="F88" s="2">
        <v>42678</v>
      </c>
      <c r="G88">
        <v>19.553070000000002</v>
      </c>
      <c r="H88" s="3">
        <v>0.62919999999999998</v>
      </c>
      <c r="I88">
        <v>23295.8</v>
      </c>
      <c r="J88" s="3">
        <v>0.62649999999999995</v>
      </c>
      <c r="K88">
        <v>3098</v>
      </c>
      <c r="P88" s="2"/>
      <c r="R88" s="2"/>
      <c r="T88" s="3"/>
      <c r="V88" s="3"/>
      <c r="AA88" s="3"/>
      <c r="AB88" s="3"/>
      <c r="AC88" s="3"/>
      <c r="AD88" s="3"/>
    </row>
    <row r="89" spans="1:30" x14ac:dyDescent="0.25">
      <c r="A89" t="s">
        <v>291</v>
      </c>
      <c r="B89" t="s">
        <v>218</v>
      </c>
      <c r="C89" t="s">
        <v>336</v>
      </c>
      <c r="D89" s="2">
        <v>42013</v>
      </c>
      <c r="E89">
        <v>2.5611169999999999</v>
      </c>
      <c r="F89" s="2">
        <v>42622</v>
      </c>
      <c r="G89">
        <v>4.0441440000000002</v>
      </c>
      <c r="H89" s="3">
        <v>0.57909999999999995</v>
      </c>
      <c r="I89">
        <v>33877.97</v>
      </c>
      <c r="J89" s="3">
        <v>0.57650000000000001</v>
      </c>
      <c r="K89">
        <v>22946</v>
      </c>
      <c r="P89" s="2"/>
      <c r="R89" s="2"/>
      <c r="T89" s="3"/>
      <c r="V89" s="3"/>
      <c r="AA89" s="3"/>
      <c r="AB89" s="3"/>
      <c r="AC89" s="3"/>
      <c r="AD89" s="3"/>
    </row>
    <row r="90" spans="1:30" x14ac:dyDescent="0.25">
      <c r="A90" t="s">
        <v>81</v>
      </c>
      <c r="B90" t="s">
        <v>132</v>
      </c>
      <c r="C90" t="s">
        <v>336</v>
      </c>
      <c r="D90" s="2">
        <v>40928</v>
      </c>
      <c r="E90">
        <v>0.87261219999999995</v>
      </c>
      <c r="F90" s="2">
        <v>42622</v>
      </c>
      <c r="G90">
        <v>2.1009039999999999</v>
      </c>
      <c r="H90" s="3">
        <v>1.4076</v>
      </c>
      <c r="I90">
        <v>51784.4</v>
      </c>
      <c r="J90" s="3">
        <v>1.4041999999999999</v>
      </c>
      <c r="K90">
        <v>42262</v>
      </c>
      <c r="P90" s="2"/>
      <c r="R90" s="2"/>
      <c r="T90" s="3"/>
      <c r="V90" s="3"/>
      <c r="AA90" s="3"/>
      <c r="AB90" s="3"/>
      <c r="AC90" s="3"/>
      <c r="AD90" s="3"/>
    </row>
    <row r="91" spans="1:30" x14ac:dyDescent="0.25">
      <c r="A91" t="s">
        <v>104</v>
      </c>
      <c r="B91" t="s">
        <v>190</v>
      </c>
      <c r="C91" t="s">
        <v>336</v>
      </c>
      <c r="D91" s="2">
        <v>40886</v>
      </c>
      <c r="E91">
        <v>3.825688</v>
      </c>
      <c r="F91" s="2">
        <v>42419</v>
      </c>
      <c r="G91">
        <v>8.5842200000000002</v>
      </c>
      <c r="H91" s="3">
        <v>1.2438</v>
      </c>
      <c r="I91">
        <v>46255.71</v>
      </c>
      <c r="J91" s="3">
        <v>1.2405999999999999</v>
      </c>
      <c r="K91">
        <v>9746</v>
      </c>
      <c r="P91" s="2"/>
      <c r="R91" s="2"/>
      <c r="T91" s="3"/>
      <c r="V91" s="3"/>
      <c r="AA91" s="3"/>
      <c r="AB91" s="3"/>
      <c r="AC91" s="3"/>
      <c r="AD91" s="3"/>
    </row>
    <row r="92" spans="1:30" x14ac:dyDescent="0.25">
      <c r="A92" t="s">
        <v>147</v>
      </c>
      <c r="B92" t="s">
        <v>219</v>
      </c>
      <c r="C92" t="s">
        <v>336</v>
      </c>
      <c r="D92" s="2">
        <v>41726</v>
      </c>
      <c r="E92">
        <v>2.4943819999999999</v>
      </c>
      <c r="F92" s="2">
        <v>42384</v>
      </c>
      <c r="G92">
        <v>2.7702830000000001</v>
      </c>
      <c r="H92" s="3">
        <v>0.1106</v>
      </c>
      <c r="I92">
        <v>5965.91</v>
      </c>
      <c r="J92" s="3">
        <v>0.1085</v>
      </c>
      <c r="K92">
        <v>22044</v>
      </c>
      <c r="P92" s="2"/>
      <c r="R92" s="2"/>
      <c r="T92" s="3"/>
      <c r="V92" s="3"/>
      <c r="AA92" s="3"/>
      <c r="AB92" s="3"/>
      <c r="AC92" s="3"/>
      <c r="AD92" s="3"/>
    </row>
    <row r="93" spans="1:30" x14ac:dyDescent="0.25">
      <c r="A93" t="s">
        <v>106</v>
      </c>
      <c r="B93" t="s">
        <v>220</v>
      </c>
      <c r="C93" t="s">
        <v>336</v>
      </c>
      <c r="D93" s="2">
        <v>42223</v>
      </c>
      <c r="E93">
        <v>0.7163988</v>
      </c>
      <c r="F93" s="2">
        <v>42258</v>
      </c>
      <c r="G93">
        <v>0.68396920000000005</v>
      </c>
      <c r="H93" s="3">
        <v>-4.53E-2</v>
      </c>
      <c r="I93">
        <v>-3112.46</v>
      </c>
      <c r="J93" s="3">
        <v>-4.7199999999999999E-2</v>
      </c>
      <c r="K93">
        <v>92003</v>
      </c>
      <c r="P93" s="2"/>
      <c r="R93" s="2"/>
      <c r="T93" s="3"/>
      <c r="V93" s="3"/>
      <c r="AA93" s="3"/>
      <c r="AB93" s="3"/>
      <c r="AC93" s="3"/>
      <c r="AD93" s="3"/>
    </row>
    <row r="94" spans="1:30" x14ac:dyDescent="0.25">
      <c r="A94" t="s">
        <v>292</v>
      </c>
      <c r="B94" t="s">
        <v>221</v>
      </c>
      <c r="C94" t="s">
        <v>336</v>
      </c>
      <c r="D94" s="2">
        <v>41950</v>
      </c>
      <c r="E94">
        <v>2.8846799999999999</v>
      </c>
      <c r="F94" s="2">
        <v>42237</v>
      </c>
      <c r="G94">
        <v>2.2744420000000001</v>
      </c>
      <c r="H94" s="3">
        <v>-0.21149999999999999</v>
      </c>
      <c r="I94">
        <v>-12013.78</v>
      </c>
      <c r="J94" s="3">
        <v>-0.21329999999999999</v>
      </c>
      <c r="K94">
        <v>19522</v>
      </c>
      <c r="P94" s="2"/>
      <c r="R94" s="2"/>
      <c r="T94" s="3"/>
      <c r="V94" s="3"/>
      <c r="AA94" s="3"/>
      <c r="AB94" s="3"/>
      <c r="AC94" s="3"/>
      <c r="AD94" s="3"/>
    </row>
    <row r="95" spans="1:30" x14ac:dyDescent="0.25">
      <c r="A95" t="s">
        <v>148</v>
      </c>
      <c r="B95" t="s">
        <v>222</v>
      </c>
      <c r="C95" t="s">
        <v>336</v>
      </c>
      <c r="D95" s="2">
        <v>42223</v>
      </c>
      <c r="E95">
        <v>1.0472490000000001</v>
      </c>
      <c r="F95" s="2">
        <v>42230</v>
      </c>
      <c r="G95">
        <v>0.91127999999999998</v>
      </c>
      <c r="H95" s="3">
        <v>-0.1298</v>
      </c>
      <c r="I95">
        <v>-8679.3700000000008</v>
      </c>
      <c r="J95" s="3">
        <v>-0.13170000000000001</v>
      </c>
      <c r="K95">
        <v>62927</v>
      </c>
      <c r="P95" s="2"/>
      <c r="R95" s="2"/>
      <c r="T95" s="3"/>
      <c r="V95" s="3"/>
      <c r="AA95" s="3"/>
      <c r="AB95" s="3"/>
      <c r="AC95" s="3"/>
      <c r="AD95" s="3"/>
    </row>
    <row r="96" spans="1:30" x14ac:dyDescent="0.25">
      <c r="A96" t="s">
        <v>149</v>
      </c>
      <c r="B96" t="s">
        <v>223</v>
      </c>
      <c r="C96" t="s">
        <v>336</v>
      </c>
      <c r="D96" s="2">
        <v>40522</v>
      </c>
      <c r="E96">
        <v>7.0630329999999999</v>
      </c>
      <c r="F96" s="2">
        <v>42216</v>
      </c>
      <c r="G96">
        <v>14.82302</v>
      </c>
      <c r="H96" s="3">
        <v>1.0987</v>
      </c>
      <c r="I96">
        <v>41971.46</v>
      </c>
      <c r="J96" s="3">
        <v>1.0955999999999999</v>
      </c>
      <c r="K96">
        <v>5424</v>
      </c>
      <c r="P96" s="2"/>
      <c r="R96" s="2"/>
      <c r="T96" s="3"/>
      <c r="V96" s="3"/>
      <c r="AA96" s="3"/>
      <c r="AB96" s="3"/>
      <c r="AC96" s="3"/>
      <c r="AD96" s="3"/>
    </row>
    <row r="97" spans="1:30" x14ac:dyDescent="0.25">
      <c r="A97" t="s">
        <v>111</v>
      </c>
      <c r="B97" t="s">
        <v>224</v>
      </c>
      <c r="C97" t="s">
        <v>336</v>
      </c>
      <c r="D97" s="2">
        <v>41831</v>
      </c>
      <c r="E97">
        <v>3.885294</v>
      </c>
      <c r="F97" s="2">
        <v>42139</v>
      </c>
      <c r="G97">
        <v>4.8504529999999999</v>
      </c>
      <c r="H97" s="3">
        <v>0.24840000000000001</v>
      </c>
      <c r="I97">
        <v>13477.92</v>
      </c>
      <c r="J97" s="3">
        <v>0.2462</v>
      </c>
      <c r="K97">
        <v>14092</v>
      </c>
      <c r="P97" s="2"/>
      <c r="R97" s="2"/>
      <c r="T97" s="3"/>
      <c r="V97" s="3"/>
      <c r="AA97" s="3"/>
      <c r="AB97" s="3"/>
      <c r="AC97" s="3"/>
      <c r="AD97" s="3"/>
    </row>
    <row r="98" spans="1:30" x14ac:dyDescent="0.25">
      <c r="A98" t="s">
        <v>121</v>
      </c>
      <c r="B98" t="s">
        <v>203</v>
      </c>
      <c r="C98" t="s">
        <v>336</v>
      </c>
      <c r="D98" s="2">
        <v>41831</v>
      </c>
      <c r="E98">
        <v>12.72757</v>
      </c>
      <c r="F98" s="2">
        <v>41957</v>
      </c>
      <c r="G98">
        <v>8.9646600000000003</v>
      </c>
      <c r="H98" s="3">
        <v>-0.29570000000000002</v>
      </c>
      <c r="I98">
        <v>-16281.36</v>
      </c>
      <c r="J98" s="3">
        <v>-0.2974</v>
      </c>
      <c r="K98">
        <v>4302</v>
      </c>
      <c r="P98" s="2"/>
      <c r="R98" s="2"/>
      <c r="T98" s="3"/>
      <c r="V98" s="3"/>
      <c r="AA98" s="3"/>
      <c r="AB98" s="3"/>
      <c r="AC98" s="3"/>
      <c r="AD98" s="3"/>
    </row>
    <row r="99" spans="1:30" x14ac:dyDescent="0.25">
      <c r="A99" t="s">
        <v>107</v>
      </c>
      <c r="B99" t="s">
        <v>195</v>
      </c>
      <c r="C99" t="s">
        <v>336</v>
      </c>
      <c r="D99" s="2">
        <v>40403</v>
      </c>
      <c r="E99">
        <v>0.39760719999999999</v>
      </c>
      <c r="F99" s="2">
        <v>41908</v>
      </c>
      <c r="G99">
        <v>0.62709809999999999</v>
      </c>
      <c r="H99" s="3">
        <v>0.57720000000000005</v>
      </c>
      <c r="I99">
        <v>21292.59</v>
      </c>
      <c r="J99" s="3">
        <v>0.5746</v>
      </c>
      <c r="K99">
        <v>93198</v>
      </c>
      <c r="P99" s="2"/>
      <c r="R99" s="2"/>
      <c r="T99" s="3"/>
      <c r="V99" s="3"/>
      <c r="AA99" s="3"/>
      <c r="AB99" s="3"/>
      <c r="AC99" s="3"/>
      <c r="AD99" s="3"/>
    </row>
    <row r="100" spans="1:30" x14ac:dyDescent="0.25">
      <c r="A100" t="s">
        <v>21</v>
      </c>
      <c r="B100" t="s">
        <v>225</v>
      </c>
      <c r="C100" t="s">
        <v>336</v>
      </c>
      <c r="D100" s="2">
        <v>41782</v>
      </c>
      <c r="E100">
        <v>3.2193000000000001</v>
      </c>
      <c r="F100" s="2">
        <v>41810</v>
      </c>
      <c r="G100">
        <v>2.6748599999999998</v>
      </c>
      <c r="H100" s="3">
        <v>-0.1691</v>
      </c>
      <c r="I100">
        <v>-9518.0300000000007</v>
      </c>
      <c r="J100" s="3">
        <v>-0.1709</v>
      </c>
      <c r="K100">
        <v>17295</v>
      </c>
      <c r="P100" s="2"/>
      <c r="R100" s="2"/>
      <c r="T100" s="3"/>
      <c r="V100" s="3"/>
      <c r="AA100" s="3"/>
      <c r="AB100" s="3"/>
      <c r="AC100" s="3"/>
      <c r="AD100" s="3"/>
    </row>
    <row r="101" spans="1:30" x14ac:dyDescent="0.25">
      <c r="A101" t="s">
        <v>116</v>
      </c>
      <c r="B101" t="s">
        <v>226</v>
      </c>
      <c r="C101" t="s">
        <v>336</v>
      </c>
      <c r="D101" s="2">
        <v>41502</v>
      </c>
      <c r="E101">
        <v>0.48221180000000002</v>
      </c>
      <c r="F101" s="2">
        <v>41810</v>
      </c>
      <c r="G101">
        <v>0.49083450000000001</v>
      </c>
      <c r="H101" s="3">
        <v>1.7899999999999999E-2</v>
      </c>
      <c r="I101">
        <v>787.94</v>
      </c>
      <c r="J101" s="3">
        <v>1.5900000000000001E-2</v>
      </c>
      <c r="K101">
        <v>103004</v>
      </c>
      <c r="P101" s="2"/>
      <c r="R101" s="2"/>
      <c r="T101" s="3"/>
      <c r="V101" s="3"/>
      <c r="AA101" s="3"/>
      <c r="AB101" s="3"/>
      <c r="AC101" s="3"/>
      <c r="AD101" s="3"/>
    </row>
    <row r="102" spans="1:30" x14ac:dyDescent="0.25">
      <c r="A102" t="s">
        <v>291</v>
      </c>
      <c r="B102" t="s">
        <v>218</v>
      </c>
      <c r="C102" t="s">
        <v>336</v>
      </c>
      <c r="D102" s="2">
        <v>40886</v>
      </c>
      <c r="E102">
        <v>1.910223</v>
      </c>
      <c r="F102" s="2">
        <v>41796</v>
      </c>
      <c r="G102">
        <v>2.3123320000000001</v>
      </c>
      <c r="H102" s="3">
        <v>0.21049999999999999</v>
      </c>
      <c r="I102">
        <v>7767.14</v>
      </c>
      <c r="J102" s="3">
        <v>0.20830000000000001</v>
      </c>
      <c r="K102">
        <v>19521</v>
      </c>
      <c r="P102" s="2"/>
      <c r="R102" s="2"/>
      <c r="T102" s="3"/>
      <c r="V102" s="3"/>
      <c r="AA102" s="3"/>
      <c r="AB102" s="3"/>
      <c r="AC102" s="3"/>
      <c r="AD102" s="3"/>
    </row>
    <row r="103" spans="1:30" x14ac:dyDescent="0.25">
      <c r="A103" t="s">
        <v>150</v>
      </c>
      <c r="B103" t="s">
        <v>227</v>
      </c>
      <c r="C103" t="s">
        <v>336</v>
      </c>
      <c r="D103" s="2">
        <v>41691</v>
      </c>
      <c r="E103">
        <v>4.0379139999999998</v>
      </c>
      <c r="F103" s="2">
        <v>41768</v>
      </c>
      <c r="G103">
        <v>3.1699250000000001</v>
      </c>
      <c r="H103" s="3">
        <v>-0.215</v>
      </c>
      <c r="I103">
        <v>-12609.84</v>
      </c>
      <c r="J103" s="3">
        <v>-0.2167</v>
      </c>
      <c r="K103">
        <v>14408</v>
      </c>
      <c r="P103" s="2"/>
      <c r="R103" s="2"/>
      <c r="T103" s="3"/>
      <c r="V103" s="3"/>
      <c r="AA103" s="3"/>
      <c r="AB103" s="3"/>
      <c r="AC103" s="3"/>
      <c r="AD103" s="3"/>
    </row>
    <row r="104" spans="1:30" x14ac:dyDescent="0.25">
      <c r="A104" t="s">
        <v>151</v>
      </c>
      <c r="B104" t="s">
        <v>228</v>
      </c>
      <c r="C104" t="s">
        <v>336</v>
      </c>
      <c r="D104" s="2">
        <v>41537</v>
      </c>
      <c r="E104">
        <v>1.789795</v>
      </c>
      <c r="F104" s="2">
        <v>41726</v>
      </c>
      <c r="G104">
        <v>1.4050389999999999</v>
      </c>
      <c r="H104" s="3">
        <v>-0.215</v>
      </c>
      <c r="I104">
        <v>-11485.67</v>
      </c>
      <c r="J104" s="3">
        <v>-0.21679999999999999</v>
      </c>
      <c r="K104">
        <v>29606</v>
      </c>
      <c r="P104" s="2"/>
      <c r="R104" s="2"/>
      <c r="T104" s="3"/>
      <c r="V104" s="3"/>
      <c r="AA104" s="3"/>
      <c r="AB104" s="3"/>
      <c r="AC104" s="3"/>
      <c r="AD104" s="3"/>
    </row>
    <row r="105" spans="1:30" x14ac:dyDescent="0.25">
      <c r="A105" t="s">
        <v>293</v>
      </c>
      <c r="B105" t="s">
        <v>229</v>
      </c>
      <c r="C105" t="s">
        <v>336</v>
      </c>
      <c r="D105" s="2">
        <v>41502</v>
      </c>
      <c r="E105">
        <v>0.8489139</v>
      </c>
      <c r="F105" s="2">
        <v>41670</v>
      </c>
      <c r="G105">
        <v>1.1625049999999999</v>
      </c>
      <c r="H105" s="3">
        <v>0.36940000000000001</v>
      </c>
      <c r="I105">
        <v>18233.330000000002</v>
      </c>
      <c r="J105" s="3">
        <v>0.36699999999999999</v>
      </c>
      <c r="K105">
        <v>58519</v>
      </c>
      <c r="P105" s="2"/>
      <c r="R105" s="2"/>
      <c r="T105" s="3"/>
      <c r="V105" s="3"/>
      <c r="AA105" s="3"/>
      <c r="AB105" s="3"/>
      <c r="AC105" s="3"/>
      <c r="AD105" s="3"/>
    </row>
    <row r="106" spans="1:30" x14ac:dyDescent="0.25">
      <c r="A106" t="s">
        <v>33</v>
      </c>
      <c r="B106" t="s">
        <v>230</v>
      </c>
      <c r="C106" t="s">
        <v>336</v>
      </c>
      <c r="D106" s="2">
        <v>40431</v>
      </c>
      <c r="E106">
        <v>1.165489</v>
      </c>
      <c r="F106" s="2">
        <v>41537</v>
      </c>
      <c r="G106">
        <v>1.686909</v>
      </c>
      <c r="H106" s="3">
        <v>0.44740000000000002</v>
      </c>
      <c r="I106">
        <v>16857.599999999999</v>
      </c>
      <c r="J106" s="3">
        <v>0.44490000000000002</v>
      </c>
      <c r="K106">
        <v>32508</v>
      </c>
      <c r="P106" s="2"/>
      <c r="R106" s="2"/>
      <c r="T106" s="3"/>
      <c r="V106" s="3"/>
      <c r="AA106" s="3"/>
      <c r="AB106" s="3"/>
      <c r="AC106" s="3"/>
      <c r="AD106" s="3"/>
    </row>
    <row r="107" spans="1:30" x14ac:dyDescent="0.25">
      <c r="A107" t="s">
        <v>152</v>
      </c>
      <c r="B107" t="s">
        <v>231</v>
      </c>
      <c r="C107" t="s">
        <v>336</v>
      </c>
      <c r="D107" s="2">
        <v>41404</v>
      </c>
      <c r="E107">
        <v>1.300414</v>
      </c>
      <c r="F107" s="2">
        <v>41425</v>
      </c>
      <c r="G107">
        <v>1.2351430000000001</v>
      </c>
      <c r="H107" s="3">
        <v>-5.0200000000000002E-2</v>
      </c>
      <c r="I107">
        <v>-2662.02</v>
      </c>
      <c r="J107" s="3">
        <v>-5.21E-2</v>
      </c>
      <c r="K107">
        <v>39259</v>
      </c>
      <c r="P107" s="2"/>
      <c r="R107" s="2"/>
      <c r="T107" s="3"/>
      <c r="V107" s="3"/>
      <c r="AA107" s="3"/>
      <c r="AB107" s="3"/>
      <c r="AC107" s="3"/>
      <c r="AD107" s="3"/>
    </row>
    <row r="108" spans="1:30" x14ac:dyDescent="0.25">
      <c r="A108" t="s">
        <v>83</v>
      </c>
      <c r="B108" t="s">
        <v>232</v>
      </c>
      <c r="C108" t="s">
        <v>336</v>
      </c>
      <c r="D108" s="2">
        <v>41264</v>
      </c>
      <c r="E108">
        <v>5.9979139999999997</v>
      </c>
      <c r="F108" s="2">
        <v>41425</v>
      </c>
      <c r="G108">
        <v>5.7813939999999997</v>
      </c>
      <c r="H108" s="3">
        <v>-3.61E-2</v>
      </c>
      <c r="I108">
        <v>-1711.79</v>
      </c>
      <c r="J108" s="3">
        <v>-3.8100000000000002E-2</v>
      </c>
      <c r="K108">
        <v>7498</v>
      </c>
      <c r="P108" s="2"/>
      <c r="R108" s="2"/>
      <c r="T108" s="3"/>
      <c r="V108" s="3"/>
      <c r="AA108" s="3"/>
      <c r="AB108" s="3"/>
      <c r="AC108" s="3"/>
      <c r="AD108" s="3"/>
    </row>
    <row r="109" spans="1:30" x14ac:dyDescent="0.25">
      <c r="A109" t="s">
        <v>151</v>
      </c>
      <c r="B109" t="s">
        <v>228</v>
      </c>
      <c r="C109" t="s">
        <v>336</v>
      </c>
      <c r="D109" s="2">
        <v>41250</v>
      </c>
      <c r="E109">
        <v>1.1014429999999999</v>
      </c>
      <c r="F109" s="2">
        <v>41376</v>
      </c>
      <c r="G109">
        <v>1.363885</v>
      </c>
      <c r="H109" s="3">
        <v>0.23830000000000001</v>
      </c>
      <c r="I109">
        <v>10449.5</v>
      </c>
      <c r="J109" s="3">
        <v>0.23599999999999999</v>
      </c>
      <c r="K109">
        <v>40194</v>
      </c>
      <c r="P109" s="2"/>
      <c r="R109" s="2"/>
      <c r="T109" s="3"/>
      <c r="V109" s="3"/>
      <c r="AA109" s="3"/>
      <c r="AB109" s="3"/>
      <c r="AC109" s="3"/>
      <c r="AD109" s="3"/>
    </row>
    <row r="110" spans="1:30" x14ac:dyDescent="0.25">
      <c r="A110" t="s">
        <v>294</v>
      </c>
      <c r="B110" t="s">
        <v>233</v>
      </c>
      <c r="C110" t="s">
        <v>336</v>
      </c>
      <c r="D110" s="2">
        <v>41117</v>
      </c>
      <c r="E110">
        <v>3.3409910000000001E-2</v>
      </c>
      <c r="F110" s="2">
        <v>41243</v>
      </c>
      <c r="G110">
        <v>2.652024E-2</v>
      </c>
      <c r="H110" s="3">
        <v>-0.20619999999999999</v>
      </c>
      <c r="I110">
        <v>-8616.43</v>
      </c>
      <c r="J110" s="3">
        <v>-0.20799999999999999</v>
      </c>
      <c r="K110">
        <v>1239845</v>
      </c>
      <c r="P110" s="2"/>
      <c r="R110" s="2"/>
      <c r="T110" s="3"/>
      <c r="V110" s="3"/>
      <c r="AA110" s="3"/>
      <c r="AB110" s="3"/>
      <c r="AC110" s="3"/>
      <c r="AD110" s="3"/>
    </row>
    <row r="111" spans="1:30" x14ac:dyDescent="0.25">
      <c r="A111" t="s">
        <v>295</v>
      </c>
      <c r="B111" t="s">
        <v>234</v>
      </c>
      <c r="C111" t="s">
        <v>336</v>
      </c>
      <c r="D111" s="2">
        <v>40178</v>
      </c>
      <c r="E111">
        <v>0.95360290000000003</v>
      </c>
      <c r="F111" s="2">
        <v>41236</v>
      </c>
      <c r="G111">
        <v>2.79</v>
      </c>
      <c r="H111" s="3">
        <v>1.9257</v>
      </c>
      <c r="I111">
        <v>72494.27</v>
      </c>
      <c r="J111" s="3">
        <v>1.9218</v>
      </c>
      <c r="K111">
        <v>39557</v>
      </c>
      <c r="P111" s="2"/>
      <c r="R111" s="2"/>
      <c r="T111" s="3"/>
      <c r="V111" s="3"/>
      <c r="AA111" s="3"/>
      <c r="AB111" s="3"/>
      <c r="AC111" s="3"/>
      <c r="AD111" s="3"/>
    </row>
    <row r="112" spans="1:30" x14ac:dyDescent="0.25">
      <c r="A112" t="s">
        <v>153</v>
      </c>
      <c r="B112" t="s">
        <v>235</v>
      </c>
      <c r="C112" t="s">
        <v>336</v>
      </c>
      <c r="D112" s="2">
        <v>40004</v>
      </c>
      <c r="E112">
        <v>1.951487</v>
      </c>
      <c r="F112" s="2">
        <v>41096</v>
      </c>
      <c r="G112">
        <v>1.84511</v>
      </c>
      <c r="H112" s="3">
        <v>-5.45E-2</v>
      </c>
      <c r="I112">
        <v>-1625.61</v>
      </c>
      <c r="J112" s="3">
        <v>-5.6500000000000002E-2</v>
      </c>
      <c r="K112">
        <v>14755</v>
      </c>
      <c r="P112" s="2"/>
      <c r="R112" s="2"/>
      <c r="T112" s="3"/>
      <c r="V112" s="3"/>
      <c r="AA112" s="3"/>
      <c r="AB112" s="3"/>
      <c r="AC112" s="3"/>
      <c r="AD112" s="3"/>
    </row>
    <row r="113" spans="1:30" x14ac:dyDescent="0.25">
      <c r="A113" t="s">
        <v>109</v>
      </c>
      <c r="B113" t="s">
        <v>193</v>
      </c>
      <c r="C113" t="s">
        <v>336</v>
      </c>
      <c r="D113" s="2">
        <v>40851</v>
      </c>
      <c r="E113">
        <v>4.3541639999999999</v>
      </c>
      <c r="F113" s="2">
        <v>40907</v>
      </c>
      <c r="G113">
        <v>3.758569</v>
      </c>
      <c r="H113" s="3">
        <v>-0.1368</v>
      </c>
      <c r="I113">
        <v>-5156.87</v>
      </c>
      <c r="J113" s="3">
        <v>-0.13869999999999999</v>
      </c>
      <c r="K113">
        <v>8542</v>
      </c>
      <c r="P113" s="2"/>
      <c r="R113" s="2"/>
      <c r="T113" s="3"/>
      <c r="V113" s="3"/>
      <c r="AA113" s="3"/>
      <c r="AB113" s="3"/>
      <c r="AC113" s="3"/>
      <c r="AD113" s="3"/>
    </row>
    <row r="114" spans="1:30" x14ac:dyDescent="0.25">
      <c r="A114" t="s">
        <v>101</v>
      </c>
      <c r="B114" t="s">
        <v>170</v>
      </c>
      <c r="C114" t="s">
        <v>336</v>
      </c>
      <c r="D114" s="2">
        <v>40851</v>
      </c>
      <c r="E114">
        <v>10.90368</v>
      </c>
      <c r="F114" s="2">
        <v>40879</v>
      </c>
      <c r="G114">
        <v>9.8171990000000005</v>
      </c>
      <c r="H114" s="3">
        <v>-9.9599999999999994E-2</v>
      </c>
      <c r="I114">
        <v>-3774.45</v>
      </c>
      <c r="J114" s="3">
        <v>-0.10150000000000001</v>
      </c>
      <c r="K114">
        <v>3409</v>
      </c>
      <c r="P114" s="2"/>
      <c r="R114" s="2"/>
      <c r="T114" s="3"/>
      <c r="V114" s="3"/>
      <c r="AA114" s="3"/>
      <c r="AB114" s="3"/>
      <c r="AC114" s="3"/>
      <c r="AD114" s="3"/>
    </row>
    <row r="115" spans="1:30" x14ac:dyDescent="0.25">
      <c r="A115" t="s">
        <v>296</v>
      </c>
      <c r="B115" t="s">
        <v>236</v>
      </c>
      <c r="C115" t="s">
        <v>336</v>
      </c>
      <c r="D115" s="2">
        <v>40851</v>
      </c>
      <c r="E115">
        <v>3.131643</v>
      </c>
      <c r="F115" s="2">
        <v>40879</v>
      </c>
      <c r="G115">
        <v>2.6585169999999998</v>
      </c>
      <c r="H115" s="3">
        <v>-0.15110000000000001</v>
      </c>
      <c r="I115">
        <v>-5686.65</v>
      </c>
      <c r="J115" s="3">
        <v>-0.15290000000000001</v>
      </c>
      <c r="K115">
        <v>11874</v>
      </c>
      <c r="P115" s="2"/>
      <c r="R115" s="2"/>
      <c r="T115" s="3"/>
      <c r="V115" s="3"/>
      <c r="AA115" s="3"/>
      <c r="AB115" s="3"/>
      <c r="AC115" s="3"/>
      <c r="AD115" s="3"/>
    </row>
    <row r="116" spans="1:30" x14ac:dyDescent="0.25">
      <c r="A116" t="s">
        <v>76</v>
      </c>
      <c r="B116" t="s">
        <v>237</v>
      </c>
      <c r="C116" t="s">
        <v>336</v>
      </c>
      <c r="D116" s="2">
        <v>40851</v>
      </c>
      <c r="E116">
        <v>4.1012009999999997</v>
      </c>
      <c r="F116" s="2">
        <v>40879</v>
      </c>
      <c r="G116">
        <v>3.7831679999999999</v>
      </c>
      <c r="H116" s="3">
        <v>-7.7499999999999999E-2</v>
      </c>
      <c r="I116">
        <v>-2956.4</v>
      </c>
      <c r="J116" s="3">
        <v>-7.9500000000000001E-2</v>
      </c>
      <c r="K116">
        <v>9071</v>
      </c>
      <c r="P116" s="2"/>
      <c r="R116" s="2"/>
      <c r="T116" s="3"/>
      <c r="V116" s="3"/>
      <c r="AA116" s="3"/>
      <c r="AB116" s="3"/>
      <c r="AC116" s="3"/>
      <c r="AD116" s="3"/>
    </row>
    <row r="117" spans="1:30" x14ac:dyDescent="0.25">
      <c r="A117" t="s">
        <v>140</v>
      </c>
      <c r="B117" t="s">
        <v>181</v>
      </c>
      <c r="C117" t="s">
        <v>336</v>
      </c>
      <c r="D117" s="2">
        <v>40641</v>
      </c>
      <c r="E117">
        <v>5.3942560000000004</v>
      </c>
      <c r="F117" s="2">
        <v>40809</v>
      </c>
      <c r="G117">
        <v>4.1764099999999997</v>
      </c>
      <c r="H117" s="3">
        <v>-0.2258</v>
      </c>
      <c r="I117">
        <v>-8904.91</v>
      </c>
      <c r="J117" s="3">
        <v>-0.22750000000000001</v>
      </c>
      <c r="K117">
        <v>7255</v>
      </c>
      <c r="P117" s="2"/>
      <c r="R117" s="2"/>
      <c r="T117" s="3"/>
      <c r="V117" s="3"/>
      <c r="AA117" s="3"/>
      <c r="AB117" s="3"/>
      <c r="AC117" s="3"/>
      <c r="AD117" s="3"/>
    </row>
    <row r="118" spans="1:30" x14ac:dyDescent="0.25">
      <c r="A118" t="s">
        <v>111</v>
      </c>
      <c r="B118" t="s">
        <v>224</v>
      </c>
      <c r="C118" t="s">
        <v>336</v>
      </c>
      <c r="D118" s="2">
        <v>40431</v>
      </c>
      <c r="E118">
        <v>4.2194450000000003</v>
      </c>
      <c r="F118" s="2">
        <v>40774</v>
      </c>
      <c r="G118">
        <v>3.5903999999999998</v>
      </c>
      <c r="H118" s="3">
        <v>-0.14910000000000001</v>
      </c>
      <c r="I118">
        <v>-5717.05</v>
      </c>
      <c r="J118" s="3">
        <v>-0.15090000000000001</v>
      </c>
      <c r="K118">
        <v>8977</v>
      </c>
      <c r="P118" s="2"/>
      <c r="R118" s="2"/>
      <c r="T118" s="3"/>
      <c r="V118" s="3"/>
      <c r="AA118" s="3"/>
      <c r="AB118" s="3"/>
      <c r="AC118" s="3"/>
      <c r="AD118" s="3"/>
    </row>
    <row r="119" spans="1:30" x14ac:dyDescent="0.25">
      <c r="A119" t="s">
        <v>297</v>
      </c>
      <c r="B119" t="s">
        <v>238</v>
      </c>
      <c r="C119" t="s">
        <v>336</v>
      </c>
      <c r="D119" s="2">
        <v>40641</v>
      </c>
      <c r="E119">
        <v>1.6885330000000001</v>
      </c>
      <c r="F119" s="2">
        <v>40774</v>
      </c>
      <c r="G119">
        <v>1.589826</v>
      </c>
      <c r="H119" s="3">
        <v>-5.8500000000000003E-2</v>
      </c>
      <c r="I119">
        <v>-2363.5100000000002</v>
      </c>
      <c r="J119" s="3">
        <v>-6.0400000000000002E-2</v>
      </c>
      <c r="K119">
        <v>23175</v>
      </c>
      <c r="P119" s="2"/>
      <c r="R119" s="2"/>
      <c r="T119" s="3"/>
      <c r="V119" s="3"/>
      <c r="AA119" s="3"/>
      <c r="AB119" s="3"/>
      <c r="AC119" s="3"/>
      <c r="AD119" s="3"/>
    </row>
    <row r="120" spans="1:30" x14ac:dyDescent="0.25">
      <c r="A120" t="s">
        <v>146</v>
      </c>
      <c r="B120" t="s">
        <v>201</v>
      </c>
      <c r="C120" t="s">
        <v>336</v>
      </c>
      <c r="D120" s="2">
        <v>40431</v>
      </c>
      <c r="E120">
        <v>1.674226</v>
      </c>
      <c r="F120" s="2">
        <v>40767</v>
      </c>
      <c r="G120">
        <v>1.185349</v>
      </c>
      <c r="H120" s="3">
        <v>-0.29199999999999998</v>
      </c>
      <c r="I120">
        <v>-11122.59</v>
      </c>
      <c r="J120" s="3">
        <v>-0.29370000000000002</v>
      </c>
      <c r="K120">
        <v>22619</v>
      </c>
      <c r="P120" s="2"/>
      <c r="R120" s="2"/>
      <c r="T120" s="3"/>
      <c r="V120" s="3"/>
      <c r="AA120" s="3"/>
      <c r="AB120" s="3"/>
      <c r="AC120" s="3"/>
      <c r="AD120" s="3"/>
    </row>
    <row r="121" spans="1:30" x14ac:dyDescent="0.25">
      <c r="A121" t="s">
        <v>291</v>
      </c>
      <c r="B121" t="s">
        <v>218</v>
      </c>
      <c r="C121" t="s">
        <v>336</v>
      </c>
      <c r="D121" s="2">
        <v>40284</v>
      </c>
      <c r="E121">
        <v>1.5437479999999999</v>
      </c>
      <c r="F121" s="2">
        <v>40746</v>
      </c>
      <c r="G121">
        <v>1.5992200000000001</v>
      </c>
      <c r="H121" s="3">
        <v>3.5900000000000001E-2</v>
      </c>
      <c r="I121">
        <v>1324.19</v>
      </c>
      <c r="J121" s="3">
        <v>3.39E-2</v>
      </c>
      <c r="K121">
        <v>25305</v>
      </c>
      <c r="P121" s="2"/>
      <c r="R121" s="2"/>
      <c r="T121" s="3"/>
      <c r="V121" s="3"/>
      <c r="AA121" s="3"/>
      <c r="AB121" s="3"/>
      <c r="AC121" s="3"/>
      <c r="AD121" s="3"/>
    </row>
    <row r="122" spans="1:30" x14ac:dyDescent="0.25">
      <c r="A122" t="s">
        <v>298</v>
      </c>
      <c r="B122" t="s">
        <v>239</v>
      </c>
      <c r="C122" t="s">
        <v>336</v>
      </c>
      <c r="D122" s="2">
        <v>40018</v>
      </c>
      <c r="E122">
        <v>8.4166540000000008E-3</v>
      </c>
      <c r="F122" s="2">
        <v>40627</v>
      </c>
      <c r="G122">
        <v>7.9554659999999996E-3</v>
      </c>
      <c r="H122" s="3">
        <v>-5.4800000000000001E-2</v>
      </c>
      <c r="I122">
        <v>-1708.35</v>
      </c>
      <c r="J122" s="3">
        <v>-5.67E-2</v>
      </c>
      <c r="K122">
        <v>3577312</v>
      </c>
      <c r="P122" s="2"/>
      <c r="R122" s="2"/>
      <c r="T122" s="3"/>
      <c r="V122" s="3"/>
      <c r="AA122" s="3"/>
      <c r="AB122" s="3"/>
      <c r="AC122" s="3"/>
      <c r="AD122" s="3"/>
    </row>
    <row r="123" spans="1:30" x14ac:dyDescent="0.25">
      <c r="A123" t="s">
        <v>110</v>
      </c>
      <c r="B123" t="s">
        <v>240</v>
      </c>
      <c r="C123" t="s">
        <v>336</v>
      </c>
      <c r="D123" s="2">
        <v>39920</v>
      </c>
      <c r="E123">
        <v>3.3279519999999998</v>
      </c>
      <c r="F123" s="2">
        <v>40620</v>
      </c>
      <c r="G123">
        <v>7.3467760000000002</v>
      </c>
      <c r="H123" s="3">
        <v>1.2076</v>
      </c>
      <c r="I123">
        <v>33460.03</v>
      </c>
      <c r="J123" s="3">
        <v>1.2043999999999999</v>
      </c>
      <c r="K123">
        <v>8348</v>
      </c>
      <c r="P123" s="2"/>
      <c r="R123" s="2"/>
      <c r="T123" s="3"/>
      <c r="V123" s="3"/>
      <c r="AA123" s="3"/>
      <c r="AB123" s="3"/>
      <c r="AC123" s="3"/>
      <c r="AD123" s="3"/>
    </row>
    <row r="124" spans="1:30" x14ac:dyDescent="0.25">
      <c r="A124" t="s">
        <v>289</v>
      </c>
      <c r="B124" t="s">
        <v>202</v>
      </c>
      <c r="C124" t="s">
        <v>336</v>
      </c>
      <c r="D124" s="2">
        <v>40004</v>
      </c>
      <c r="E124">
        <v>9.4556550000000001</v>
      </c>
      <c r="F124" s="2">
        <v>40515</v>
      </c>
      <c r="G124">
        <v>10.140560000000001</v>
      </c>
      <c r="H124" s="3">
        <v>7.2400000000000006E-2</v>
      </c>
      <c r="I124">
        <v>2025.85</v>
      </c>
      <c r="J124" s="3">
        <v>7.0400000000000004E-2</v>
      </c>
      <c r="K124">
        <v>3045</v>
      </c>
      <c r="P124" s="2"/>
      <c r="R124" s="2"/>
      <c r="T124" s="3"/>
      <c r="V124" s="3"/>
      <c r="AA124" s="3"/>
      <c r="AB124" s="3"/>
      <c r="AC124" s="3"/>
      <c r="AD124" s="3"/>
    </row>
    <row r="125" spans="1:30" x14ac:dyDescent="0.25">
      <c r="A125" t="s">
        <v>290</v>
      </c>
      <c r="B125" t="s">
        <v>208</v>
      </c>
      <c r="C125" t="s">
        <v>336</v>
      </c>
      <c r="D125" s="2">
        <v>40249</v>
      </c>
      <c r="E125">
        <v>1.399022</v>
      </c>
      <c r="F125" s="2">
        <v>40326</v>
      </c>
      <c r="G125">
        <v>1.1423970000000001</v>
      </c>
      <c r="H125" s="3">
        <v>-0.18340000000000001</v>
      </c>
      <c r="I125">
        <v>-7092.87</v>
      </c>
      <c r="J125" s="3">
        <v>-0.1852</v>
      </c>
      <c r="K125">
        <v>27368</v>
      </c>
      <c r="P125" s="2"/>
      <c r="R125" s="2"/>
      <c r="T125" s="3"/>
      <c r="V125" s="3"/>
      <c r="AA125" s="3"/>
      <c r="AB125" s="3"/>
      <c r="AC125" s="3"/>
      <c r="AD125" s="3"/>
    </row>
    <row r="126" spans="1:30" x14ac:dyDescent="0.25">
      <c r="A126" t="s">
        <v>111</v>
      </c>
      <c r="B126" t="s">
        <v>224</v>
      </c>
      <c r="C126" t="s">
        <v>336</v>
      </c>
      <c r="D126" s="2">
        <v>39906</v>
      </c>
      <c r="E126">
        <v>2.557372</v>
      </c>
      <c r="F126" s="2">
        <v>40326</v>
      </c>
      <c r="G126">
        <v>3.4951490000000001</v>
      </c>
      <c r="H126" s="3">
        <v>0.36670000000000003</v>
      </c>
      <c r="I126">
        <v>9771.93</v>
      </c>
      <c r="J126" s="3">
        <v>0.36430000000000001</v>
      </c>
      <c r="K126">
        <v>10488</v>
      </c>
      <c r="P126" s="2"/>
      <c r="R126" s="2"/>
      <c r="T126" s="3"/>
      <c r="V126" s="3"/>
      <c r="AA126" s="3"/>
      <c r="AB126" s="3"/>
      <c r="AC126" s="3"/>
      <c r="AD126" s="3"/>
    </row>
    <row r="127" spans="1:30" x14ac:dyDescent="0.25">
      <c r="A127" t="s">
        <v>299</v>
      </c>
      <c r="B127" t="s">
        <v>241</v>
      </c>
      <c r="C127" t="s">
        <v>336</v>
      </c>
      <c r="D127" s="2">
        <v>40284</v>
      </c>
      <c r="E127">
        <v>2.0479669999999999</v>
      </c>
      <c r="F127" s="2">
        <v>40312</v>
      </c>
      <c r="G127">
        <v>1.8848549999999999</v>
      </c>
      <c r="H127" s="3">
        <v>-7.9600000000000004E-2</v>
      </c>
      <c r="I127">
        <v>-3186.88</v>
      </c>
      <c r="J127" s="3">
        <v>-8.1600000000000006E-2</v>
      </c>
      <c r="K127">
        <v>19078</v>
      </c>
      <c r="P127" s="2"/>
      <c r="R127" s="2"/>
      <c r="T127" s="3"/>
      <c r="V127" s="3"/>
      <c r="AA127" s="3"/>
      <c r="AB127" s="3"/>
      <c r="AC127" s="3"/>
      <c r="AD127" s="3"/>
    </row>
    <row r="128" spans="1:30" x14ac:dyDescent="0.25">
      <c r="A128" t="s">
        <v>300</v>
      </c>
      <c r="B128" t="s">
        <v>242</v>
      </c>
      <c r="C128" t="s">
        <v>336</v>
      </c>
      <c r="D128" s="2">
        <v>40249</v>
      </c>
      <c r="E128">
        <v>1.7383439999999999</v>
      </c>
      <c r="F128" s="2">
        <v>40312</v>
      </c>
      <c r="G128">
        <v>1.3906750000000001</v>
      </c>
      <c r="H128" s="3">
        <v>-0.2</v>
      </c>
      <c r="I128">
        <v>-7727.73</v>
      </c>
      <c r="J128" s="3">
        <v>-0.20180000000000001</v>
      </c>
      <c r="K128">
        <v>22029</v>
      </c>
      <c r="P128" s="2"/>
      <c r="R128" s="2"/>
      <c r="T128" s="3"/>
      <c r="V128" s="3"/>
      <c r="AA128" s="3"/>
      <c r="AB128" s="3"/>
      <c r="AC128" s="3"/>
      <c r="AD128" s="3"/>
    </row>
    <row r="129" spans="1:30" x14ac:dyDescent="0.25">
      <c r="A129" t="s">
        <v>74</v>
      </c>
      <c r="B129" t="s">
        <v>215</v>
      </c>
      <c r="C129" t="s">
        <v>336</v>
      </c>
      <c r="D129" s="2">
        <v>40178</v>
      </c>
      <c r="E129">
        <v>3.8469989999999998</v>
      </c>
      <c r="F129" s="2">
        <v>40312</v>
      </c>
      <c r="G129">
        <v>3.9406300000000001</v>
      </c>
      <c r="H129" s="3">
        <v>2.4299999999999999E-2</v>
      </c>
      <c r="I129">
        <v>841.61</v>
      </c>
      <c r="J129" s="3">
        <v>2.23E-2</v>
      </c>
      <c r="K129">
        <v>9804</v>
      </c>
      <c r="P129" s="2"/>
      <c r="R129" s="2"/>
      <c r="T129" s="3"/>
      <c r="V129" s="3"/>
      <c r="AA129" s="3"/>
      <c r="AB129" s="3"/>
      <c r="AC129" s="3"/>
      <c r="AD129" s="3"/>
    </row>
    <row r="130" spans="1:30" x14ac:dyDescent="0.25">
      <c r="A130" t="s">
        <v>154</v>
      </c>
      <c r="B130" t="s">
        <v>243</v>
      </c>
      <c r="C130" t="s">
        <v>336</v>
      </c>
      <c r="D130" s="2">
        <v>39912</v>
      </c>
      <c r="E130">
        <v>6.8492280000000001</v>
      </c>
      <c r="F130" s="2">
        <v>40312</v>
      </c>
      <c r="G130">
        <v>9.5499779999999994</v>
      </c>
      <c r="H130" s="3">
        <v>0.39429999999999998</v>
      </c>
      <c r="I130">
        <v>10758.89</v>
      </c>
      <c r="J130" s="3">
        <v>0.39190000000000003</v>
      </c>
      <c r="K130">
        <v>4008</v>
      </c>
      <c r="P130" s="2"/>
      <c r="R130" s="2"/>
      <c r="T130" s="3"/>
      <c r="V130" s="3"/>
      <c r="AA130" s="3"/>
      <c r="AB130" s="3"/>
      <c r="AC130" s="3"/>
      <c r="AD130" s="3"/>
    </row>
    <row r="131" spans="1:30" x14ac:dyDescent="0.25">
      <c r="A131" t="s">
        <v>101</v>
      </c>
      <c r="B131" t="s">
        <v>170</v>
      </c>
      <c r="C131" t="s">
        <v>336</v>
      </c>
      <c r="D131" s="2">
        <v>39912</v>
      </c>
      <c r="E131">
        <v>8.3161769999999997</v>
      </c>
      <c r="F131" s="2">
        <v>40312</v>
      </c>
      <c r="G131">
        <v>9.5746590000000005</v>
      </c>
      <c r="H131" s="3">
        <v>0.15129999999999999</v>
      </c>
      <c r="I131">
        <v>4096.43</v>
      </c>
      <c r="J131" s="3">
        <v>0.1492</v>
      </c>
      <c r="K131">
        <v>3302</v>
      </c>
      <c r="P131" s="2"/>
      <c r="R131" s="2"/>
      <c r="T131" s="3"/>
      <c r="V131" s="3"/>
      <c r="AA131" s="3"/>
      <c r="AB131" s="3"/>
      <c r="AC131" s="3"/>
      <c r="AD131" s="3"/>
    </row>
    <row r="132" spans="1:30" x14ac:dyDescent="0.25">
      <c r="A132" t="s">
        <v>21</v>
      </c>
      <c r="B132" t="s">
        <v>225</v>
      </c>
      <c r="C132" t="s">
        <v>336</v>
      </c>
      <c r="D132" s="2">
        <v>39920</v>
      </c>
      <c r="E132">
        <v>2.4324940000000002</v>
      </c>
      <c r="F132" s="2">
        <v>40269</v>
      </c>
      <c r="G132">
        <v>3.7392889999999999</v>
      </c>
      <c r="H132" s="3">
        <v>0.53720000000000001</v>
      </c>
      <c r="I132">
        <v>14850.52</v>
      </c>
      <c r="J132" s="3">
        <v>0.53469999999999995</v>
      </c>
      <c r="K132">
        <v>11418</v>
      </c>
      <c r="P132" s="2"/>
      <c r="R132" s="2"/>
      <c r="T132" s="3"/>
      <c r="V132" s="3"/>
      <c r="AA132" s="3"/>
      <c r="AB132" s="3"/>
      <c r="AC132" s="3"/>
      <c r="AD132" s="3"/>
    </row>
    <row r="133" spans="1:30" x14ac:dyDescent="0.25">
      <c r="A133" t="s">
        <v>112</v>
      </c>
      <c r="B133" t="s">
        <v>244</v>
      </c>
      <c r="C133" t="s">
        <v>336</v>
      </c>
      <c r="D133" s="2">
        <v>39920</v>
      </c>
      <c r="E133">
        <v>0.32983780000000001</v>
      </c>
      <c r="F133" s="2">
        <v>40214</v>
      </c>
      <c r="G133">
        <v>0.34119969999999999</v>
      </c>
      <c r="H133" s="3">
        <v>3.44E-2</v>
      </c>
      <c r="I133">
        <v>900.15</v>
      </c>
      <c r="J133" s="3">
        <v>3.2399999999999998E-2</v>
      </c>
      <c r="K133">
        <v>84198</v>
      </c>
      <c r="P133" s="2"/>
      <c r="R133" s="2"/>
      <c r="T133" s="3"/>
      <c r="V133" s="3"/>
      <c r="AA133" s="3"/>
      <c r="AB133" s="3"/>
      <c r="AC133" s="3"/>
      <c r="AD133" s="3"/>
    </row>
    <row r="134" spans="1:30" x14ac:dyDescent="0.25">
      <c r="A134" t="s">
        <v>301</v>
      </c>
      <c r="B134" t="s">
        <v>245</v>
      </c>
      <c r="C134" t="s">
        <v>336</v>
      </c>
      <c r="D134" s="2">
        <v>39906</v>
      </c>
      <c r="E134">
        <v>2.4935550000000002</v>
      </c>
      <c r="F134" s="2">
        <v>40214</v>
      </c>
      <c r="G134">
        <v>4.0538780000000001</v>
      </c>
      <c r="H134" s="3">
        <v>0.62570000000000003</v>
      </c>
      <c r="I134">
        <v>16715.52</v>
      </c>
      <c r="J134" s="3">
        <v>0.62309999999999999</v>
      </c>
      <c r="K134">
        <v>10758</v>
      </c>
      <c r="P134" s="2"/>
      <c r="R134" s="2"/>
      <c r="T134" s="3"/>
      <c r="V134" s="3"/>
      <c r="AA134" s="3"/>
      <c r="AB134" s="3"/>
      <c r="AC134" s="3"/>
      <c r="AD134" s="3"/>
    </row>
    <row r="135" spans="1:30" x14ac:dyDescent="0.25">
      <c r="A135" t="s">
        <v>106</v>
      </c>
      <c r="B135" t="s">
        <v>220</v>
      </c>
      <c r="C135" t="s">
        <v>336</v>
      </c>
      <c r="D135" s="2">
        <v>40178</v>
      </c>
      <c r="E135">
        <v>0.32037589999999999</v>
      </c>
      <c r="F135" s="2">
        <v>40214</v>
      </c>
      <c r="G135">
        <v>0.30976110000000001</v>
      </c>
      <c r="H135" s="3">
        <v>-3.3099999999999997E-2</v>
      </c>
      <c r="I135">
        <v>-1323.61</v>
      </c>
      <c r="J135" s="3">
        <v>-3.5099999999999999E-2</v>
      </c>
      <c r="K135">
        <v>117707</v>
      </c>
      <c r="P135" s="2"/>
      <c r="R135" s="2"/>
      <c r="T135" s="3"/>
      <c r="V135" s="3"/>
      <c r="AA135" s="3"/>
      <c r="AB135" s="3"/>
      <c r="AC135" s="3"/>
      <c r="AD135" s="3"/>
    </row>
    <row r="136" spans="1:30" x14ac:dyDescent="0.25">
      <c r="A136" t="s">
        <v>302</v>
      </c>
      <c r="B136" t="s">
        <v>246</v>
      </c>
      <c r="C136" t="s">
        <v>336</v>
      </c>
      <c r="D136" s="2">
        <v>39920</v>
      </c>
      <c r="E136">
        <v>10.78767</v>
      </c>
      <c r="F136" s="2">
        <v>40157</v>
      </c>
      <c r="G136">
        <v>16.86</v>
      </c>
      <c r="H136" s="3">
        <v>0.56289999999999996</v>
      </c>
      <c r="I136">
        <v>15565.06</v>
      </c>
      <c r="J136" s="3">
        <v>0.56030000000000002</v>
      </c>
      <c r="K136">
        <v>2575</v>
      </c>
      <c r="P136" s="2"/>
      <c r="R136" s="2"/>
      <c r="T136" s="3"/>
      <c r="V136" s="3"/>
      <c r="AA136" s="3"/>
      <c r="AB136" s="3"/>
      <c r="AC136" s="3"/>
      <c r="AD136" s="3"/>
    </row>
    <row r="137" spans="1:30" x14ac:dyDescent="0.25">
      <c r="A137" t="s">
        <v>303</v>
      </c>
      <c r="B137" t="s">
        <v>247</v>
      </c>
      <c r="C137" t="s">
        <v>336</v>
      </c>
      <c r="D137" s="2">
        <v>40018</v>
      </c>
      <c r="E137">
        <v>1.592592</v>
      </c>
      <c r="F137" s="2">
        <v>40151</v>
      </c>
      <c r="G137">
        <v>1.6050549999999999</v>
      </c>
      <c r="H137" s="3">
        <v>7.7999999999999996E-3</v>
      </c>
      <c r="I137">
        <v>175.13</v>
      </c>
      <c r="J137" s="3">
        <v>5.7999999999999996E-3</v>
      </c>
      <c r="K137">
        <v>18902</v>
      </c>
      <c r="P137" s="2"/>
      <c r="R137" s="2"/>
      <c r="T137" s="3"/>
      <c r="V137" s="3"/>
      <c r="AA137" s="3"/>
      <c r="AB137" s="3"/>
      <c r="AC137" s="3"/>
      <c r="AD137" s="3"/>
    </row>
    <row r="138" spans="1:30" x14ac:dyDescent="0.25">
      <c r="A138" t="s">
        <v>304</v>
      </c>
      <c r="B138" t="s">
        <v>248</v>
      </c>
      <c r="C138" t="s">
        <v>336</v>
      </c>
      <c r="D138" s="2">
        <v>39912</v>
      </c>
      <c r="E138">
        <v>0.90903460000000003</v>
      </c>
      <c r="F138" s="2">
        <v>40151</v>
      </c>
      <c r="G138">
        <v>1.225848</v>
      </c>
      <c r="H138" s="3">
        <v>0.34849999999999998</v>
      </c>
      <c r="I138">
        <v>9507.3799999999992</v>
      </c>
      <c r="J138" s="3">
        <v>0.34620000000000001</v>
      </c>
      <c r="K138">
        <v>30213</v>
      </c>
      <c r="P138" s="2"/>
      <c r="R138" s="2"/>
      <c r="T138" s="3"/>
      <c r="V138" s="3"/>
      <c r="AA138" s="3"/>
      <c r="AB138" s="3"/>
      <c r="AC138" s="3"/>
      <c r="AD138" s="3"/>
    </row>
    <row r="139" spans="1:30" x14ac:dyDescent="0.25">
      <c r="A139" t="s">
        <v>117</v>
      </c>
      <c r="B139" t="s">
        <v>167</v>
      </c>
      <c r="C139" t="s">
        <v>336</v>
      </c>
      <c r="D139" s="2">
        <v>39909</v>
      </c>
      <c r="E139">
        <v>0.36048730000000001</v>
      </c>
      <c r="F139" s="2">
        <v>40011</v>
      </c>
      <c r="G139">
        <v>0.4566172</v>
      </c>
      <c r="H139" s="3">
        <v>0.26669999999999999</v>
      </c>
      <c r="I139">
        <v>7130.16</v>
      </c>
      <c r="J139" s="3">
        <v>0.26440000000000002</v>
      </c>
      <c r="K139">
        <v>74808</v>
      </c>
      <c r="P139" s="2"/>
      <c r="R139" s="2"/>
      <c r="T139" s="3"/>
      <c r="V139" s="3"/>
      <c r="AA139" s="3"/>
      <c r="AB139" s="3"/>
      <c r="AC139" s="3"/>
      <c r="AD139" s="3"/>
    </row>
    <row r="140" spans="1:30" x14ac:dyDescent="0.25">
      <c r="A140" t="s">
        <v>118</v>
      </c>
      <c r="B140" t="s">
        <v>160</v>
      </c>
      <c r="C140" t="s">
        <v>336</v>
      </c>
      <c r="D140" s="2">
        <v>39906</v>
      </c>
      <c r="E140">
        <v>3.5099119999999999</v>
      </c>
      <c r="F140" s="2">
        <v>40011</v>
      </c>
      <c r="G140">
        <v>4.4283539999999997</v>
      </c>
      <c r="H140" s="3">
        <v>0.26169999999999999</v>
      </c>
      <c r="I140">
        <v>6956.25</v>
      </c>
      <c r="J140" s="3">
        <v>0.25940000000000002</v>
      </c>
      <c r="K140">
        <v>7640</v>
      </c>
      <c r="P140" s="2"/>
      <c r="R140" s="2"/>
      <c r="T140" s="3"/>
      <c r="V140" s="3"/>
      <c r="AA140" s="3"/>
      <c r="AB140" s="3"/>
      <c r="AC140" s="3"/>
      <c r="AD140" s="3"/>
    </row>
    <row r="141" spans="1:30" x14ac:dyDescent="0.25">
      <c r="A141" t="s">
        <v>305</v>
      </c>
      <c r="B141" t="s">
        <v>249</v>
      </c>
      <c r="C141" t="s">
        <v>336</v>
      </c>
      <c r="D141" s="2">
        <v>39912</v>
      </c>
      <c r="E141">
        <v>1.9159870000000001</v>
      </c>
      <c r="F141" s="2">
        <v>40000</v>
      </c>
      <c r="G141">
        <v>2.63117</v>
      </c>
      <c r="H141" s="3">
        <v>0.37330000000000002</v>
      </c>
      <c r="I141">
        <v>10188.4</v>
      </c>
      <c r="J141" s="3">
        <v>0.37090000000000001</v>
      </c>
      <c r="K141">
        <v>14337</v>
      </c>
      <c r="P141" s="2"/>
      <c r="R141" s="2"/>
      <c r="T141" s="3"/>
      <c r="V141" s="3"/>
      <c r="AA141" s="3"/>
      <c r="AB141" s="3"/>
      <c r="AC141" s="3"/>
      <c r="AD141" s="3"/>
    </row>
    <row r="142" spans="1:30" x14ac:dyDescent="0.25">
      <c r="A142" t="s">
        <v>136</v>
      </c>
      <c r="B142" t="s">
        <v>161</v>
      </c>
      <c r="C142" t="s">
        <v>336</v>
      </c>
      <c r="D142" s="2">
        <v>39395</v>
      </c>
      <c r="E142">
        <v>1.641562</v>
      </c>
      <c r="F142" s="2">
        <v>39738</v>
      </c>
      <c r="G142">
        <v>1.484661</v>
      </c>
      <c r="H142" s="3">
        <v>-9.5600000000000004E-2</v>
      </c>
      <c r="I142">
        <v>-2856.97</v>
      </c>
      <c r="J142" s="3">
        <v>-9.7500000000000003E-2</v>
      </c>
      <c r="K142">
        <v>17853</v>
      </c>
      <c r="P142" s="2"/>
      <c r="R142" s="2"/>
      <c r="T142" s="3"/>
      <c r="V142" s="3"/>
      <c r="AA142" s="3"/>
      <c r="AB142" s="3"/>
      <c r="AC142" s="3"/>
      <c r="AD142" s="3"/>
    </row>
    <row r="143" spans="1:30" x14ac:dyDescent="0.25">
      <c r="A143" t="s">
        <v>103</v>
      </c>
      <c r="B143" t="s">
        <v>217</v>
      </c>
      <c r="C143" t="s">
        <v>336</v>
      </c>
      <c r="D143" s="2">
        <v>39590</v>
      </c>
      <c r="E143">
        <v>11.697279999999999</v>
      </c>
      <c r="F143" s="2">
        <v>39640</v>
      </c>
      <c r="G143">
        <v>9.8938769999999998</v>
      </c>
      <c r="H143" s="3">
        <v>-0.1542</v>
      </c>
      <c r="I143">
        <v>-4432.8999999999996</v>
      </c>
      <c r="J143" s="3">
        <v>-0.156</v>
      </c>
      <c r="K143">
        <v>2429</v>
      </c>
      <c r="P143" s="2"/>
      <c r="R143" s="2"/>
      <c r="T143" s="3"/>
      <c r="V143" s="3"/>
      <c r="AA143" s="3"/>
      <c r="AB143" s="3"/>
      <c r="AC143" s="3"/>
      <c r="AD143" s="3"/>
    </row>
    <row r="144" spans="1:30" x14ac:dyDescent="0.25">
      <c r="A144" t="s">
        <v>92</v>
      </c>
      <c r="B144" t="s">
        <v>250</v>
      </c>
      <c r="C144" t="s">
        <v>336</v>
      </c>
      <c r="D144" s="2">
        <v>39339</v>
      </c>
      <c r="E144">
        <v>18.444199999999999</v>
      </c>
      <c r="F144" s="2">
        <v>39640</v>
      </c>
      <c r="G144">
        <v>23.905419999999999</v>
      </c>
      <c r="H144" s="3">
        <v>0.29609999999999997</v>
      </c>
      <c r="I144">
        <v>8697.2900000000009</v>
      </c>
      <c r="J144" s="3">
        <v>0.29380000000000001</v>
      </c>
      <c r="K144">
        <v>1605</v>
      </c>
      <c r="P144" s="2"/>
      <c r="R144" s="2"/>
      <c r="T144" s="3"/>
      <c r="V144" s="3"/>
      <c r="AA144" s="3"/>
      <c r="AB144" s="3"/>
      <c r="AC144" s="3"/>
      <c r="AD144" s="3"/>
    </row>
    <row r="145" spans="1:30" x14ac:dyDescent="0.25">
      <c r="A145" t="s">
        <v>124</v>
      </c>
      <c r="B145" t="s">
        <v>251</v>
      </c>
      <c r="C145" t="s">
        <v>336</v>
      </c>
      <c r="D145" s="2">
        <v>39591</v>
      </c>
      <c r="E145">
        <v>2.1451760000000002</v>
      </c>
      <c r="F145" s="2">
        <v>39633</v>
      </c>
      <c r="G145">
        <v>1.7190460000000001</v>
      </c>
      <c r="H145" s="3">
        <v>-0.1986</v>
      </c>
      <c r="I145">
        <v>-5687.53</v>
      </c>
      <c r="J145" s="3">
        <v>-0.20039999999999999</v>
      </c>
      <c r="K145">
        <v>13227</v>
      </c>
      <c r="P145" s="2"/>
      <c r="R145" s="2"/>
      <c r="T145" s="3"/>
      <c r="V145" s="3"/>
      <c r="AA145" s="3"/>
      <c r="AB145" s="3"/>
      <c r="AC145" s="3"/>
      <c r="AD145" s="3"/>
    </row>
    <row r="146" spans="1:30" x14ac:dyDescent="0.25">
      <c r="A146" t="s">
        <v>306</v>
      </c>
      <c r="B146" t="s">
        <v>252</v>
      </c>
      <c r="C146" t="s">
        <v>336</v>
      </c>
      <c r="D146" s="2">
        <v>39577</v>
      </c>
      <c r="E146">
        <v>1.2958229999999999</v>
      </c>
      <c r="F146" s="2">
        <v>39626</v>
      </c>
      <c r="G146">
        <v>1.153551</v>
      </c>
      <c r="H146" s="3">
        <v>-0.10979999999999999</v>
      </c>
      <c r="I146">
        <v>-3157.68</v>
      </c>
      <c r="J146" s="3">
        <v>-0.11169999999999999</v>
      </c>
      <c r="K146">
        <v>21819</v>
      </c>
      <c r="P146" s="2"/>
      <c r="R146" s="2"/>
      <c r="T146" s="3"/>
      <c r="V146" s="3"/>
      <c r="AA146" s="3"/>
      <c r="AB146" s="3"/>
      <c r="AC146" s="3"/>
      <c r="AD146" s="3"/>
    </row>
    <row r="147" spans="1:30" x14ac:dyDescent="0.25">
      <c r="A147" t="s">
        <v>304</v>
      </c>
      <c r="B147" t="s">
        <v>248</v>
      </c>
      <c r="C147" t="s">
        <v>336</v>
      </c>
      <c r="D147" s="2">
        <v>39612</v>
      </c>
      <c r="E147">
        <v>1.390118</v>
      </c>
      <c r="F147" s="2">
        <v>39619</v>
      </c>
      <c r="G147">
        <v>1.159756</v>
      </c>
      <c r="H147" s="3">
        <v>-0.16569999999999999</v>
      </c>
      <c r="I147">
        <v>-4708.3100000000004</v>
      </c>
      <c r="J147" s="3">
        <v>-0.16750000000000001</v>
      </c>
      <c r="K147">
        <v>20215</v>
      </c>
      <c r="P147" s="2"/>
      <c r="R147" s="2"/>
      <c r="T147" s="3"/>
      <c r="V147" s="3"/>
      <c r="AA147" s="3"/>
      <c r="AB147" s="3"/>
      <c r="AC147" s="3"/>
      <c r="AD147" s="3"/>
    </row>
    <row r="148" spans="1:30" x14ac:dyDescent="0.25">
      <c r="A148" t="s">
        <v>288</v>
      </c>
      <c r="B148" t="s">
        <v>199</v>
      </c>
      <c r="C148" t="s">
        <v>336</v>
      </c>
      <c r="D148" s="2">
        <v>38968</v>
      </c>
      <c r="E148">
        <v>0.48757850000000003</v>
      </c>
      <c r="F148" s="2">
        <v>39527</v>
      </c>
      <c r="G148">
        <v>0.50376240000000005</v>
      </c>
      <c r="H148" s="3">
        <v>3.32E-2</v>
      </c>
      <c r="I148">
        <v>737.07</v>
      </c>
      <c r="J148" s="3">
        <v>3.1199999999999999E-2</v>
      </c>
      <c r="K148">
        <v>48515</v>
      </c>
      <c r="P148" s="2"/>
      <c r="R148" s="2"/>
      <c r="T148" s="3"/>
      <c r="V148" s="3"/>
      <c r="AA148" s="3"/>
      <c r="AB148" s="3"/>
      <c r="AC148" s="3"/>
      <c r="AD148" s="3"/>
    </row>
    <row r="149" spans="1:30" x14ac:dyDescent="0.25">
      <c r="A149" t="s">
        <v>307</v>
      </c>
      <c r="B149" t="s">
        <v>253</v>
      </c>
      <c r="C149" t="s">
        <v>336</v>
      </c>
      <c r="D149" s="2">
        <v>36686</v>
      </c>
      <c r="E149">
        <v>0.36021720000000002</v>
      </c>
      <c r="F149" s="2">
        <v>39507</v>
      </c>
      <c r="G149">
        <v>0.88336230000000004</v>
      </c>
      <c r="H149" s="3">
        <v>1.4522999999999999</v>
      </c>
      <c r="I149">
        <v>11027.78</v>
      </c>
      <c r="J149" s="3">
        <v>1.4489000000000001</v>
      </c>
      <c r="K149">
        <v>21130</v>
      </c>
      <c r="P149" s="2"/>
      <c r="R149" s="2"/>
      <c r="T149" s="3"/>
      <c r="V149" s="3"/>
      <c r="AA149" s="3"/>
      <c r="AB149" s="3"/>
      <c r="AC149" s="3"/>
      <c r="AD149" s="3"/>
    </row>
    <row r="150" spans="1:30" x14ac:dyDescent="0.25">
      <c r="A150" t="s">
        <v>155</v>
      </c>
      <c r="B150" t="s">
        <v>254</v>
      </c>
      <c r="C150" t="s">
        <v>336</v>
      </c>
      <c r="D150" s="2">
        <v>39052</v>
      </c>
      <c r="E150">
        <v>1.8614169999999999E-2</v>
      </c>
      <c r="F150" s="2">
        <v>39500</v>
      </c>
      <c r="G150">
        <v>2.1133119999999998E-2</v>
      </c>
      <c r="H150" s="3">
        <v>0.1353</v>
      </c>
      <c r="I150">
        <v>3466.98</v>
      </c>
      <c r="J150" s="3">
        <v>0.13320000000000001</v>
      </c>
      <c r="K150">
        <v>1398424</v>
      </c>
      <c r="P150" s="2"/>
      <c r="R150" s="2"/>
      <c r="T150" s="3"/>
      <c r="V150" s="3"/>
      <c r="AA150" s="3"/>
      <c r="AB150" s="3"/>
      <c r="AC150" s="3"/>
      <c r="AD150" s="3"/>
    </row>
    <row r="151" spans="1:30" x14ac:dyDescent="0.25">
      <c r="A151" t="s">
        <v>103</v>
      </c>
      <c r="B151" t="s">
        <v>217</v>
      </c>
      <c r="C151" t="s">
        <v>336</v>
      </c>
      <c r="D151" s="2">
        <v>39423</v>
      </c>
      <c r="E151">
        <v>12.1972</v>
      </c>
      <c r="F151" s="2">
        <v>39472</v>
      </c>
      <c r="G151">
        <v>9.8273949999999992</v>
      </c>
      <c r="H151" s="3">
        <v>-0.1943</v>
      </c>
      <c r="I151">
        <v>-5714.07</v>
      </c>
      <c r="J151" s="3">
        <v>-0.1961</v>
      </c>
      <c r="K151">
        <v>2389</v>
      </c>
      <c r="P151" s="2"/>
      <c r="R151" s="2"/>
      <c r="T151" s="3"/>
      <c r="V151" s="3"/>
      <c r="AA151" s="3"/>
      <c r="AB151" s="3"/>
      <c r="AC151" s="3"/>
      <c r="AD151" s="3"/>
    </row>
    <row r="152" spans="1:30" x14ac:dyDescent="0.25">
      <c r="A152" t="s">
        <v>122</v>
      </c>
      <c r="B152" t="s">
        <v>207</v>
      </c>
      <c r="C152" t="s">
        <v>336</v>
      </c>
      <c r="D152" s="2">
        <v>36630</v>
      </c>
      <c r="E152">
        <v>1.888166</v>
      </c>
      <c r="F152" s="2">
        <v>39437</v>
      </c>
      <c r="G152">
        <v>5.11144</v>
      </c>
      <c r="H152" s="3">
        <v>1.7071000000000001</v>
      </c>
      <c r="I152">
        <v>13556.6</v>
      </c>
      <c r="J152" s="3">
        <v>1.7034</v>
      </c>
      <c r="K152">
        <v>4215</v>
      </c>
      <c r="P152" s="2"/>
      <c r="R152" s="2"/>
      <c r="T152" s="3"/>
      <c r="V152" s="3"/>
      <c r="AA152" s="3"/>
      <c r="AB152" s="3"/>
      <c r="AC152" s="3"/>
      <c r="AD152" s="3"/>
    </row>
    <row r="153" spans="1:30" x14ac:dyDescent="0.25">
      <c r="A153" t="s">
        <v>103</v>
      </c>
      <c r="B153" t="s">
        <v>217</v>
      </c>
      <c r="C153" t="s">
        <v>336</v>
      </c>
      <c r="D153" s="2">
        <v>37855</v>
      </c>
      <c r="E153">
        <v>5.4490590000000001</v>
      </c>
      <c r="F153" s="2">
        <v>39318</v>
      </c>
      <c r="G153">
        <v>10.36237</v>
      </c>
      <c r="H153" s="3">
        <v>0.90169999999999995</v>
      </c>
      <c r="I153">
        <v>10970.4</v>
      </c>
      <c r="J153" s="3">
        <v>0.89880000000000004</v>
      </c>
      <c r="K153">
        <v>2240</v>
      </c>
      <c r="P153" s="2"/>
      <c r="R153" s="2"/>
      <c r="T153" s="3"/>
      <c r="V153" s="3"/>
      <c r="AA153" s="3"/>
      <c r="AB153" s="3"/>
      <c r="AC153" s="3"/>
      <c r="AD153" s="3"/>
    </row>
    <row r="154" spans="1:30" x14ac:dyDescent="0.25">
      <c r="A154" t="s">
        <v>110</v>
      </c>
      <c r="B154" t="s">
        <v>240</v>
      </c>
      <c r="C154" t="s">
        <v>336</v>
      </c>
      <c r="D154" s="2">
        <v>38681</v>
      </c>
      <c r="E154">
        <v>2.9536440000000002</v>
      </c>
      <c r="F154" s="2">
        <v>39318</v>
      </c>
      <c r="G154">
        <v>3.7269049999999999</v>
      </c>
      <c r="H154" s="3">
        <v>0.26179999999999998</v>
      </c>
      <c r="I154">
        <v>5425.09</v>
      </c>
      <c r="J154" s="3">
        <v>0.25950000000000001</v>
      </c>
      <c r="K154">
        <v>7077</v>
      </c>
      <c r="P154" s="2"/>
      <c r="R154" s="2"/>
      <c r="T154" s="3"/>
      <c r="V154" s="3"/>
      <c r="AA154" s="3"/>
      <c r="AB154" s="3"/>
      <c r="AC154" s="3"/>
      <c r="AD154" s="3"/>
    </row>
    <row r="155" spans="1:30" x14ac:dyDescent="0.25">
      <c r="A155" t="s">
        <v>156</v>
      </c>
      <c r="B155" t="s">
        <v>255</v>
      </c>
      <c r="C155" t="s">
        <v>336</v>
      </c>
      <c r="D155" s="2">
        <v>38016</v>
      </c>
      <c r="E155">
        <v>1.4870399999999999</v>
      </c>
      <c r="F155" s="2">
        <v>39318</v>
      </c>
      <c r="G155">
        <v>2.8600249999999998</v>
      </c>
      <c r="H155" s="3">
        <v>0.92330000000000001</v>
      </c>
      <c r="I155">
        <v>11057.23</v>
      </c>
      <c r="J155" s="3">
        <v>0.9204</v>
      </c>
      <c r="K155">
        <v>8079</v>
      </c>
      <c r="P155" s="2"/>
      <c r="R155" s="2"/>
      <c r="T155" s="3"/>
      <c r="V155" s="3"/>
      <c r="AA155" s="3"/>
      <c r="AB155" s="3"/>
      <c r="AC155" s="3"/>
      <c r="AD155" s="3"/>
    </row>
    <row r="156" spans="1:30" x14ac:dyDescent="0.25">
      <c r="A156" t="s">
        <v>308</v>
      </c>
      <c r="B156" t="s">
        <v>256</v>
      </c>
      <c r="C156" t="s">
        <v>336</v>
      </c>
      <c r="D156" s="2">
        <v>37979</v>
      </c>
      <c r="E156">
        <v>1.1629689999999999</v>
      </c>
      <c r="F156" s="2">
        <v>39318</v>
      </c>
      <c r="G156">
        <v>5.2215769999999999</v>
      </c>
      <c r="H156" s="3">
        <v>3.4899</v>
      </c>
      <c r="I156">
        <v>40980.14</v>
      </c>
      <c r="J156" s="3">
        <v>3.4843999999999999</v>
      </c>
      <c r="K156">
        <v>10113</v>
      </c>
      <c r="P156" s="2"/>
      <c r="R156" s="2"/>
      <c r="T156" s="3"/>
      <c r="V156" s="3"/>
      <c r="AA156" s="3"/>
      <c r="AB156" s="3"/>
      <c r="AC156" s="3"/>
      <c r="AD156" s="3"/>
    </row>
    <row r="157" spans="1:30" x14ac:dyDescent="0.25">
      <c r="A157" t="s">
        <v>309</v>
      </c>
      <c r="B157" t="s">
        <v>257</v>
      </c>
      <c r="C157" t="s">
        <v>336</v>
      </c>
      <c r="D157" s="2">
        <v>38366</v>
      </c>
      <c r="E157">
        <v>0.98294490000000001</v>
      </c>
      <c r="F157" s="2">
        <v>39304</v>
      </c>
      <c r="G157">
        <v>0.81349309999999997</v>
      </c>
      <c r="H157" s="3">
        <v>-0.1724</v>
      </c>
      <c r="I157">
        <v>-2988.97</v>
      </c>
      <c r="J157" s="3">
        <v>-0.17419999999999999</v>
      </c>
      <c r="K157">
        <v>17454</v>
      </c>
      <c r="P157" s="2"/>
      <c r="R157" s="2"/>
      <c r="T157" s="3"/>
      <c r="V157" s="3"/>
      <c r="AA157" s="3"/>
      <c r="AB157" s="3"/>
      <c r="AC157" s="3"/>
      <c r="AD157" s="3"/>
    </row>
    <row r="158" spans="1:30" x14ac:dyDescent="0.25">
      <c r="A158" t="s">
        <v>310</v>
      </c>
      <c r="B158" t="s">
        <v>258</v>
      </c>
      <c r="C158" t="s">
        <v>336</v>
      </c>
      <c r="D158" s="2">
        <v>38961</v>
      </c>
      <c r="E158">
        <v>1.2317530000000001</v>
      </c>
      <c r="F158" s="2">
        <v>39297</v>
      </c>
      <c r="G158">
        <v>2.0048979999999998</v>
      </c>
      <c r="H158" s="3">
        <v>0.62770000000000004</v>
      </c>
      <c r="I158">
        <v>14606.7</v>
      </c>
      <c r="J158" s="3">
        <v>0.62509999999999999</v>
      </c>
      <c r="K158">
        <v>18972</v>
      </c>
      <c r="P158" s="2"/>
      <c r="R158" s="2"/>
      <c r="T158" s="3"/>
      <c r="V158" s="3"/>
      <c r="AA158" s="3"/>
      <c r="AB158" s="3"/>
      <c r="AC158" s="3"/>
      <c r="AD158" s="3"/>
    </row>
    <row r="159" spans="1:30" x14ac:dyDescent="0.25">
      <c r="A159" t="s">
        <v>311</v>
      </c>
      <c r="B159" t="s">
        <v>259</v>
      </c>
      <c r="C159" t="s">
        <v>336</v>
      </c>
      <c r="D159" s="2">
        <v>38968</v>
      </c>
      <c r="E159">
        <v>1.5682849999999999</v>
      </c>
      <c r="F159" s="2">
        <v>39297</v>
      </c>
      <c r="G159">
        <v>2.915343</v>
      </c>
      <c r="H159" s="3">
        <v>0.8589</v>
      </c>
      <c r="I159">
        <v>20252.73</v>
      </c>
      <c r="J159" s="3">
        <v>0.85609999999999997</v>
      </c>
      <c r="K159">
        <v>15085</v>
      </c>
      <c r="P159" s="2"/>
      <c r="R159" s="2"/>
      <c r="T159" s="3"/>
      <c r="V159" s="3"/>
      <c r="AA159" s="3"/>
      <c r="AB159" s="3"/>
      <c r="AC159" s="3"/>
      <c r="AD159" s="3"/>
    </row>
    <row r="160" spans="1:30" x14ac:dyDescent="0.25">
      <c r="A160" t="s">
        <v>157</v>
      </c>
      <c r="B160" t="s">
        <v>260</v>
      </c>
      <c r="C160" t="s">
        <v>336</v>
      </c>
      <c r="D160" s="2">
        <v>38702</v>
      </c>
      <c r="E160">
        <v>8.9097229999999996</v>
      </c>
      <c r="F160" s="2">
        <v>39283</v>
      </c>
      <c r="G160">
        <v>13.72959</v>
      </c>
      <c r="H160" s="3">
        <v>0.54100000000000004</v>
      </c>
      <c r="I160">
        <v>11225.52</v>
      </c>
      <c r="J160" s="3">
        <v>0.53839999999999999</v>
      </c>
      <c r="K160">
        <v>2340</v>
      </c>
      <c r="P160" s="2"/>
      <c r="R160" s="2"/>
      <c r="T160" s="3"/>
      <c r="V160" s="3"/>
      <c r="AA160" s="3"/>
      <c r="AB160" s="3"/>
      <c r="AC160" s="3"/>
      <c r="AD160" s="3"/>
    </row>
    <row r="161" spans="1:30" x14ac:dyDescent="0.25">
      <c r="A161" t="s">
        <v>312</v>
      </c>
      <c r="B161" t="s">
        <v>261</v>
      </c>
      <c r="C161" t="s">
        <v>336</v>
      </c>
      <c r="D161" s="2">
        <v>38513</v>
      </c>
      <c r="E161">
        <v>2.2765909999999998</v>
      </c>
      <c r="F161" s="2">
        <v>39035</v>
      </c>
      <c r="G161">
        <v>2.99</v>
      </c>
      <c r="H161" s="3">
        <v>0.31340000000000001</v>
      </c>
      <c r="I161">
        <v>5847.13</v>
      </c>
      <c r="J161" s="3">
        <v>0.31109999999999999</v>
      </c>
      <c r="K161">
        <v>8257</v>
      </c>
      <c r="P161" s="2"/>
      <c r="R161" s="2"/>
      <c r="T161" s="3"/>
      <c r="V161" s="3"/>
      <c r="AA161" s="3"/>
      <c r="AB161" s="3"/>
      <c r="AC161" s="3"/>
      <c r="AD161" s="3"/>
    </row>
    <row r="162" spans="1:30" x14ac:dyDescent="0.25">
      <c r="A162" t="s">
        <v>313</v>
      </c>
      <c r="B162" t="s">
        <v>262</v>
      </c>
      <c r="C162" t="s">
        <v>336</v>
      </c>
      <c r="D162" s="2">
        <v>38688</v>
      </c>
      <c r="E162">
        <v>2.9386320000000001</v>
      </c>
      <c r="F162" s="2">
        <v>38947</v>
      </c>
      <c r="G162">
        <v>2.6869930000000002</v>
      </c>
      <c r="H162" s="3">
        <v>-8.5599999999999996E-2</v>
      </c>
      <c r="I162">
        <v>-1835.33</v>
      </c>
      <c r="J162" s="3">
        <v>-8.7499999999999994E-2</v>
      </c>
      <c r="K162">
        <v>7134</v>
      </c>
      <c r="P162" s="2"/>
      <c r="R162" s="2"/>
      <c r="T162" s="3"/>
      <c r="V162" s="3"/>
      <c r="AA162" s="3"/>
      <c r="AB162" s="3"/>
      <c r="AC162" s="3"/>
      <c r="AD162" s="3"/>
    </row>
    <row r="163" spans="1:30" x14ac:dyDescent="0.25">
      <c r="A163" t="s">
        <v>314</v>
      </c>
      <c r="B163" t="s">
        <v>263</v>
      </c>
      <c r="C163" t="s">
        <v>336</v>
      </c>
      <c r="D163" s="2">
        <v>38121</v>
      </c>
      <c r="E163">
        <v>1.5925769999999999</v>
      </c>
      <c r="F163" s="2">
        <v>38891</v>
      </c>
      <c r="G163">
        <v>5.15</v>
      </c>
      <c r="H163" s="3">
        <v>2.2338</v>
      </c>
      <c r="I163">
        <v>26757.93</v>
      </c>
      <c r="J163" s="3">
        <v>2.2294999999999998</v>
      </c>
      <c r="K163">
        <v>7536</v>
      </c>
      <c r="P163" s="2"/>
      <c r="R163" s="2"/>
      <c r="T163" s="3"/>
      <c r="V163" s="3"/>
      <c r="AA163" s="3"/>
      <c r="AB163" s="3"/>
      <c r="AC163" s="3"/>
      <c r="AD163" s="3"/>
    </row>
    <row r="164" spans="1:30" x14ac:dyDescent="0.25">
      <c r="A164" t="s">
        <v>114</v>
      </c>
      <c r="B164" t="s">
        <v>264</v>
      </c>
      <c r="C164" t="s">
        <v>336</v>
      </c>
      <c r="D164" s="2">
        <v>38513</v>
      </c>
      <c r="E164">
        <v>2.3713320000000002</v>
      </c>
      <c r="F164" s="2">
        <v>38884</v>
      </c>
      <c r="G164">
        <v>3.6</v>
      </c>
      <c r="H164" s="3">
        <v>0.5181</v>
      </c>
      <c r="I164">
        <v>9693.5400000000009</v>
      </c>
      <c r="J164" s="3">
        <v>0.51559999999999995</v>
      </c>
      <c r="K164">
        <v>7928</v>
      </c>
      <c r="P164" s="2"/>
      <c r="R164" s="2"/>
      <c r="T164" s="3"/>
      <c r="V164" s="3"/>
      <c r="AA164" s="3"/>
      <c r="AB164" s="3"/>
      <c r="AC164" s="3"/>
      <c r="AD164" s="3"/>
    </row>
    <row r="165" spans="1:30" x14ac:dyDescent="0.25">
      <c r="A165" t="s">
        <v>315</v>
      </c>
      <c r="B165" t="s">
        <v>265</v>
      </c>
      <c r="C165" t="s">
        <v>336</v>
      </c>
      <c r="D165" s="2">
        <v>38226</v>
      </c>
      <c r="E165">
        <v>3.7480329999999999</v>
      </c>
      <c r="F165" s="2">
        <v>38660</v>
      </c>
      <c r="G165">
        <v>6.0434570000000001</v>
      </c>
      <c r="H165" s="3">
        <v>0.61240000000000006</v>
      </c>
      <c r="I165">
        <v>8276.2800000000007</v>
      </c>
      <c r="J165" s="3">
        <v>0.60980000000000001</v>
      </c>
      <c r="K165">
        <v>3621</v>
      </c>
      <c r="P165" s="2"/>
      <c r="R165" s="2"/>
      <c r="T165" s="3"/>
      <c r="V165" s="3"/>
      <c r="AA165" s="3"/>
      <c r="AB165" s="3"/>
      <c r="AC165" s="3"/>
      <c r="AD165" s="3"/>
    </row>
    <row r="166" spans="1:30" x14ac:dyDescent="0.25">
      <c r="A166" t="s">
        <v>153</v>
      </c>
      <c r="B166" t="s">
        <v>235</v>
      </c>
      <c r="C166" t="s">
        <v>336</v>
      </c>
      <c r="D166" s="2">
        <v>38170</v>
      </c>
      <c r="E166">
        <v>0.90352699999999997</v>
      </c>
      <c r="F166" s="2">
        <v>38646</v>
      </c>
      <c r="G166">
        <v>1.5401720000000001</v>
      </c>
      <c r="H166" s="3">
        <v>0.7046</v>
      </c>
      <c r="I166">
        <v>8977.75</v>
      </c>
      <c r="J166" s="3">
        <v>0.70189999999999997</v>
      </c>
      <c r="K166">
        <v>14156</v>
      </c>
      <c r="P166" s="2"/>
      <c r="R166" s="2"/>
      <c r="T166" s="3"/>
      <c r="V166" s="3"/>
      <c r="AA166" s="3"/>
      <c r="AB166" s="3"/>
      <c r="AC166" s="3"/>
      <c r="AD166" s="3"/>
    </row>
    <row r="167" spans="1:30" x14ac:dyDescent="0.25">
      <c r="A167" t="s">
        <v>316</v>
      </c>
      <c r="B167" t="s">
        <v>266</v>
      </c>
      <c r="C167" t="s">
        <v>336</v>
      </c>
      <c r="D167" s="2">
        <v>38415</v>
      </c>
      <c r="E167">
        <v>24.4602</v>
      </c>
      <c r="F167" s="2">
        <v>38646</v>
      </c>
      <c r="G167">
        <v>29.19267</v>
      </c>
      <c r="H167" s="3">
        <v>0.19350000000000001</v>
      </c>
      <c r="I167">
        <v>3387.46</v>
      </c>
      <c r="J167" s="3">
        <v>0.1913</v>
      </c>
      <c r="K167">
        <v>724</v>
      </c>
      <c r="P167" s="2"/>
      <c r="R167" s="2"/>
      <c r="T167" s="3"/>
      <c r="V167" s="3"/>
      <c r="AA167" s="3"/>
      <c r="AB167" s="3"/>
      <c r="AC167" s="3"/>
      <c r="AD167" s="3"/>
    </row>
    <row r="168" spans="1:30" x14ac:dyDescent="0.25">
      <c r="A168" t="s">
        <v>317</v>
      </c>
      <c r="B168" t="s">
        <v>267</v>
      </c>
      <c r="C168" t="s">
        <v>336</v>
      </c>
      <c r="D168" s="2">
        <v>37624</v>
      </c>
      <c r="E168">
        <v>4.5925940000000001</v>
      </c>
      <c r="F168" s="2">
        <v>38485</v>
      </c>
      <c r="G168">
        <v>10.55</v>
      </c>
      <c r="H168" s="3">
        <v>1.2971999999999999</v>
      </c>
      <c r="I168">
        <v>14118.82</v>
      </c>
      <c r="J168" s="3">
        <v>1.2939000000000001</v>
      </c>
      <c r="K168">
        <v>2376</v>
      </c>
      <c r="P168" s="2"/>
      <c r="R168" s="2"/>
      <c r="T168" s="3"/>
      <c r="V168" s="3"/>
      <c r="AA168" s="3"/>
      <c r="AB168" s="3"/>
      <c r="AC168" s="3"/>
      <c r="AD168" s="3"/>
    </row>
    <row r="169" spans="1:30" x14ac:dyDescent="0.25">
      <c r="A169" t="s">
        <v>36</v>
      </c>
      <c r="B169" t="s">
        <v>35</v>
      </c>
      <c r="C169" t="s">
        <v>336</v>
      </c>
      <c r="D169" s="2">
        <v>36588</v>
      </c>
      <c r="E169">
        <v>0.68075850000000004</v>
      </c>
      <c r="F169" s="2">
        <v>38485</v>
      </c>
      <c r="G169">
        <v>1.141033</v>
      </c>
      <c r="H169" s="3">
        <v>0.67610000000000003</v>
      </c>
      <c r="I169">
        <v>5102.58</v>
      </c>
      <c r="J169" s="3">
        <v>0.6734</v>
      </c>
      <c r="K169">
        <v>11130</v>
      </c>
      <c r="P169" s="2"/>
      <c r="R169" s="2"/>
      <c r="T169" s="3"/>
      <c r="V169" s="3"/>
      <c r="AA169" s="3"/>
      <c r="AB169" s="3"/>
      <c r="AC169" s="3"/>
      <c r="AD169" s="3"/>
    </row>
    <row r="170" spans="1:30" x14ac:dyDescent="0.25">
      <c r="A170" t="s">
        <v>318</v>
      </c>
      <c r="B170" t="s">
        <v>268</v>
      </c>
      <c r="C170" t="s">
        <v>336</v>
      </c>
      <c r="D170" s="2">
        <v>38170</v>
      </c>
      <c r="E170">
        <v>1.351931</v>
      </c>
      <c r="F170" s="2">
        <v>38397</v>
      </c>
      <c r="G170">
        <v>2.04</v>
      </c>
      <c r="H170" s="3">
        <v>0.50900000000000001</v>
      </c>
      <c r="I170">
        <v>6476.36</v>
      </c>
      <c r="J170" s="3">
        <v>0.50639999999999996</v>
      </c>
      <c r="K170">
        <v>9459</v>
      </c>
      <c r="P170" s="2"/>
      <c r="R170" s="2"/>
      <c r="T170" s="3"/>
      <c r="V170" s="3"/>
      <c r="AA170" s="3"/>
      <c r="AB170" s="3"/>
      <c r="AC170" s="3"/>
      <c r="AD170" s="3"/>
    </row>
    <row r="171" spans="1:30" x14ac:dyDescent="0.25">
      <c r="A171" t="s">
        <v>319</v>
      </c>
      <c r="B171" t="s">
        <v>269</v>
      </c>
      <c r="C171" t="s">
        <v>336</v>
      </c>
      <c r="D171" s="2">
        <v>37979</v>
      </c>
      <c r="E171">
        <v>2.673457</v>
      </c>
      <c r="F171" s="2">
        <v>38350</v>
      </c>
      <c r="G171">
        <v>3.42</v>
      </c>
      <c r="H171" s="3">
        <v>0.2792</v>
      </c>
      <c r="I171">
        <v>3256.5</v>
      </c>
      <c r="J171" s="3">
        <v>0.27700000000000002</v>
      </c>
      <c r="K171">
        <v>4398</v>
      </c>
      <c r="P171" s="2"/>
      <c r="R171" s="2"/>
      <c r="T171" s="3"/>
      <c r="V171" s="3"/>
      <c r="AA171" s="3"/>
      <c r="AB171" s="3"/>
      <c r="AC171" s="3"/>
      <c r="AD171" s="3"/>
    </row>
    <row r="172" spans="1:30" x14ac:dyDescent="0.25">
      <c r="A172" t="s">
        <v>320</v>
      </c>
      <c r="B172" t="s">
        <v>270</v>
      </c>
      <c r="C172" t="s">
        <v>336</v>
      </c>
      <c r="D172" s="2">
        <v>37631</v>
      </c>
      <c r="E172">
        <v>1.1241300000000001</v>
      </c>
      <c r="F172" s="2">
        <v>38219</v>
      </c>
      <c r="G172">
        <v>1.17</v>
      </c>
      <c r="H172" s="3">
        <v>4.0800000000000003E-2</v>
      </c>
      <c r="I172">
        <v>428.09</v>
      </c>
      <c r="J172" s="3">
        <v>3.8800000000000001E-2</v>
      </c>
      <c r="K172">
        <v>9824</v>
      </c>
      <c r="M172" s="3"/>
      <c r="P172" s="2"/>
      <c r="R172" s="2"/>
      <c r="T172" s="3"/>
      <c r="V172" s="3"/>
      <c r="AA172" s="3"/>
      <c r="AB172" s="3"/>
      <c r="AC172" s="3"/>
      <c r="AD172" s="3"/>
    </row>
    <row r="173" spans="1:30" x14ac:dyDescent="0.25">
      <c r="A173" t="s">
        <v>321</v>
      </c>
      <c r="B173" t="s">
        <v>271</v>
      </c>
      <c r="C173" t="s">
        <v>336</v>
      </c>
      <c r="D173" s="2">
        <v>38016</v>
      </c>
      <c r="E173">
        <v>1.8072029999999999</v>
      </c>
      <c r="F173" s="2">
        <v>38170</v>
      </c>
      <c r="G173">
        <v>2.2662089999999999</v>
      </c>
      <c r="H173" s="3">
        <v>0.254</v>
      </c>
      <c r="I173">
        <v>3023.94</v>
      </c>
      <c r="J173" s="3">
        <v>0.25169999999999998</v>
      </c>
      <c r="K173">
        <v>6647</v>
      </c>
      <c r="P173" s="2"/>
      <c r="R173" s="2"/>
      <c r="T173" s="3"/>
      <c r="V173" s="3"/>
      <c r="AA173" s="3"/>
      <c r="AB173" s="3"/>
      <c r="AC173" s="3"/>
      <c r="AD173" s="3"/>
    </row>
    <row r="174" spans="1:30" x14ac:dyDescent="0.25">
      <c r="A174" t="s">
        <v>322</v>
      </c>
      <c r="B174" t="s">
        <v>272</v>
      </c>
      <c r="C174" t="s">
        <v>336</v>
      </c>
      <c r="D174" s="2">
        <v>36588</v>
      </c>
      <c r="E174">
        <v>2.2084920000000001</v>
      </c>
      <c r="F174" s="2">
        <v>38170</v>
      </c>
      <c r="G174">
        <v>4.2376699999999996</v>
      </c>
      <c r="H174" s="3">
        <v>0.91879999999999995</v>
      </c>
      <c r="I174">
        <v>6937.97</v>
      </c>
      <c r="J174" s="3">
        <v>0.91590000000000005</v>
      </c>
      <c r="K174">
        <v>3430</v>
      </c>
      <c r="P174" s="2"/>
      <c r="R174" s="2"/>
      <c r="T174" s="3"/>
      <c r="V174" s="3"/>
      <c r="AA174" s="3"/>
      <c r="AB174" s="3"/>
      <c r="AC174" s="3"/>
      <c r="AD174" s="3"/>
    </row>
    <row r="175" spans="1:30" x14ac:dyDescent="0.25">
      <c r="A175" t="s">
        <v>315</v>
      </c>
      <c r="B175" t="s">
        <v>265</v>
      </c>
      <c r="C175" t="s">
        <v>336</v>
      </c>
      <c r="D175" s="2">
        <v>38044</v>
      </c>
      <c r="E175">
        <v>3.9092380000000002</v>
      </c>
      <c r="F175" s="2">
        <v>38114</v>
      </c>
      <c r="G175">
        <v>2.6679539999999999</v>
      </c>
      <c r="H175" s="3">
        <v>-0.3175</v>
      </c>
      <c r="I175">
        <v>-3795.99</v>
      </c>
      <c r="J175" s="3">
        <v>-0.31919999999999998</v>
      </c>
      <c r="K175">
        <v>3042</v>
      </c>
      <c r="P175" s="2"/>
      <c r="R175" s="2"/>
      <c r="T175" s="3"/>
      <c r="V175" s="3"/>
      <c r="AA175" s="3"/>
      <c r="AB175" s="3"/>
      <c r="AC175" s="3"/>
      <c r="AD175" s="3"/>
    </row>
    <row r="176" spans="1:30" x14ac:dyDescent="0.25">
      <c r="A176" t="s">
        <v>323</v>
      </c>
      <c r="B176" t="s">
        <v>273</v>
      </c>
      <c r="C176" t="s">
        <v>336</v>
      </c>
      <c r="D176" s="2">
        <v>37827</v>
      </c>
      <c r="E176">
        <v>0.93000720000000003</v>
      </c>
      <c r="F176" s="2">
        <v>38023</v>
      </c>
      <c r="G176">
        <v>0.74327920000000003</v>
      </c>
      <c r="H176" s="3">
        <v>-0.20080000000000001</v>
      </c>
      <c r="I176">
        <v>-2457.88</v>
      </c>
      <c r="J176" s="3">
        <v>-0.2026</v>
      </c>
      <c r="K176">
        <v>13046</v>
      </c>
      <c r="P176" s="2"/>
      <c r="R176" s="2"/>
      <c r="T176" s="3"/>
      <c r="V176" s="3"/>
      <c r="AA176" s="3"/>
      <c r="AB176" s="3"/>
      <c r="AC176" s="3"/>
      <c r="AD176" s="3"/>
    </row>
    <row r="177" spans="1:30" x14ac:dyDescent="0.25">
      <c r="A177" t="s">
        <v>312</v>
      </c>
      <c r="B177" t="s">
        <v>261</v>
      </c>
      <c r="C177" t="s">
        <v>336</v>
      </c>
      <c r="D177" s="2">
        <v>37722</v>
      </c>
      <c r="E177">
        <v>1.6765410000000001</v>
      </c>
      <c r="F177" s="2">
        <v>37939</v>
      </c>
      <c r="G177">
        <v>1.6165069999999999</v>
      </c>
      <c r="H177" s="3">
        <v>-3.5799999999999998E-2</v>
      </c>
      <c r="I177">
        <v>-431.89</v>
      </c>
      <c r="J177" s="3">
        <v>-3.78E-2</v>
      </c>
      <c r="K177">
        <v>6820</v>
      </c>
      <c r="P177" s="2"/>
      <c r="R177" s="2"/>
      <c r="T177" s="3"/>
      <c r="V177" s="3"/>
      <c r="AA177" s="3"/>
      <c r="AB177" s="3"/>
      <c r="AC177" s="3"/>
      <c r="AD177" s="3"/>
    </row>
    <row r="178" spans="1:30" x14ac:dyDescent="0.25">
      <c r="A178" t="s">
        <v>324</v>
      </c>
      <c r="B178" t="s">
        <v>274</v>
      </c>
      <c r="C178" t="s">
        <v>336</v>
      </c>
      <c r="D178" s="2">
        <v>37624</v>
      </c>
      <c r="E178">
        <v>0.72575909999999999</v>
      </c>
      <c r="F178" s="2">
        <v>37939</v>
      </c>
      <c r="G178">
        <v>0.74360020000000004</v>
      </c>
      <c r="H178" s="3">
        <v>2.46E-2</v>
      </c>
      <c r="I178">
        <v>246.28</v>
      </c>
      <c r="J178" s="3">
        <v>2.2599999999999999E-2</v>
      </c>
      <c r="K178">
        <v>15043</v>
      </c>
      <c r="P178" s="2"/>
      <c r="R178" s="2"/>
      <c r="T178" s="3"/>
      <c r="V178" s="3"/>
      <c r="AA178" s="3"/>
      <c r="AB178" s="3"/>
      <c r="AC178" s="3"/>
      <c r="AD178" s="3"/>
    </row>
    <row r="179" spans="1:30" x14ac:dyDescent="0.25">
      <c r="A179" t="s">
        <v>321</v>
      </c>
      <c r="B179" t="s">
        <v>271</v>
      </c>
      <c r="C179" t="s">
        <v>336</v>
      </c>
      <c r="D179" s="2">
        <v>36588</v>
      </c>
      <c r="E179">
        <v>1.0621849999999999</v>
      </c>
      <c r="F179" s="2">
        <v>37939</v>
      </c>
      <c r="G179">
        <v>1.687338</v>
      </c>
      <c r="H179" s="3">
        <v>0.58860000000000001</v>
      </c>
      <c r="I179">
        <v>4440.2299999999996</v>
      </c>
      <c r="J179" s="3">
        <v>0.58599999999999997</v>
      </c>
      <c r="K179">
        <v>7134</v>
      </c>
      <c r="M179" s="3"/>
      <c r="P179" s="2"/>
      <c r="R179" s="2"/>
      <c r="T179" s="3"/>
      <c r="V179" s="3"/>
      <c r="AA179" s="3"/>
      <c r="AB179" s="3"/>
      <c r="AC179" s="3"/>
      <c r="AD179" s="3"/>
    </row>
    <row r="180" spans="1:30" x14ac:dyDescent="0.25">
      <c r="A180" t="s">
        <v>125</v>
      </c>
      <c r="B180" t="s">
        <v>275</v>
      </c>
      <c r="C180" t="s">
        <v>336</v>
      </c>
      <c r="D180" s="2">
        <v>37197</v>
      </c>
      <c r="E180">
        <v>0.3335573</v>
      </c>
      <c r="F180" s="2">
        <v>37932</v>
      </c>
      <c r="G180">
        <v>0.4419942</v>
      </c>
      <c r="H180" s="3">
        <v>0.3251</v>
      </c>
      <c r="I180">
        <v>3025.93</v>
      </c>
      <c r="J180" s="3">
        <v>0.32279999999999998</v>
      </c>
      <c r="K180">
        <v>28106</v>
      </c>
      <c r="M180" s="3"/>
      <c r="P180" s="2"/>
      <c r="R180" s="2"/>
      <c r="T180" s="3"/>
      <c r="V180" s="3"/>
      <c r="AA180" s="3"/>
      <c r="AB180" s="3"/>
      <c r="AC180" s="3"/>
      <c r="AD180" s="3"/>
    </row>
    <row r="181" spans="1:30" x14ac:dyDescent="0.25">
      <c r="A181" t="s">
        <v>325</v>
      </c>
      <c r="B181" t="s">
        <v>276</v>
      </c>
      <c r="C181" t="s">
        <v>336</v>
      </c>
      <c r="D181" s="2">
        <v>37197</v>
      </c>
      <c r="E181">
        <v>2.3385310000000001</v>
      </c>
      <c r="F181" s="2">
        <v>37846</v>
      </c>
      <c r="G181">
        <v>3.65</v>
      </c>
      <c r="H181" s="3">
        <v>0.56079999999999997</v>
      </c>
      <c r="I181">
        <v>5231.0600000000004</v>
      </c>
      <c r="J181" s="3">
        <v>0.55820000000000003</v>
      </c>
      <c r="K181">
        <v>4007</v>
      </c>
      <c r="M181" s="3"/>
      <c r="P181" s="2"/>
      <c r="R181" s="2"/>
      <c r="T181" s="3"/>
      <c r="V181" s="3"/>
      <c r="AA181" s="3"/>
      <c r="AB181" s="3"/>
      <c r="AC181" s="3"/>
      <c r="AD181" s="3"/>
    </row>
    <row r="182" spans="1:30" x14ac:dyDescent="0.25">
      <c r="A182" t="s">
        <v>326</v>
      </c>
      <c r="B182" t="s">
        <v>277</v>
      </c>
      <c r="C182" t="s">
        <v>336</v>
      </c>
      <c r="D182" s="2">
        <v>36588</v>
      </c>
      <c r="E182">
        <v>1.819369</v>
      </c>
      <c r="F182" s="2">
        <v>37825</v>
      </c>
      <c r="G182">
        <v>3.05</v>
      </c>
      <c r="H182" s="3">
        <v>0.6764</v>
      </c>
      <c r="I182">
        <v>5106.5200000000004</v>
      </c>
      <c r="J182" s="3">
        <v>0.67369999999999997</v>
      </c>
      <c r="K182">
        <v>4166</v>
      </c>
      <c r="P182" s="2"/>
      <c r="R182" s="2"/>
      <c r="T182" s="3"/>
      <c r="V182" s="3"/>
      <c r="AA182" s="3"/>
      <c r="AB182" s="3"/>
      <c r="AC182" s="3"/>
      <c r="AD182" s="3"/>
    </row>
    <row r="183" spans="1:30" x14ac:dyDescent="0.25">
      <c r="A183" t="s">
        <v>327</v>
      </c>
      <c r="B183" t="s">
        <v>278</v>
      </c>
      <c r="C183" t="s">
        <v>336</v>
      </c>
      <c r="D183" s="2">
        <v>37197</v>
      </c>
      <c r="E183">
        <v>1.186496</v>
      </c>
      <c r="F183" s="2">
        <v>37722</v>
      </c>
      <c r="G183">
        <v>1.63</v>
      </c>
      <c r="H183" s="3">
        <v>0.37380000000000002</v>
      </c>
      <c r="I183">
        <v>3481.43</v>
      </c>
      <c r="J183" s="3">
        <v>0.37140000000000001</v>
      </c>
      <c r="K183">
        <v>7900</v>
      </c>
      <c r="M183" s="3"/>
      <c r="P183" s="2"/>
      <c r="R183" s="2"/>
      <c r="T183" s="3"/>
      <c r="V183" s="3"/>
      <c r="AA183" s="3"/>
      <c r="AB183" s="3"/>
      <c r="AC183" s="3"/>
      <c r="AD183" s="3"/>
    </row>
    <row r="184" spans="1:30" x14ac:dyDescent="0.25">
      <c r="A184" t="s">
        <v>328</v>
      </c>
      <c r="B184" t="s">
        <v>279</v>
      </c>
      <c r="C184" t="s">
        <v>336</v>
      </c>
      <c r="D184" s="2">
        <v>37197</v>
      </c>
      <c r="E184">
        <v>0.77863990000000005</v>
      </c>
      <c r="F184" s="2">
        <v>37533</v>
      </c>
      <c r="G184">
        <v>0.92984979999999995</v>
      </c>
      <c r="H184" s="3">
        <v>0.19420000000000001</v>
      </c>
      <c r="I184">
        <v>1799.1</v>
      </c>
      <c r="J184" s="3">
        <v>0.192</v>
      </c>
      <c r="K184">
        <v>12034</v>
      </c>
      <c r="M184" s="3"/>
      <c r="P184" s="2"/>
      <c r="R184" s="2"/>
      <c r="T184" s="3"/>
      <c r="V184" s="3"/>
      <c r="AA184" s="3"/>
      <c r="AB184" s="3"/>
      <c r="AC184" s="3"/>
      <c r="AD184" s="3"/>
    </row>
    <row r="185" spans="1:30" x14ac:dyDescent="0.25">
      <c r="A185" t="s">
        <v>329</v>
      </c>
      <c r="B185" t="s">
        <v>280</v>
      </c>
      <c r="C185" t="s">
        <v>336</v>
      </c>
      <c r="D185" s="2">
        <v>36686</v>
      </c>
      <c r="E185">
        <v>1.764858</v>
      </c>
      <c r="F185" s="2">
        <v>37531</v>
      </c>
      <c r="G185">
        <v>2.42</v>
      </c>
      <c r="H185" s="3">
        <v>0.37119999999999997</v>
      </c>
      <c r="I185">
        <v>2806.93</v>
      </c>
      <c r="J185" s="3">
        <v>0.36880000000000002</v>
      </c>
      <c r="K185">
        <v>4312</v>
      </c>
      <c r="P185" s="2"/>
      <c r="R185" s="2"/>
      <c r="T185" s="3"/>
      <c r="V185" s="3"/>
      <c r="AA185" s="3"/>
      <c r="AB185" s="3"/>
      <c r="AC185" s="3"/>
      <c r="AD185" s="3"/>
    </row>
    <row r="186" spans="1:30" x14ac:dyDescent="0.25">
      <c r="A186" t="s">
        <v>317</v>
      </c>
      <c r="B186" t="s">
        <v>267</v>
      </c>
      <c r="C186" t="s">
        <v>336</v>
      </c>
      <c r="D186" s="2">
        <v>36574</v>
      </c>
      <c r="E186">
        <v>2.8286560000000001</v>
      </c>
      <c r="F186" s="2">
        <v>37449</v>
      </c>
      <c r="G186">
        <v>4.047059</v>
      </c>
      <c r="H186" s="3">
        <v>0.43070000000000003</v>
      </c>
      <c r="I186">
        <v>3267.49</v>
      </c>
      <c r="J186" s="3">
        <v>0.42830000000000001</v>
      </c>
      <c r="K186">
        <v>2697</v>
      </c>
      <c r="P186" s="2"/>
      <c r="R186" s="2"/>
      <c r="T186" s="3"/>
      <c r="V186" s="3"/>
      <c r="AA186" s="3"/>
      <c r="AB186" s="3"/>
      <c r="AC186" s="3"/>
      <c r="AD186" s="3"/>
    </row>
    <row r="187" spans="1:30" x14ac:dyDescent="0.25">
      <c r="A187" t="s">
        <v>330</v>
      </c>
      <c r="B187" t="s">
        <v>281</v>
      </c>
      <c r="C187" t="s">
        <v>336</v>
      </c>
      <c r="D187" s="2">
        <v>36616</v>
      </c>
      <c r="E187">
        <v>0.66407740000000004</v>
      </c>
      <c r="F187" s="2">
        <v>37162</v>
      </c>
      <c r="G187">
        <v>0.85037759999999996</v>
      </c>
      <c r="H187" s="3">
        <v>0.28050000000000003</v>
      </c>
      <c r="I187">
        <v>2207.64</v>
      </c>
      <c r="J187" s="3">
        <v>0.27829999999999999</v>
      </c>
      <c r="K187">
        <v>11947</v>
      </c>
      <c r="M187" s="3"/>
      <c r="P187" s="2"/>
      <c r="R187" s="2"/>
      <c r="T187" s="3"/>
      <c r="V187" s="3"/>
      <c r="AA187" s="3"/>
      <c r="AB187" s="3"/>
      <c r="AC187" s="3"/>
      <c r="AD187" s="3"/>
    </row>
    <row r="188" spans="1:30" x14ac:dyDescent="0.25">
      <c r="A188" t="s">
        <v>331</v>
      </c>
      <c r="B188" t="s">
        <v>282</v>
      </c>
      <c r="C188" t="s">
        <v>336</v>
      </c>
      <c r="D188" s="2">
        <v>36553</v>
      </c>
      <c r="E188">
        <v>0.81915649999999995</v>
      </c>
      <c r="F188" s="2">
        <v>37162</v>
      </c>
      <c r="G188">
        <v>0.54053620000000002</v>
      </c>
      <c r="H188" s="3">
        <v>-0.34010000000000001</v>
      </c>
      <c r="I188">
        <v>-2615.29</v>
      </c>
      <c r="J188" s="3">
        <v>-0.34179999999999999</v>
      </c>
      <c r="K188">
        <v>9341</v>
      </c>
      <c r="M188" s="3"/>
      <c r="P188" s="2"/>
      <c r="R188" s="2"/>
      <c r="T188" s="3"/>
      <c r="V188" s="3"/>
      <c r="AA188" s="3"/>
      <c r="AB188" s="3"/>
      <c r="AC188" s="3"/>
      <c r="AD188" s="3"/>
    </row>
    <row r="189" spans="1:30" x14ac:dyDescent="0.25">
      <c r="A189" t="s">
        <v>328</v>
      </c>
      <c r="B189" t="s">
        <v>279</v>
      </c>
      <c r="C189" t="s">
        <v>336</v>
      </c>
      <c r="D189" s="2">
        <v>36903</v>
      </c>
      <c r="E189">
        <v>0.45213510000000001</v>
      </c>
      <c r="F189" s="2">
        <v>37162</v>
      </c>
      <c r="G189">
        <v>0.6376792</v>
      </c>
      <c r="H189" s="3">
        <v>0.41039999999999999</v>
      </c>
      <c r="I189">
        <v>3472.54</v>
      </c>
      <c r="J189" s="3">
        <v>0.40799999999999997</v>
      </c>
      <c r="K189">
        <v>18826</v>
      </c>
      <c r="M189" s="3"/>
      <c r="P189" s="2"/>
      <c r="R189" s="2"/>
      <c r="T189" s="3"/>
      <c r="V189" s="3"/>
      <c r="AA189" s="3"/>
      <c r="AB189" s="3"/>
      <c r="AC189" s="3"/>
      <c r="AD189" s="3"/>
    </row>
    <row r="190" spans="1:30" x14ac:dyDescent="0.25">
      <c r="A190" t="s">
        <v>101</v>
      </c>
      <c r="B190" t="s">
        <v>170</v>
      </c>
      <c r="C190" t="s">
        <v>336</v>
      </c>
      <c r="D190" s="2">
        <v>36686</v>
      </c>
      <c r="E190">
        <v>6.1297439999999996</v>
      </c>
      <c r="F190" s="2">
        <v>37148</v>
      </c>
      <c r="G190">
        <v>7.154909</v>
      </c>
      <c r="H190" s="3">
        <v>0.16719999999999999</v>
      </c>
      <c r="I190">
        <v>1255.74</v>
      </c>
      <c r="J190" s="3">
        <v>0.1651</v>
      </c>
      <c r="K190">
        <v>1241</v>
      </c>
      <c r="M190" s="3"/>
      <c r="P190" s="2"/>
      <c r="R190" s="2"/>
      <c r="T190" s="3"/>
      <c r="V190" s="3"/>
      <c r="AA190" s="3"/>
      <c r="AB190" s="3"/>
      <c r="AC190" s="3"/>
      <c r="AD190" s="3"/>
    </row>
    <row r="191" spans="1:30" x14ac:dyDescent="0.25">
      <c r="A191" t="s">
        <v>332</v>
      </c>
      <c r="B191" t="s">
        <v>283</v>
      </c>
      <c r="C191" t="s">
        <v>336</v>
      </c>
      <c r="D191" s="2">
        <v>36574</v>
      </c>
      <c r="E191">
        <v>8.3062470000000008</v>
      </c>
      <c r="F191" s="2">
        <v>36882</v>
      </c>
      <c r="G191">
        <v>9.0827170000000006</v>
      </c>
      <c r="H191" s="3">
        <v>9.35E-2</v>
      </c>
      <c r="I191">
        <v>696.84</v>
      </c>
      <c r="J191" s="3">
        <v>9.1399999999999995E-2</v>
      </c>
      <c r="K191">
        <v>918</v>
      </c>
      <c r="M191" s="3"/>
      <c r="P191" s="2"/>
      <c r="R191" s="2"/>
      <c r="T191" s="3"/>
      <c r="V191" s="3"/>
      <c r="AA191" s="3"/>
      <c r="AB191" s="3"/>
      <c r="AC191" s="3"/>
      <c r="AD191" s="3"/>
    </row>
    <row r="192" spans="1:30" x14ac:dyDescent="0.25">
      <c r="A192" t="s">
        <v>155</v>
      </c>
      <c r="B192" t="s">
        <v>254</v>
      </c>
      <c r="C192" t="s">
        <v>336</v>
      </c>
      <c r="D192" s="2">
        <v>36616</v>
      </c>
      <c r="E192">
        <v>1.006834E-2</v>
      </c>
      <c r="F192" s="2">
        <v>36679</v>
      </c>
      <c r="G192">
        <v>8.4293070000000005E-3</v>
      </c>
      <c r="H192" s="3">
        <v>-0.1628</v>
      </c>
      <c r="I192">
        <v>-1306.33</v>
      </c>
      <c r="J192" s="3">
        <v>-0.1646</v>
      </c>
      <c r="K192">
        <v>788122</v>
      </c>
      <c r="M192" s="3"/>
      <c r="P192" s="2"/>
      <c r="R192" s="2"/>
      <c r="T192" s="3"/>
      <c r="V192" s="3"/>
      <c r="AA192" s="3"/>
      <c r="AB192" s="3"/>
      <c r="AC192" s="3"/>
      <c r="AD192" s="3"/>
    </row>
    <row r="193" spans="1:30" x14ac:dyDescent="0.25">
      <c r="A193" t="s">
        <v>333</v>
      </c>
      <c r="B193" t="s">
        <v>284</v>
      </c>
      <c r="C193" t="s">
        <v>336</v>
      </c>
      <c r="D193" s="2">
        <v>36581</v>
      </c>
      <c r="E193">
        <v>1.8506229999999999</v>
      </c>
      <c r="F193" s="2">
        <v>36679</v>
      </c>
      <c r="G193">
        <v>2.2577530000000001</v>
      </c>
      <c r="H193" s="3">
        <v>0.22</v>
      </c>
      <c r="I193">
        <v>1643.52</v>
      </c>
      <c r="J193" s="3">
        <v>0.21779999999999999</v>
      </c>
      <c r="K193">
        <v>4078</v>
      </c>
      <c r="M193" s="3"/>
      <c r="P193" s="2"/>
      <c r="R193" s="2"/>
      <c r="T193" s="3"/>
      <c r="V193" s="3"/>
      <c r="AA193" s="3"/>
      <c r="AB193" s="3"/>
      <c r="AC193" s="3"/>
      <c r="AD193" s="3"/>
    </row>
    <row r="194" spans="1:30" x14ac:dyDescent="0.25">
      <c r="A194" t="s">
        <v>334</v>
      </c>
      <c r="B194" t="s">
        <v>285</v>
      </c>
      <c r="C194" t="s">
        <v>336</v>
      </c>
      <c r="D194" s="2">
        <v>36532</v>
      </c>
      <c r="E194">
        <v>4.580076</v>
      </c>
      <c r="F194" s="2">
        <v>36636</v>
      </c>
      <c r="G194">
        <v>3.8500839999999998</v>
      </c>
      <c r="H194" s="3">
        <v>-0.15939999999999999</v>
      </c>
      <c r="I194">
        <v>-1239.81</v>
      </c>
      <c r="J194" s="3">
        <v>-0.16120000000000001</v>
      </c>
      <c r="K194">
        <v>1679</v>
      </c>
      <c r="M194" s="3"/>
      <c r="P194" s="2"/>
      <c r="R194" s="2"/>
      <c r="T194" s="3"/>
      <c r="V194" s="3"/>
      <c r="AA194" s="3"/>
      <c r="AB194" s="3"/>
      <c r="AC194" s="3"/>
      <c r="AD194" s="3"/>
    </row>
    <row r="195" spans="1:30" x14ac:dyDescent="0.25">
      <c r="A195" t="s">
        <v>103</v>
      </c>
      <c r="B195" t="s">
        <v>217</v>
      </c>
      <c r="C195" t="s">
        <v>336</v>
      </c>
      <c r="D195" s="2">
        <v>36609</v>
      </c>
      <c r="E195">
        <v>2.3377949999999998</v>
      </c>
      <c r="F195" s="2">
        <v>36623</v>
      </c>
      <c r="G195">
        <v>2.0525669999999998</v>
      </c>
      <c r="H195" s="3">
        <v>-0.122</v>
      </c>
      <c r="I195">
        <v>-982.96</v>
      </c>
      <c r="J195" s="3">
        <v>-0.1239</v>
      </c>
      <c r="K195">
        <v>3394</v>
      </c>
      <c r="M195" s="3"/>
      <c r="P195" s="2"/>
      <c r="R195" s="2"/>
      <c r="T195" s="3"/>
      <c r="V195" s="3"/>
      <c r="AA195" s="3"/>
      <c r="AB195" s="3"/>
      <c r="AC195" s="3"/>
      <c r="AD195" s="3"/>
    </row>
    <row r="196" spans="1:30" x14ac:dyDescent="0.25">
      <c r="D196" s="2"/>
      <c r="F196" s="2"/>
      <c r="H196" s="3"/>
      <c r="J196" s="3"/>
      <c r="Q196" s="2"/>
      <c r="S196" s="2"/>
      <c r="U196" s="3"/>
      <c r="W196" s="3"/>
      <c r="AC196" s="3"/>
      <c r="AD196" s="3"/>
    </row>
    <row r="197" spans="1:30" x14ac:dyDescent="0.25">
      <c r="D197" s="2"/>
      <c r="F197" s="2"/>
      <c r="H197" s="3"/>
      <c r="J197" s="3"/>
      <c r="Q197" s="2"/>
      <c r="S197" s="2"/>
      <c r="U197" s="3"/>
      <c r="W197" s="3"/>
      <c r="AC197" s="3"/>
      <c r="AD197" s="3"/>
    </row>
    <row r="198" spans="1:30" x14ac:dyDescent="0.25">
      <c r="D198" s="2"/>
      <c r="F198" s="2"/>
      <c r="H198" s="3"/>
      <c r="J198" s="3"/>
      <c r="Q198" s="2"/>
      <c r="S198" s="2"/>
      <c r="U198" s="3"/>
      <c r="W198" s="3"/>
      <c r="AC198" s="3"/>
      <c r="AD198" s="3"/>
    </row>
    <row r="199" spans="1:30" x14ac:dyDescent="0.25">
      <c r="D199" s="2"/>
      <c r="F199" s="2"/>
      <c r="H199" s="3"/>
      <c r="J199" s="3"/>
      <c r="Q199" s="2"/>
      <c r="S199" s="2"/>
      <c r="U199" s="3"/>
      <c r="W199" s="3"/>
      <c r="AC199" s="3"/>
      <c r="AD199" s="3"/>
    </row>
    <row r="200" spans="1:30" x14ac:dyDescent="0.25">
      <c r="D200" s="2"/>
      <c r="F200" s="2"/>
      <c r="H200" s="3"/>
      <c r="J200" s="3"/>
      <c r="Q200" s="2"/>
      <c r="S200" s="2"/>
      <c r="U200" s="3"/>
      <c r="W200" s="3"/>
      <c r="AC200" s="3"/>
      <c r="AD200" s="3"/>
    </row>
    <row r="201" spans="1:30" x14ac:dyDescent="0.25">
      <c r="D201" s="2"/>
      <c r="F201" s="2"/>
      <c r="H201" s="3"/>
      <c r="J201" s="3"/>
      <c r="Q201" s="2"/>
      <c r="S201" s="2"/>
      <c r="U201" s="3"/>
      <c r="W201" s="3"/>
      <c r="AC201" s="3"/>
      <c r="AD201" s="3"/>
    </row>
    <row r="202" spans="1:30" x14ac:dyDescent="0.25">
      <c r="D202" s="2"/>
      <c r="F202" s="2"/>
      <c r="H202" s="3"/>
      <c r="J202" s="3"/>
      <c r="Q202" s="2"/>
      <c r="S202" s="2"/>
      <c r="U202" s="3"/>
      <c r="W202" s="3"/>
      <c r="AC202" s="3"/>
      <c r="AD202" s="3"/>
    </row>
    <row r="203" spans="1:30" x14ac:dyDescent="0.25">
      <c r="D203" s="2"/>
      <c r="F203" s="2"/>
      <c r="H203" s="3"/>
      <c r="J203" s="3"/>
      <c r="Q203" s="2"/>
      <c r="S203" s="2"/>
      <c r="U203" s="3"/>
      <c r="W203" s="3"/>
      <c r="AC203" s="3"/>
      <c r="AD203" s="3"/>
    </row>
    <row r="204" spans="1:30" x14ac:dyDescent="0.25">
      <c r="D204" s="2"/>
      <c r="F204" s="2"/>
      <c r="H204" s="3"/>
      <c r="J204" s="3"/>
      <c r="Q204" s="2"/>
      <c r="S204" s="2"/>
      <c r="U204" s="3"/>
      <c r="W204" s="3"/>
      <c r="AC204" s="3"/>
      <c r="AD204" s="3"/>
    </row>
    <row r="205" spans="1:30" x14ac:dyDescent="0.25">
      <c r="D205" s="2"/>
      <c r="F205" s="2"/>
      <c r="H205" s="3"/>
      <c r="J205" s="3"/>
      <c r="Q205" s="2"/>
      <c r="S205" s="2"/>
      <c r="U205" s="3"/>
      <c r="W205" s="3"/>
      <c r="AC205" s="3"/>
      <c r="AD205" s="3"/>
    </row>
    <row r="206" spans="1:30" x14ac:dyDescent="0.25">
      <c r="D206" s="2"/>
      <c r="F206" s="2"/>
      <c r="H206" s="3"/>
      <c r="J206" s="3"/>
      <c r="Q206" s="2"/>
      <c r="S206" s="2"/>
      <c r="U206" s="3"/>
      <c r="W206" s="3"/>
      <c r="AC206" s="3"/>
      <c r="AD206" s="3"/>
    </row>
    <row r="207" spans="1:30" x14ac:dyDescent="0.25">
      <c r="D207" s="2"/>
      <c r="F207" s="2"/>
      <c r="H207" s="3"/>
      <c r="J207" s="3"/>
      <c r="Q207" s="2"/>
      <c r="S207" s="2"/>
      <c r="U207" s="3"/>
      <c r="W207" s="3"/>
      <c r="AC207" s="3"/>
      <c r="AD207" s="3"/>
    </row>
    <row r="208" spans="1:30" x14ac:dyDescent="0.25">
      <c r="D208" s="2"/>
      <c r="F208" s="2"/>
      <c r="H208" s="3"/>
      <c r="J208" s="3"/>
      <c r="Q208" s="2"/>
      <c r="S208" s="2"/>
      <c r="U208" s="3"/>
      <c r="W208" s="3"/>
      <c r="AC208" s="3"/>
      <c r="AD208" s="3"/>
    </row>
    <row r="209" spans="4:30" x14ac:dyDescent="0.25">
      <c r="D209" s="2"/>
      <c r="F209" s="2"/>
      <c r="H209" s="3"/>
      <c r="J209" s="3"/>
      <c r="Q209" s="2"/>
      <c r="S209" s="2"/>
      <c r="U209" s="3"/>
      <c r="W209" s="3"/>
      <c r="AC209" s="3"/>
      <c r="AD209" s="3"/>
    </row>
    <row r="210" spans="4:30" x14ac:dyDescent="0.25">
      <c r="D210" s="2"/>
      <c r="F210" s="2"/>
      <c r="H210" s="3"/>
      <c r="J210" s="3"/>
      <c r="Q210" s="2"/>
      <c r="S210" s="2"/>
      <c r="U210" s="3"/>
      <c r="W210" s="3"/>
      <c r="AC210" s="3"/>
      <c r="AD210" s="3"/>
    </row>
    <row r="211" spans="4:30" x14ac:dyDescent="0.25">
      <c r="D211" s="2"/>
      <c r="F211" s="2"/>
      <c r="H211" s="3"/>
      <c r="J211" s="3"/>
      <c r="Q211" s="2"/>
      <c r="S211" s="2"/>
      <c r="U211" s="3"/>
      <c r="W211" s="3"/>
      <c r="AC211" s="3"/>
      <c r="AD211" s="3"/>
    </row>
    <row r="212" spans="4:30" x14ac:dyDescent="0.25">
      <c r="D212" s="2"/>
      <c r="F212" s="2"/>
      <c r="H212" s="3"/>
      <c r="J212" s="3"/>
      <c r="Q212" s="2"/>
      <c r="S212" s="2"/>
      <c r="U212" s="3"/>
      <c r="W212" s="3"/>
      <c r="AC212" s="3"/>
      <c r="AD212" s="3"/>
    </row>
    <row r="213" spans="4:30" x14ac:dyDescent="0.25">
      <c r="D213" s="2"/>
      <c r="F213" s="2"/>
      <c r="H213" s="3"/>
      <c r="J213" s="3"/>
      <c r="Q213" s="2"/>
      <c r="S213" s="2"/>
      <c r="U213" s="3"/>
      <c r="W213" s="3"/>
      <c r="AC213" s="3"/>
      <c r="AD213" s="3"/>
    </row>
    <row r="214" spans="4:30" x14ac:dyDescent="0.25">
      <c r="D214" s="2"/>
      <c r="F214" s="2"/>
      <c r="H214" s="3"/>
      <c r="J214" s="3"/>
      <c r="Q214" s="2"/>
      <c r="S214" s="2"/>
      <c r="U214" s="3"/>
      <c r="W214" s="3"/>
      <c r="AC214" s="3"/>
      <c r="AD214" s="3"/>
    </row>
    <row r="215" spans="4:30" x14ac:dyDescent="0.25">
      <c r="D215" s="2"/>
      <c r="F215" s="2"/>
      <c r="H215" s="3"/>
      <c r="J215" s="3"/>
      <c r="Q215" s="2"/>
      <c r="S215" s="2"/>
      <c r="U215" s="3"/>
      <c r="W215" s="3"/>
      <c r="AC215" s="3"/>
      <c r="AD215" s="3"/>
    </row>
    <row r="216" spans="4:30" x14ac:dyDescent="0.25">
      <c r="D216" s="2"/>
      <c r="F216" s="2"/>
      <c r="H216" s="3"/>
      <c r="J216" s="3"/>
      <c r="Q216" s="2"/>
      <c r="S216" s="2"/>
      <c r="U216" s="3"/>
      <c r="W216" s="3"/>
      <c r="AC216" s="3"/>
      <c r="AD216" s="3"/>
    </row>
    <row r="217" spans="4:30" x14ac:dyDescent="0.25">
      <c r="D217" s="2"/>
      <c r="F217" s="2"/>
      <c r="H217" s="3"/>
      <c r="J217" s="3"/>
      <c r="Q217" s="2"/>
      <c r="S217" s="2"/>
      <c r="U217" s="3"/>
      <c r="W217" s="3"/>
      <c r="AC217" s="3"/>
      <c r="AD217" s="3"/>
    </row>
    <row r="218" spans="4:30" x14ac:dyDescent="0.25">
      <c r="D218" s="2"/>
      <c r="F218" s="2"/>
      <c r="H218" s="3"/>
      <c r="J218" s="3"/>
      <c r="Q218" s="2"/>
      <c r="S218" s="2"/>
      <c r="U218" s="3"/>
      <c r="W218" s="3"/>
      <c r="AC218" s="3"/>
      <c r="AD218" s="3"/>
    </row>
    <row r="219" spans="4:30" x14ac:dyDescent="0.25">
      <c r="D219" s="2"/>
      <c r="F219" s="2"/>
      <c r="H219" s="3"/>
      <c r="J219" s="3"/>
      <c r="Q219" s="2"/>
      <c r="S219" s="2"/>
      <c r="U219" s="3"/>
      <c r="W219" s="3"/>
      <c r="AC219" s="3"/>
      <c r="AD219" s="3"/>
    </row>
    <row r="220" spans="4:30" x14ac:dyDescent="0.25">
      <c r="D220" s="2"/>
      <c r="F220" s="2"/>
      <c r="H220" s="3"/>
      <c r="J220" s="3"/>
      <c r="Q220" s="2"/>
      <c r="S220" s="2"/>
      <c r="U220" s="3"/>
      <c r="W220" s="3"/>
      <c r="AC220" s="3"/>
      <c r="AD220" s="3"/>
    </row>
    <row r="221" spans="4:30" x14ac:dyDescent="0.25">
      <c r="D221" s="2"/>
      <c r="F221" s="2"/>
      <c r="H221" s="3"/>
      <c r="J221" s="3"/>
      <c r="Q221" s="2"/>
      <c r="S221" s="2"/>
      <c r="U221" s="3"/>
      <c r="W221" s="3"/>
      <c r="AC221" s="3"/>
      <c r="AD221" s="3"/>
    </row>
    <row r="222" spans="4:30" x14ac:dyDescent="0.25">
      <c r="D222" s="2"/>
      <c r="F222" s="2"/>
      <c r="H222" s="3"/>
      <c r="J222" s="3"/>
      <c r="Q222" s="2"/>
      <c r="S222" s="2"/>
      <c r="U222" s="3"/>
      <c r="W222" s="3"/>
      <c r="AC222" s="3"/>
      <c r="AD222" s="3"/>
    </row>
    <row r="223" spans="4:30" x14ac:dyDescent="0.25">
      <c r="D223" s="2"/>
      <c r="F223" s="2"/>
      <c r="H223" s="3"/>
      <c r="J223" s="3"/>
      <c r="Q223" s="2"/>
      <c r="S223" s="2"/>
      <c r="U223" s="3"/>
      <c r="W223" s="3"/>
      <c r="AC223" s="3"/>
      <c r="AD223" s="3"/>
    </row>
    <row r="224" spans="4:30" x14ac:dyDescent="0.25">
      <c r="D224" s="2"/>
      <c r="F224" s="2"/>
      <c r="H224" s="3"/>
      <c r="J224" s="3"/>
      <c r="Q224" s="2"/>
      <c r="S224" s="2"/>
      <c r="U224" s="3"/>
      <c r="W224" s="3"/>
      <c r="AC224" s="3"/>
      <c r="AD224" s="3"/>
    </row>
    <row r="225" spans="4:30" x14ac:dyDescent="0.25">
      <c r="D225" s="2"/>
      <c r="F225" s="2"/>
      <c r="H225" s="3"/>
      <c r="J225" s="3"/>
      <c r="Q225" s="2"/>
      <c r="S225" s="2"/>
      <c r="U225" s="3"/>
      <c r="W225" s="3"/>
      <c r="AC225" s="3"/>
      <c r="AD225" s="3"/>
    </row>
    <row r="226" spans="4:30" x14ac:dyDescent="0.25">
      <c r="D226" s="2"/>
      <c r="F226" s="2"/>
      <c r="H226" s="3"/>
      <c r="J226" s="3"/>
      <c r="Q226" s="2"/>
      <c r="S226" s="2"/>
      <c r="U226" s="3"/>
      <c r="W226" s="3"/>
      <c r="AC226" s="3"/>
      <c r="AD226" s="3"/>
    </row>
    <row r="227" spans="4:30" x14ac:dyDescent="0.25">
      <c r="D227" s="2"/>
      <c r="F227" s="2"/>
      <c r="H227" s="3"/>
      <c r="J227" s="3"/>
      <c r="Q227" s="2"/>
      <c r="S227" s="2"/>
      <c r="U227" s="3"/>
      <c r="W227" s="3"/>
      <c r="AC227" s="3"/>
      <c r="AD227" s="3"/>
    </row>
    <row r="228" spans="4:30" x14ac:dyDescent="0.25">
      <c r="D228" s="2"/>
      <c r="F228" s="2"/>
      <c r="H228" s="3"/>
      <c r="J228" s="3"/>
      <c r="Q228" s="2"/>
      <c r="S228" s="2"/>
      <c r="U228" s="3"/>
      <c r="W228" s="3"/>
      <c r="AC228" s="3"/>
      <c r="AD228" s="3"/>
    </row>
    <row r="229" spans="4:30" x14ac:dyDescent="0.25">
      <c r="D229" s="2"/>
      <c r="F229" s="2"/>
      <c r="H229" s="3"/>
      <c r="J229" s="3"/>
      <c r="Q229" s="2"/>
      <c r="S229" s="2"/>
      <c r="U229" s="3"/>
      <c r="W229" s="3"/>
      <c r="AC229" s="3"/>
      <c r="AD229" s="3"/>
    </row>
    <row r="230" spans="4:30" x14ac:dyDescent="0.25">
      <c r="D230" s="2"/>
      <c r="F230" s="2"/>
      <c r="H230" s="3"/>
      <c r="J230" s="3"/>
      <c r="Q230" s="2"/>
      <c r="S230" s="2"/>
      <c r="U230" s="3"/>
      <c r="W230" s="3"/>
      <c r="AC230" s="3"/>
      <c r="AD230" s="3"/>
    </row>
    <row r="231" spans="4:30" x14ac:dyDescent="0.25">
      <c r="D231" s="2"/>
      <c r="F231" s="2"/>
      <c r="H231" s="3"/>
      <c r="J231" s="3"/>
      <c r="Q231" s="2"/>
      <c r="S231" s="2"/>
      <c r="U231" s="3"/>
      <c r="W231" s="3"/>
      <c r="AC231" s="3"/>
      <c r="AD231" s="3"/>
    </row>
    <row r="232" spans="4:30" x14ac:dyDescent="0.25">
      <c r="D232" s="2"/>
      <c r="F232" s="2"/>
      <c r="H232" s="3"/>
      <c r="J232" s="3"/>
      <c r="Q232" s="2"/>
      <c r="S232" s="2"/>
      <c r="U232" s="3"/>
      <c r="W232" s="3"/>
      <c r="AC232" s="3"/>
      <c r="AD232" s="3"/>
    </row>
    <row r="233" spans="4:30" x14ac:dyDescent="0.25">
      <c r="D233" s="2"/>
      <c r="F233" s="2"/>
      <c r="H233" s="3"/>
      <c r="J233" s="3"/>
      <c r="Q233" s="2"/>
      <c r="S233" s="2"/>
      <c r="U233" s="3"/>
      <c r="W233" s="3"/>
      <c r="AC233" s="3"/>
      <c r="AD233" s="3"/>
    </row>
    <row r="234" spans="4:30" x14ac:dyDescent="0.25">
      <c r="D234" s="2"/>
      <c r="F234" s="2"/>
      <c r="H234" s="3"/>
      <c r="J234" s="3"/>
      <c r="Q234" s="2"/>
      <c r="S234" s="2"/>
      <c r="U234" s="3"/>
      <c r="W234" s="3"/>
      <c r="AC234" s="3"/>
      <c r="AD234" s="3"/>
    </row>
    <row r="235" spans="4:30" x14ac:dyDescent="0.25">
      <c r="D235" s="2"/>
      <c r="F235" s="2"/>
      <c r="H235" s="3"/>
      <c r="J235" s="3"/>
      <c r="Q235" s="2"/>
      <c r="S235" s="2"/>
      <c r="U235" s="3"/>
      <c r="W235" s="3"/>
      <c r="AC235" s="3"/>
      <c r="AD235" s="3"/>
    </row>
    <row r="236" spans="4:30" x14ac:dyDescent="0.25">
      <c r="D236" s="2"/>
      <c r="F236" s="2"/>
      <c r="H236" s="3"/>
      <c r="J236" s="3"/>
      <c r="Q236" s="2"/>
      <c r="S236" s="2"/>
      <c r="U236" s="3"/>
      <c r="W236" s="3"/>
      <c r="AC236" s="3"/>
      <c r="AD236" s="3"/>
    </row>
    <row r="237" spans="4:30" x14ac:dyDescent="0.25">
      <c r="D237" s="2"/>
      <c r="F237" s="2"/>
      <c r="H237" s="3"/>
      <c r="J237" s="3"/>
      <c r="Q237" s="2"/>
      <c r="S237" s="2"/>
      <c r="U237" s="3"/>
      <c r="W237" s="3"/>
      <c r="AC237" s="3"/>
      <c r="AD237" s="3"/>
    </row>
    <row r="238" spans="4:30" x14ac:dyDescent="0.25">
      <c r="D238" s="2"/>
      <c r="F238" s="2"/>
      <c r="H238" s="3"/>
      <c r="J238" s="3"/>
      <c r="Q238" s="2"/>
      <c r="S238" s="2"/>
      <c r="U238" s="3"/>
      <c r="W238" s="3"/>
      <c r="AC238" s="3"/>
      <c r="AD238" s="3"/>
    </row>
    <row r="239" spans="4:30" x14ac:dyDescent="0.25">
      <c r="D239" s="2"/>
      <c r="F239" s="2"/>
      <c r="H239" s="3"/>
      <c r="J239" s="3"/>
      <c r="Q239" s="2"/>
      <c r="S239" s="2"/>
      <c r="U239" s="3"/>
      <c r="W239" s="3"/>
      <c r="AC239" s="3"/>
      <c r="AD239" s="3"/>
    </row>
    <row r="240" spans="4:30" x14ac:dyDescent="0.25">
      <c r="D240" s="2"/>
      <c r="F240" s="2"/>
      <c r="H240" s="3"/>
      <c r="J240" s="3"/>
      <c r="Q240" s="2"/>
      <c r="S240" s="2"/>
      <c r="U240" s="3"/>
      <c r="W240" s="3"/>
      <c r="AC240" s="3"/>
      <c r="AD240" s="3"/>
    </row>
    <row r="241" spans="4:30" x14ac:dyDescent="0.25">
      <c r="D241" s="2"/>
      <c r="F241" s="2"/>
      <c r="H241" s="3"/>
      <c r="J241" s="3"/>
      <c r="Q241" s="2"/>
      <c r="S241" s="2"/>
      <c r="U241" s="3"/>
      <c r="W241" s="3"/>
      <c r="AC241" s="3"/>
      <c r="AD241" s="3"/>
    </row>
    <row r="242" spans="4:30" x14ac:dyDescent="0.25">
      <c r="D242" s="2"/>
      <c r="F242" s="2"/>
      <c r="H242" s="3"/>
      <c r="J242" s="3"/>
      <c r="Q242" s="2"/>
      <c r="S242" s="2"/>
      <c r="U242" s="3"/>
      <c r="W242" s="3"/>
      <c r="AC242" s="3"/>
      <c r="AD242" s="3"/>
    </row>
    <row r="243" spans="4:30" x14ac:dyDescent="0.25">
      <c r="D243" s="2"/>
      <c r="F243" s="2"/>
      <c r="H243" s="3"/>
      <c r="J243" s="3"/>
      <c r="Q243" s="2"/>
      <c r="S243" s="2"/>
      <c r="U243" s="3"/>
      <c r="W243" s="3"/>
      <c r="AC243" s="3"/>
      <c r="AD243" s="3"/>
    </row>
    <row r="244" spans="4:30" x14ac:dyDescent="0.25">
      <c r="D244" s="2"/>
      <c r="F244" s="2"/>
      <c r="H244" s="3"/>
      <c r="J244" s="3"/>
      <c r="Q244" s="2"/>
      <c r="S244" s="2"/>
      <c r="U244" s="3"/>
      <c r="W244" s="3"/>
      <c r="AC244" s="3"/>
      <c r="AD244" s="3"/>
    </row>
    <row r="245" spans="4:30" x14ac:dyDescent="0.25">
      <c r="D245" s="2"/>
      <c r="F245" s="2"/>
      <c r="H245" s="3"/>
      <c r="J245" s="3"/>
      <c r="Q245" s="2"/>
      <c r="S245" s="2"/>
      <c r="U245" s="3"/>
      <c r="W245" s="3"/>
      <c r="AC245" s="3"/>
      <c r="AD245" s="3"/>
    </row>
    <row r="246" spans="4:30" x14ac:dyDescent="0.25">
      <c r="D246" s="2"/>
      <c r="F246" s="2"/>
      <c r="H246" s="3"/>
      <c r="J246" s="3"/>
      <c r="Q246" s="2"/>
      <c r="S246" s="2"/>
      <c r="U246" s="3"/>
      <c r="W246" s="3"/>
      <c r="AC246" s="3"/>
      <c r="AD246" s="3"/>
    </row>
    <row r="247" spans="4:30" x14ac:dyDescent="0.25">
      <c r="D247" s="2"/>
      <c r="F247" s="2"/>
      <c r="H247" s="3"/>
      <c r="J247" s="3"/>
      <c r="Q247" s="2"/>
      <c r="S247" s="2"/>
      <c r="U247" s="3"/>
      <c r="W247" s="3"/>
      <c r="AC247" s="3"/>
      <c r="AD247" s="3"/>
    </row>
    <row r="248" spans="4:30" x14ac:dyDescent="0.25">
      <c r="D248" s="2"/>
      <c r="F248" s="2"/>
      <c r="H248" s="3"/>
      <c r="J248" s="3"/>
      <c r="Q248" s="2"/>
      <c r="S248" s="2"/>
      <c r="U248" s="3"/>
      <c r="W248" s="3"/>
      <c r="AC248" s="3"/>
      <c r="AD248" s="3"/>
    </row>
    <row r="249" spans="4:30" x14ac:dyDescent="0.25">
      <c r="D249" s="2"/>
      <c r="F249" s="2"/>
      <c r="H249" s="3"/>
      <c r="J249" s="3"/>
      <c r="Q249" s="2"/>
      <c r="S249" s="2"/>
      <c r="U249" s="3"/>
      <c r="W249" s="3"/>
      <c r="AC249" s="3"/>
      <c r="AD249" s="3"/>
    </row>
    <row r="250" spans="4:30" x14ac:dyDescent="0.25">
      <c r="D250" s="2"/>
      <c r="F250" s="2"/>
      <c r="H250" s="3"/>
      <c r="J250" s="3"/>
      <c r="Q250" s="2"/>
      <c r="S250" s="2"/>
      <c r="U250" s="3"/>
      <c r="W250" s="3"/>
      <c r="AC250" s="3"/>
      <c r="AD250" s="3"/>
    </row>
    <row r="251" spans="4:30" x14ac:dyDescent="0.25">
      <c r="D251" s="2"/>
      <c r="F251" s="2"/>
      <c r="H251" s="3"/>
      <c r="J251" s="3"/>
      <c r="Q251" s="2"/>
      <c r="S251" s="2"/>
      <c r="U251" s="3"/>
      <c r="W251" s="3"/>
      <c r="AC251" s="3"/>
      <c r="AD251" s="3"/>
    </row>
    <row r="252" spans="4:30" x14ac:dyDescent="0.25">
      <c r="D252" s="2"/>
      <c r="F252" s="2"/>
      <c r="H252" s="3"/>
      <c r="J252" s="3"/>
      <c r="Q252" s="2"/>
      <c r="S252" s="2"/>
      <c r="U252" s="3"/>
      <c r="W252" s="3"/>
      <c r="AC252" s="3"/>
      <c r="AD252" s="3"/>
    </row>
    <row r="253" spans="4:30" x14ac:dyDescent="0.25">
      <c r="D253" s="2"/>
      <c r="F253" s="2"/>
      <c r="H253" s="3"/>
      <c r="J253" s="3"/>
      <c r="Q253" s="2"/>
      <c r="S253" s="2"/>
      <c r="U253" s="3"/>
      <c r="W253" s="3"/>
      <c r="AC253" s="3"/>
      <c r="AD253" s="3"/>
    </row>
    <row r="254" spans="4:30" x14ac:dyDescent="0.25">
      <c r="D254" s="2"/>
      <c r="F254" s="2"/>
      <c r="H254" s="3"/>
      <c r="J254" s="3"/>
      <c r="Q254" s="2"/>
      <c r="S254" s="2"/>
      <c r="U254" s="3"/>
      <c r="W254" s="3"/>
      <c r="AC254" s="3"/>
      <c r="AD254" s="3"/>
    </row>
    <row r="255" spans="4:30" x14ac:dyDescent="0.25">
      <c r="D255" s="2"/>
      <c r="F255" s="2"/>
      <c r="H255" s="3"/>
      <c r="J255" s="3"/>
      <c r="Q255" s="2"/>
      <c r="S255" s="2"/>
      <c r="U255" s="3"/>
      <c r="W255" s="3"/>
      <c r="AC255" s="3"/>
      <c r="AD255" s="3"/>
    </row>
    <row r="256" spans="4:30" x14ac:dyDescent="0.25">
      <c r="D256" s="2"/>
      <c r="F256" s="2"/>
      <c r="H256" s="3"/>
      <c r="J256" s="3"/>
      <c r="Q256" s="2"/>
      <c r="S256" s="2"/>
      <c r="U256" s="3"/>
      <c r="W256" s="3"/>
      <c r="AC256" s="3"/>
      <c r="AD256" s="3"/>
    </row>
    <row r="257" spans="4:30" x14ac:dyDescent="0.25">
      <c r="D257" s="2"/>
      <c r="F257" s="2"/>
      <c r="H257" s="3"/>
      <c r="J257" s="3"/>
      <c r="Q257" s="2"/>
      <c r="S257" s="2"/>
      <c r="U257" s="3"/>
      <c r="W257" s="3"/>
      <c r="AC257" s="3"/>
      <c r="AD257" s="3"/>
    </row>
    <row r="258" spans="4:30" x14ac:dyDescent="0.25">
      <c r="D258" s="2"/>
      <c r="F258" s="2"/>
      <c r="H258" s="3"/>
      <c r="J258" s="3"/>
      <c r="Q258" s="2"/>
      <c r="S258" s="2"/>
      <c r="U258" s="3"/>
      <c r="W258" s="3"/>
      <c r="AC258" s="3"/>
      <c r="AD258" s="3"/>
    </row>
    <row r="259" spans="4:30" x14ac:dyDescent="0.25">
      <c r="D259" s="2"/>
      <c r="F259" s="2"/>
      <c r="H259" s="3"/>
      <c r="J259" s="3"/>
      <c r="Q259" s="2"/>
      <c r="S259" s="2"/>
      <c r="U259" s="3"/>
      <c r="W259" s="3"/>
      <c r="AC259" s="3"/>
      <c r="AD259" s="3"/>
    </row>
    <row r="260" spans="4:30" x14ac:dyDescent="0.25">
      <c r="D260" s="2"/>
      <c r="F260" s="2"/>
      <c r="H260" s="3"/>
      <c r="J260" s="3"/>
      <c r="Q260" s="2"/>
      <c r="S260" s="2"/>
      <c r="U260" s="3"/>
      <c r="W260" s="3"/>
      <c r="AC260" s="3"/>
      <c r="AD260" s="3"/>
    </row>
    <row r="261" spans="4:30" x14ac:dyDescent="0.25">
      <c r="D261" s="2"/>
      <c r="F261" s="2"/>
      <c r="H261" s="3"/>
      <c r="J261" s="3"/>
      <c r="Q261" s="2"/>
      <c r="S261" s="2"/>
      <c r="U261" s="3"/>
      <c r="W261" s="3"/>
      <c r="AC261" s="3"/>
      <c r="AD261" s="3"/>
    </row>
    <row r="262" spans="4:30" x14ac:dyDescent="0.25">
      <c r="D262" s="2"/>
      <c r="F262" s="2"/>
      <c r="H262" s="3"/>
      <c r="J262" s="3"/>
      <c r="Q262" s="2"/>
      <c r="S262" s="2"/>
      <c r="U262" s="3"/>
      <c r="W262" s="3"/>
      <c r="AC262" s="3"/>
      <c r="AD262" s="3"/>
    </row>
    <row r="263" spans="4:30" x14ac:dyDescent="0.25">
      <c r="D263" s="2"/>
      <c r="F263" s="2"/>
      <c r="H263" s="3"/>
      <c r="J263" s="3"/>
      <c r="Q263" s="2"/>
      <c r="S263" s="2"/>
      <c r="U263" s="3"/>
      <c r="W263" s="3"/>
      <c r="AC263" s="3"/>
      <c r="AD263" s="3"/>
    </row>
    <row r="264" spans="4:30" x14ac:dyDescent="0.25">
      <c r="D264" s="2"/>
      <c r="F264" s="2"/>
      <c r="H264" s="3"/>
      <c r="J264" s="3"/>
      <c r="Q264" s="2"/>
      <c r="S264" s="2"/>
      <c r="U264" s="3"/>
      <c r="W264" s="3"/>
      <c r="AC264" s="3"/>
      <c r="AD264" s="3"/>
    </row>
    <row r="265" spans="4:30" x14ac:dyDescent="0.25">
      <c r="D265" s="2"/>
      <c r="F265" s="2"/>
      <c r="H265" s="3"/>
      <c r="J265" s="3"/>
      <c r="Q265" s="2"/>
      <c r="S265" s="2"/>
      <c r="U265" s="3"/>
      <c r="W265" s="3"/>
      <c r="AC265" s="3"/>
      <c r="AD265" s="3"/>
    </row>
    <row r="266" spans="4:30" x14ac:dyDescent="0.25">
      <c r="D266" s="2"/>
      <c r="F266" s="2"/>
      <c r="H266" s="3"/>
      <c r="J266" s="3"/>
      <c r="Q266" s="2"/>
      <c r="S266" s="2"/>
      <c r="U266" s="3"/>
      <c r="W266" s="3"/>
      <c r="AC266" s="3"/>
      <c r="AD266" s="3"/>
    </row>
    <row r="267" spans="4:30" x14ac:dyDescent="0.25">
      <c r="D267" s="2"/>
      <c r="F267" s="2"/>
      <c r="H267" s="3"/>
      <c r="J267" s="3"/>
      <c r="Q267" s="2"/>
      <c r="S267" s="2"/>
      <c r="U267" s="3"/>
      <c r="W267" s="3"/>
      <c r="AC267" s="3"/>
      <c r="AD267" s="3"/>
    </row>
    <row r="268" spans="4:30" x14ac:dyDescent="0.25">
      <c r="D268" s="2"/>
      <c r="F268" s="2"/>
      <c r="H268" s="3"/>
      <c r="J268" s="3"/>
      <c r="Q268" s="2"/>
      <c r="S268" s="2"/>
      <c r="U268" s="3"/>
      <c r="W268" s="3"/>
      <c r="AC268" s="3"/>
      <c r="AD268" s="3"/>
    </row>
    <row r="269" spans="4:30" x14ac:dyDescent="0.25">
      <c r="D269" s="2"/>
      <c r="F269" s="2"/>
      <c r="H269" s="3"/>
      <c r="J269" s="3"/>
      <c r="Q269" s="2"/>
      <c r="S269" s="2"/>
      <c r="U269" s="3"/>
      <c r="W269" s="3"/>
      <c r="AC269" s="3"/>
      <c r="AD269" s="3"/>
    </row>
    <row r="270" spans="4:30" x14ac:dyDescent="0.25">
      <c r="D270" s="2"/>
      <c r="F270" s="2"/>
      <c r="H270" s="3"/>
      <c r="J270" s="3"/>
      <c r="Q270" s="2"/>
      <c r="S270" s="2"/>
      <c r="U270" s="3"/>
      <c r="W270" s="3"/>
      <c r="AC270" s="3"/>
      <c r="AD270" s="3"/>
    </row>
    <row r="271" spans="4:30" x14ac:dyDescent="0.25">
      <c r="D271" s="2"/>
      <c r="F271" s="2"/>
      <c r="H271" s="3"/>
      <c r="J271" s="3"/>
      <c r="Q271" s="2"/>
      <c r="S271" s="2"/>
      <c r="U271" s="3"/>
      <c r="W271" s="3"/>
      <c r="AC271" s="3"/>
      <c r="AD271" s="3"/>
    </row>
    <row r="272" spans="4:30" x14ac:dyDescent="0.25">
      <c r="D272" s="2"/>
      <c r="F272" s="2"/>
      <c r="H272" s="3"/>
      <c r="J272" s="3"/>
      <c r="Q272" s="2"/>
      <c r="S272" s="2"/>
      <c r="U272" s="3"/>
      <c r="W272" s="3"/>
      <c r="AC272" s="3"/>
      <c r="AD272" s="3"/>
    </row>
    <row r="273" spans="4:30" x14ac:dyDescent="0.25">
      <c r="D273" s="2"/>
      <c r="F273" s="2"/>
      <c r="H273" s="3"/>
      <c r="J273" s="3"/>
      <c r="Q273" s="2"/>
      <c r="S273" s="2"/>
      <c r="U273" s="3"/>
      <c r="W273" s="3"/>
      <c r="AC273" s="3"/>
      <c r="AD273" s="3"/>
    </row>
    <row r="274" spans="4:30" x14ac:dyDescent="0.25">
      <c r="D274" s="2"/>
      <c r="F274" s="2"/>
      <c r="H274" s="3"/>
      <c r="J274" s="3"/>
      <c r="Q274" s="2"/>
      <c r="S274" s="2"/>
      <c r="U274" s="3"/>
      <c r="W274" s="3"/>
      <c r="AC274" s="3"/>
      <c r="AD274" s="3"/>
    </row>
    <row r="275" spans="4:30" x14ac:dyDescent="0.25">
      <c r="D275" s="2"/>
      <c r="F275" s="2"/>
      <c r="H275" s="3"/>
      <c r="J275" s="3"/>
      <c r="Q275" s="2"/>
      <c r="S275" s="2"/>
      <c r="U275" s="3"/>
      <c r="W275" s="3"/>
      <c r="AC275" s="3"/>
      <c r="AD275" s="3"/>
    </row>
    <row r="276" spans="4:30" x14ac:dyDescent="0.25">
      <c r="D276" s="2"/>
      <c r="F276" s="2"/>
      <c r="H276" s="3"/>
      <c r="J276" s="3"/>
      <c r="Q276" s="2"/>
      <c r="S276" s="2"/>
      <c r="U276" s="3"/>
      <c r="W276" s="3"/>
      <c r="AC276" s="3"/>
      <c r="AD276" s="3"/>
    </row>
    <row r="277" spans="4:30" x14ac:dyDescent="0.25">
      <c r="D277" s="2"/>
      <c r="F277" s="2"/>
      <c r="H277" s="3"/>
      <c r="J277" s="3"/>
      <c r="Q277" s="2"/>
      <c r="S277" s="2"/>
      <c r="U277" s="3"/>
      <c r="W277" s="3"/>
      <c r="AC277" s="3"/>
      <c r="AD277" s="3"/>
    </row>
    <row r="278" spans="4:30" x14ac:dyDescent="0.25">
      <c r="D278" s="2"/>
      <c r="F278" s="2"/>
      <c r="H278" s="3"/>
      <c r="J278" s="3"/>
      <c r="Q278" s="2"/>
      <c r="S278" s="2"/>
      <c r="U278" s="3"/>
      <c r="W278" s="3"/>
      <c r="AC278" s="3"/>
      <c r="AD278" s="3"/>
    </row>
    <row r="279" spans="4:30" x14ac:dyDescent="0.25">
      <c r="D279" s="2"/>
      <c r="F279" s="2"/>
      <c r="H279" s="3"/>
      <c r="J279" s="3"/>
      <c r="Q279" s="2"/>
      <c r="S279" s="2"/>
      <c r="U279" s="3"/>
      <c r="W279" s="3"/>
      <c r="AC279" s="3"/>
      <c r="AD279" s="3"/>
    </row>
    <row r="280" spans="4:30" x14ac:dyDescent="0.25">
      <c r="D280" s="2"/>
      <c r="F280" s="2"/>
      <c r="H280" s="3"/>
      <c r="J280" s="3"/>
      <c r="Q280" s="2"/>
      <c r="S280" s="2"/>
      <c r="U280" s="3"/>
      <c r="W280" s="3"/>
      <c r="AC280" s="3"/>
      <c r="AD280" s="3"/>
    </row>
    <row r="281" spans="4:30" x14ac:dyDescent="0.25">
      <c r="D281" s="2"/>
      <c r="F281" s="2"/>
      <c r="H281" s="3"/>
      <c r="J281" s="3"/>
      <c r="Q281" s="2"/>
      <c r="S281" s="2"/>
      <c r="U281" s="3"/>
      <c r="W281" s="3"/>
      <c r="AC281" s="3"/>
      <c r="AD281" s="3"/>
    </row>
    <row r="282" spans="4:30" x14ac:dyDescent="0.25">
      <c r="D282" s="2"/>
      <c r="F282" s="2"/>
      <c r="H282" s="3"/>
      <c r="J282" s="3"/>
      <c r="Q282" s="2"/>
      <c r="S282" s="2"/>
      <c r="U282" s="3"/>
      <c r="W282" s="3"/>
      <c r="AC282" s="3"/>
      <c r="AD282" s="3"/>
    </row>
    <row r="283" spans="4:30" x14ac:dyDescent="0.25">
      <c r="D283" s="2"/>
      <c r="F283" s="2"/>
      <c r="H283" s="3"/>
      <c r="J283" s="3"/>
      <c r="Q283" s="2"/>
      <c r="S283" s="2"/>
      <c r="U283" s="3"/>
      <c r="W283" s="3"/>
      <c r="AC283" s="3"/>
      <c r="AD283" s="3"/>
    </row>
    <row r="284" spans="4:30" x14ac:dyDescent="0.25">
      <c r="D284" s="2"/>
      <c r="F284" s="2"/>
      <c r="H284" s="3"/>
      <c r="J284" s="3"/>
      <c r="Q284" s="2"/>
      <c r="S284" s="2"/>
      <c r="U284" s="3"/>
      <c r="W284" s="3"/>
      <c r="AC284" s="3"/>
      <c r="AD284" s="3"/>
    </row>
    <row r="285" spans="4:30" x14ac:dyDescent="0.25">
      <c r="D285" s="2"/>
      <c r="F285" s="2"/>
      <c r="H285" s="3"/>
      <c r="J285" s="3"/>
      <c r="Q285" s="2"/>
      <c r="S285" s="2"/>
      <c r="U285" s="3"/>
      <c r="W285" s="3"/>
      <c r="AC285" s="3"/>
      <c r="AD285" s="3"/>
    </row>
    <row r="286" spans="4:30" x14ac:dyDescent="0.25">
      <c r="D286" s="2"/>
      <c r="F286" s="2"/>
      <c r="H286" s="3"/>
      <c r="J286" s="3"/>
      <c r="Q286" s="2"/>
      <c r="S286" s="2"/>
      <c r="U286" s="3"/>
      <c r="W286" s="3"/>
      <c r="AC286" s="3"/>
      <c r="AD286" s="3"/>
    </row>
    <row r="287" spans="4:30" x14ac:dyDescent="0.25">
      <c r="D287" s="2"/>
      <c r="F287" s="2"/>
      <c r="H287" s="3"/>
      <c r="J287" s="3"/>
      <c r="Q287" s="2"/>
      <c r="S287" s="2"/>
      <c r="U287" s="3"/>
      <c r="W287" s="3"/>
      <c r="AC287" s="3"/>
      <c r="AD287" s="3"/>
    </row>
    <row r="288" spans="4:30" x14ac:dyDescent="0.25">
      <c r="D288" s="2"/>
      <c r="F288" s="2"/>
      <c r="H288" s="3"/>
      <c r="J288" s="3"/>
      <c r="Q288" s="2"/>
      <c r="S288" s="2"/>
      <c r="U288" s="3"/>
      <c r="W288" s="3"/>
      <c r="AC288" s="3"/>
      <c r="AD288" s="3"/>
    </row>
    <row r="289" spans="4:30" x14ac:dyDescent="0.25">
      <c r="D289" s="2"/>
      <c r="F289" s="2"/>
      <c r="H289" s="3"/>
      <c r="J289" s="3"/>
      <c r="Q289" s="2"/>
      <c r="S289" s="2"/>
      <c r="U289" s="3"/>
      <c r="W289" s="3"/>
      <c r="AC289" s="3"/>
      <c r="AD289" s="3"/>
    </row>
    <row r="290" spans="4:30" x14ac:dyDescent="0.25">
      <c r="D290" s="2"/>
      <c r="F290" s="2"/>
      <c r="H290" s="3"/>
      <c r="J290" s="3"/>
      <c r="Q290" s="2"/>
      <c r="S290" s="2"/>
      <c r="U290" s="3"/>
      <c r="W290" s="3"/>
      <c r="AC290" s="3"/>
      <c r="AD290" s="3"/>
    </row>
    <row r="291" spans="4:30" x14ac:dyDescent="0.25">
      <c r="D291" s="2"/>
      <c r="F291" s="2"/>
      <c r="H291" s="3"/>
      <c r="J291" s="3"/>
      <c r="Q291" s="2"/>
      <c r="S291" s="2"/>
      <c r="U291" s="3"/>
      <c r="W291" s="3"/>
      <c r="AC291" s="3"/>
      <c r="AD291" s="3"/>
    </row>
    <row r="292" spans="4:30" x14ac:dyDescent="0.25">
      <c r="D292" s="2"/>
      <c r="F292" s="2"/>
      <c r="H292" s="3"/>
      <c r="J292" s="3"/>
      <c r="Q292" s="2"/>
      <c r="S292" s="2"/>
      <c r="U292" s="3"/>
      <c r="W292" s="3"/>
      <c r="AC292" s="3"/>
      <c r="AD292" s="3"/>
    </row>
    <row r="293" spans="4:30" x14ac:dyDescent="0.25">
      <c r="D293" s="2"/>
      <c r="F293" s="2"/>
      <c r="H293" s="3"/>
      <c r="J293" s="3"/>
      <c r="Q293" s="2"/>
      <c r="S293" s="2"/>
      <c r="U293" s="3"/>
      <c r="W293" s="3"/>
      <c r="AC293" s="3"/>
      <c r="AD293" s="3"/>
    </row>
    <row r="294" spans="4:30" x14ac:dyDescent="0.25">
      <c r="D294" s="2"/>
      <c r="F294" s="2"/>
      <c r="H294" s="3"/>
      <c r="J294" s="3"/>
      <c r="Q294" s="2"/>
      <c r="S294" s="2"/>
      <c r="U294" s="3"/>
      <c r="W294" s="3"/>
      <c r="AC294" s="3"/>
      <c r="AD294" s="3"/>
    </row>
    <row r="295" spans="4:30" x14ac:dyDescent="0.25">
      <c r="D295" s="2"/>
      <c r="F295" s="2"/>
      <c r="H295" s="3"/>
      <c r="J295" s="3"/>
      <c r="Q295" s="2"/>
      <c r="S295" s="2"/>
      <c r="U295" s="3"/>
      <c r="W295" s="3"/>
      <c r="AC295" s="3"/>
      <c r="AD295" s="3"/>
    </row>
    <row r="296" spans="4:30" x14ac:dyDescent="0.25">
      <c r="D296" s="2"/>
      <c r="F296" s="2"/>
      <c r="H296" s="3"/>
      <c r="J296" s="3"/>
      <c r="Q296" s="2"/>
      <c r="S296" s="2"/>
      <c r="U296" s="3"/>
      <c r="W296" s="3"/>
      <c r="AC296" s="3"/>
      <c r="AD296" s="3"/>
    </row>
    <row r="297" spans="4:30" x14ac:dyDescent="0.25">
      <c r="D297" s="2"/>
      <c r="F297" s="2"/>
      <c r="H297" s="3"/>
      <c r="J297" s="3"/>
      <c r="Q297" s="2"/>
      <c r="S297" s="2"/>
      <c r="U297" s="3"/>
      <c r="W297" s="3"/>
      <c r="AC297" s="3"/>
      <c r="AD297" s="3"/>
    </row>
    <row r="298" spans="4:30" x14ac:dyDescent="0.25">
      <c r="D298" s="2"/>
      <c r="F298" s="2"/>
      <c r="H298" s="3"/>
      <c r="J298" s="3"/>
      <c r="Q298" s="2"/>
      <c r="S298" s="2"/>
      <c r="U298" s="3"/>
      <c r="W298" s="3"/>
      <c r="AC298" s="3"/>
      <c r="AD298" s="3"/>
    </row>
    <row r="299" spans="4:30" x14ac:dyDescent="0.25">
      <c r="D299" s="2"/>
      <c r="F299" s="2"/>
      <c r="H299" s="3"/>
      <c r="J299" s="3"/>
      <c r="Q299" s="2"/>
      <c r="S299" s="2"/>
      <c r="U299" s="3"/>
      <c r="W299" s="3"/>
      <c r="AC299" s="3"/>
      <c r="AD299" s="3"/>
    </row>
    <row r="300" spans="4:30" x14ac:dyDescent="0.25">
      <c r="D300" s="2"/>
      <c r="F300" s="2"/>
      <c r="H300" s="3"/>
      <c r="J300" s="3"/>
      <c r="Q300" s="2"/>
      <c r="S300" s="2"/>
      <c r="U300" s="3"/>
      <c r="W300" s="3"/>
      <c r="AC300" s="3"/>
      <c r="AD300" s="3"/>
    </row>
    <row r="301" spans="4:30" x14ac:dyDescent="0.25">
      <c r="D301" s="2"/>
      <c r="F301" s="2"/>
      <c r="H301" s="3"/>
      <c r="J301" s="3"/>
      <c r="Q301" s="2"/>
      <c r="S301" s="2"/>
      <c r="U301" s="3"/>
      <c r="W301" s="3"/>
      <c r="AC301" s="3"/>
      <c r="AD301" s="3"/>
    </row>
    <row r="302" spans="4:30" x14ac:dyDescent="0.25">
      <c r="D302" s="2"/>
      <c r="F302" s="2"/>
      <c r="H302" s="3"/>
      <c r="J302" s="3"/>
      <c r="Q302" s="2"/>
      <c r="S302" s="2"/>
      <c r="U302" s="3"/>
      <c r="W302" s="3"/>
      <c r="AC302" s="3"/>
      <c r="AD302" s="3"/>
    </row>
    <row r="303" spans="4:30" x14ac:dyDescent="0.25">
      <c r="D303" s="2"/>
      <c r="F303" s="2"/>
      <c r="H303" s="3"/>
      <c r="J303" s="3"/>
      <c r="Q303" s="2"/>
      <c r="S303" s="2"/>
      <c r="U303" s="3"/>
      <c r="W303" s="3"/>
      <c r="AC303" s="3"/>
      <c r="AD303" s="3"/>
    </row>
    <row r="304" spans="4:30" x14ac:dyDescent="0.25">
      <c r="D304" s="2"/>
      <c r="F304" s="2"/>
      <c r="H304" s="3"/>
      <c r="J304" s="3"/>
      <c r="Q304" s="2"/>
      <c r="S304" s="2"/>
      <c r="U304" s="3"/>
      <c r="W304" s="3"/>
      <c r="AC304" s="3"/>
      <c r="AD304" s="3"/>
    </row>
    <row r="305" spans="4:30" x14ac:dyDescent="0.25">
      <c r="D305" s="2"/>
      <c r="F305" s="2"/>
      <c r="H305" s="3"/>
      <c r="J305" s="3"/>
      <c r="Q305" s="2"/>
      <c r="S305" s="2"/>
      <c r="U305" s="3"/>
      <c r="W305" s="3"/>
      <c r="AC305" s="3"/>
      <c r="AD305" s="3"/>
    </row>
    <row r="306" spans="4:30" x14ac:dyDescent="0.25">
      <c r="D306" s="2"/>
      <c r="F306" s="2"/>
      <c r="H306" s="3"/>
      <c r="J306" s="3"/>
      <c r="Q306" s="2"/>
      <c r="S306" s="2"/>
      <c r="U306" s="3"/>
      <c r="W306" s="3"/>
      <c r="AC306" s="3"/>
      <c r="AD306" s="3"/>
    </row>
    <row r="307" spans="4:30" x14ac:dyDescent="0.25">
      <c r="D307" s="2"/>
      <c r="F307" s="2"/>
      <c r="H307" s="3"/>
      <c r="J307" s="3"/>
      <c r="Q307" s="2"/>
      <c r="S307" s="2"/>
      <c r="U307" s="3"/>
      <c r="W307" s="3"/>
      <c r="AC307" s="3"/>
      <c r="AD307" s="3"/>
    </row>
    <row r="308" spans="4:30" x14ac:dyDescent="0.25">
      <c r="D308" s="2"/>
      <c r="F308" s="2"/>
      <c r="H308" s="3"/>
      <c r="J308" s="3"/>
      <c r="Q308" s="2"/>
      <c r="S308" s="2"/>
      <c r="U308" s="3"/>
      <c r="W308" s="3"/>
      <c r="AC308" s="3"/>
      <c r="AD308" s="3"/>
    </row>
    <row r="309" spans="4:30" x14ac:dyDescent="0.25">
      <c r="D309" s="2"/>
      <c r="F309" s="2"/>
      <c r="H309" s="3"/>
      <c r="J309" s="3"/>
      <c r="Q309" s="2"/>
      <c r="S309" s="2"/>
      <c r="U309" s="3"/>
      <c r="W309" s="3"/>
      <c r="AC309" s="3"/>
      <c r="AD309" s="3"/>
    </row>
    <row r="310" spans="4:30" x14ac:dyDescent="0.25">
      <c r="D310" s="2"/>
      <c r="F310" s="2"/>
      <c r="H310" s="3"/>
      <c r="J310" s="3"/>
      <c r="Q310" s="2"/>
      <c r="S310" s="2"/>
      <c r="U310" s="3"/>
      <c r="W310" s="3"/>
      <c r="AC310" s="3"/>
      <c r="AD310" s="3"/>
    </row>
    <row r="311" spans="4:30" x14ac:dyDescent="0.25">
      <c r="D311" s="2"/>
      <c r="F311" s="2"/>
      <c r="H311" s="3"/>
      <c r="J311" s="3"/>
      <c r="Q311" s="2"/>
      <c r="S311" s="2"/>
      <c r="U311" s="3"/>
      <c r="W311" s="3"/>
      <c r="AC311" s="3"/>
      <c r="AD311" s="3"/>
    </row>
    <row r="312" spans="4:30" x14ac:dyDescent="0.25">
      <c r="D312" s="2"/>
      <c r="F312" s="2"/>
      <c r="H312" s="3"/>
      <c r="J312" s="3"/>
      <c r="Q312" s="2"/>
      <c r="S312" s="2"/>
      <c r="U312" s="3"/>
      <c r="W312" s="3"/>
      <c r="AC312" s="3"/>
      <c r="AD312" s="3"/>
    </row>
    <row r="313" spans="4:30" x14ac:dyDescent="0.25">
      <c r="D313" s="2"/>
      <c r="F313" s="2"/>
      <c r="H313" s="3"/>
      <c r="J313" s="3"/>
      <c r="Q313" s="2"/>
      <c r="S313" s="2"/>
      <c r="U313" s="3"/>
      <c r="W313" s="3"/>
      <c r="AC313" s="3"/>
      <c r="AD313" s="3"/>
    </row>
    <row r="314" spans="4:30" x14ac:dyDescent="0.25">
      <c r="D314" s="2"/>
      <c r="F314" s="2"/>
      <c r="H314" s="3"/>
      <c r="J314" s="3"/>
      <c r="Q314" s="2"/>
      <c r="S314" s="2"/>
      <c r="U314" s="3"/>
      <c r="W314" s="3"/>
      <c r="AC314" s="3"/>
      <c r="AD314" s="3"/>
    </row>
    <row r="315" spans="4:30" x14ac:dyDescent="0.25">
      <c r="D315" s="2"/>
      <c r="F315" s="2"/>
      <c r="H315" s="3"/>
      <c r="J315" s="3"/>
      <c r="Q315" s="2"/>
      <c r="S315" s="2"/>
      <c r="U315" s="3"/>
      <c r="W315" s="3"/>
      <c r="AC315" s="3"/>
      <c r="AD315" s="3"/>
    </row>
    <row r="316" spans="4:30" x14ac:dyDescent="0.25">
      <c r="D316" s="2"/>
      <c r="F316" s="2"/>
      <c r="H316" s="3"/>
      <c r="J316" s="3"/>
      <c r="Q316" s="2"/>
      <c r="S316" s="2"/>
      <c r="U316" s="3"/>
      <c r="W316" s="3"/>
      <c r="AC316" s="3"/>
      <c r="AD316" s="3"/>
    </row>
    <row r="317" spans="4:30" x14ac:dyDescent="0.25">
      <c r="D317" s="2"/>
      <c r="F317" s="2"/>
      <c r="H317" s="3"/>
      <c r="J317" s="3"/>
      <c r="Q317" s="2"/>
      <c r="S317" s="2"/>
      <c r="U317" s="3"/>
      <c r="W317" s="3"/>
      <c r="AC317" s="3"/>
      <c r="AD317" s="3"/>
    </row>
    <row r="318" spans="4:30" x14ac:dyDescent="0.25">
      <c r="D318" s="2"/>
      <c r="F318" s="2"/>
      <c r="H318" s="3"/>
      <c r="J318" s="3"/>
      <c r="Q318" s="2"/>
      <c r="S318" s="2"/>
      <c r="U318" s="3"/>
      <c r="W318" s="3"/>
      <c r="AC318" s="3"/>
      <c r="AD318" s="3"/>
    </row>
    <row r="319" spans="4:30" x14ac:dyDescent="0.25">
      <c r="D319" s="2"/>
      <c r="F319" s="2"/>
      <c r="H319" s="3"/>
      <c r="J319" s="3"/>
      <c r="Q319" s="2"/>
      <c r="S319" s="2"/>
      <c r="U319" s="3"/>
      <c r="W319" s="3"/>
      <c r="AC319" s="3"/>
      <c r="AD319" s="3"/>
    </row>
    <row r="320" spans="4:30" x14ac:dyDescent="0.25">
      <c r="D320" s="2"/>
      <c r="F320" s="2"/>
      <c r="H320" s="3"/>
      <c r="J320" s="3"/>
      <c r="Q320" s="2"/>
      <c r="S320" s="2"/>
      <c r="U320" s="3"/>
      <c r="W320" s="3"/>
      <c r="AC320" s="3"/>
      <c r="AD320" s="3"/>
    </row>
    <row r="321" spans="4:30" x14ac:dyDescent="0.25">
      <c r="D321" s="2"/>
      <c r="F321" s="2"/>
      <c r="H321" s="3"/>
      <c r="J321" s="3"/>
      <c r="Q321" s="2"/>
      <c r="S321" s="2"/>
      <c r="U321" s="3"/>
      <c r="W321" s="3"/>
      <c r="AC321" s="3"/>
      <c r="AD321" s="3"/>
    </row>
    <row r="322" spans="4:30" x14ac:dyDescent="0.25">
      <c r="D322" s="2"/>
      <c r="F322" s="2"/>
      <c r="H322" s="3"/>
      <c r="J322" s="3"/>
      <c r="Q322" s="2"/>
      <c r="S322" s="2"/>
      <c r="U322" s="3"/>
      <c r="W322" s="3"/>
      <c r="AC322" s="3"/>
      <c r="AD322" s="3"/>
    </row>
    <row r="323" spans="4:30" x14ac:dyDescent="0.25">
      <c r="D323" s="2"/>
      <c r="F323" s="2"/>
      <c r="H323" s="3"/>
      <c r="J323" s="3"/>
      <c r="Q323" s="2"/>
      <c r="S323" s="2"/>
      <c r="U323" s="3"/>
      <c r="W323" s="3"/>
      <c r="AC323" s="3"/>
      <c r="AD323" s="3"/>
    </row>
    <row r="324" spans="4:30" x14ac:dyDescent="0.25">
      <c r="D324" s="2"/>
      <c r="F324" s="2"/>
      <c r="H324" s="3"/>
      <c r="J324" s="3"/>
      <c r="Q324" s="2"/>
      <c r="S324" s="2"/>
      <c r="U324" s="3"/>
      <c r="W324" s="3"/>
      <c r="AC324" s="3"/>
      <c r="AD324" s="3"/>
    </row>
    <row r="325" spans="4:30" x14ac:dyDescent="0.25">
      <c r="D325" s="2"/>
      <c r="F325" s="2"/>
      <c r="H325" s="3"/>
      <c r="J325" s="3"/>
      <c r="Q325" s="2"/>
      <c r="S325" s="2"/>
      <c r="U325" s="3"/>
      <c r="W325" s="3"/>
      <c r="AC325" s="3"/>
      <c r="AD325" s="3"/>
    </row>
    <row r="326" spans="4:30" x14ac:dyDescent="0.25">
      <c r="D326" s="2"/>
      <c r="F326" s="2"/>
      <c r="H326" s="3"/>
      <c r="J326" s="3"/>
      <c r="Q326" s="2"/>
      <c r="S326" s="2"/>
      <c r="U326" s="3"/>
      <c r="W326" s="3"/>
      <c r="AC326" s="3"/>
      <c r="AD326" s="3"/>
    </row>
    <row r="327" spans="4:30" x14ac:dyDescent="0.25">
      <c r="D327" s="2"/>
      <c r="F327" s="2"/>
      <c r="H327" s="3"/>
      <c r="J327" s="3"/>
      <c r="Q327" s="2"/>
      <c r="S327" s="2"/>
      <c r="U327" s="3"/>
      <c r="W327" s="3"/>
      <c r="AC327" s="3"/>
      <c r="AD327" s="3"/>
    </row>
    <row r="328" spans="4:30" x14ac:dyDescent="0.25">
      <c r="D328" s="2"/>
      <c r="F328" s="2"/>
      <c r="H328" s="3"/>
      <c r="J328" s="3"/>
      <c r="Q328" s="2"/>
      <c r="S328" s="2"/>
      <c r="U328" s="3"/>
      <c r="W328" s="3"/>
      <c r="AC328" s="3"/>
      <c r="AD328" s="3"/>
    </row>
    <row r="329" spans="4:30" x14ac:dyDescent="0.25">
      <c r="D329" s="2"/>
      <c r="F329" s="2"/>
      <c r="H329" s="3"/>
      <c r="J329" s="3"/>
      <c r="Q329" s="2"/>
      <c r="S329" s="2"/>
      <c r="U329" s="3"/>
      <c r="W329" s="3"/>
      <c r="AC329" s="3"/>
      <c r="AD329" s="3"/>
    </row>
    <row r="330" spans="4:30" x14ac:dyDescent="0.25">
      <c r="D330" s="2"/>
      <c r="F330" s="2"/>
      <c r="H330" s="3"/>
      <c r="J330" s="3"/>
      <c r="Q330" s="2"/>
      <c r="S330" s="2"/>
      <c r="U330" s="3"/>
      <c r="W330" s="3"/>
      <c r="AC330" s="3"/>
      <c r="AD330" s="3"/>
    </row>
    <row r="331" spans="4:30" x14ac:dyDescent="0.25">
      <c r="D331" s="2"/>
      <c r="F331" s="2"/>
      <c r="H331" s="3"/>
      <c r="J331" s="3"/>
      <c r="Q331" s="2"/>
      <c r="S331" s="2"/>
      <c r="U331" s="3"/>
      <c r="W331" s="3"/>
      <c r="AC331" s="3"/>
      <c r="AD331" s="3"/>
    </row>
    <row r="332" spans="4:30" x14ac:dyDescent="0.25">
      <c r="D332" s="2"/>
      <c r="F332" s="2"/>
      <c r="H332" s="3"/>
      <c r="J332" s="3"/>
      <c r="Q332" s="2"/>
      <c r="S332" s="2"/>
      <c r="U332" s="3"/>
      <c r="W332" s="3"/>
      <c r="AC332" s="3"/>
      <c r="AD332" s="3"/>
    </row>
    <row r="333" spans="4:30" x14ac:dyDescent="0.25">
      <c r="D333" s="2"/>
      <c r="F333" s="2"/>
      <c r="H333" s="3"/>
      <c r="J333" s="3"/>
      <c r="Q333" s="2"/>
      <c r="S333" s="2"/>
      <c r="U333" s="3"/>
      <c r="W333" s="3"/>
      <c r="AC333" s="3"/>
      <c r="AD333" s="3"/>
    </row>
    <row r="334" spans="4:30" x14ac:dyDescent="0.25">
      <c r="D334" s="2"/>
      <c r="F334" s="2"/>
      <c r="H334" s="3"/>
      <c r="J334" s="3"/>
      <c r="Q334" s="2"/>
      <c r="S334" s="2"/>
      <c r="U334" s="3"/>
      <c r="W334" s="3"/>
      <c r="AC334" s="3"/>
      <c r="AD334" s="3"/>
    </row>
    <row r="335" spans="4:30" x14ac:dyDescent="0.25">
      <c r="D335" s="2"/>
      <c r="F335" s="2"/>
      <c r="H335" s="3"/>
      <c r="J335" s="3"/>
      <c r="Q335" s="2"/>
      <c r="S335" s="2"/>
      <c r="U335" s="3"/>
      <c r="W335" s="3"/>
      <c r="AC335" s="3"/>
      <c r="AD335" s="3"/>
    </row>
    <row r="336" spans="4:30" x14ac:dyDescent="0.25">
      <c r="D336" s="2"/>
      <c r="F336" s="2"/>
      <c r="H336" s="3"/>
      <c r="J336" s="3"/>
      <c r="Q336" s="2"/>
      <c r="S336" s="2"/>
      <c r="U336" s="3"/>
      <c r="W336" s="3"/>
      <c r="AC336" s="3"/>
      <c r="AD336" s="3"/>
    </row>
    <row r="337" spans="4:30" x14ac:dyDescent="0.25">
      <c r="D337" s="2"/>
      <c r="F337" s="2"/>
      <c r="H337" s="3"/>
      <c r="J337" s="3"/>
      <c r="Q337" s="2"/>
      <c r="S337" s="2"/>
      <c r="U337" s="3"/>
      <c r="W337" s="3"/>
      <c r="AC337" s="3"/>
      <c r="AD337" s="3"/>
    </row>
    <row r="338" spans="4:30" x14ac:dyDescent="0.25">
      <c r="D338" s="2"/>
      <c r="F338" s="2"/>
      <c r="H338" s="3"/>
      <c r="J338" s="3"/>
      <c r="Q338" s="2"/>
      <c r="S338" s="2"/>
      <c r="U338" s="3"/>
      <c r="W338" s="3"/>
      <c r="AC338" s="3"/>
      <c r="AD338" s="3"/>
    </row>
    <row r="339" spans="4:30" x14ac:dyDescent="0.25">
      <c r="D339" s="2"/>
      <c r="F339" s="2"/>
      <c r="H339" s="3"/>
      <c r="J339" s="3"/>
      <c r="Q339" s="2"/>
      <c r="S339" s="2"/>
      <c r="U339" s="3"/>
      <c r="W339" s="3"/>
      <c r="AC339" s="3"/>
      <c r="AD339" s="3"/>
    </row>
    <row r="340" spans="4:30" x14ac:dyDescent="0.25">
      <c r="D340" s="2"/>
      <c r="F340" s="2"/>
      <c r="H340" s="3"/>
      <c r="J340" s="3"/>
      <c r="Q340" s="2"/>
      <c r="S340" s="2"/>
      <c r="U340" s="3"/>
      <c r="W340" s="3"/>
      <c r="AC340" s="3"/>
      <c r="AD340" s="3"/>
    </row>
    <row r="341" spans="4:30" x14ac:dyDescent="0.25">
      <c r="D341" s="2"/>
      <c r="F341" s="2"/>
      <c r="H341" s="3"/>
      <c r="J341" s="3"/>
      <c r="Q341" s="2"/>
      <c r="S341" s="2"/>
      <c r="U341" s="3"/>
      <c r="W341" s="3"/>
      <c r="AC341" s="3"/>
      <c r="AD341" s="3"/>
    </row>
    <row r="342" spans="4:30" x14ac:dyDescent="0.25">
      <c r="D342" s="2"/>
      <c r="F342" s="2"/>
      <c r="H342" s="3"/>
      <c r="J342" s="3"/>
      <c r="Q342" s="2"/>
      <c r="S342" s="2"/>
      <c r="U342" s="3"/>
      <c r="W342" s="3"/>
      <c r="AC342" s="3"/>
      <c r="AD342" s="3"/>
    </row>
    <row r="343" spans="4:30" x14ac:dyDescent="0.25">
      <c r="D343" s="2"/>
      <c r="F343" s="2"/>
      <c r="H343" s="3"/>
      <c r="J343" s="3"/>
      <c r="Q343" s="2"/>
      <c r="S343" s="2"/>
      <c r="U343" s="3"/>
      <c r="W343" s="3"/>
      <c r="AC343" s="3"/>
      <c r="AD343" s="3"/>
    </row>
    <row r="344" spans="4:30" x14ac:dyDescent="0.25">
      <c r="D344" s="2"/>
      <c r="F344" s="2"/>
      <c r="H344" s="3"/>
      <c r="J344" s="3"/>
      <c r="Q344" s="2"/>
      <c r="S344" s="2"/>
      <c r="U344" s="3"/>
      <c r="W344" s="3"/>
      <c r="AC344" s="3"/>
      <c r="AD344" s="3"/>
    </row>
    <row r="345" spans="4:30" x14ac:dyDescent="0.25">
      <c r="D345" s="2"/>
      <c r="F345" s="2"/>
      <c r="H345" s="3"/>
      <c r="J345" s="3"/>
      <c r="Q345" s="2"/>
      <c r="S345" s="2"/>
      <c r="U345" s="3"/>
      <c r="W345" s="3"/>
      <c r="AC345" s="3"/>
      <c r="AD345" s="3"/>
    </row>
    <row r="346" spans="4:30" x14ac:dyDescent="0.25">
      <c r="D346" s="2"/>
      <c r="F346" s="2"/>
      <c r="H346" s="3"/>
      <c r="J346" s="3"/>
      <c r="Q346" s="2"/>
      <c r="S346" s="2"/>
      <c r="U346" s="3"/>
      <c r="W346" s="3"/>
      <c r="AC346" s="3"/>
      <c r="AD346" s="3"/>
    </row>
    <row r="347" spans="4:30" x14ac:dyDescent="0.25">
      <c r="D347" s="2"/>
      <c r="F347" s="2"/>
      <c r="H347" s="3"/>
      <c r="J347" s="3"/>
      <c r="Q347" s="2"/>
      <c r="S347" s="2"/>
      <c r="U347" s="3"/>
      <c r="W347" s="3"/>
      <c r="AC347" s="3"/>
      <c r="AD347" s="3"/>
    </row>
    <row r="348" spans="4:30" x14ac:dyDescent="0.25">
      <c r="D348" s="2"/>
      <c r="F348" s="2"/>
      <c r="H348" s="3"/>
      <c r="J348" s="3"/>
      <c r="Q348" s="2"/>
      <c r="S348" s="2"/>
      <c r="U348" s="3"/>
      <c r="W348" s="3"/>
      <c r="AC348" s="3"/>
      <c r="AD348" s="3"/>
    </row>
    <row r="349" spans="4:30" x14ac:dyDescent="0.25">
      <c r="D349" s="2"/>
      <c r="F349" s="2"/>
      <c r="H349" s="3"/>
      <c r="J349" s="3"/>
      <c r="Q349" s="2"/>
      <c r="S349" s="2"/>
      <c r="U349" s="3"/>
      <c r="W349" s="3"/>
      <c r="AC349" s="3"/>
      <c r="AD349" s="3"/>
    </row>
    <row r="350" spans="4:30" x14ac:dyDescent="0.25">
      <c r="D350" s="2"/>
      <c r="F350" s="2"/>
      <c r="H350" s="3"/>
      <c r="J350" s="3"/>
      <c r="Q350" s="2"/>
      <c r="S350" s="2"/>
      <c r="U350" s="3"/>
      <c r="W350" s="3"/>
      <c r="AC350" s="3"/>
      <c r="AD350" s="3"/>
    </row>
    <row r="351" spans="4:30" x14ac:dyDescent="0.25">
      <c r="D351" s="2"/>
      <c r="F351" s="2"/>
      <c r="H351" s="3"/>
      <c r="J351" s="3"/>
      <c r="Q351" s="2"/>
      <c r="S351" s="2"/>
      <c r="U351" s="3"/>
      <c r="W351" s="3"/>
      <c r="AC351" s="3"/>
      <c r="AD351" s="3"/>
    </row>
    <row r="352" spans="4:30" x14ac:dyDescent="0.25">
      <c r="D352" s="2"/>
      <c r="F352" s="2"/>
      <c r="H352" s="3"/>
      <c r="J352" s="3"/>
      <c r="Q352" s="2"/>
      <c r="S352" s="2"/>
      <c r="U352" s="3"/>
      <c r="W352" s="3"/>
      <c r="AC352" s="3"/>
      <c r="AD352" s="3"/>
    </row>
    <row r="353" spans="4:30" x14ac:dyDescent="0.25">
      <c r="D353" s="2"/>
      <c r="F353" s="2"/>
      <c r="H353" s="3"/>
      <c r="J353" s="3"/>
      <c r="Q353" s="2"/>
      <c r="S353" s="2"/>
      <c r="U353" s="3"/>
      <c r="W353" s="3"/>
      <c r="AC353" s="3"/>
      <c r="AD353" s="3"/>
    </row>
    <row r="354" spans="4:30" x14ac:dyDescent="0.25">
      <c r="D354" s="2"/>
      <c r="F354" s="2"/>
      <c r="H354" s="3"/>
      <c r="J354" s="3"/>
      <c r="Q354" s="2"/>
      <c r="S354" s="2"/>
      <c r="U354" s="3"/>
      <c r="W354" s="3"/>
      <c r="AC354" s="3"/>
      <c r="AD354" s="3"/>
    </row>
    <row r="355" spans="4:30" x14ac:dyDescent="0.25">
      <c r="D355" s="2"/>
      <c r="F355" s="2"/>
      <c r="H355" s="3"/>
      <c r="J355" s="3"/>
      <c r="Q355" s="2"/>
      <c r="S355" s="2"/>
      <c r="U355" s="3"/>
      <c r="W355" s="3"/>
      <c r="AC355" s="3"/>
      <c r="AD355" s="3"/>
    </row>
    <row r="356" spans="4:30" x14ac:dyDescent="0.25">
      <c r="D356" s="2"/>
      <c r="F356" s="2"/>
      <c r="H356" s="3"/>
      <c r="J356" s="3"/>
      <c r="Q356" s="2"/>
      <c r="S356" s="2"/>
      <c r="U356" s="3"/>
      <c r="W356" s="3"/>
      <c r="AC356" s="3"/>
      <c r="AD356" s="3"/>
    </row>
    <row r="357" spans="4:30" x14ac:dyDescent="0.25">
      <c r="D357" s="2"/>
      <c r="F357" s="2"/>
      <c r="H357" s="3"/>
      <c r="J357" s="3"/>
      <c r="Q357" s="2"/>
      <c r="S357" s="2"/>
      <c r="U357" s="3"/>
      <c r="W357" s="3"/>
      <c r="AC357" s="3"/>
      <c r="AD357" s="3"/>
    </row>
    <row r="358" spans="4:30" x14ac:dyDescent="0.25">
      <c r="D358" s="2"/>
      <c r="F358" s="2"/>
      <c r="H358" s="3"/>
      <c r="J358" s="3"/>
      <c r="Q358" s="2"/>
      <c r="S358" s="2"/>
      <c r="U358" s="3"/>
      <c r="W358" s="3"/>
      <c r="AC358" s="3"/>
      <c r="AD358" s="3"/>
    </row>
    <row r="359" spans="4:30" x14ac:dyDescent="0.25">
      <c r="D359" s="2"/>
      <c r="F359" s="2"/>
      <c r="H359" s="3"/>
      <c r="J359" s="3"/>
      <c r="Q359" s="2"/>
      <c r="S359" s="2"/>
      <c r="U359" s="3"/>
      <c r="W359" s="3"/>
      <c r="AC359" s="3"/>
      <c r="AD359" s="3"/>
    </row>
    <row r="360" spans="4:30" x14ac:dyDescent="0.25">
      <c r="D360" s="2"/>
      <c r="F360" s="2"/>
      <c r="H360" s="3"/>
      <c r="J360" s="3"/>
      <c r="Q360" s="2"/>
      <c r="S360" s="2"/>
      <c r="U360" s="3"/>
      <c r="W360" s="3"/>
      <c r="AC360" s="3"/>
      <c r="AD360" s="3"/>
    </row>
    <row r="361" spans="4:30" x14ac:dyDescent="0.25">
      <c r="D361" s="2"/>
      <c r="F361" s="2"/>
      <c r="H361" s="3"/>
      <c r="J361" s="3"/>
      <c r="Q361" s="2"/>
      <c r="S361" s="2"/>
      <c r="U361" s="3"/>
      <c r="W361" s="3"/>
      <c r="AC361" s="3"/>
      <c r="AD361" s="3"/>
    </row>
    <row r="362" spans="4:30" x14ac:dyDescent="0.25">
      <c r="D362" s="2"/>
      <c r="F362" s="2"/>
      <c r="H362" s="3"/>
      <c r="J362" s="3"/>
      <c r="Q362" s="2"/>
      <c r="S362" s="2"/>
      <c r="U362" s="3"/>
      <c r="W362" s="3"/>
      <c r="AC362" s="3"/>
      <c r="AD362" s="3"/>
    </row>
    <row r="363" spans="4:30" x14ac:dyDescent="0.25">
      <c r="D363" s="2"/>
      <c r="F363" s="2"/>
      <c r="H363" s="3"/>
      <c r="J363" s="3"/>
      <c r="Q363" s="2"/>
      <c r="S363" s="2"/>
      <c r="U363" s="3"/>
      <c r="W363" s="3"/>
      <c r="AC363" s="3"/>
      <c r="AD363" s="3"/>
    </row>
    <row r="364" spans="4:30" x14ac:dyDescent="0.25">
      <c r="D364" s="2"/>
      <c r="F364" s="2"/>
      <c r="H364" s="3"/>
      <c r="J364" s="3"/>
      <c r="Q364" s="2"/>
      <c r="S364" s="2"/>
      <c r="U364" s="3"/>
      <c r="W364" s="3"/>
      <c r="AC364" s="3"/>
      <c r="AD364" s="3"/>
    </row>
    <row r="365" spans="4:30" x14ac:dyDescent="0.25">
      <c r="D365" s="2"/>
      <c r="F365" s="2"/>
      <c r="H365" s="3"/>
      <c r="J365" s="3"/>
      <c r="Q365" s="2"/>
      <c r="S365" s="2"/>
      <c r="U365" s="3"/>
      <c r="W365" s="3"/>
      <c r="AC365" s="3"/>
      <c r="AD365" s="3"/>
    </row>
    <row r="366" spans="4:30" x14ac:dyDescent="0.25">
      <c r="D366" s="2"/>
      <c r="F366" s="2"/>
      <c r="H366" s="3"/>
      <c r="J366" s="3"/>
      <c r="Q366" s="2"/>
      <c r="S366" s="2"/>
      <c r="U366" s="3"/>
      <c r="W366" s="3"/>
      <c r="AC366" s="3"/>
      <c r="AD366" s="3"/>
    </row>
    <row r="367" spans="4:30" x14ac:dyDescent="0.25">
      <c r="D367" s="2"/>
      <c r="F367" s="2"/>
      <c r="H367" s="3"/>
      <c r="J367" s="3"/>
      <c r="Q367" s="2"/>
      <c r="S367" s="2"/>
      <c r="U367" s="3"/>
      <c r="W367" s="3"/>
      <c r="AC367" s="3"/>
      <c r="AD367" s="3"/>
    </row>
    <row r="368" spans="4:30" x14ac:dyDescent="0.25">
      <c r="D368" s="2"/>
      <c r="F368" s="2"/>
      <c r="H368" s="3"/>
      <c r="J368" s="3"/>
      <c r="Q368" s="2"/>
      <c r="S368" s="2"/>
      <c r="U368" s="3"/>
      <c r="W368" s="3"/>
      <c r="AC368" s="3"/>
      <c r="AD368" s="3"/>
    </row>
    <row r="369" spans="4:30" x14ac:dyDescent="0.25">
      <c r="D369" s="2"/>
      <c r="F369" s="2"/>
      <c r="H369" s="3"/>
      <c r="J369" s="3"/>
      <c r="Q369" s="2"/>
      <c r="S369" s="2"/>
      <c r="U369" s="3"/>
      <c r="W369" s="3"/>
      <c r="AC369" s="3"/>
      <c r="AD369" s="3"/>
    </row>
    <row r="370" spans="4:30" x14ac:dyDescent="0.25">
      <c r="D370" s="2"/>
      <c r="F370" s="2"/>
      <c r="H370" s="3"/>
      <c r="J370" s="3"/>
      <c r="Q370" s="2"/>
      <c r="S370" s="2"/>
      <c r="U370" s="3"/>
      <c r="W370" s="3"/>
      <c r="AC370" s="3"/>
      <c r="AD370" s="3"/>
    </row>
    <row r="371" spans="4:30" x14ac:dyDescent="0.25">
      <c r="D371" s="2"/>
      <c r="F371" s="2"/>
      <c r="H371" s="3"/>
      <c r="J371" s="3"/>
      <c r="Q371" s="2"/>
      <c r="S371" s="2"/>
      <c r="U371" s="3"/>
      <c r="W371" s="3"/>
      <c r="AC371" s="3"/>
      <c r="AD371" s="3"/>
    </row>
    <row r="372" spans="4:30" x14ac:dyDescent="0.25">
      <c r="D372" s="2"/>
      <c r="F372" s="2"/>
      <c r="H372" s="3"/>
      <c r="J372" s="3"/>
      <c r="Q372" s="2"/>
      <c r="S372" s="2"/>
      <c r="U372" s="3"/>
      <c r="W372" s="3"/>
      <c r="AC372" s="3"/>
      <c r="AD372" s="3"/>
    </row>
    <row r="373" spans="4:30" x14ac:dyDescent="0.25">
      <c r="D373" s="2"/>
      <c r="F373" s="2"/>
      <c r="H373" s="3"/>
      <c r="J373" s="3"/>
      <c r="Q373" s="2"/>
      <c r="S373" s="2"/>
      <c r="U373" s="3"/>
      <c r="W373" s="3"/>
      <c r="AC373" s="3"/>
      <c r="AD373" s="3"/>
    </row>
    <row r="374" spans="4:30" x14ac:dyDescent="0.25">
      <c r="D374" s="2"/>
      <c r="F374" s="2"/>
      <c r="H374" s="3"/>
      <c r="J374" s="3"/>
      <c r="Q374" s="2"/>
      <c r="S374" s="2"/>
      <c r="U374" s="3"/>
      <c r="W374" s="3"/>
      <c r="AC374" s="3"/>
      <c r="AD374" s="3"/>
    </row>
    <row r="375" spans="4:30" x14ac:dyDescent="0.25">
      <c r="D375" s="2"/>
      <c r="F375" s="2"/>
      <c r="H375" s="3"/>
      <c r="J375" s="3"/>
      <c r="Q375" s="2"/>
      <c r="S375" s="2"/>
      <c r="U375" s="3"/>
      <c r="W375" s="3"/>
      <c r="AC375" s="3"/>
      <c r="AD375" s="3"/>
    </row>
    <row r="376" spans="4:30" x14ac:dyDescent="0.25">
      <c r="D376" s="2"/>
      <c r="F376" s="2"/>
      <c r="H376" s="3"/>
      <c r="J376" s="3"/>
      <c r="Q376" s="2"/>
      <c r="S376" s="2"/>
      <c r="U376" s="3"/>
      <c r="W376" s="3"/>
      <c r="AC376" s="3"/>
      <c r="AD376" s="3"/>
    </row>
    <row r="377" spans="4:30" x14ac:dyDescent="0.25">
      <c r="D377" s="2"/>
      <c r="F377" s="2"/>
      <c r="H377" s="3"/>
      <c r="J377" s="3"/>
      <c r="Q377" s="2"/>
      <c r="S377" s="2"/>
      <c r="U377" s="3"/>
      <c r="W377" s="3"/>
      <c r="AC377" s="3"/>
      <c r="AD377" s="3"/>
    </row>
    <row r="378" spans="4:30" x14ac:dyDescent="0.25">
      <c r="D378" s="2"/>
      <c r="F378" s="2"/>
      <c r="H378" s="3"/>
      <c r="J378" s="3"/>
      <c r="Q378" s="2"/>
      <c r="S378" s="2"/>
      <c r="U378" s="3"/>
      <c r="W378" s="3"/>
      <c r="AC378" s="3"/>
      <c r="AD378" s="3"/>
    </row>
    <row r="379" spans="4:30" x14ac:dyDescent="0.25">
      <c r="D379" s="2"/>
      <c r="F379" s="2"/>
      <c r="H379" s="3"/>
      <c r="J379" s="3"/>
      <c r="Q379" s="2"/>
      <c r="S379" s="2"/>
      <c r="U379" s="3"/>
      <c r="W379" s="3"/>
      <c r="AC379" s="3"/>
      <c r="AD379" s="3"/>
    </row>
    <row r="380" spans="4:30" x14ac:dyDescent="0.25">
      <c r="D380" s="2"/>
      <c r="F380" s="2"/>
      <c r="H380" s="3"/>
      <c r="J380" s="3"/>
      <c r="Q380" s="2"/>
      <c r="S380" s="2"/>
      <c r="U380" s="3"/>
      <c r="W380" s="3"/>
      <c r="AC380" s="3"/>
      <c r="AD380" s="3"/>
    </row>
  </sheetData>
  <sortState xmlns:xlrd2="http://schemas.microsoft.com/office/spreadsheetml/2017/richdata2" ref="M3:W195">
    <sortCondition ref="P3:P195"/>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23-B9F9-44E4-950C-E3E7E5818B88}">
  <dimension ref="A1:AC61"/>
  <sheetViews>
    <sheetView workbookViewId="0">
      <selection activeCell="N43" sqref="N43"/>
    </sheetView>
  </sheetViews>
  <sheetFormatPr defaultRowHeight="15" x14ac:dyDescent="0.25"/>
  <cols>
    <col min="9" max="9" width="9.28515625" customWidth="1"/>
    <col min="14" max="14" width="9.28515625" customWidth="1"/>
    <col min="28" max="28" width="10.5703125" customWidth="1"/>
  </cols>
  <sheetData>
    <row r="1" spans="1:29" x14ac:dyDescent="0.25">
      <c r="A1" t="s">
        <v>349</v>
      </c>
      <c r="B1" t="s">
        <v>350</v>
      </c>
      <c r="C1" t="s">
        <v>351</v>
      </c>
      <c r="D1" t="s">
        <v>352</v>
      </c>
      <c r="E1" t="s">
        <v>353</v>
      </c>
      <c r="F1" t="s">
        <v>354</v>
      </c>
      <c r="G1" t="s">
        <v>355</v>
      </c>
      <c r="H1" t="s">
        <v>356</v>
      </c>
      <c r="I1" t="s">
        <v>357</v>
      </c>
      <c r="J1" t="s">
        <v>358</v>
      </c>
      <c r="K1" t="s">
        <v>359</v>
      </c>
      <c r="L1" t="s">
        <v>360</v>
      </c>
      <c r="M1" t="s">
        <v>361</v>
      </c>
      <c r="N1" t="s">
        <v>362</v>
      </c>
      <c r="AA1">
        <v>1</v>
      </c>
    </row>
    <row r="2" spans="1:29" x14ac:dyDescent="0.25">
      <c r="A2">
        <v>2000</v>
      </c>
      <c r="B2" s="3">
        <v>-6.0000000000000001E-3</v>
      </c>
      <c r="C2" s="3">
        <v>-8.0000000000000002E-3</v>
      </c>
      <c r="D2" s="3">
        <v>4.8000000000000001E-2</v>
      </c>
      <c r="E2" s="3">
        <v>-1.7999999999999999E-2</v>
      </c>
      <c r="F2" s="3">
        <v>-2.8000000000000001E-2</v>
      </c>
      <c r="G2" s="3">
        <v>3.1E-2</v>
      </c>
      <c r="H2" s="3">
        <v>1.6E-2</v>
      </c>
      <c r="I2" s="3">
        <v>2.3E-2</v>
      </c>
      <c r="J2" s="3">
        <v>-2.4E-2</v>
      </c>
      <c r="K2" s="3">
        <v>3.3000000000000002E-2</v>
      </c>
      <c r="L2" s="3">
        <v>1.2E-2</v>
      </c>
      <c r="M2" s="3">
        <v>1.7999999999999999E-2</v>
      </c>
      <c r="N2" s="3">
        <v>9.7851320402674524E-2</v>
      </c>
      <c r="O2" s="3"/>
      <c r="AB2" s="3"/>
      <c r="AC2" s="11"/>
    </row>
    <row r="3" spans="1:29" x14ac:dyDescent="0.25">
      <c r="A3">
        <v>2001</v>
      </c>
      <c r="B3" s="3">
        <v>3.0000000000000001E-3</v>
      </c>
      <c r="C3" s="3">
        <v>-1.2E-2</v>
      </c>
      <c r="D3" s="3">
        <v>1.4999999999999999E-2</v>
      </c>
      <c r="E3" s="3">
        <v>8.0000000000000002E-3</v>
      </c>
      <c r="F3" s="3">
        <v>2.9000000000000001E-2</v>
      </c>
      <c r="G3" s="3">
        <v>6.2E-2</v>
      </c>
      <c r="H3" s="3">
        <v>2E-3</v>
      </c>
      <c r="I3" s="3">
        <v>4.2999999999999997E-2</v>
      </c>
      <c r="J3" s="3">
        <v>-5.0999999999999997E-2</v>
      </c>
      <c r="K3" s="3">
        <v>0.01</v>
      </c>
      <c r="L3" s="3">
        <v>-5.0000000000000001E-3</v>
      </c>
      <c r="M3" s="3">
        <v>0.01</v>
      </c>
      <c r="N3" s="3">
        <v>0.11534291838800326</v>
      </c>
      <c r="O3" s="3"/>
      <c r="AB3" s="3"/>
      <c r="AC3" s="11"/>
    </row>
    <row r="4" spans="1:29" x14ac:dyDescent="0.25">
      <c r="A4">
        <v>2002</v>
      </c>
      <c r="B4" s="3">
        <v>1.6E-2</v>
      </c>
      <c r="C4" s="3">
        <v>3.3000000000000002E-2</v>
      </c>
      <c r="D4" s="3">
        <v>1.0999999999999999E-2</v>
      </c>
      <c r="E4" s="3">
        <v>2E-3</v>
      </c>
      <c r="F4" s="3">
        <v>0.03</v>
      </c>
      <c r="G4" s="3">
        <v>-7.0000000000000001E-3</v>
      </c>
      <c r="H4" s="3">
        <v>-1.4E-2</v>
      </c>
      <c r="I4" s="3">
        <v>3.5999999999999997E-2</v>
      </c>
      <c r="J4" s="3">
        <v>3.0000000000000001E-3</v>
      </c>
      <c r="K4" s="3">
        <v>0</v>
      </c>
      <c r="L4" s="3">
        <v>5.0000000000000001E-3</v>
      </c>
      <c r="M4" s="3">
        <v>3.2000000000000001E-2</v>
      </c>
      <c r="N4" s="3">
        <v>0.15553403641828178</v>
      </c>
      <c r="O4" s="3"/>
      <c r="AB4" s="3"/>
      <c r="AC4" s="11"/>
    </row>
    <row r="5" spans="1:29" x14ac:dyDescent="0.25">
      <c r="A5">
        <v>2003</v>
      </c>
      <c r="B5" s="3">
        <v>-1E-3</v>
      </c>
      <c r="C5" s="3">
        <v>-8.0000000000000002E-3</v>
      </c>
      <c r="D5" s="3">
        <v>5.8999999999999997E-2</v>
      </c>
      <c r="E5" s="3">
        <v>1.6E-2</v>
      </c>
      <c r="F5" s="3">
        <v>2.9000000000000001E-2</v>
      </c>
      <c r="G5" s="3">
        <v>1.9E-2</v>
      </c>
      <c r="H5" s="3">
        <v>-1.2999999999999999E-2</v>
      </c>
      <c r="I5" s="3">
        <v>-1.0999999999999999E-2</v>
      </c>
      <c r="J5" s="3">
        <v>-7.0000000000000001E-3</v>
      </c>
      <c r="K5" s="3">
        <v>-0.01</v>
      </c>
      <c r="L5" s="3">
        <v>-6.0000000000000001E-3</v>
      </c>
      <c r="M5" s="3">
        <v>1.2E-2</v>
      </c>
      <c r="N5" s="3">
        <v>7.9247798574997308E-2</v>
      </c>
      <c r="O5" s="3"/>
      <c r="AB5" s="3"/>
      <c r="AC5" s="11"/>
    </row>
    <row r="6" spans="1:29" x14ac:dyDescent="0.25">
      <c r="A6">
        <v>2004</v>
      </c>
      <c r="B6" s="3">
        <v>-3.0000000000000001E-3</v>
      </c>
      <c r="C6" s="3">
        <v>8.0000000000000002E-3</v>
      </c>
      <c r="D6" s="3">
        <v>2.5999999999999999E-2</v>
      </c>
      <c r="E6" s="3">
        <v>-1.7000000000000001E-2</v>
      </c>
      <c r="F6" s="3">
        <v>4.9000000000000002E-2</v>
      </c>
      <c r="G6" s="3">
        <v>2.4E-2</v>
      </c>
      <c r="H6" s="3">
        <v>4.7E-2</v>
      </c>
      <c r="I6" s="3">
        <v>2.7E-2</v>
      </c>
      <c r="J6" s="3">
        <v>2.5999999999999999E-2</v>
      </c>
      <c r="K6" s="3">
        <v>8.5999999999999993E-2</v>
      </c>
      <c r="L6" s="3">
        <v>4.4999999999999998E-2</v>
      </c>
      <c r="M6" s="3">
        <v>2.7E-2</v>
      </c>
      <c r="N6" s="3">
        <v>0.39995172240794297</v>
      </c>
      <c r="O6" s="3"/>
      <c r="AB6" s="3"/>
      <c r="AC6" s="11"/>
    </row>
    <row r="7" spans="1:29" x14ac:dyDescent="0.25">
      <c r="A7">
        <v>2005</v>
      </c>
      <c r="B7" s="3">
        <v>5.1999999999999998E-2</v>
      </c>
      <c r="C7" s="3">
        <v>1.4E-2</v>
      </c>
      <c r="D7" s="3">
        <v>2.5999999999999999E-2</v>
      </c>
      <c r="E7" s="3">
        <v>3.0000000000000001E-3</v>
      </c>
      <c r="F7" s="3">
        <v>7.0000000000000001E-3</v>
      </c>
      <c r="G7" s="3">
        <v>0.05</v>
      </c>
      <c r="H7" s="3">
        <v>0.05</v>
      </c>
      <c r="I7" s="3">
        <v>0.03</v>
      </c>
      <c r="J7" s="3">
        <v>3.9E-2</v>
      </c>
      <c r="K7" s="3">
        <v>-0.05</v>
      </c>
      <c r="L7" s="3">
        <v>2.1999999999999999E-2</v>
      </c>
      <c r="M7" s="3">
        <v>5.3999999999999999E-2</v>
      </c>
      <c r="N7" s="3">
        <v>0.33468242433495776</v>
      </c>
      <c r="O7" s="3"/>
      <c r="AB7" s="3"/>
      <c r="AC7" s="11"/>
    </row>
    <row r="8" spans="1:29" x14ac:dyDescent="0.25">
      <c r="A8">
        <v>2006</v>
      </c>
      <c r="B8" s="3">
        <v>0.04</v>
      </c>
      <c r="C8" s="3">
        <v>-1.0999999999999999E-2</v>
      </c>
      <c r="D8" s="3">
        <v>6.0999999999999999E-2</v>
      </c>
      <c r="E8" s="3">
        <v>-1.4999999999999999E-2</v>
      </c>
      <c r="F8" s="3">
        <v>-4.1000000000000002E-2</v>
      </c>
      <c r="G8" s="3">
        <v>1.9E-2</v>
      </c>
      <c r="H8" s="3">
        <v>0</v>
      </c>
      <c r="I8" s="3">
        <v>1.2E-2</v>
      </c>
      <c r="J8" s="3">
        <v>4.2999999999999997E-2</v>
      </c>
      <c r="K8" s="3">
        <v>0.04</v>
      </c>
      <c r="L8" s="3">
        <v>2.5999999999999999E-2</v>
      </c>
      <c r="M8" s="3">
        <v>4.2999999999999997E-2</v>
      </c>
      <c r="N8" s="3">
        <v>0.23396791034442477</v>
      </c>
      <c r="O8" s="3"/>
      <c r="AB8" s="3"/>
      <c r="AC8" s="11"/>
    </row>
    <row r="9" spans="1:29" x14ac:dyDescent="0.25">
      <c r="A9">
        <v>2007</v>
      </c>
      <c r="B9" s="3">
        <v>8.0000000000000002E-3</v>
      </c>
      <c r="C9" s="3">
        <v>0.03</v>
      </c>
      <c r="D9" s="3">
        <v>2.8000000000000001E-2</v>
      </c>
      <c r="E9" s="3">
        <v>4.1000000000000002E-2</v>
      </c>
      <c r="F9" s="3">
        <v>2.7E-2</v>
      </c>
      <c r="G9" s="3">
        <v>3.0000000000000001E-3</v>
      </c>
      <c r="H9" s="3">
        <v>-3.4000000000000002E-2</v>
      </c>
      <c r="I9" s="3">
        <v>-1.2999999999999999E-2</v>
      </c>
      <c r="J9" s="3">
        <v>8.0000000000000002E-3</v>
      </c>
      <c r="K9" s="3">
        <v>-1.2999999999999999E-2</v>
      </c>
      <c r="L9" s="3">
        <v>-0.01</v>
      </c>
      <c r="M9" s="3">
        <v>-8.9999999999999993E-3</v>
      </c>
      <c r="N9" s="3">
        <v>6.5108352858344487E-2</v>
      </c>
      <c r="O9" s="3"/>
      <c r="AB9" s="3"/>
      <c r="AC9" s="11"/>
    </row>
    <row r="10" spans="1:29" x14ac:dyDescent="0.25">
      <c r="A10">
        <v>2008</v>
      </c>
      <c r="B10" s="3">
        <v>-2.1999999999999999E-2</v>
      </c>
      <c r="C10" s="3">
        <v>1E-3</v>
      </c>
      <c r="D10" s="3">
        <v>-2.1999999999999999E-2</v>
      </c>
      <c r="E10" s="3">
        <v>1.7999999999999999E-2</v>
      </c>
      <c r="F10" s="3">
        <v>-2E-3</v>
      </c>
      <c r="G10" s="3">
        <v>-2.7E-2</v>
      </c>
      <c r="H10" s="3">
        <v>-1.6E-2</v>
      </c>
      <c r="I10" s="3">
        <v>2E-3</v>
      </c>
      <c r="J10" s="3">
        <v>-3.0000000000000001E-3</v>
      </c>
      <c r="K10" s="3">
        <v>-2E-3</v>
      </c>
      <c r="L10" s="3">
        <v>0</v>
      </c>
      <c r="M10" s="3">
        <v>0</v>
      </c>
      <c r="N10" s="3">
        <v>-7.1479565039645254E-2</v>
      </c>
      <c r="O10" s="3"/>
      <c r="AB10" s="3"/>
      <c r="AC10" s="11"/>
    </row>
    <row r="11" spans="1:29" x14ac:dyDescent="0.25">
      <c r="A11">
        <v>2009</v>
      </c>
      <c r="B11" s="3">
        <v>0</v>
      </c>
      <c r="C11" s="3">
        <v>0</v>
      </c>
      <c r="D11" s="3">
        <v>0</v>
      </c>
      <c r="E11" s="3">
        <v>2.8000000000000001E-2</v>
      </c>
      <c r="F11" s="3">
        <v>3.3000000000000002E-2</v>
      </c>
      <c r="G11" s="3">
        <v>3.3000000000000002E-2</v>
      </c>
      <c r="H11" s="3">
        <v>0.123</v>
      </c>
      <c r="I11" s="3">
        <v>8.1000000000000003E-2</v>
      </c>
      <c r="J11" s="3">
        <v>5.5E-2</v>
      </c>
      <c r="K11" s="3">
        <v>-1.7999999999999999E-2</v>
      </c>
      <c r="L11" s="3">
        <v>-3.3000000000000002E-2</v>
      </c>
      <c r="M11" s="3">
        <v>7.8E-2</v>
      </c>
      <c r="N11" s="3">
        <v>0.4381639236274788</v>
      </c>
      <c r="O11" s="3"/>
      <c r="AB11" s="3"/>
      <c r="AC11" s="11"/>
    </row>
    <row r="12" spans="1:29" x14ac:dyDescent="0.25">
      <c r="A12">
        <v>2010</v>
      </c>
      <c r="B12" s="3">
        <v>-4.3999999999999997E-2</v>
      </c>
      <c r="C12" s="3">
        <v>1.2999999999999999E-2</v>
      </c>
      <c r="D12" s="3">
        <v>1.9E-2</v>
      </c>
      <c r="E12" s="3">
        <v>1.2E-2</v>
      </c>
      <c r="F12" s="3">
        <v>-7.6999999999999999E-2</v>
      </c>
      <c r="G12" s="3">
        <v>1.4E-2</v>
      </c>
      <c r="H12" s="3">
        <v>2.4E-2</v>
      </c>
      <c r="I12" s="3">
        <v>-5.0000000000000001E-3</v>
      </c>
      <c r="J12" s="3">
        <v>1.4999999999999999E-2</v>
      </c>
      <c r="K12" s="3">
        <v>4.7E-2</v>
      </c>
      <c r="L12" s="3">
        <v>-2.8000000000000001E-2</v>
      </c>
      <c r="M12" s="3">
        <v>3.6999999999999998E-2</v>
      </c>
      <c r="N12" s="3">
        <v>2.0099354610126685E-2</v>
      </c>
      <c r="O12" s="3"/>
      <c r="AB12" s="3"/>
      <c r="AC12" s="11"/>
    </row>
    <row r="13" spans="1:29" x14ac:dyDescent="0.25">
      <c r="A13">
        <v>2011</v>
      </c>
      <c r="B13" s="3">
        <v>2.4E-2</v>
      </c>
      <c r="C13" s="3">
        <v>-1.7000000000000001E-2</v>
      </c>
      <c r="D13" s="3">
        <v>-2.3E-2</v>
      </c>
      <c r="E13" s="3">
        <v>1.7000000000000001E-2</v>
      </c>
      <c r="F13" s="3">
        <v>-1.0999999999999999E-2</v>
      </c>
      <c r="G13" s="3">
        <v>1.6E-2</v>
      </c>
      <c r="H13" s="3">
        <v>-3.3000000000000002E-2</v>
      </c>
      <c r="I13" s="3">
        <v>-4.3999999999999997E-2</v>
      </c>
      <c r="J13" s="3">
        <v>2E-3</v>
      </c>
      <c r="K13" s="3">
        <v>1.9E-2</v>
      </c>
      <c r="L13" s="3">
        <v>-4.9000000000000002E-2</v>
      </c>
      <c r="M13" s="3">
        <v>3.5000000000000003E-2</v>
      </c>
      <c r="N13" s="3">
        <v>-6.6302643373036485E-2</v>
      </c>
      <c r="O13" s="3"/>
      <c r="AB13" s="3"/>
      <c r="AC13" s="11"/>
    </row>
    <row r="14" spans="1:29" x14ac:dyDescent="0.25">
      <c r="A14">
        <v>2012</v>
      </c>
      <c r="B14" s="3">
        <v>8.9999999999999993E-3</v>
      </c>
      <c r="C14" s="3">
        <v>1.0999999999999999E-2</v>
      </c>
      <c r="D14" s="3">
        <v>2.7E-2</v>
      </c>
      <c r="E14" s="3">
        <v>7.0000000000000001E-3</v>
      </c>
      <c r="F14" s="3">
        <v>8.0000000000000002E-3</v>
      </c>
      <c r="G14" s="3">
        <v>2.7E-2</v>
      </c>
      <c r="H14" s="3">
        <v>4.2000000000000003E-2</v>
      </c>
      <c r="I14" s="3">
        <v>1.7999999999999999E-2</v>
      </c>
      <c r="J14" s="3">
        <v>-2E-3</v>
      </c>
      <c r="K14" s="3">
        <v>3.3000000000000002E-2</v>
      </c>
      <c r="L14" s="3">
        <v>8.0000000000000002E-3</v>
      </c>
      <c r="M14" s="3">
        <v>3.9E-2</v>
      </c>
      <c r="N14" s="3">
        <v>0.25082240300337921</v>
      </c>
      <c r="O14" s="3"/>
      <c r="AB14" s="3"/>
      <c r="AC14" s="11"/>
    </row>
    <row r="15" spans="1:29" x14ac:dyDescent="0.25">
      <c r="A15">
        <v>2013</v>
      </c>
      <c r="B15" s="3">
        <v>2.7E-2</v>
      </c>
      <c r="C15" s="3">
        <v>4.4999999999999998E-2</v>
      </c>
      <c r="D15" s="3">
        <v>0</v>
      </c>
      <c r="E15" s="3">
        <v>2.8000000000000001E-2</v>
      </c>
      <c r="F15" s="3">
        <v>-1.2999999999999999E-2</v>
      </c>
      <c r="G15" s="3">
        <v>-1.4999999999999999E-2</v>
      </c>
      <c r="H15" s="3">
        <v>2.8000000000000001E-2</v>
      </c>
      <c r="I15" s="3">
        <v>1E-3</v>
      </c>
      <c r="J15" s="3">
        <v>4.1000000000000002E-2</v>
      </c>
      <c r="K15" s="3">
        <v>2.5999999999999999E-2</v>
      </c>
      <c r="L15" s="3">
        <v>2.7E-2</v>
      </c>
      <c r="M15" s="3">
        <v>1.7000000000000001E-2</v>
      </c>
      <c r="N15" s="3">
        <v>0.23126039708040969</v>
      </c>
      <c r="O15" s="3"/>
      <c r="AB15" s="3"/>
      <c r="AC15" s="11"/>
    </row>
    <row r="16" spans="1:29" x14ac:dyDescent="0.25">
      <c r="A16">
        <v>2014</v>
      </c>
      <c r="B16" s="3">
        <v>-8.9999999999999993E-3</v>
      </c>
      <c r="C16" s="3">
        <v>6.0000000000000001E-3</v>
      </c>
      <c r="D16" s="3">
        <v>-1.4E-2</v>
      </c>
      <c r="E16" s="3">
        <v>1.7000000000000001E-2</v>
      </c>
      <c r="F16" s="3">
        <v>-1.6E-2</v>
      </c>
      <c r="G16" s="3">
        <v>-1.7000000000000001E-2</v>
      </c>
      <c r="H16" s="3">
        <v>8.9999999999999993E-3</v>
      </c>
      <c r="I16" s="3">
        <v>0.03</v>
      </c>
      <c r="J16" s="3">
        <v>-4.1000000000000002E-2</v>
      </c>
      <c r="K16" s="3">
        <v>3.2000000000000001E-2</v>
      </c>
      <c r="L16" s="3">
        <v>-5.0000000000000001E-3</v>
      </c>
      <c r="M16" s="3">
        <v>4.4999999999999998E-2</v>
      </c>
      <c r="N16" s="3">
        <v>3.4151546935663246E-2</v>
      </c>
      <c r="O16" s="3"/>
      <c r="AB16" s="3"/>
      <c r="AC16" s="11"/>
    </row>
    <row r="17" spans="1:29" x14ac:dyDescent="0.25">
      <c r="A17">
        <v>2015</v>
      </c>
      <c r="B17" s="3">
        <v>2.4E-2</v>
      </c>
      <c r="C17" s="3">
        <v>5.6000000000000001E-2</v>
      </c>
      <c r="D17" s="3">
        <v>2.8000000000000001E-2</v>
      </c>
      <c r="E17" s="3">
        <v>1.7999999999999999E-2</v>
      </c>
      <c r="F17" s="3">
        <v>0</v>
      </c>
      <c r="G17" s="3">
        <v>-0.05</v>
      </c>
      <c r="H17" s="3">
        <v>4.4999999999999998E-2</v>
      </c>
      <c r="I17" s="3">
        <v>-4.1000000000000002E-2</v>
      </c>
      <c r="J17" s="3">
        <v>-6.0000000000000001E-3</v>
      </c>
      <c r="K17" s="3">
        <v>3.4000000000000002E-2</v>
      </c>
      <c r="L17" s="3">
        <v>3.0000000000000001E-3</v>
      </c>
      <c r="M17" s="3">
        <v>0.02</v>
      </c>
      <c r="N17" s="3">
        <v>0.13284710288544788</v>
      </c>
      <c r="O17" s="3"/>
      <c r="AB17" s="3"/>
      <c r="AC17" s="11"/>
    </row>
    <row r="18" spans="1:29" x14ac:dyDescent="0.25">
      <c r="A18">
        <v>2016</v>
      </c>
      <c r="B18" s="3">
        <v>-3.0000000000000001E-3</v>
      </c>
      <c r="C18" s="3">
        <v>7.0000000000000001E-3</v>
      </c>
      <c r="D18" s="3">
        <v>2.3E-2</v>
      </c>
      <c r="E18" s="3">
        <v>3.5000000000000003E-2</v>
      </c>
      <c r="F18" s="3">
        <v>4.7E-2</v>
      </c>
      <c r="G18" s="3">
        <v>-2.9000000000000001E-2</v>
      </c>
      <c r="H18" s="3">
        <v>0.114</v>
      </c>
      <c r="I18" s="3">
        <v>-0.02</v>
      </c>
      <c r="J18" s="3">
        <v>-1.4999999999999999E-2</v>
      </c>
      <c r="K18" s="3">
        <v>-5.8000000000000003E-2</v>
      </c>
      <c r="L18" s="3">
        <v>1.4999999999999999E-2</v>
      </c>
      <c r="M18" s="3">
        <v>2.5999999999999999E-2</v>
      </c>
      <c r="N18" s="3">
        <v>0.14003537293414037</v>
      </c>
      <c r="O18" s="3"/>
      <c r="AB18" s="3"/>
      <c r="AC18" s="11"/>
    </row>
    <row r="19" spans="1:29" x14ac:dyDescent="0.25">
      <c r="A19">
        <v>2017</v>
      </c>
      <c r="B19" s="3">
        <v>-4.0000000000000001E-3</v>
      </c>
      <c r="C19" s="3">
        <v>3.4000000000000002E-2</v>
      </c>
      <c r="D19" s="3">
        <v>4.3999999999999997E-2</v>
      </c>
      <c r="E19" s="3">
        <v>2.5999999999999999E-2</v>
      </c>
      <c r="F19" s="3">
        <v>1.7000000000000001E-2</v>
      </c>
      <c r="G19" s="3">
        <v>-8.0000000000000002E-3</v>
      </c>
      <c r="H19" s="3">
        <v>-1.4E-2</v>
      </c>
      <c r="I19" s="3">
        <v>3.9E-2</v>
      </c>
      <c r="J19" s="3">
        <v>-2.3E-2</v>
      </c>
      <c r="K19" s="3">
        <v>3.9E-2</v>
      </c>
      <c r="L19" s="3">
        <v>4.0000000000000001E-3</v>
      </c>
      <c r="M19" s="3">
        <v>-5.0000000000000001E-3</v>
      </c>
      <c r="N19" s="3">
        <v>0.15616476298558202</v>
      </c>
      <c r="O19" s="3"/>
      <c r="AB19" s="3"/>
      <c r="AC19" s="11"/>
    </row>
    <row r="20" spans="1:29" x14ac:dyDescent="0.25">
      <c r="A20">
        <v>2018</v>
      </c>
      <c r="B20" s="3">
        <v>-1.2E-2</v>
      </c>
      <c r="C20" s="3">
        <v>-4.5999999999999999E-2</v>
      </c>
      <c r="D20" s="3">
        <v>6.0000000000000001E-3</v>
      </c>
      <c r="E20" s="3">
        <v>2.1000000000000001E-2</v>
      </c>
      <c r="F20" s="3">
        <v>1.0999999999999999E-2</v>
      </c>
      <c r="G20" s="3">
        <v>4.7E-2</v>
      </c>
      <c r="H20" s="3">
        <v>2E-3</v>
      </c>
      <c r="I20" s="3">
        <v>2.7E-2</v>
      </c>
      <c r="J20" s="3">
        <v>0</v>
      </c>
      <c r="K20" s="3">
        <v>-4.3999999999999997E-2</v>
      </c>
      <c r="L20" s="3">
        <v>2.5000000000000001E-2</v>
      </c>
      <c r="M20" s="3">
        <v>3.1E-2</v>
      </c>
      <c r="N20" s="3">
        <v>6.5382275962836189E-2</v>
      </c>
      <c r="O20" s="3"/>
      <c r="AB20" s="3"/>
      <c r="AC20" s="11"/>
    </row>
    <row r="21" spans="1:29" x14ac:dyDescent="0.25">
      <c r="A21">
        <v>2019</v>
      </c>
      <c r="B21" s="3">
        <v>2.1000000000000001E-2</v>
      </c>
      <c r="C21" s="3">
        <v>6.3E-2</v>
      </c>
      <c r="D21" s="3">
        <v>4.8000000000000001E-2</v>
      </c>
      <c r="E21" s="3">
        <v>1.7000000000000001E-2</v>
      </c>
      <c r="F21" s="3">
        <v>0.01</v>
      </c>
      <c r="G21" s="3">
        <v>6.7000000000000004E-2</v>
      </c>
      <c r="H21" s="3">
        <v>0</v>
      </c>
      <c r="I21" s="3">
        <v>1.7999999999999999E-2</v>
      </c>
      <c r="J21" s="3">
        <v>1.4E-2</v>
      </c>
      <c r="K21" s="3">
        <v>1.4E-2</v>
      </c>
      <c r="L21" s="3">
        <v>1.2E-2</v>
      </c>
      <c r="M21" s="3">
        <v>-1E-3</v>
      </c>
      <c r="N21" s="3">
        <v>0.3191577221843398</v>
      </c>
      <c r="O21" s="3"/>
      <c r="AB21" s="3"/>
      <c r="AC21" s="11"/>
    </row>
    <row r="22" spans="1:29" x14ac:dyDescent="0.25">
      <c r="A22">
        <v>2020</v>
      </c>
      <c r="B22" s="3">
        <v>1.2E-2</v>
      </c>
      <c r="C22" s="3">
        <v>-7.0999999999999994E-2</v>
      </c>
      <c r="D22" s="3">
        <v>-0.109</v>
      </c>
      <c r="E22" s="3">
        <v>0</v>
      </c>
      <c r="F22" s="3">
        <v>0</v>
      </c>
      <c r="G22" s="3">
        <v>-5.0000000000000001E-3</v>
      </c>
      <c r="H22" s="3">
        <v>1.2E-2</v>
      </c>
      <c r="I22" s="3">
        <v>1E-3</v>
      </c>
      <c r="J22" s="3">
        <v>-3.0000000000000001E-3</v>
      </c>
      <c r="K22" s="3">
        <v>-4.4999999999999998E-2</v>
      </c>
      <c r="L22" s="3">
        <v>6.3E-2</v>
      </c>
      <c r="M22" s="3">
        <v>-3.0000000000000001E-3</v>
      </c>
      <c r="N22" s="3">
        <v>-0.14800204178906617</v>
      </c>
      <c r="O22" s="3"/>
      <c r="AB22" s="3"/>
      <c r="AC22" s="11"/>
    </row>
    <row r="23" spans="1:29" x14ac:dyDescent="0.25">
      <c r="A23">
        <v>2021</v>
      </c>
      <c r="B23" s="3">
        <v>1E-3</v>
      </c>
      <c r="C23" s="3">
        <v>-8.0000000000000002E-3</v>
      </c>
      <c r="D23" s="3">
        <v>0.03</v>
      </c>
      <c r="E23" s="3">
        <v>5.0000000000000001E-3</v>
      </c>
      <c r="F23" s="3">
        <v>3.0000000000000001E-3</v>
      </c>
      <c r="G23" s="3">
        <v>3.5999999999999997E-2</v>
      </c>
      <c r="H23" s="3">
        <v>3.1E-2</v>
      </c>
      <c r="I23" s="3">
        <v>4.5999999999999999E-2</v>
      </c>
      <c r="J23" s="3">
        <v>1E-3</v>
      </c>
      <c r="K23" s="3">
        <v>0</v>
      </c>
      <c r="L23" s="3">
        <v>4.0000000000000001E-3</v>
      </c>
      <c r="M23" s="3">
        <v>2.5000000000000001E-2</v>
      </c>
      <c r="N23" s="3">
        <v>0.18656553598073078</v>
      </c>
      <c r="O23" s="3"/>
      <c r="AB23" s="3"/>
      <c r="AC23" s="11"/>
    </row>
    <row r="24" spans="1:29" x14ac:dyDescent="0.25">
      <c r="A24">
        <v>2022</v>
      </c>
      <c r="B24" s="3">
        <v>-4.8000000000000001E-2</v>
      </c>
      <c r="C24" s="3">
        <v>1.7000000000000001E-2</v>
      </c>
      <c r="D24" s="3">
        <v>1.9E-2</v>
      </c>
      <c r="E24" s="3">
        <v>1.9E-2</v>
      </c>
      <c r="F24" s="3">
        <v>-3.6999999999999998E-2</v>
      </c>
      <c r="G24" s="3">
        <v>-7.2999999999999995E-2</v>
      </c>
      <c r="H24" s="3">
        <v>1.9E-2</v>
      </c>
      <c r="I24" s="3">
        <v>5.0000000000000001E-3</v>
      </c>
      <c r="J24" s="3">
        <v>-1.7000000000000001E-2</v>
      </c>
      <c r="K24" s="3">
        <v>2.4E-2</v>
      </c>
      <c r="L24" s="3">
        <v>-1.9E-2</v>
      </c>
      <c r="M24" s="3">
        <v>2.3E-2</v>
      </c>
      <c r="N24" s="3">
        <v>-7.1566821710126627E-2</v>
      </c>
      <c r="O24" s="3"/>
      <c r="AB24" s="3"/>
      <c r="AC24" s="11"/>
    </row>
    <row r="25" spans="1:29" x14ac:dyDescent="0.25">
      <c r="A25">
        <v>2023</v>
      </c>
      <c r="B25" s="3">
        <v>3.2000000000000001E-2</v>
      </c>
      <c r="C25" s="3">
        <v>-3.4000000000000002E-2</v>
      </c>
      <c r="D25" s="3">
        <v>-3.9E-2</v>
      </c>
      <c r="E25" s="3">
        <v>-0.01</v>
      </c>
      <c r="F25" s="3">
        <v>-0.01</v>
      </c>
      <c r="G25" s="3">
        <v>1.6E-2</v>
      </c>
      <c r="H25" s="3">
        <v>5.0000000000000001E-3</v>
      </c>
      <c r="I25" s="3">
        <v>-6.0999999999999999E-2</v>
      </c>
      <c r="J25" s="3">
        <v>8.9999999999999993E-3</v>
      </c>
      <c r="K25" s="3">
        <v>-5.0000000000000001E-3</v>
      </c>
      <c r="L25" s="3">
        <v>1.6E-2</v>
      </c>
      <c r="M25" s="3">
        <v>5.5E-2</v>
      </c>
      <c r="N25" s="3">
        <v>-3.1194987570975496E-2</v>
      </c>
      <c r="O25" s="3"/>
      <c r="AB25" s="3"/>
      <c r="AC25" s="11"/>
    </row>
    <row r="26" spans="1:29" x14ac:dyDescent="0.25">
      <c r="A26">
        <v>2024</v>
      </c>
      <c r="B26" s="3">
        <v>-1.4999999999999999E-2</v>
      </c>
      <c r="C26" s="3">
        <v>2E-3</v>
      </c>
      <c r="D26" s="3">
        <v>2.4E-2</v>
      </c>
      <c r="E26" s="3">
        <v>-3.5000000000000003E-2</v>
      </c>
      <c r="F26" s="3">
        <v>8.9999999999999993E-3</v>
      </c>
      <c r="G26" s="3">
        <v>6.0000000000000001E-3</v>
      </c>
      <c r="H26" s="3">
        <v>1.4E-2</v>
      </c>
      <c r="I26" s="3">
        <v>0</v>
      </c>
      <c r="J26" s="3">
        <v>6.0000000000000001E-3</v>
      </c>
      <c r="K26" s="3">
        <v>2.9000000000000001E-2</v>
      </c>
      <c r="L26" s="3">
        <v>1.2E-2</v>
      </c>
      <c r="M26" s="3">
        <v>1.0999999999999999E-2</v>
      </c>
      <c r="N26" s="3">
        <v>6.3171552403010311E-2</v>
      </c>
      <c r="O26" s="3"/>
      <c r="AB26" s="3"/>
      <c r="AC26" s="11"/>
    </row>
    <row r="27" spans="1:29" x14ac:dyDescent="0.25">
      <c r="A27">
        <v>2025</v>
      </c>
      <c r="B27" s="3">
        <v>2.5000000000000001E-2</v>
      </c>
      <c r="C27" s="3">
        <v>-3.3000000000000002E-2</v>
      </c>
      <c r="D27" s="3">
        <v>-1.0999999999999999E-2</v>
      </c>
      <c r="E27" s="3">
        <v>-8.9999999999999993E-3</v>
      </c>
      <c r="F27" s="3">
        <v>4.2000000000000003E-2</v>
      </c>
      <c r="G27" s="3">
        <v>0.01</v>
      </c>
      <c r="H27" s="3">
        <v>6.0000000000000001E-3</v>
      </c>
      <c r="I27" s="3">
        <v>1.1225588228417349E-2</v>
      </c>
      <c r="J27" s="3">
        <v>-1.492582498143491E-2</v>
      </c>
      <c r="K27" t="s">
        <v>363</v>
      </c>
      <c r="L27" t="s">
        <v>363</v>
      </c>
      <c r="M27" t="s">
        <v>363</v>
      </c>
      <c r="N27" s="3">
        <v>2.4529205901198781E-2</v>
      </c>
      <c r="O27" s="3"/>
      <c r="AB27" s="3"/>
      <c r="AC27" s="11"/>
    </row>
    <row r="28" spans="1:29" x14ac:dyDescent="0.25">
      <c r="A28" t="s">
        <v>364</v>
      </c>
      <c r="B28" s="3">
        <v>4.8846153846153857E-3</v>
      </c>
      <c r="C28" s="3">
        <v>3.5384615384615394E-3</v>
      </c>
      <c r="D28" s="3">
        <v>1.2461538461538467E-2</v>
      </c>
      <c r="E28" s="3">
        <v>9.0000000000000011E-3</v>
      </c>
      <c r="F28" s="3">
        <v>4.4615384615384621E-3</v>
      </c>
      <c r="G28" s="3">
        <v>9.5769230769230766E-3</v>
      </c>
      <c r="H28" s="3">
        <v>1.7884615384615388E-2</v>
      </c>
      <c r="I28" s="3">
        <v>9.8163687780160533E-3</v>
      </c>
      <c r="J28" s="3">
        <v>2.1182375007140412E-3</v>
      </c>
      <c r="K28" s="3">
        <v>8.8400000000000006E-3</v>
      </c>
      <c r="L28" s="3">
        <v>5.7600000000000004E-3</v>
      </c>
      <c r="M28" s="3">
        <v>2.4800000000000003E-2</v>
      </c>
    </row>
    <row r="29" spans="1:29" x14ac:dyDescent="0.25">
      <c r="B29" s="3"/>
      <c r="C29" s="3"/>
      <c r="D29" s="3"/>
      <c r="E29" s="3"/>
      <c r="F29" s="3"/>
      <c r="G29" s="3"/>
      <c r="H29" s="3"/>
      <c r="I29" s="3"/>
      <c r="J29" s="3"/>
      <c r="K29" s="3"/>
      <c r="L29" s="3"/>
      <c r="M29" s="3"/>
      <c r="N29" s="20"/>
    </row>
    <row r="30" spans="1:29" x14ac:dyDescent="0.25">
      <c r="N30"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c r="O32" s="3"/>
    </row>
    <row r="33" spans="2:14" x14ac:dyDescent="0.25">
      <c r="B33" s="3"/>
      <c r="C33" s="3"/>
      <c r="D33" s="3"/>
      <c r="E33" s="3"/>
      <c r="F33" s="3"/>
      <c r="G33" s="3"/>
      <c r="H33" s="3"/>
      <c r="I33" s="3"/>
      <c r="J33" s="3"/>
      <c r="K33" s="3"/>
      <c r="L33" s="3"/>
      <c r="M33" s="3"/>
    </row>
    <row r="35" spans="2:14" x14ac:dyDescent="0.25">
      <c r="B35" s="3"/>
      <c r="C35" s="3"/>
      <c r="D35" s="3"/>
      <c r="E35" s="3"/>
      <c r="F35" s="3"/>
      <c r="G35" s="3"/>
      <c r="H35" s="3"/>
      <c r="I35" s="3"/>
      <c r="J35" s="3"/>
      <c r="K35" s="3"/>
      <c r="L35" s="3"/>
      <c r="M35" s="3"/>
      <c r="N35" s="21"/>
    </row>
    <row r="36" spans="2:14" x14ac:dyDescent="0.25">
      <c r="B36" s="3"/>
      <c r="C36" s="3"/>
      <c r="D36" s="3"/>
      <c r="H36" s="3"/>
      <c r="I36" s="3"/>
      <c r="J36" s="3"/>
      <c r="K36" s="3"/>
      <c r="L36" s="3"/>
      <c r="M36" s="3"/>
      <c r="N36" s="21"/>
    </row>
    <row r="38" spans="2:14" x14ac:dyDescent="0.25">
      <c r="N38" s="11"/>
    </row>
    <row r="39" spans="2:14" x14ac:dyDescent="0.25">
      <c r="N39" s="11"/>
    </row>
    <row r="40" spans="2:14" x14ac:dyDescent="0.25">
      <c r="N40" s="11"/>
    </row>
    <row r="41" spans="2:14" x14ac:dyDescent="0.25">
      <c r="N41" s="11"/>
    </row>
    <row r="42" spans="2:14" x14ac:dyDescent="0.25">
      <c r="N42" s="11"/>
    </row>
    <row r="43" spans="2:14" x14ac:dyDescent="0.25">
      <c r="N43" s="11"/>
    </row>
    <row r="44" spans="2:14" x14ac:dyDescent="0.25">
      <c r="N44" s="11"/>
    </row>
    <row r="45" spans="2:14" x14ac:dyDescent="0.25">
      <c r="N45" s="11"/>
    </row>
    <row r="46" spans="2:14" x14ac:dyDescent="0.25">
      <c r="N46" s="11"/>
    </row>
    <row r="47" spans="2:14" x14ac:dyDescent="0.25">
      <c r="N47" s="11"/>
    </row>
    <row r="48" spans="2:14" x14ac:dyDescent="0.25">
      <c r="N48" s="11"/>
    </row>
    <row r="49" spans="14:14" x14ac:dyDescent="0.25">
      <c r="N49" s="11"/>
    </row>
    <row r="50" spans="14:14" x14ac:dyDescent="0.25">
      <c r="N50" s="11"/>
    </row>
    <row r="51" spans="14:14" x14ac:dyDescent="0.25">
      <c r="N51" s="11"/>
    </row>
    <row r="52" spans="14:14" x14ac:dyDescent="0.25">
      <c r="N52" s="11"/>
    </row>
    <row r="53" spans="14:14" x14ac:dyDescent="0.25">
      <c r="N53" s="11"/>
    </row>
    <row r="54" spans="14:14" x14ac:dyDescent="0.25">
      <c r="N54" s="11"/>
    </row>
    <row r="55" spans="14:14" x14ac:dyDescent="0.25">
      <c r="N55" s="11"/>
    </row>
    <row r="56" spans="14:14" x14ac:dyDescent="0.25">
      <c r="N56" s="11"/>
    </row>
    <row r="57" spans="14:14" x14ac:dyDescent="0.25">
      <c r="N57" s="11"/>
    </row>
    <row r="58" spans="14:14" x14ac:dyDescent="0.25">
      <c r="N58" s="11"/>
    </row>
    <row r="59" spans="14:14" x14ac:dyDescent="0.25">
      <c r="N59" s="11"/>
    </row>
    <row r="60" spans="14:14" x14ac:dyDescent="0.25">
      <c r="N60" s="11"/>
    </row>
    <row r="61" spans="14:14" x14ac:dyDescent="0.25">
      <c r="N61"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C886-7249-450C-AB33-77A8B1914F08}">
  <dimension ref="A1:H1362"/>
  <sheetViews>
    <sheetView topLeftCell="A1340" workbookViewId="0">
      <selection activeCell="H1363" sqref="H1363"/>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6" t="s">
        <v>367</v>
      </c>
      <c r="B1" s="7" t="s">
        <v>335</v>
      </c>
      <c r="C1" s="7" t="s">
        <v>368</v>
      </c>
      <c r="D1" s="7" t="s">
        <v>369</v>
      </c>
      <c r="E1" s="7" t="s">
        <v>370</v>
      </c>
      <c r="F1" s="7" t="s">
        <v>371</v>
      </c>
      <c r="G1" s="7" t="s">
        <v>372</v>
      </c>
      <c r="H1" s="7" t="s">
        <v>423</v>
      </c>
    </row>
    <row r="2" spans="1:8" x14ac:dyDescent="0.25">
      <c r="A2" s="6">
        <v>36532</v>
      </c>
      <c r="B2" s="7">
        <v>3093.7</v>
      </c>
      <c r="C2" s="7">
        <v>3093.7</v>
      </c>
      <c r="D2" s="7">
        <v>2999.3</v>
      </c>
      <c r="E2" s="7">
        <v>3023.4</v>
      </c>
      <c r="F2" s="8">
        <v>711200000</v>
      </c>
      <c r="G2" s="8">
        <v>4204600000</v>
      </c>
      <c r="H2" s="7">
        <v>100000</v>
      </c>
    </row>
    <row r="3" spans="1:8" x14ac:dyDescent="0.25">
      <c r="A3" s="6">
        <v>36539</v>
      </c>
      <c r="B3" s="7">
        <v>3084</v>
      </c>
      <c r="C3" s="7">
        <v>3160.8</v>
      </c>
      <c r="D3" s="7">
        <v>3078.9</v>
      </c>
      <c r="E3" s="7">
        <v>3115.4</v>
      </c>
      <c r="F3" s="8">
        <v>1223300000</v>
      </c>
      <c r="G3" s="8">
        <v>7383500000</v>
      </c>
      <c r="H3">
        <f>H2*(E3/E2)</f>
        <v>103042.93179863731</v>
      </c>
    </row>
    <row r="4" spans="1:8" x14ac:dyDescent="0.25">
      <c r="A4" s="6">
        <v>36546</v>
      </c>
      <c r="B4" s="7">
        <v>3121.5</v>
      </c>
      <c r="C4" s="7">
        <v>3128</v>
      </c>
      <c r="D4" s="7">
        <v>3073.4</v>
      </c>
      <c r="E4" s="7">
        <v>3073.4</v>
      </c>
      <c r="F4" s="8">
        <v>1453200000</v>
      </c>
      <c r="G4" s="8">
        <v>7874400000</v>
      </c>
      <c r="H4">
        <f t="shared" ref="H4:H67" si="0">H3*(E4/E3)</f>
        <v>101653.7672818681</v>
      </c>
    </row>
    <row r="5" spans="1:8" x14ac:dyDescent="0.25">
      <c r="A5" s="6">
        <v>36553</v>
      </c>
      <c r="B5" s="7">
        <v>3069.7</v>
      </c>
      <c r="C5" s="7">
        <v>3069.7</v>
      </c>
      <c r="D5" s="7">
        <v>3048.7</v>
      </c>
      <c r="E5" s="7">
        <v>3064.6</v>
      </c>
      <c r="F5" s="8">
        <v>963500000</v>
      </c>
      <c r="G5" s="8">
        <v>5801700000</v>
      </c>
      <c r="H5">
        <f t="shared" si="0"/>
        <v>101362.70424025931</v>
      </c>
    </row>
    <row r="6" spans="1:8" x14ac:dyDescent="0.25">
      <c r="A6" s="6">
        <v>36560</v>
      </c>
      <c r="B6" s="7">
        <v>3080.2</v>
      </c>
      <c r="C6" s="7">
        <v>3142.4</v>
      </c>
      <c r="D6" s="7">
        <v>3072.3</v>
      </c>
      <c r="E6" s="7">
        <v>3118.7</v>
      </c>
      <c r="F6" s="8">
        <v>1075900000</v>
      </c>
      <c r="G6" s="8">
        <v>6991300000</v>
      </c>
      <c r="H6">
        <f t="shared" si="0"/>
        <v>103152.0804392406</v>
      </c>
    </row>
    <row r="7" spans="1:8" x14ac:dyDescent="0.25">
      <c r="A7" s="6">
        <v>36567</v>
      </c>
      <c r="B7" s="7">
        <v>3136.9</v>
      </c>
      <c r="C7" s="7">
        <v>3192.3</v>
      </c>
      <c r="D7" s="7">
        <v>3134.6</v>
      </c>
      <c r="E7" s="7">
        <v>3167.3</v>
      </c>
      <c r="F7" s="8">
        <v>1358400000</v>
      </c>
      <c r="G7" s="8">
        <v>8087000000</v>
      </c>
      <c r="H7">
        <f t="shared" si="0"/>
        <v>104759.5422372164</v>
      </c>
    </row>
    <row r="8" spans="1:8" x14ac:dyDescent="0.25">
      <c r="A8" s="6">
        <v>36574</v>
      </c>
      <c r="B8" s="7">
        <v>3122.2</v>
      </c>
      <c r="C8" s="7">
        <v>3152.3</v>
      </c>
      <c r="D8" s="7">
        <v>3114.9</v>
      </c>
      <c r="E8" s="7">
        <v>3114.9</v>
      </c>
      <c r="F8" s="8">
        <v>1330600000</v>
      </c>
      <c r="G8" s="8">
        <v>7859800000</v>
      </c>
      <c r="H8">
        <f t="shared" si="0"/>
        <v>103026.39412581864</v>
      </c>
    </row>
    <row r="9" spans="1:8" x14ac:dyDescent="0.25">
      <c r="A9" s="6">
        <v>36581</v>
      </c>
      <c r="B9" s="7">
        <v>3114.9</v>
      </c>
      <c r="C9" s="7">
        <v>3114.9</v>
      </c>
      <c r="D9" s="7">
        <v>3097</v>
      </c>
      <c r="E9" s="7">
        <v>3111.2</v>
      </c>
      <c r="F9" s="8">
        <v>1358800000</v>
      </c>
      <c r="G9" s="8">
        <v>7872300000</v>
      </c>
      <c r="H9">
        <f t="shared" si="0"/>
        <v>102904.0153469604</v>
      </c>
    </row>
    <row r="10" spans="1:8" x14ac:dyDescent="0.25">
      <c r="A10" s="6">
        <v>36588</v>
      </c>
      <c r="B10" s="7">
        <v>3106.7</v>
      </c>
      <c r="C10" s="7">
        <v>3232.6</v>
      </c>
      <c r="D10" s="7">
        <v>3106.7</v>
      </c>
      <c r="E10" s="7">
        <v>3232.6</v>
      </c>
      <c r="F10" s="8">
        <v>1134200000</v>
      </c>
      <c r="G10" s="8">
        <v>6853200000</v>
      </c>
      <c r="H10">
        <f t="shared" si="0"/>
        <v>106919.36230733612</v>
      </c>
    </row>
    <row r="11" spans="1:8" x14ac:dyDescent="0.25">
      <c r="A11" s="6">
        <v>36595</v>
      </c>
      <c r="B11" s="7">
        <v>3214</v>
      </c>
      <c r="C11" s="7">
        <v>3232.5</v>
      </c>
      <c r="D11" s="7">
        <v>3188</v>
      </c>
      <c r="E11" s="7">
        <v>3189.3</v>
      </c>
      <c r="F11" s="8">
        <v>1170400000</v>
      </c>
      <c r="G11" s="8">
        <v>7782600000</v>
      </c>
      <c r="H11">
        <f t="shared" si="0"/>
        <v>105487.19984123835</v>
      </c>
    </row>
    <row r="12" spans="1:8" x14ac:dyDescent="0.25">
      <c r="A12" s="6">
        <v>36602</v>
      </c>
      <c r="B12" s="7">
        <v>3185.9</v>
      </c>
      <c r="C12" s="7">
        <v>3200.4</v>
      </c>
      <c r="D12" s="7">
        <v>3159.7</v>
      </c>
      <c r="E12" s="7">
        <v>3200.4</v>
      </c>
      <c r="F12" s="8">
        <v>1171400000</v>
      </c>
      <c r="G12" s="8">
        <v>6746500000</v>
      </c>
      <c r="H12">
        <f t="shared" si="0"/>
        <v>105854.33617781306</v>
      </c>
    </row>
    <row r="13" spans="1:8" x14ac:dyDescent="0.25">
      <c r="A13" s="6">
        <v>36609</v>
      </c>
      <c r="B13" s="7">
        <v>3237.7</v>
      </c>
      <c r="C13" s="7">
        <v>3276.4</v>
      </c>
      <c r="D13" s="7">
        <v>3237.7</v>
      </c>
      <c r="E13" s="7">
        <v>3251.5</v>
      </c>
      <c r="F13" s="8">
        <v>969600000</v>
      </c>
      <c r="G13" s="8">
        <v>5755800000</v>
      </c>
      <c r="H13">
        <f t="shared" si="0"/>
        <v>107544.48633988225</v>
      </c>
    </row>
    <row r="14" spans="1:8" x14ac:dyDescent="0.25">
      <c r="A14" s="6">
        <v>36616</v>
      </c>
      <c r="B14" s="7">
        <v>3227.9</v>
      </c>
      <c r="C14" s="7">
        <v>3230.2</v>
      </c>
      <c r="D14" s="7">
        <v>3133.3</v>
      </c>
      <c r="E14" s="7">
        <v>3133.3</v>
      </c>
      <c r="F14" s="8">
        <v>1210600000</v>
      </c>
      <c r="G14" s="8">
        <v>7463900000</v>
      </c>
      <c r="H14">
        <f t="shared" si="0"/>
        <v>103634.98048554608</v>
      </c>
    </row>
    <row r="15" spans="1:8" x14ac:dyDescent="0.25">
      <c r="A15" s="6">
        <v>36623</v>
      </c>
      <c r="B15" s="7">
        <v>3133.3</v>
      </c>
      <c r="C15" s="7">
        <v>3201.9</v>
      </c>
      <c r="D15" s="7">
        <v>3133.1</v>
      </c>
      <c r="E15" s="7">
        <v>3182</v>
      </c>
      <c r="F15" s="8">
        <v>1067100000</v>
      </c>
      <c r="G15" s="8">
        <v>6511200000</v>
      </c>
      <c r="H15">
        <f t="shared" si="0"/>
        <v>105245.74981808561</v>
      </c>
    </row>
    <row r="16" spans="1:8" x14ac:dyDescent="0.25">
      <c r="A16" s="6">
        <v>36630</v>
      </c>
      <c r="B16" s="7">
        <v>3182</v>
      </c>
      <c r="C16" s="7">
        <v>3201.8</v>
      </c>
      <c r="D16" s="7">
        <v>3073.7</v>
      </c>
      <c r="E16" s="7">
        <v>3111.8</v>
      </c>
      <c r="F16" s="8">
        <v>977400000</v>
      </c>
      <c r="G16" s="8">
        <v>6452200000</v>
      </c>
      <c r="H16">
        <f t="shared" si="0"/>
        <v>102923.8605543428</v>
      </c>
    </row>
    <row r="17" spans="1:8" x14ac:dyDescent="0.25">
      <c r="A17" s="6">
        <v>36636</v>
      </c>
      <c r="B17" s="7">
        <v>3111.9</v>
      </c>
      <c r="C17" s="7">
        <v>3111.9</v>
      </c>
      <c r="D17" s="7">
        <v>2901.8</v>
      </c>
      <c r="E17" s="7">
        <v>3069.7</v>
      </c>
      <c r="F17" s="8">
        <v>930799900</v>
      </c>
      <c r="G17" s="8">
        <v>5178800000</v>
      </c>
      <c r="H17">
        <f t="shared" si="0"/>
        <v>101531.38850300985</v>
      </c>
    </row>
    <row r="18" spans="1:8" x14ac:dyDescent="0.25">
      <c r="A18" s="6">
        <v>36644</v>
      </c>
      <c r="B18" s="7">
        <v>3069.7</v>
      </c>
      <c r="C18" s="7">
        <v>3127.3</v>
      </c>
      <c r="D18" s="7">
        <v>3069.7</v>
      </c>
      <c r="E18" s="7">
        <v>3115.8</v>
      </c>
      <c r="F18" s="8">
        <v>812200000</v>
      </c>
      <c r="G18" s="8">
        <v>4903900000</v>
      </c>
      <c r="H18">
        <f t="shared" si="0"/>
        <v>103056.16193689224</v>
      </c>
    </row>
    <row r="19" spans="1:8" x14ac:dyDescent="0.25">
      <c r="A19" s="6">
        <v>36651</v>
      </c>
      <c r="B19" s="7">
        <v>3115.8</v>
      </c>
      <c r="C19" s="7">
        <v>3132</v>
      </c>
      <c r="D19" s="7">
        <v>3049.6</v>
      </c>
      <c r="E19" s="7">
        <v>3107.2</v>
      </c>
      <c r="F19" s="8">
        <v>991399900</v>
      </c>
      <c r="G19" s="8">
        <v>5128800000</v>
      </c>
      <c r="H19">
        <f t="shared" si="0"/>
        <v>102771.71396441091</v>
      </c>
    </row>
    <row r="20" spans="1:8" x14ac:dyDescent="0.25">
      <c r="A20" s="6">
        <v>36658</v>
      </c>
      <c r="B20" s="7">
        <v>3107.2</v>
      </c>
      <c r="C20" s="7">
        <v>3124</v>
      </c>
      <c r="D20" s="7">
        <v>2988.3</v>
      </c>
      <c r="E20" s="7">
        <v>3034.8</v>
      </c>
      <c r="F20" s="8">
        <v>1106100000</v>
      </c>
      <c r="G20" s="8">
        <v>5660600000</v>
      </c>
      <c r="H20">
        <f t="shared" si="0"/>
        <v>100377.05894026592</v>
      </c>
    </row>
    <row r="21" spans="1:8" x14ac:dyDescent="0.25">
      <c r="A21" s="6">
        <v>36665</v>
      </c>
      <c r="B21" s="7">
        <v>3034.8</v>
      </c>
      <c r="C21" s="7">
        <v>3091.9</v>
      </c>
      <c r="D21" s="7">
        <v>3033.2</v>
      </c>
      <c r="E21" s="7">
        <v>3039.1</v>
      </c>
      <c r="F21" s="8">
        <v>1137500000</v>
      </c>
      <c r="G21" s="8">
        <v>6054600000</v>
      </c>
      <c r="H21">
        <f t="shared" si="0"/>
        <v>100519.28292650657</v>
      </c>
    </row>
    <row r="22" spans="1:8" x14ac:dyDescent="0.25">
      <c r="A22" s="6">
        <v>36672</v>
      </c>
      <c r="B22" s="7">
        <v>3039.1</v>
      </c>
      <c r="C22" s="7">
        <v>3039.1</v>
      </c>
      <c r="D22" s="7">
        <v>2985.5</v>
      </c>
      <c r="E22" s="7">
        <v>3000.7</v>
      </c>
      <c r="F22" s="8">
        <v>1184000000</v>
      </c>
      <c r="G22" s="8">
        <v>6901000000</v>
      </c>
      <c r="H22">
        <f t="shared" si="0"/>
        <v>99249.18965403187</v>
      </c>
    </row>
    <row r="23" spans="1:8" x14ac:dyDescent="0.25">
      <c r="A23" s="6">
        <v>36679</v>
      </c>
      <c r="B23" s="7">
        <v>3000.7</v>
      </c>
      <c r="C23" s="7">
        <v>3143.9</v>
      </c>
      <c r="D23" s="7">
        <v>2999.2</v>
      </c>
      <c r="E23" s="7">
        <v>3140.9</v>
      </c>
      <c r="F23" s="8">
        <v>1141600000</v>
      </c>
      <c r="G23" s="8">
        <v>7040400000</v>
      </c>
      <c r="H23">
        <f t="shared" si="0"/>
        <v>103886.35311239002</v>
      </c>
    </row>
    <row r="24" spans="1:8" x14ac:dyDescent="0.25">
      <c r="A24" s="6">
        <v>36686</v>
      </c>
      <c r="B24" s="7">
        <v>3140.9</v>
      </c>
      <c r="C24" s="7">
        <v>3170</v>
      </c>
      <c r="D24" s="7">
        <v>3109.6</v>
      </c>
      <c r="E24" s="7">
        <v>3146.5</v>
      </c>
      <c r="F24" s="8">
        <v>1119900000</v>
      </c>
      <c r="G24" s="8">
        <v>6052800000</v>
      </c>
      <c r="H24">
        <f t="shared" si="0"/>
        <v>104071.57504795924</v>
      </c>
    </row>
    <row r="25" spans="1:8" x14ac:dyDescent="0.25">
      <c r="A25" s="6">
        <v>36693</v>
      </c>
      <c r="B25" s="7">
        <v>3146.5</v>
      </c>
      <c r="C25" s="7">
        <v>3147.8</v>
      </c>
      <c r="D25" s="7">
        <v>3103.7</v>
      </c>
      <c r="E25" s="7">
        <v>3140.8</v>
      </c>
      <c r="F25" s="8">
        <v>963100000</v>
      </c>
      <c r="G25" s="8">
        <v>5366500000</v>
      </c>
      <c r="H25">
        <f t="shared" si="0"/>
        <v>103883.04557782628</v>
      </c>
    </row>
    <row r="26" spans="1:8" x14ac:dyDescent="0.25">
      <c r="A26" s="6">
        <v>36700</v>
      </c>
      <c r="B26" s="7">
        <v>3140.8</v>
      </c>
      <c r="C26" s="7">
        <v>3186.2</v>
      </c>
      <c r="D26" s="7">
        <v>3119.8</v>
      </c>
      <c r="E26" s="7">
        <v>3177.1</v>
      </c>
      <c r="F26" s="8">
        <v>1433500000</v>
      </c>
      <c r="G26" s="8">
        <v>7512100000</v>
      </c>
      <c r="H26">
        <f t="shared" si="0"/>
        <v>105083.68062446252</v>
      </c>
    </row>
    <row r="27" spans="1:8" x14ac:dyDescent="0.25">
      <c r="A27" s="6">
        <v>36707</v>
      </c>
      <c r="B27" s="7">
        <v>3177.1</v>
      </c>
      <c r="C27" s="7">
        <v>3313.9</v>
      </c>
      <c r="D27" s="7">
        <v>3162.8</v>
      </c>
      <c r="E27" s="7">
        <v>3311.2</v>
      </c>
      <c r="F27" s="8">
        <v>1921100000</v>
      </c>
      <c r="G27" s="8">
        <v>11101800000</v>
      </c>
      <c r="H27">
        <f t="shared" si="0"/>
        <v>109519.08447443273</v>
      </c>
    </row>
    <row r="28" spans="1:8" x14ac:dyDescent="0.25">
      <c r="A28" s="6">
        <v>36714</v>
      </c>
      <c r="B28" s="7">
        <v>3311.2</v>
      </c>
      <c r="C28" s="7">
        <v>3327.2</v>
      </c>
      <c r="D28" s="7">
        <v>3279.8</v>
      </c>
      <c r="E28" s="7">
        <v>3305.3</v>
      </c>
      <c r="F28" s="8">
        <v>1377700000</v>
      </c>
      <c r="G28" s="8">
        <v>7109200000</v>
      </c>
      <c r="H28">
        <f t="shared" si="0"/>
        <v>109323.93993517231</v>
      </c>
    </row>
    <row r="29" spans="1:8" x14ac:dyDescent="0.25">
      <c r="A29" s="6">
        <v>36721</v>
      </c>
      <c r="B29" s="7">
        <v>3305.3</v>
      </c>
      <c r="C29" s="7">
        <v>3337.4</v>
      </c>
      <c r="D29" s="7">
        <v>3295.6</v>
      </c>
      <c r="E29" s="7">
        <v>3303.5</v>
      </c>
      <c r="F29" s="8">
        <v>1233500000</v>
      </c>
      <c r="G29" s="8">
        <v>6661800000</v>
      </c>
      <c r="H29">
        <f t="shared" si="0"/>
        <v>109264.40431302505</v>
      </c>
    </row>
    <row r="30" spans="1:8" x14ac:dyDescent="0.25">
      <c r="A30" s="6">
        <v>36728</v>
      </c>
      <c r="B30" s="7">
        <v>3303.5</v>
      </c>
      <c r="C30" s="7">
        <v>3335.7</v>
      </c>
      <c r="D30" s="7">
        <v>3283</v>
      </c>
      <c r="E30" s="7">
        <v>3332.3</v>
      </c>
      <c r="F30" s="8">
        <v>1069700000</v>
      </c>
      <c r="G30" s="8">
        <v>5654700000</v>
      </c>
      <c r="H30">
        <f t="shared" si="0"/>
        <v>110216.97426738107</v>
      </c>
    </row>
    <row r="31" spans="1:8" x14ac:dyDescent="0.25">
      <c r="A31" s="6">
        <v>36735</v>
      </c>
      <c r="B31" s="7">
        <v>3332.3</v>
      </c>
      <c r="C31" s="7">
        <v>3332.3</v>
      </c>
      <c r="D31" s="7">
        <v>3248.6</v>
      </c>
      <c r="E31" s="7">
        <v>3255</v>
      </c>
      <c r="F31" s="8">
        <v>1091700000</v>
      </c>
      <c r="G31" s="8">
        <v>6357700000</v>
      </c>
      <c r="H31">
        <f t="shared" si="0"/>
        <v>107660.25004961299</v>
      </c>
    </row>
    <row r="32" spans="1:8" x14ac:dyDescent="0.25">
      <c r="A32" s="6">
        <v>36742</v>
      </c>
      <c r="B32" s="7">
        <v>3255</v>
      </c>
      <c r="C32" s="7">
        <v>3284.2</v>
      </c>
      <c r="D32" s="7">
        <v>3226.9</v>
      </c>
      <c r="E32" s="7">
        <v>3277.2</v>
      </c>
      <c r="F32" s="8">
        <v>1280000000</v>
      </c>
      <c r="G32" s="8">
        <v>6128600000</v>
      </c>
      <c r="H32">
        <f t="shared" si="0"/>
        <v>108394.52272276243</v>
      </c>
    </row>
    <row r="33" spans="1:8" x14ac:dyDescent="0.25">
      <c r="A33" s="6">
        <v>36749</v>
      </c>
      <c r="B33" s="7">
        <v>3277.2</v>
      </c>
      <c r="C33" s="7">
        <v>3317.9</v>
      </c>
      <c r="D33" s="7">
        <v>3276.9</v>
      </c>
      <c r="E33" s="7">
        <v>3309.1</v>
      </c>
      <c r="F33" s="8">
        <v>1068400000</v>
      </c>
      <c r="G33" s="8">
        <v>5899300000</v>
      </c>
      <c r="H33">
        <f t="shared" si="0"/>
        <v>109449.62624859427</v>
      </c>
    </row>
    <row r="34" spans="1:8" x14ac:dyDescent="0.25">
      <c r="A34" s="6">
        <v>36756</v>
      </c>
      <c r="B34" s="7">
        <v>3309.1</v>
      </c>
      <c r="C34" s="7">
        <v>3350.3</v>
      </c>
      <c r="D34" s="7">
        <v>3308</v>
      </c>
      <c r="E34" s="7">
        <v>3344.2</v>
      </c>
      <c r="F34" s="8">
        <v>1086700000</v>
      </c>
      <c r="G34" s="8">
        <v>5554400000</v>
      </c>
      <c r="H34">
        <f t="shared" si="0"/>
        <v>110610.57088046568</v>
      </c>
    </row>
    <row r="35" spans="1:8" x14ac:dyDescent="0.25">
      <c r="A35" s="6">
        <v>36763</v>
      </c>
      <c r="B35" s="7">
        <v>3344.2</v>
      </c>
      <c r="C35" s="7">
        <v>3386.9</v>
      </c>
      <c r="D35" s="7">
        <v>3333.5</v>
      </c>
      <c r="E35" s="7">
        <v>3367.4</v>
      </c>
      <c r="F35" s="8">
        <v>1347200000</v>
      </c>
      <c r="G35" s="8">
        <v>7858000000</v>
      </c>
      <c r="H35">
        <f t="shared" si="0"/>
        <v>111377.91889925247</v>
      </c>
    </row>
    <row r="36" spans="1:8" x14ac:dyDescent="0.25">
      <c r="A36" s="6">
        <v>36770</v>
      </c>
      <c r="B36" s="7">
        <v>3367.4</v>
      </c>
      <c r="C36" s="7">
        <v>3383.3</v>
      </c>
      <c r="D36" s="7">
        <v>3297.5</v>
      </c>
      <c r="E36" s="7">
        <v>3331.7</v>
      </c>
      <c r="F36" s="8">
        <v>1205700000</v>
      </c>
      <c r="G36" s="8">
        <v>6278900000</v>
      </c>
      <c r="H36">
        <f t="shared" si="0"/>
        <v>110197.12905999864</v>
      </c>
    </row>
    <row r="37" spans="1:8" x14ac:dyDescent="0.25">
      <c r="A37" s="6">
        <v>36777</v>
      </c>
      <c r="B37" s="7">
        <v>3331.7</v>
      </c>
      <c r="C37" s="7">
        <v>3356</v>
      </c>
      <c r="D37" s="7">
        <v>3295.4</v>
      </c>
      <c r="E37" s="7">
        <v>3320.3</v>
      </c>
      <c r="F37" s="8">
        <v>1129700000</v>
      </c>
      <c r="G37" s="8">
        <v>5748300000</v>
      </c>
      <c r="H37">
        <f t="shared" si="0"/>
        <v>109820.07011973273</v>
      </c>
    </row>
    <row r="38" spans="1:8" x14ac:dyDescent="0.25">
      <c r="A38" s="6">
        <v>36784</v>
      </c>
      <c r="B38" s="7">
        <v>3320.3</v>
      </c>
      <c r="C38" s="7">
        <v>3356.5</v>
      </c>
      <c r="D38" s="7">
        <v>3296.3</v>
      </c>
      <c r="E38" s="7">
        <v>3329.8</v>
      </c>
      <c r="F38" s="8">
        <v>1171800000</v>
      </c>
      <c r="G38" s="8">
        <v>6968301000</v>
      </c>
      <c r="H38">
        <f t="shared" si="0"/>
        <v>110134.28590328767</v>
      </c>
    </row>
    <row r="39" spans="1:8" x14ac:dyDescent="0.25">
      <c r="A39" s="6">
        <v>36791</v>
      </c>
      <c r="B39" s="7">
        <v>3329.8</v>
      </c>
      <c r="C39" s="7">
        <v>3329.8</v>
      </c>
      <c r="D39" s="7">
        <v>3176.1</v>
      </c>
      <c r="E39" s="7">
        <v>3188.6</v>
      </c>
      <c r="F39" s="8">
        <v>959300000</v>
      </c>
      <c r="G39" s="8">
        <v>5416000000</v>
      </c>
      <c r="H39">
        <f t="shared" si="0"/>
        <v>105464.04709929216</v>
      </c>
    </row>
    <row r="40" spans="1:8" x14ac:dyDescent="0.25">
      <c r="A40" s="6">
        <v>36798</v>
      </c>
      <c r="B40" s="7">
        <v>3188.6</v>
      </c>
      <c r="C40" s="7">
        <v>3302.5</v>
      </c>
      <c r="D40" s="7">
        <v>3186.7</v>
      </c>
      <c r="E40" s="7">
        <v>3298.8</v>
      </c>
      <c r="F40" s="8">
        <v>981000000</v>
      </c>
      <c r="G40" s="8">
        <v>6537700000</v>
      </c>
      <c r="H40">
        <f t="shared" si="0"/>
        <v>109108.95018852944</v>
      </c>
    </row>
    <row r="41" spans="1:8" x14ac:dyDescent="0.25">
      <c r="A41" s="6">
        <v>36805</v>
      </c>
      <c r="B41" s="7">
        <v>3298.8</v>
      </c>
      <c r="C41" s="7">
        <v>3330.7</v>
      </c>
      <c r="D41" s="7">
        <v>3277.9</v>
      </c>
      <c r="E41" s="7">
        <v>3293.5</v>
      </c>
      <c r="F41" s="8">
        <v>994000000</v>
      </c>
      <c r="G41" s="8">
        <v>6123000000</v>
      </c>
      <c r="H41">
        <f t="shared" si="0"/>
        <v>108933.65085665141</v>
      </c>
    </row>
    <row r="42" spans="1:8" x14ac:dyDescent="0.25">
      <c r="A42" s="6">
        <v>36812</v>
      </c>
      <c r="B42" s="7">
        <v>3293.5</v>
      </c>
      <c r="C42" s="7">
        <v>3293.5</v>
      </c>
      <c r="D42" s="7">
        <v>3186</v>
      </c>
      <c r="E42" s="7">
        <v>3201.9</v>
      </c>
      <c r="F42" s="8">
        <v>1331900000</v>
      </c>
      <c r="G42" s="8">
        <v>6580900000</v>
      </c>
      <c r="H42">
        <f t="shared" si="0"/>
        <v>105903.94919626907</v>
      </c>
    </row>
    <row r="43" spans="1:8" x14ac:dyDescent="0.25">
      <c r="A43" s="6">
        <v>36819</v>
      </c>
      <c r="B43" s="7">
        <v>3201.9</v>
      </c>
      <c r="C43" s="7">
        <v>3271.2</v>
      </c>
      <c r="D43" s="7">
        <v>3180.3</v>
      </c>
      <c r="E43" s="7">
        <v>3235.8</v>
      </c>
      <c r="F43" s="8">
        <v>1311100000</v>
      </c>
      <c r="G43" s="8">
        <v>7150000000</v>
      </c>
      <c r="H43">
        <f t="shared" si="0"/>
        <v>107025.20341337564</v>
      </c>
    </row>
    <row r="44" spans="1:8" x14ac:dyDescent="0.25">
      <c r="A44" s="6">
        <v>36826</v>
      </c>
      <c r="B44" s="7">
        <v>3235.8</v>
      </c>
      <c r="C44" s="7">
        <v>3272.8</v>
      </c>
      <c r="D44" s="7">
        <v>3231.2</v>
      </c>
      <c r="E44" s="7">
        <v>3244.7</v>
      </c>
      <c r="F44" s="8">
        <v>1392300000</v>
      </c>
      <c r="G44" s="8">
        <v>7283700000</v>
      </c>
      <c r="H44">
        <f t="shared" si="0"/>
        <v>107319.57398954814</v>
      </c>
    </row>
    <row r="45" spans="1:8" x14ac:dyDescent="0.25">
      <c r="A45" s="6">
        <v>36833</v>
      </c>
      <c r="B45" s="7">
        <v>3244.7</v>
      </c>
      <c r="C45" s="7">
        <v>3327.6</v>
      </c>
      <c r="D45" s="7">
        <v>3244.6</v>
      </c>
      <c r="E45" s="7">
        <v>3321.9</v>
      </c>
      <c r="F45" s="8">
        <v>1178100000</v>
      </c>
      <c r="G45" s="8">
        <v>6120300000</v>
      </c>
      <c r="H45">
        <f t="shared" si="0"/>
        <v>109872.99067275248</v>
      </c>
    </row>
    <row r="46" spans="1:8" x14ac:dyDescent="0.25">
      <c r="A46" s="6">
        <v>36840</v>
      </c>
      <c r="B46" s="7">
        <v>3321.9</v>
      </c>
      <c r="C46" s="7">
        <v>3381.5</v>
      </c>
      <c r="D46" s="7">
        <v>3291.7</v>
      </c>
      <c r="E46" s="7">
        <v>3300.9</v>
      </c>
      <c r="F46" s="8">
        <v>1233100000</v>
      </c>
      <c r="G46" s="8">
        <v>7106100000</v>
      </c>
      <c r="H46">
        <f t="shared" si="0"/>
        <v>109178.40841436788</v>
      </c>
    </row>
    <row r="47" spans="1:8" x14ac:dyDescent="0.25">
      <c r="A47" s="6">
        <v>36847</v>
      </c>
      <c r="B47" s="7">
        <v>3300.9</v>
      </c>
      <c r="C47" s="7">
        <v>3332.2</v>
      </c>
      <c r="D47" s="7">
        <v>3273.4</v>
      </c>
      <c r="E47" s="7">
        <v>3329.1</v>
      </c>
      <c r="F47" s="8">
        <v>1243800000</v>
      </c>
      <c r="G47" s="8">
        <v>7162100000</v>
      </c>
      <c r="H47">
        <f t="shared" si="0"/>
        <v>110111.13316134147</v>
      </c>
    </row>
    <row r="48" spans="1:8" x14ac:dyDescent="0.25">
      <c r="A48" s="6">
        <v>36854</v>
      </c>
      <c r="B48" s="7">
        <v>3329.1</v>
      </c>
      <c r="C48" s="7">
        <v>3331.5</v>
      </c>
      <c r="D48" s="7">
        <v>3265.2</v>
      </c>
      <c r="E48" s="7">
        <v>3280.6</v>
      </c>
      <c r="F48" s="8">
        <v>1140000000</v>
      </c>
      <c r="G48" s="8">
        <v>7135400000</v>
      </c>
      <c r="H48">
        <f t="shared" si="0"/>
        <v>108506.97889792941</v>
      </c>
    </row>
    <row r="49" spans="1:8" x14ac:dyDescent="0.25">
      <c r="A49" s="6">
        <v>36861</v>
      </c>
      <c r="B49" s="7">
        <v>3280.6</v>
      </c>
      <c r="C49" s="7">
        <v>3311.9</v>
      </c>
      <c r="D49" s="7">
        <v>3254</v>
      </c>
      <c r="E49" s="7">
        <v>3284.1</v>
      </c>
      <c r="F49" s="8">
        <v>1154500000</v>
      </c>
      <c r="G49" s="8">
        <v>6772600000</v>
      </c>
      <c r="H49">
        <f t="shared" si="0"/>
        <v>108622.74260766018</v>
      </c>
    </row>
    <row r="50" spans="1:8" x14ac:dyDescent="0.25">
      <c r="A50" s="6">
        <v>36868</v>
      </c>
      <c r="B50" s="7">
        <v>3284.1</v>
      </c>
      <c r="C50" s="7">
        <v>3349</v>
      </c>
      <c r="D50" s="7">
        <v>3278</v>
      </c>
      <c r="E50" s="7">
        <v>3287.6</v>
      </c>
      <c r="F50" s="8">
        <v>1290600000</v>
      </c>
      <c r="G50" s="8">
        <v>6655100000</v>
      </c>
      <c r="H50">
        <f t="shared" si="0"/>
        <v>108738.50631739094</v>
      </c>
    </row>
    <row r="51" spans="1:8" x14ac:dyDescent="0.25">
      <c r="A51" s="6">
        <v>36875</v>
      </c>
      <c r="B51" s="7">
        <v>3287.6</v>
      </c>
      <c r="C51" s="7">
        <v>3321.1</v>
      </c>
      <c r="D51" s="7">
        <v>3222.4</v>
      </c>
      <c r="E51" s="7">
        <v>3229.2</v>
      </c>
      <c r="F51" s="8">
        <v>1281500000</v>
      </c>
      <c r="G51" s="8">
        <v>7243000000</v>
      </c>
      <c r="H51">
        <f t="shared" si="0"/>
        <v>106806.90613216901</v>
      </c>
    </row>
    <row r="52" spans="1:8" x14ac:dyDescent="0.25">
      <c r="A52" s="6">
        <v>36882</v>
      </c>
      <c r="B52" s="7">
        <v>3229.2</v>
      </c>
      <c r="C52" s="7">
        <v>3260</v>
      </c>
      <c r="D52" s="7">
        <v>3171.7</v>
      </c>
      <c r="E52" s="7">
        <v>3196</v>
      </c>
      <c r="F52" s="8">
        <v>1185000000</v>
      </c>
      <c r="G52" s="8">
        <v>7097500000</v>
      </c>
      <c r="H52">
        <f t="shared" si="0"/>
        <v>105708.8046570086</v>
      </c>
    </row>
    <row r="53" spans="1:8" x14ac:dyDescent="0.25">
      <c r="A53" s="6">
        <v>36889</v>
      </c>
      <c r="B53" s="7">
        <v>3196</v>
      </c>
      <c r="C53" s="7">
        <v>3279.8</v>
      </c>
      <c r="D53" s="7">
        <v>3194.9</v>
      </c>
      <c r="E53" s="7">
        <v>3206.2</v>
      </c>
      <c r="F53" s="8">
        <v>481000000</v>
      </c>
      <c r="G53" s="8">
        <v>2611500000</v>
      </c>
      <c r="H53">
        <f t="shared" si="0"/>
        <v>106046.17318250968</v>
      </c>
    </row>
    <row r="54" spans="1:8" x14ac:dyDescent="0.25">
      <c r="A54" s="6">
        <v>36896</v>
      </c>
      <c r="B54" s="7">
        <v>3206.2</v>
      </c>
      <c r="C54" s="7">
        <v>3308.5</v>
      </c>
      <c r="D54" s="7">
        <v>3206.2</v>
      </c>
      <c r="E54" s="7">
        <v>3300.4</v>
      </c>
      <c r="F54" s="8">
        <v>709800000</v>
      </c>
      <c r="G54" s="8">
        <v>4217600000</v>
      </c>
      <c r="H54">
        <f t="shared" si="0"/>
        <v>109161.8707415492</v>
      </c>
    </row>
    <row r="55" spans="1:8" x14ac:dyDescent="0.25">
      <c r="A55" s="6">
        <v>36903</v>
      </c>
      <c r="B55" s="7">
        <v>3300.4</v>
      </c>
      <c r="C55" s="7">
        <v>3300.4</v>
      </c>
      <c r="D55" s="7">
        <v>3222.6</v>
      </c>
      <c r="E55" s="7">
        <v>3243.2</v>
      </c>
      <c r="F55" s="8">
        <v>1262900000</v>
      </c>
      <c r="G55" s="8">
        <v>6631999000</v>
      </c>
      <c r="H55">
        <f t="shared" si="0"/>
        <v>107269.96097109209</v>
      </c>
    </row>
    <row r="56" spans="1:8" x14ac:dyDescent="0.25">
      <c r="A56" s="6">
        <v>36910</v>
      </c>
      <c r="B56" s="7">
        <v>3243.2</v>
      </c>
      <c r="C56" s="7">
        <v>3319.2</v>
      </c>
      <c r="D56" s="7">
        <v>3232.3</v>
      </c>
      <c r="E56" s="7">
        <v>3311.6</v>
      </c>
      <c r="F56" s="8">
        <v>1376700000</v>
      </c>
      <c r="G56" s="8">
        <v>7929100000</v>
      </c>
      <c r="H56">
        <f t="shared" si="0"/>
        <v>109532.31461268765</v>
      </c>
    </row>
    <row r="57" spans="1:8" x14ac:dyDescent="0.25">
      <c r="A57" s="6">
        <v>36916</v>
      </c>
      <c r="B57" s="7">
        <v>3311.6</v>
      </c>
      <c r="C57" s="7">
        <v>3327.4</v>
      </c>
      <c r="D57" s="7">
        <v>3284.6</v>
      </c>
      <c r="E57" s="7">
        <v>3321.4</v>
      </c>
      <c r="F57" s="8">
        <v>997500000</v>
      </c>
      <c r="G57" s="8">
        <v>5341600000</v>
      </c>
      <c r="H57">
        <f t="shared" si="0"/>
        <v>109856.4529999338</v>
      </c>
    </row>
    <row r="58" spans="1:8" x14ac:dyDescent="0.25">
      <c r="A58" s="6">
        <v>36924</v>
      </c>
      <c r="B58" s="7">
        <v>3321.4</v>
      </c>
      <c r="C58" s="7">
        <v>3364.6</v>
      </c>
      <c r="D58" s="7">
        <v>3300.5</v>
      </c>
      <c r="E58" s="7">
        <v>3355.3</v>
      </c>
      <c r="F58" s="8">
        <v>1376200000</v>
      </c>
      <c r="G58" s="8">
        <v>8415900000</v>
      </c>
      <c r="H58">
        <f t="shared" si="0"/>
        <v>110977.70721704037</v>
      </c>
    </row>
    <row r="59" spans="1:8" x14ac:dyDescent="0.25">
      <c r="A59" s="6">
        <v>36931</v>
      </c>
      <c r="B59" s="7">
        <v>3355.3</v>
      </c>
      <c r="C59" s="7">
        <v>3355.3</v>
      </c>
      <c r="D59" s="7">
        <v>3300.2</v>
      </c>
      <c r="E59" s="7">
        <v>3312.4</v>
      </c>
      <c r="F59" s="8">
        <v>1250200000</v>
      </c>
      <c r="G59" s="8">
        <v>7221000000</v>
      </c>
      <c r="H59">
        <f t="shared" si="0"/>
        <v>109558.77488919755</v>
      </c>
    </row>
    <row r="60" spans="1:8" x14ac:dyDescent="0.25">
      <c r="A60" s="6">
        <v>36938</v>
      </c>
      <c r="B60" s="7">
        <v>3312.4</v>
      </c>
      <c r="C60" s="7">
        <v>3354.5</v>
      </c>
      <c r="D60" s="7">
        <v>3300.6</v>
      </c>
      <c r="E60" s="7">
        <v>3320.1</v>
      </c>
      <c r="F60" s="8">
        <v>1283600000</v>
      </c>
      <c r="G60" s="8">
        <v>7971200000</v>
      </c>
      <c r="H60">
        <f t="shared" si="0"/>
        <v>109813.45505060523</v>
      </c>
    </row>
    <row r="61" spans="1:8" x14ac:dyDescent="0.25">
      <c r="A61" s="6">
        <v>36945</v>
      </c>
      <c r="B61" s="7">
        <v>3320.1</v>
      </c>
      <c r="C61" s="7">
        <v>3320.1</v>
      </c>
      <c r="D61" s="7">
        <v>3278.2</v>
      </c>
      <c r="E61" s="7">
        <v>3292</v>
      </c>
      <c r="F61" s="8">
        <v>1318000000</v>
      </c>
      <c r="G61" s="8">
        <v>8216100000</v>
      </c>
      <c r="H61">
        <f t="shared" si="0"/>
        <v>108884.03783819536</v>
      </c>
    </row>
    <row r="62" spans="1:8" x14ac:dyDescent="0.25">
      <c r="A62" s="6">
        <v>36952</v>
      </c>
      <c r="B62" s="7">
        <v>3292</v>
      </c>
      <c r="C62" s="7">
        <v>3351.3</v>
      </c>
      <c r="D62" s="7">
        <v>3283.7</v>
      </c>
      <c r="E62" s="7">
        <v>3333.4</v>
      </c>
      <c r="F62" s="8">
        <v>1342400000</v>
      </c>
      <c r="G62" s="8">
        <v>8046700000</v>
      </c>
      <c r="H62">
        <f t="shared" si="0"/>
        <v>110253.35714758215</v>
      </c>
    </row>
    <row r="63" spans="1:8" x14ac:dyDescent="0.25">
      <c r="A63" s="6">
        <v>36959</v>
      </c>
      <c r="B63" s="7">
        <v>3333.4</v>
      </c>
      <c r="C63" s="7">
        <v>3370.9</v>
      </c>
      <c r="D63" s="7">
        <v>3321.9</v>
      </c>
      <c r="E63" s="7">
        <v>3331.3</v>
      </c>
      <c r="F63" s="8">
        <v>1483200000</v>
      </c>
      <c r="G63" s="8">
        <v>9239999000</v>
      </c>
      <c r="H63">
        <f t="shared" si="0"/>
        <v>110183.89892174369</v>
      </c>
    </row>
    <row r="64" spans="1:8" x14ac:dyDescent="0.25">
      <c r="A64" s="6">
        <v>36966</v>
      </c>
      <c r="B64" s="7">
        <v>3331.3</v>
      </c>
      <c r="C64" s="7">
        <v>3332</v>
      </c>
      <c r="D64" s="7">
        <v>3203.7</v>
      </c>
      <c r="E64" s="7">
        <v>3252.4</v>
      </c>
      <c r="F64" s="8">
        <v>1390900000</v>
      </c>
      <c r="G64" s="8">
        <v>8243201000</v>
      </c>
      <c r="H64">
        <f t="shared" si="0"/>
        <v>107574.25415095584</v>
      </c>
    </row>
    <row r="65" spans="1:8" x14ac:dyDescent="0.25">
      <c r="A65" s="6">
        <v>36973</v>
      </c>
      <c r="B65" s="7">
        <v>3252.4</v>
      </c>
      <c r="C65" s="7">
        <v>3252.4</v>
      </c>
      <c r="D65" s="7">
        <v>3138.2</v>
      </c>
      <c r="E65" s="7">
        <v>3145.3</v>
      </c>
      <c r="F65" s="8">
        <v>1356600000</v>
      </c>
      <c r="G65" s="8">
        <v>9514500000</v>
      </c>
      <c r="H65">
        <f t="shared" si="0"/>
        <v>104031.88463319438</v>
      </c>
    </row>
    <row r="66" spans="1:8" x14ac:dyDescent="0.25">
      <c r="A66" s="6">
        <v>36980</v>
      </c>
      <c r="B66" s="7">
        <v>3145.3</v>
      </c>
      <c r="C66" s="7">
        <v>3194.3</v>
      </c>
      <c r="D66" s="7">
        <v>3143.3</v>
      </c>
      <c r="E66" s="7">
        <v>3147.2</v>
      </c>
      <c r="F66" s="8">
        <v>1985200000</v>
      </c>
      <c r="G66" s="8">
        <v>11134000000</v>
      </c>
      <c r="H66">
        <f t="shared" si="0"/>
        <v>104094.72778990536</v>
      </c>
    </row>
    <row r="67" spans="1:8" x14ac:dyDescent="0.25">
      <c r="A67" s="6">
        <v>36987</v>
      </c>
      <c r="B67" s="7">
        <v>3147.2</v>
      </c>
      <c r="C67" s="7">
        <v>3266</v>
      </c>
      <c r="D67" s="7">
        <v>3147.2</v>
      </c>
      <c r="E67" s="7">
        <v>3233.2</v>
      </c>
      <c r="F67" s="8">
        <v>1722800000</v>
      </c>
      <c r="G67" s="8">
        <v>9424500000</v>
      </c>
      <c r="H67">
        <f t="shared" si="0"/>
        <v>106939.20751471848</v>
      </c>
    </row>
    <row r="68" spans="1:8" x14ac:dyDescent="0.25">
      <c r="A68" s="6">
        <v>36993</v>
      </c>
      <c r="B68" s="7">
        <v>3233.2</v>
      </c>
      <c r="C68" s="7">
        <v>3282.6</v>
      </c>
      <c r="D68" s="7">
        <v>3211.1</v>
      </c>
      <c r="E68" s="7">
        <v>3276.8</v>
      </c>
      <c r="F68" s="8">
        <v>1283100000</v>
      </c>
      <c r="G68" s="8">
        <v>6903699000</v>
      </c>
      <c r="H68">
        <f t="shared" ref="H68:H131" si="1">H67*(E68/E67)</f>
        <v>108381.29258450746</v>
      </c>
    </row>
    <row r="69" spans="1:8" x14ac:dyDescent="0.25">
      <c r="A69" s="6">
        <v>37001</v>
      </c>
      <c r="B69" s="7">
        <v>3276.8</v>
      </c>
      <c r="C69" s="7">
        <v>3333.9</v>
      </c>
      <c r="D69" s="7">
        <v>3257</v>
      </c>
      <c r="E69" s="7">
        <v>3303.5</v>
      </c>
      <c r="F69" s="8">
        <v>1337200000</v>
      </c>
      <c r="G69" s="8">
        <v>7673800000</v>
      </c>
      <c r="H69">
        <f t="shared" si="1"/>
        <v>109264.40431302502</v>
      </c>
    </row>
    <row r="70" spans="1:8" x14ac:dyDescent="0.25">
      <c r="A70" s="6">
        <v>37008</v>
      </c>
      <c r="B70" s="7">
        <v>3303.5</v>
      </c>
      <c r="C70" s="7">
        <v>3313.9</v>
      </c>
      <c r="D70" s="7">
        <v>3286.1</v>
      </c>
      <c r="E70" s="7">
        <v>3293.9</v>
      </c>
      <c r="F70" s="8">
        <v>1255100000</v>
      </c>
      <c r="G70" s="8">
        <v>9059600000</v>
      </c>
      <c r="H70">
        <f t="shared" si="1"/>
        <v>108946.88099490634</v>
      </c>
    </row>
    <row r="71" spans="1:8" x14ac:dyDescent="0.25">
      <c r="A71" s="6">
        <v>37015</v>
      </c>
      <c r="B71" s="7">
        <v>3293.9</v>
      </c>
      <c r="C71" s="7">
        <v>3357.5</v>
      </c>
      <c r="D71" s="7">
        <v>3293.9</v>
      </c>
      <c r="E71" s="7">
        <v>3340.5</v>
      </c>
      <c r="F71" s="8">
        <v>1644600000</v>
      </c>
      <c r="G71" s="8">
        <v>8988101000</v>
      </c>
      <c r="H71">
        <f t="shared" si="1"/>
        <v>110488.1921016074</v>
      </c>
    </row>
    <row r="72" spans="1:8" x14ac:dyDescent="0.25">
      <c r="A72" s="6">
        <v>37022</v>
      </c>
      <c r="B72" s="7">
        <v>3340.5</v>
      </c>
      <c r="C72" s="7">
        <v>3392.4</v>
      </c>
      <c r="D72" s="7">
        <v>3327.8</v>
      </c>
      <c r="E72" s="7">
        <v>3389</v>
      </c>
      <c r="F72" s="8">
        <v>1356600000</v>
      </c>
      <c r="G72" s="8">
        <v>8088900000</v>
      </c>
      <c r="H72">
        <f t="shared" si="1"/>
        <v>112092.34636501946</v>
      </c>
    </row>
    <row r="73" spans="1:8" x14ac:dyDescent="0.25">
      <c r="A73" s="6">
        <v>37029</v>
      </c>
      <c r="B73" s="7">
        <v>3389</v>
      </c>
      <c r="C73" s="7">
        <v>3424.5</v>
      </c>
      <c r="D73" s="7">
        <v>3358.2</v>
      </c>
      <c r="E73" s="7">
        <v>3404.1</v>
      </c>
      <c r="F73" s="8">
        <v>1579100000</v>
      </c>
      <c r="G73" s="8">
        <v>9281601000</v>
      </c>
      <c r="H73">
        <f t="shared" si="1"/>
        <v>112591.78408414363</v>
      </c>
    </row>
    <row r="74" spans="1:8" x14ac:dyDescent="0.25">
      <c r="A74" s="6">
        <v>37036</v>
      </c>
      <c r="B74" s="7">
        <v>3404.1</v>
      </c>
      <c r="C74" s="7">
        <v>3444.7</v>
      </c>
      <c r="D74" s="7">
        <v>3404.1</v>
      </c>
      <c r="E74" s="7">
        <v>3426.1</v>
      </c>
      <c r="F74" s="8">
        <v>1851600000</v>
      </c>
      <c r="G74" s="8">
        <v>11479900000</v>
      </c>
      <c r="H74">
        <f t="shared" si="1"/>
        <v>113319.44168816559</v>
      </c>
    </row>
    <row r="75" spans="1:8" x14ac:dyDescent="0.25">
      <c r="A75" s="6">
        <v>37043</v>
      </c>
      <c r="B75" s="7">
        <v>3426.1</v>
      </c>
      <c r="C75" s="7">
        <v>3429</v>
      </c>
      <c r="D75" s="7">
        <v>3375.1</v>
      </c>
      <c r="E75" s="7">
        <v>3391.5</v>
      </c>
      <c r="F75" s="8">
        <v>1405100000</v>
      </c>
      <c r="G75" s="8">
        <v>7626000000</v>
      </c>
      <c r="H75">
        <f t="shared" si="1"/>
        <v>112175.03472911287</v>
      </c>
    </row>
    <row r="76" spans="1:8" x14ac:dyDescent="0.25">
      <c r="A76" s="6">
        <v>37050</v>
      </c>
      <c r="B76" s="7">
        <v>3391.5</v>
      </c>
      <c r="C76" s="7">
        <v>3442.1</v>
      </c>
      <c r="D76" s="7">
        <v>3388.2</v>
      </c>
      <c r="E76" s="7">
        <v>3434.4</v>
      </c>
      <c r="F76" s="8">
        <v>1701500000</v>
      </c>
      <c r="G76" s="8">
        <v>10013100000</v>
      </c>
      <c r="H76">
        <f t="shared" si="1"/>
        <v>113593.96705695571</v>
      </c>
    </row>
    <row r="77" spans="1:8" x14ac:dyDescent="0.25">
      <c r="A77" s="6">
        <v>37057</v>
      </c>
      <c r="B77" s="7">
        <v>3434.4</v>
      </c>
      <c r="C77" s="7">
        <v>3434.6</v>
      </c>
      <c r="D77" s="7">
        <v>3378.9</v>
      </c>
      <c r="E77" s="7">
        <v>3415.7</v>
      </c>
      <c r="F77" s="8">
        <v>1780600000</v>
      </c>
      <c r="G77" s="8">
        <v>10865100000</v>
      </c>
      <c r="H77">
        <f t="shared" si="1"/>
        <v>112975.45809353703</v>
      </c>
    </row>
    <row r="78" spans="1:8" x14ac:dyDescent="0.25">
      <c r="A78" s="6">
        <v>37064</v>
      </c>
      <c r="B78" s="7">
        <v>3415.7</v>
      </c>
      <c r="C78" s="7">
        <v>3434.2</v>
      </c>
      <c r="D78" s="7">
        <v>3383.6</v>
      </c>
      <c r="E78" s="7">
        <v>3428.3</v>
      </c>
      <c r="F78" s="8">
        <v>1751100000</v>
      </c>
      <c r="G78" s="8">
        <v>8860900000</v>
      </c>
      <c r="H78">
        <f t="shared" si="1"/>
        <v>113392.2074485678</v>
      </c>
    </row>
    <row r="79" spans="1:8" x14ac:dyDescent="0.25">
      <c r="A79" s="6">
        <v>37071</v>
      </c>
      <c r="B79" s="7">
        <v>3428.3</v>
      </c>
      <c r="C79" s="7">
        <v>3490.3</v>
      </c>
      <c r="D79" s="7">
        <v>3408.4</v>
      </c>
      <c r="E79" s="7">
        <v>3490.3</v>
      </c>
      <c r="F79" s="8">
        <v>2163400000</v>
      </c>
      <c r="G79" s="8">
        <v>12532300000</v>
      </c>
      <c r="H79">
        <f t="shared" si="1"/>
        <v>115442.87887808424</v>
      </c>
    </row>
    <row r="80" spans="1:8" x14ac:dyDescent="0.25">
      <c r="A80" s="6">
        <v>37078</v>
      </c>
      <c r="B80" s="7">
        <v>3490.3</v>
      </c>
      <c r="C80" s="7">
        <v>3490.3</v>
      </c>
      <c r="D80" s="7">
        <v>3344.8</v>
      </c>
      <c r="E80" s="7">
        <v>3353.9</v>
      </c>
      <c r="F80" s="8">
        <v>1704100000</v>
      </c>
      <c r="G80" s="8">
        <v>9602801000</v>
      </c>
      <c r="H80">
        <f t="shared" si="1"/>
        <v>110931.40173314809</v>
      </c>
    </row>
    <row r="81" spans="1:8" x14ac:dyDescent="0.25">
      <c r="A81" s="6">
        <v>37085</v>
      </c>
      <c r="B81" s="7">
        <v>3353.9</v>
      </c>
      <c r="C81" s="7">
        <v>3410.5</v>
      </c>
      <c r="D81" s="7">
        <v>3316.2</v>
      </c>
      <c r="E81" s="7">
        <v>3396.5</v>
      </c>
      <c r="F81" s="8">
        <v>1656600000</v>
      </c>
      <c r="G81" s="8">
        <v>8762101000</v>
      </c>
      <c r="H81">
        <f t="shared" si="1"/>
        <v>112340.41145729971</v>
      </c>
    </row>
    <row r="82" spans="1:8" x14ac:dyDescent="0.25">
      <c r="A82" s="6">
        <v>37092</v>
      </c>
      <c r="B82" s="7">
        <v>3396.5</v>
      </c>
      <c r="C82" s="7">
        <v>3423.5</v>
      </c>
      <c r="D82" s="7">
        <v>3380.5</v>
      </c>
      <c r="E82" s="7">
        <v>3380.7</v>
      </c>
      <c r="F82" s="8">
        <v>1798000000</v>
      </c>
      <c r="G82" s="8">
        <v>8186200000</v>
      </c>
      <c r="H82">
        <f t="shared" si="1"/>
        <v>111817.82099622939</v>
      </c>
    </row>
    <row r="83" spans="1:8" x14ac:dyDescent="0.25">
      <c r="A83" s="6">
        <v>37099</v>
      </c>
      <c r="B83" s="7">
        <v>3384.2</v>
      </c>
      <c r="C83" s="7">
        <v>3389.6</v>
      </c>
      <c r="D83" s="7">
        <v>3282.7</v>
      </c>
      <c r="E83" s="7">
        <v>3292.1</v>
      </c>
      <c r="F83" s="8">
        <v>1606300000</v>
      </c>
      <c r="G83" s="8">
        <v>9934099000</v>
      </c>
      <c r="H83">
        <f t="shared" si="1"/>
        <v>108887.34537275914</v>
      </c>
    </row>
    <row r="84" spans="1:8" x14ac:dyDescent="0.25">
      <c r="A84" s="6">
        <v>37106</v>
      </c>
      <c r="B84" s="7">
        <v>3292</v>
      </c>
      <c r="C84" s="7">
        <v>3419.3</v>
      </c>
      <c r="D84" s="7">
        <v>3290</v>
      </c>
      <c r="E84" s="7">
        <v>3405.1</v>
      </c>
      <c r="F84" s="8">
        <v>1431500000</v>
      </c>
      <c r="G84" s="8">
        <v>8461600000</v>
      </c>
      <c r="H84">
        <f t="shared" si="1"/>
        <v>112624.85942978103</v>
      </c>
    </row>
    <row r="85" spans="1:8" x14ac:dyDescent="0.25">
      <c r="A85" s="6">
        <v>37113</v>
      </c>
      <c r="B85" s="7">
        <v>3405.4</v>
      </c>
      <c r="C85" s="7">
        <v>3424.9</v>
      </c>
      <c r="D85" s="7">
        <v>3381.2</v>
      </c>
      <c r="E85" s="7">
        <v>3401.3</v>
      </c>
      <c r="F85" s="8">
        <v>1314900000</v>
      </c>
      <c r="G85" s="8">
        <v>7229800000</v>
      </c>
      <c r="H85">
        <f t="shared" si="1"/>
        <v>112499.17311635907</v>
      </c>
    </row>
    <row r="86" spans="1:8" x14ac:dyDescent="0.25">
      <c r="A86" s="6">
        <v>37120</v>
      </c>
      <c r="B86" s="7">
        <v>3401.3</v>
      </c>
      <c r="C86" s="7">
        <v>3406.9</v>
      </c>
      <c r="D86" s="7">
        <v>3325.5</v>
      </c>
      <c r="E86" s="7">
        <v>3330.4</v>
      </c>
      <c r="F86" s="8">
        <v>1462100000</v>
      </c>
      <c r="G86" s="8">
        <v>8099900000</v>
      </c>
      <c r="H86">
        <f t="shared" si="1"/>
        <v>110154.13111067012</v>
      </c>
    </row>
    <row r="87" spans="1:8" x14ac:dyDescent="0.25">
      <c r="A87" s="6">
        <v>37127</v>
      </c>
      <c r="B87" s="7">
        <v>3330.4</v>
      </c>
      <c r="C87" s="7">
        <v>3351.1</v>
      </c>
      <c r="D87" s="7">
        <v>3280.8</v>
      </c>
      <c r="E87" s="7">
        <v>3348</v>
      </c>
      <c r="F87" s="8">
        <v>1499000000</v>
      </c>
      <c r="G87" s="8">
        <v>8006000000</v>
      </c>
      <c r="H87">
        <f t="shared" si="1"/>
        <v>110736.25719388768</v>
      </c>
    </row>
    <row r="88" spans="1:8" x14ac:dyDescent="0.25">
      <c r="A88" s="6">
        <v>37134</v>
      </c>
      <c r="B88" s="7">
        <v>3348</v>
      </c>
      <c r="C88" s="7">
        <v>3381.4</v>
      </c>
      <c r="D88" s="7">
        <v>3275.4</v>
      </c>
      <c r="E88" s="7">
        <v>3275.7</v>
      </c>
      <c r="F88" s="8">
        <v>1837300000</v>
      </c>
      <c r="G88" s="8">
        <v>10219800000</v>
      </c>
      <c r="H88">
        <f t="shared" si="1"/>
        <v>108344.90970430641</v>
      </c>
    </row>
    <row r="89" spans="1:8" x14ac:dyDescent="0.25">
      <c r="A89" s="6">
        <v>37141</v>
      </c>
      <c r="B89" s="7">
        <v>3275.6</v>
      </c>
      <c r="C89" s="7">
        <v>3295.1</v>
      </c>
      <c r="D89" s="7">
        <v>3219.9</v>
      </c>
      <c r="E89" s="7">
        <v>3234.5</v>
      </c>
      <c r="F89" s="8">
        <v>1751800000</v>
      </c>
      <c r="G89" s="8">
        <v>10443400000</v>
      </c>
      <c r="H89">
        <f t="shared" si="1"/>
        <v>106982.2054640471</v>
      </c>
    </row>
    <row r="90" spans="1:8" x14ac:dyDescent="0.25">
      <c r="A90" s="6">
        <v>37148</v>
      </c>
      <c r="B90" s="7">
        <v>3234.3</v>
      </c>
      <c r="C90" s="7">
        <v>3256.6</v>
      </c>
      <c r="D90" s="7">
        <v>3073.6</v>
      </c>
      <c r="E90" s="7">
        <v>3101</v>
      </c>
      <c r="F90" s="8">
        <v>1663900000</v>
      </c>
      <c r="G90" s="8">
        <v>8270700000</v>
      </c>
      <c r="H90">
        <f t="shared" si="1"/>
        <v>102566.64682145929</v>
      </c>
    </row>
    <row r="91" spans="1:8" x14ac:dyDescent="0.25">
      <c r="A91" s="6">
        <v>37155</v>
      </c>
      <c r="B91" s="7">
        <v>3100.8</v>
      </c>
      <c r="C91" s="7">
        <v>3100.8</v>
      </c>
      <c r="D91" s="7">
        <v>2896.8</v>
      </c>
      <c r="E91" s="7">
        <v>2942.1</v>
      </c>
      <c r="F91" s="8">
        <v>2177800000</v>
      </c>
      <c r="G91" s="8">
        <v>12113200000</v>
      </c>
      <c r="H91">
        <f t="shared" si="1"/>
        <v>97310.974399682484</v>
      </c>
    </row>
    <row r="92" spans="1:8" x14ac:dyDescent="0.25">
      <c r="A92" s="6">
        <v>37162</v>
      </c>
      <c r="B92" s="7">
        <v>2941.9</v>
      </c>
      <c r="C92" s="7">
        <v>3062.9</v>
      </c>
      <c r="D92" s="7">
        <v>2882.6</v>
      </c>
      <c r="E92" s="7">
        <v>3049.4</v>
      </c>
      <c r="F92" s="8">
        <v>2023600000</v>
      </c>
      <c r="G92" s="8">
        <v>11588100000</v>
      </c>
      <c r="H92">
        <f t="shared" si="1"/>
        <v>100859.95898657142</v>
      </c>
    </row>
    <row r="93" spans="1:8" x14ac:dyDescent="0.25">
      <c r="A93" s="6">
        <v>37169</v>
      </c>
      <c r="B93" s="7">
        <v>3049.5</v>
      </c>
      <c r="C93" s="7">
        <v>3179.9</v>
      </c>
      <c r="D93" s="7">
        <v>3049.5</v>
      </c>
      <c r="E93" s="7">
        <v>3179.4</v>
      </c>
      <c r="F93" s="8">
        <v>1425800000</v>
      </c>
      <c r="G93" s="8">
        <v>7697200000</v>
      </c>
      <c r="H93">
        <f t="shared" si="1"/>
        <v>105159.75391942848</v>
      </c>
    </row>
    <row r="94" spans="1:8" x14ac:dyDescent="0.25">
      <c r="A94" s="6">
        <v>37176</v>
      </c>
      <c r="B94" s="7">
        <v>3179.1</v>
      </c>
      <c r="C94" s="7">
        <v>3244.5</v>
      </c>
      <c r="D94" s="7">
        <v>3128</v>
      </c>
      <c r="E94" s="7">
        <v>3224.7</v>
      </c>
      <c r="F94" s="8">
        <v>1568800000</v>
      </c>
      <c r="G94" s="8">
        <v>8636100000</v>
      </c>
      <c r="H94">
        <f t="shared" si="1"/>
        <v>106658.06707680097</v>
      </c>
    </row>
    <row r="95" spans="1:8" x14ac:dyDescent="0.25">
      <c r="A95" s="6">
        <v>37183</v>
      </c>
      <c r="B95" s="7">
        <v>3225.1</v>
      </c>
      <c r="C95" s="7">
        <v>3238.1</v>
      </c>
      <c r="D95" s="7">
        <v>3172.1</v>
      </c>
      <c r="E95" s="7">
        <v>3175.7</v>
      </c>
      <c r="F95" s="8">
        <v>1513900000</v>
      </c>
      <c r="G95" s="8">
        <v>8344500000</v>
      </c>
      <c r="H95">
        <f t="shared" si="1"/>
        <v>105037.37514057025</v>
      </c>
    </row>
    <row r="96" spans="1:8" x14ac:dyDescent="0.25">
      <c r="A96" s="6">
        <v>37190</v>
      </c>
      <c r="B96" s="7">
        <v>3175.4</v>
      </c>
      <c r="C96" s="7">
        <v>3286.1</v>
      </c>
      <c r="D96" s="7">
        <v>3172.4</v>
      </c>
      <c r="E96" s="7">
        <v>3276.4</v>
      </c>
      <c r="F96" s="8">
        <v>1615700000</v>
      </c>
      <c r="G96" s="8">
        <v>9646401000</v>
      </c>
      <c r="H96">
        <f t="shared" si="1"/>
        <v>108368.06244625259</v>
      </c>
    </row>
    <row r="97" spans="1:8" x14ac:dyDescent="0.25">
      <c r="A97" s="6">
        <v>37197</v>
      </c>
      <c r="B97" s="7">
        <v>3276.2</v>
      </c>
      <c r="C97" s="7">
        <v>3284.2</v>
      </c>
      <c r="D97" s="7">
        <v>3228.8</v>
      </c>
      <c r="E97" s="7">
        <v>3239.9</v>
      </c>
      <c r="F97" s="8">
        <v>1550900000</v>
      </c>
      <c r="G97" s="8">
        <v>7967001000</v>
      </c>
      <c r="H97">
        <f t="shared" si="1"/>
        <v>107160.81233048887</v>
      </c>
    </row>
    <row r="98" spans="1:8" x14ac:dyDescent="0.25">
      <c r="A98" s="6">
        <v>37204</v>
      </c>
      <c r="B98" s="7">
        <v>3239.9</v>
      </c>
      <c r="C98" s="7">
        <v>3290.7</v>
      </c>
      <c r="D98" s="7">
        <v>3222.2</v>
      </c>
      <c r="E98" s="7">
        <v>3286</v>
      </c>
      <c r="F98" s="8">
        <v>1386100000</v>
      </c>
      <c r="G98" s="8">
        <v>7994000000</v>
      </c>
      <c r="H98">
        <f t="shared" si="1"/>
        <v>108685.58576437124</v>
      </c>
    </row>
    <row r="99" spans="1:8" x14ac:dyDescent="0.25">
      <c r="A99" s="6">
        <v>37211</v>
      </c>
      <c r="B99" s="7">
        <v>3286</v>
      </c>
      <c r="C99" s="7">
        <v>3351.2</v>
      </c>
      <c r="D99" s="7">
        <v>3278.9</v>
      </c>
      <c r="E99" s="7">
        <v>3322.5</v>
      </c>
      <c r="F99" s="8">
        <v>1706200000</v>
      </c>
      <c r="G99" s="8">
        <v>10125200000</v>
      </c>
      <c r="H99">
        <f t="shared" si="1"/>
        <v>109892.83588013495</v>
      </c>
    </row>
    <row r="100" spans="1:8" x14ac:dyDescent="0.25">
      <c r="A100" s="6">
        <v>37218</v>
      </c>
      <c r="B100" s="7">
        <v>3322.5</v>
      </c>
      <c r="C100" s="7">
        <v>3361.7</v>
      </c>
      <c r="D100" s="7">
        <v>3310.2</v>
      </c>
      <c r="E100" s="7">
        <v>3332.9</v>
      </c>
      <c r="F100" s="8">
        <v>1516500000</v>
      </c>
      <c r="G100" s="8">
        <v>8660601000</v>
      </c>
      <c r="H100">
        <f t="shared" si="1"/>
        <v>110236.81947476351</v>
      </c>
    </row>
    <row r="101" spans="1:8" x14ac:dyDescent="0.25">
      <c r="A101" s="6">
        <v>37225</v>
      </c>
      <c r="B101" s="7">
        <v>3332.9</v>
      </c>
      <c r="C101" s="7">
        <v>3370.5</v>
      </c>
      <c r="D101" s="7">
        <v>3324.3</v>
      </c>
      <c r="E101" s="7">
        <v>3337.4</v>
      </c>
      <c r="F101" s="8">
        <v>1945900000</v>
      </c>
      <c r="G101" s="8">
        <v>10984100000</v>
      </c>
      <c r="H101">
        <f t="shared" si="1"/>
        <v>110385.65853013165</v>
      </c>
    </row>
    <row r="102" spans="1:8" x14ac:dyDescent="0.25">
      <c r="A102" s="6">
        <v>37232</v>
      </c>
      <c r="B102" s="7">
        <v>3337.5</v>
      </c>
      <c r="C102" s="7">
        <v>3381.1</v>
      </c>
      <c r="D102" s="7">
        <v>3321.8</v>
      </c>
      <c r="E102" s="7">
        <v>3371.8</v>
      </c>
      <c r="F102" s="8">
        <v>1827300000</v>
      </c>
      <c r="G102" s="8">
        <v>10484800000</v>
      </c>
      <c r="H102">
        <f t="shared" si="1"/>
        <v>111523.45042005691</v>
      </c>
    </row>
    <row r="103" spans="1:8" x14ac:dyDescent="0.25">
      <c r="A103" s="6">
        <v>37239</v>
      </c>
      <c r="B103" s="7">
        <v>3371.8</v>
      </c>
      <c r="C103" s="7">
        <v>3374</v>
      </c>
      <c r="D103" s="7">
        <v>3288.4</v>
      </c>
      <c r="E103" s="7">
        <v>3290.8</v>
      </c>
      <c r="F103" s="8">
        <v>1655600000</v>
      </c>
      <c r="G103" s="8">
        <v>9116101000</v>
      </c>
      <c r="H103">
        <f t="shared" si="1"/>
        <v>108844.34742343059</v>
      </c>
    </row>
    <row r="104" spans="1:8" x14ac:dyDescent="0.25">
      <c r="A104" s="6">
        <v>37246</v>
      </c>
      <c r="B104" s="7">
        <v>3290.8</v>
      </c>
      <c r="C104" s="7">
        <v>3379.3</v>
      </c>
      <c r="D104" s="7">
        <v>3289.6</v>
      </c>
      <c r="E104" s="7">
        <v>3374.5</v>
      </c>
      <c r="F104" s="8">
        <v>1570700000</v>
      </c>
      <c r="G104" s="8">
        <v>10600300000</v>
      </c>
      <c r="H104">
        <f t="shared" si="1"/>
        <v>111612.75385327778</v>
      </c>
    </row>
    <row r="105" spans="1:8" x14ac:dyDescent="0.25">
      <c r="A105" s="6">
        <v>37253</v>
      </c>
      <c r="B105" s="7">
        <v>3374.5</v>
      </c>
      <c r="C105" s="7">
        <v>3440.6</v>
      </c>
      <c r="D105" s="7">
        <v>3374.5</v>
      </c>
      <c r="E105" s="7">
        <v>3427.1</v>
      </c>
      <c r="F105" s="8">
        <v>341700000</v>
      </c>
      <c r="G105" s="8">
        <v>1887600000</v>
      </c>
      <c r="H105">
        <f t="shared" si="1"/>
        <v>113352.51703380301</v>
      </c>
    </row>
    <row r="106" spans="1:8" x14ac:dyDescent="0.25">
      <c r="A106" s="6">
        <v>37260</v>
      </c>
      <c r="B106" s="7">
        <v>3427.1</v>
      </c>
      <c r="C106" s="7">
        <v>3445.7</v>
      </c>
      <c r="D106" s="7">
        <v>3409</v>
      </c>
      <c r="E106" s="7">
        <v>3435.7</v>
      </c>
      <c r="F106" s="8">
        <v>763900000</v>
      </c>
      <c r="G106" s="8">
        <v>4083500000</v>
      </c>
      <c r="H106">
        <f t="shared" si="1"/>
        <v>113636.96500628431</v>
      </c>
    </row>
    <row r="107" spans="1:8" x14ac:dyDescent="0.25">
      <c r="A107" s="6">
        <v>37267</v>
      </c>
      <c r="B107" s="7">
        <v>3435.7</v>
      </c>
      <c r="C107" s="7">
        <v>3451.5</v>
      </c>
      <c r="D107" s="7">
        <v>3408.6</v>
      </c>
      <c r="E107" s="7">
        <v>3417.6</v>
      </c>
      <c r="F107" s="8">
        <v>1636600000</v>
      </c>
      <c r="G107" s="8">
        <v>8878800000</v>
      </c>
      <c r="H107">
        <f t="shared" si="1"/>
        <v>113038.30125024807</v>
      </c>
    </row>
    <row r="108" spans="1:8" x14ac:dyDescent="0.25">
      <c r="A108" s="6">
        <v>37274</v>
      </c>
      <c r="B108" s="7">
        <v>3417.6</v>
      </c>
      <c r="C108" s="7">
        <v>3425.8</v>
      </c>
      <c r="D108" s="7">
        <v>3377.3</v>
      </c>
      <c r="E108" s="7">
        <v>3387</v>
      </c>
      <c r="F108" s="8">
        <v>1621600000</v>
      </c>
      <c r="G108" s="8">
        <v>9409900000</v>
      </c>
      <c r="H108">
        <f t="shared" si="1"/>
        <v>112026.19567374481</v>
      </c>
    </row>
    <row r="109" spans="1:8" x14ac:dyDescent="0.25">
      <c r="A109" s="6">
        <v>37281</v>
      </c>
      <c r="B109" s="7">
        <v>3387</v>
      </c>
      <c r="C109" s="7">
        <v>3446.1</v>
      </c>
      <c r="D109" s="7">
        <v>3380.1</v>
      </c>
      <c r="E109" s="7">
        <v>3442.3</v>
      </c>
      <c r="F109" s="8">
        <v>1915000000</v>
      </c>
      <c r="G109" s="8">
        <v>11973200000</v>
      </c>
      <c r="H109">
        <f t="shared" si="1"/>
        <v>113855.26228749091</v>
      </c>
    </row>
    <row r="110" spans="1:8" x14ac:dyDescent="0.25">
      <c r="A110" s="6">
        <v>37288</v>
      </c>
      <c r="B110" s="7">
        <v>3442.3</v>
      </c>
      <c r="C110" s="7">
        <v>3486.3</v>
      </c>
      <c r="D110" s="7">
        <v>3429</v>
      </c>
      <c r="E110" s="7">
        <v>3445.5</v>
      </c>
      <c r="F110" s="8">
        <v>1400600000</v>
      </c>
      <c r="G110" s="8">
        <v>8211800000</v>
      </c>
      <c r="H110">
        <f t="shared" si="1"/>
        <v>113961.10339353047</v>
      </c>
    </row>
    <row r="111" spans="1:8" x14ac:dyDescent="0.25">
      <c r="A111" s="6">
        <v>37295</v>
      </c>
      <c r="B111" s="7">
        <v>3445.5</v>
      </c>
      <c r="C111" s="7">
        <v>3472.9</v>
      </c>
      <c r="D111" s="7">
        <v>3406.6</v>
      </c>
      <c r="E111" s="7">
        <v>3450.4</v>
      </c>
      <c r="F111" s="8">
        <v>1971700000</v>
      </c>
      <c r="G111" s="8">
        <v>11403400000</v>
      </c>
      <c r="H111">
        <f t="shared" si="1"/>
        <v>114123.17258715355</v>
      </c>
    </row>
    <row r="112" spans="1:8" x14ac:dyDescent="0.25">
      <c r="A112" s="6">
        <v>37302</v>
      </c>
      <c r="B112" s="7">
        <v>3450.4</v>
      </c>
      <c r="C112" s="7">
        <v>3506.1</v>
      </c>
      <c r="D112" s="7">
        <v>3450.4</v>
      </c>
      <c r="E112" s="7">
        <v>3480.4</v>
      </c>
      <c r="F112" s="8">
        <v>1761300000</v>
      </c>
      <c r="G112" s="8">
        <v>10329900000</v>
      </c>
      <c r="H112">
        <f t="shared" si="1"/>
        <v>115115.4329562744</v>
      </c>
    </row>
    <row r="113" spans="1:8" x14ac:dyDescent="0.25">
      <c r="A113" s="6">
        <v>37309</v>
      </c>
      <c r="B113" s="7">
        <v>3480.4</v>
      </c>
      <c r="C113" s="7">
        <v>3480.4</v>
      </c>
      <c r="D113" s="7">
        <v>3412.2</v>
      </c>
      <c r="E113" s="7">
        <v>3422.1</v>
      </c>
      <c r="F113" s="8">
        <v>2195000000</v>
      </c>
      <c r="G113" s="8">
        <v>13894600000</v>
      </c>
      <c r="H113">
        <f t="shared" si="1"/>
        <v>113187.14030561619</v>
      </c>
    </row>
    <row r="114" spans="1:8" x14ac:dyDescent="0.25">
      <c r="A114" s="6">
        <v>37316</v>
      </c>
      <c r="B114" s="7">
        <v>3422.1</v>
      </c>
      <c r="C114" s="7">
        <v>3450.2</v>
      </c>
      <c r="D114" s="7">
        <v>3392.7</v>
      </c>
      <c r="E114" s="7">
        <v>3417.3</v>
      </c>
      <c r="F114" s="8">
        <v>1872100000</v>
      </c>
      <c r="G114" s="8">
        <v>10741900000</v>
      </c>
      <c r="H114">
        <f t="shared" si="1"/>
        <v>113028.37864655687</v>
      </c>
    </row>
    <row r="115" spans="1:8" x14ac:dyDescent="0.25">
      <c r="A115" s="6">
        <v>37323</v>
      </c>
      <c r="B115" s="7">
        <v>3417.3</v>
      </c>
      <c r="C115" s="7">
        <v>3499.9</v>
      </c>
      <c r="D115" s="7">
        <v>3415.7</v>
      </c>
      <c r="E115" s="7">
        <v>3485.3</v>
      </c>
      <c r="F115" s="8">
        <v>2152700000</v>
      </c>
      <c r="G115" s="8">
        <v>12994200000</v>
      </c>
      <c r="H115">
        <f t="shared" si="1"/>
        <v>115277.5021498975</v>
      </c>
    </row>
    <row r="116" spans="1:8" x14ac:dyDescent="0.25">
      <c r="A116" s="6">
        <v>37330</v>
      </c>
      <c r="B116" s="7">
        <v>3485.3</v>
      </c>
      <c r="C116" s="7">
        <v>3496.6</v>
      </c>
      <c r="D116" s="7">
        <v>3407.7</v>
      </c>
      <c r="E116" s="7">
        <v>3407.7</v>
      </c>
      <c r="F116" s="8">
        <v>1673200000</v>
      </c>
      <c r="G116" s="8">
        <v>9251800000</v>
      </c>
      <c r="H116">
        <f t="shared" si="1"/>
        <v>112710.85532843819</v>
      </c>
    </row>
    <row r="117" spans="1:8" x14ac:dyDescent="0.25">
      <c r="A117" s="6">
        <v>37337</v>
      </c>
      <c r="B117" s="7">
        <v>3407.7</v>
      </c>
      <c r="C117" s="7">
        <v>3474.6</v>
      </c>
      <c r="D117" s="7">
        <v>3407.7</v>
      </c>
      <c r="E117" s="7">
        <v>3433.8</v>
      </c>
      <c r="F117" s="8">
        <v>1480900000</v>
      </c>
      <c r="G117" s="8">
        <v>8489800000</v>
      </c>
      <c r="H117">
        <f t="shared" si="1"/>
        <v>113574.12184957335</v>
      </c>
    </row>
    <row r="118" spans="1:8" x14ac:dyDescent="0.25">
      <c r="A118" s="6">
        <v>37343</v>
      </c>
      <c r="B118" s="7">
        <v>3433.8</v>
      </c>
      <c r="C118" s="7">
        <v>3435.2</v>
      </c>
      <c r="D118" s="7">
        <v>3382.1</v>
      </c>
      <c r="E118" s="7">
        <v>3414.8</v>
      </c>
      <c r="F118" s="8">
        <v>1561800000</v>
      </c>
      <c r="G118" s="8">
        <v>10049500000</v>
      </c>
      <c r="H118">
        <f t="shared" si="1"/>
        <v>112945.69028246347</v>
      </c>
    </row>
    <row r="119" spans="1:8" x14ac:dyDescent="0.25">
      <c r="A119" s="6">
        <v>37351</v>
      </c>
      <c r="B119" s="7">
        <v>3414.8</v>
      </c>
      <c r="C119" s="7">
        <v>3418</v>
      </c>
      <c r="D119" s="7">
        <v>3365.7</v>
      </c>
      <c r="E119" s="7">
        <v>3390</v>
      </c>
      <c r="F119" s="8">
        <v>1467800000</v>
      </c>
      <c r="G119" s="8">
        <v>7630900000</v>
      </c>
      <c r="H119">
        <f t="shared" si="1"/>
        <v>112125.42171065688</v>
      </c>
    </row>
    <row r="120" spans="1:8" x14ac:dyDescent="0.25">
      <c r="A120" s="6">
        <v>37358</v>
      </c>
      <c r="B120" s="7">
        <v>3390</v>
      </c>
      <c r="C120" s="7">
        <v>3402.3</v>
      </c>
      <c r="D120" s="7">
        <v>3347.9</v>
      </c>
      <c r="E120" s="7">
        <v>3354.6</v>
      </c>
      <c r="F120" s="8">
        <v>1534100000</v>
      </c>
      <c r="G120" s="8">
        <v>8792800000</v>
      </c>
      <c r="H120">
        <f t="shared" si="1"/>
        <v>110954.55447509426</v>
      </c>
    </row>
    <row r="121" spans="1:8" x14ac:dyDescent="0.25">
      <c r="A121" s="6">
        <v>37365</v>
      </c>
      <c r="B121" s="7">
        <v>3354.5</v>
      </c>
      <c r="C121" s="7">
        <v>3412.3</v>
      </c>
      <c r="D121" s="7">
        <v>3352.9</v>
      </c>
      <c r="E121" s="7">
        <v>3407.9</v>
      </c>
      <c r="F121" s="8">
        <v>1619100000</v>
      </c>
      <c r="G121" s="8">
        <v>9539000000</v>
      </c>
      <c r="H121">
        <f t="shared" si="1"/>
        <v>112717.47039756566</v>
      </c>
    </row>
    <row r="122" spans="1:8" x14ac:dyDescent="0.25">
      <c r="A122" s="6">
        <v>37372</v>
      </c>
      <c r="B122" s="7">
        <v>3407.3</v>
      </c>
      <c r="C122" s="7">
        <v>3424.6</v>
      </c>
      <c r="D122" s="7">
        <v>3370.3</v>
      </c>
      <c r="E122" s="7">
        <v>3379.1</v>
      </c>
      <c r="F122" s="8">
        <v>1440200000</v>
      </c>
      <c r="G122" s="8">
        <v>10424700000</v>
      </c>
      <c r="H122">
        <f t="shared" si="1"/>
        <v>111764.90044320963</v>
      </c>
    </row>
    <row r="123" spans="1:8" x14ac:dyDescent="0.25">
      <c r="A123" s="6">
        <v>37379</v>
      </c>
      <c r="B123" s="7">
        <v>3379.1</v>
      </c>
      <c r="C123" s="7">
        <v>3379.1</v>
      </c>
      <c r="D123" s="7">
        <v>3337.5</v>
      </c>
      <c r="E123" s="7">
        <v>3366</v>
      </c>
      <c r="F123" s="8">
        <v>1863800000</v>
      </c>
      <c r="G123" s="8">
        <v>10367000000</v>
      </c>
      <c r="H123">
        <f t="shared" si="1"/>
        <v>111331.61341536019</v>
      </c>
    </row>
    <row r="124" spans="1:8" x14ac:dyDescent="0.25">
      <c r="A124" s="6">
        <v>37386</v>
      </c>
      <c r="B124" s="7">
        <v>3366</v>
      </c>
      <c r="C124" s="7">
        <v>3366.9</v>
      </c>
      <c r="D124" s="7">
        <v>3320.5</v>
      </c>
      <c r="E124" s="7">
        <v>3330.9</v>
      </c>
      <c r="F124" s="8">
        <v>1823400000</v>
      </c>
      <c r="G124" s="8">
        <v>10044300000</v>
      </c>
      <c r="H124">
        <f t="shared" si="1"/>
        <v>110170.66878348879</v>
      </c>
    </row>
    <row r="125" spans="1:8" x14ac:dyDescent="0.25">
      <c r="A125" s="6">
        <v>37393</v>
      </c>
      <c r="B125" s="7">
        <v>3330.9</v>
      </c>
      <c r="C125" s="7">
        <v>3420</v>
      </c>
      <c r="D125" s="7">
        <v>3295.9</v>
      </c>
      <c r="E125" s="7">
        <v>3412.6</v>
      </c>
      <c r="F125" s="8">
        <v>1712400000</v>
      </c>
      <c r="G125" s="8">
        <v>10567300000</v>
      </c>
      <c r="H125">
        <f t="shared" si="1"/>
        <v>112872.92452206124</v>
      </c>
    </row>
    <row r="126" spans="1:8" x14ac:dyDescent="0.25">
      <c r="A126" s="6">
        <v>37400</v>
      </c>
      <c r="B126" s="7">
        <v>3412.6</v>
      </c>
      <c r="C126" s="7">
        <v>3412.6</v>
      </c>
      <c r="D126" s="7">
        <v>3368.5</v>
      </c>
      <c r="E126" s="7">
        <v>3387.1</v>
      </c>
      <c r="F126" s="8">
        <v>1624700000</v>
      </c>
      <c r="G126" s="8">
        <v>9478400000</v>
      </c>
      <c r="H126">
        <f t="shared" si="1"/>
        <v>112029.50320830851</v>
      </c>
    </row>
    <row r="127" spans="1:8" x14ac:dyDescent="0.25">
      <c r="A127" s="6">
        <v>37407</v>
      </c>
      <c r="B127" s="7">
        <v>3387.1</v>
      </c>
      <c r="C127" s="7">
        <v>3393.3</v>
      </c>
      <c r="D127" s="7">
        <v>3353.3</v>
      </c>
      <c r="E127" s="7">
        <v>3373.6</v>
      </c>
      <c r="F127" s="8">
        <v>2113500000</v>
      </c>
      <c r="G127" s="8">
        <v>12130700000</v>
      </c>
      <c r="H127">
        <f t="shared" si="1"/>
        <v>111582.98604220412</v>
      </c>
    </row>
    <row r="128" spans="1:8" x14ac:dyDescent="0.25">
      <c r="A128" s="6">
        <v>37414</v>
      </c>
      <c r="B128" s="7">
        <v>3373.6</v>
      </c>
      <c r="C128" s="7">
        <v>3388.2</v>
      </c>
      <c r="D128" s="7">
        <v>3325</v>
      </c>
      <c r="E128" s="7">
        <v>3342.8</v>
      </c>
      <c r="F128" s="8">
        <v>1826800000</v>
      </c>
      <c r="G128" s="8">
        <v>10314400000</v>
      </c>
      <c r="H128">
        <f t="shared" si="1"/>
        <v>110564.26539657338</v>
      </c>
    </row>
    <row r="129" spans="1:8" x14ac:dyDescent="0.25">
      <c r="A129" s="6">
        <v>37421</v>
      </c>
      <c r="B129" s="7">
        <v>3342.8</v>
      </c>
      <c r="C129" s="7">
        <v>3349</v>
      </c>
      <c r="D129" s="7">
        <v>3294.1</v>
      </c>
      <c r="E129" s="7">
        <v>3294.1</v>
      </c>
      <c r="F129" s="8">
        <v>1476200000</v>
      </c>
      <c r="G129" s="8">
        <v>8376500000</v>
      </c>
      <c r="H129">
        <f t="shared" si="1"/>
        <v>108953.49606403385</v>
      </c>
    </row>
    <row r="130" spans="1:8" x14ac:dyDescent="0.25">
      <c r="A130" s="6">
        <v>37428</v>
      </c>
      <c r="B130" s="7">
        <v>3294.1</v>
      </c>
      <c r="C130" s="7">
        <v>3322.6</v>
      </c>
      <c r="D130" s="7">
        <v>3242.9</v>
      </c>
      <c r="E130" s="7">
        <v>3252.2</v>
      </c>
      <c r="F130" s="8">
        <v>1798100000</v>
      </c>
      <c r="G130" s="8">
        <v>9670900000</v>
      </c>
      <c r="H130">
        <f t="shared" si="1"/>
        <v>107567.63908182838</v>
      </c>
    </row>
    <row r="131" spans="1:8" x14ac:dyDescent="0.25">
      <c r="A131" s="6">
        <v>37435</v>
      </c>
      <c r="B131" s="7">
        <v>3252.2</v>
      </c>
      <c r="C131" s="7">
        <v>3252.2</v>
      </c>
      <c r="D131" s="7">
        <v>3174</v>
      </c>
      <c r="E131" s="7">
        <v>3216</v>
      </c>
      <c r="F131" s="8">
        <v>2626600000</v>
      </c>
      <c r="G131" s="8">
        <v>15470100000</v>
      </c>
      <c r="H131">
        <f t="shared" si="1"/>
        <v>106370.3115697559</v>
      </c>
    </row>
    <row r="132" spans="1:8" x14ac:dyDescent="0.25">
      <c r="A132" s="6">
        <v>37442</v>
      </c>
      <c r="B132" s="7">
        <v>3216</v>
      </c>
      <c r="C132" s="7">
        <v>3229.9</v>
      </c>
      <c r="D132" s="7">
        <v>3181.3</v>
      </c>
      <c r="E132" s="7">
        <v>3214.8</v>
      </c>
      <c r="F132" s="8">
        <v>1694100000</v>
      </c>
      <c r="G132" s="8">
        <v>9948400000</v>
      </c>
      <c r="H132">
        <f t="shared" ref="H132:H195" si="2">H131*(E132/E131)</f>
        <v>106330.62115499107</v>
      </c>
    </row>
    <row r="133" spans="1:8" x14ac:dyDescent="0.25">
      <c r="A133" s="6">
        <v>37449</v>
      </c>
      <c r="B133" s="7">
        <v>3214.8</v>
      </c>
      <c r="C133" s="7">
        <v>3259</v>
      </c>
      <c r="D133" s="7">
        <v>3183</v>
      </c>
      <c r="E133" s="7">
        <v>3196.9</v>
      </c>
      <c r="F133" s="8">
        <v>1547500000</v>
      </c>
      <c r="G133" s="8">
        <v>8777201000</v>
      </c>
      <c r="H133">
        <f t="shared" si="2"/>
        <v>105738.57246808228</v>
      </c>
    </row>
    <row r="134" spans="1:8" x14ac:dyDescent="0.25">
      <c r="A134" s="6">
        <v>37456</v>
      </c>
      <c r="B134" s="7">
        <v>3197.4</v>
      </c>
      <c r="C134" s="7">
        <v>3197.4</v>
      </c>
      <c r="D134" s="7">
        <v>3104.9</v>
      </c>
      <c r="E134" s="7">
        <v>3109.2</v>
      </c>
      <c r="F134" s="8">
        <v>1835300000</v>
      </c>
      <c r="G134" s="8">
        <v>10579000000</v>
      </c>
      <c r="H134">
        <f t="shared" si="2"/>
        <v>102837.86465568563</v>
      </c>
    </row>
    <row r="135" spans="1:8" x14ac:dyDescent="0.25">
      <c r="A135" s="6">
        <v>37463</v>
      </c>
      <c r="B135" s="7">
        <v>3109.2</v>
      </c>
      <c r="C135" s="7">
        <v>3109.2</v>
      </c>
      <c r="D135" s="7">
        <v>2982.1</v>
      </c>
      <c r="E135" s="7">
        <v>2989.5</v>
      </c>
      <c r="F135" s="8">
        <v>2261600000</v>
      </c>
      <c r="G135" s="8">
        <v>13778900000</v>
      </c>
      <c r="H135">
        <f t="shared" si="2"/>
        <v>98878.745782893413</v>
      </c>
    </row>
    <row r="136" spans="1:8" x14ac:dyDescent="0.25">
      <c r="A136" s="6">
        <v>37470</v>
      </c>
      <c r="B136" s="7">
        <v>2989.5</v>
      </c>
      <c r="C136" s="7">
        <v>3100.9</v>
      </c>
      <c r="D136" s="7">
        <v>2989.5</v>
      </c>
      <c r="E136" s="7">
        <v>3053.9</v>
      </c>
      <c r="F136" s="8">
        <v>1839500000</v>
      </c>
      <c r="G136" s="8">
        <v>10469200000</v>
      </c>
      <c r="H136">
        <f t="shared" si="2"/>
        <v>101008.79804193953</v>
      </c>
    </row>
    <row r="137" spans="1:8" x14ac:dyDescent="0.25">
      <c r="A137" s="6">
        <v>37477</v>
      </c>
      <c r="B137" s="7">
        <v>3053.9</v>
      </c>
      <c r="C137" s="7">
        <v>3122.2</v>
      </c>
      <c r="D137" s="7">
        <v>2955.7</v>
      </c>
      <c r="E137" s="7">
        <v>3106.8</v>
      </c>
      <c r="F137" s="8">
        <v>1526300000</v>
      </c>
      <c r="G137" s="8">
        <v>8189101000</v>
      </c>
      <c r="H137">
        <f t="shared" si="2"/>
        <v>102758.48382615599</v>
      </c>
    </row>
    <row r="138" spans="1:8" x14ac:dyDescent="0.25">
      <c r="A138" s="6">
        <v>37484</v>
      </c>
      <c r="B138" s="7">
        <v>3106.8</v>
      </c>
      <c r="C138" s="7">
        <v>3147.9</v>
      </c>
      <c r="D138" s="7">
        <v>3086.1</v>
      </c>
      <c r="E138" s="7">
        <v>3133.3</v>
      </c>
      <c r="F138" s="8">
        <v>1592900000</v>
      </c>
      <c r="G138" s="8">
        <v>8411501000</v>
      </c>
      <c r="H138">
        <f t="shared" si="2"/>
        <v>103634.98048554608</v>
      </c>
    </row>
    <row r="139" spans="1:8" x14ac:dyDescent="0.25">
      <c r="A139" s="6">
        <v>37491</v>
      </c>
      <c r="B139" s="7">
        <v>3133.3</v>
      </c>
      <c r="C139" s="7">
        <v>3202.9</v>
      </c>
      <c r="D139" s="7">
        <v>3132.7</v>
      </c>
      <c r="E139" s="7">
        <v>3184.5</v>
      </c>
      <c r="F139" s="8">
        <v>1605200000</v>
      </c>
      <c r="G139" s="8">
        <v>8382700000</v>
      </c>
      <c r="H139">
        <f t="shared" si="2"/>
        <v>105328.438182179</v>
      </c>
    </row>
    <row r="140" spans="1:8" x14ac:dyDescent="0.25">
      <c r="A140" s="6">
        <v>37498</v>
      </c>
      <c r="B140" s="7">
        <v>3184.5</v>
      </c>
      <c r="C140" s="7">
        <v>3191</v>
      </c>
      <c r="D140" s="7">
        <v>3115.5</v>
      </c>
      <c r="E140" s="7">
        <v>3120.1</v>
      </c>
      <c r="F140" s="8">
        <v>2151100000</v>
      </c>
      <c r="G140" s="8">
        <v>12052200000</v>
      </c>
      <c r="H140">
        <f t="shared" si="2"/>
        <v>103198.3859231329</v>
      </c>
    </row>
    <row r="141" spans="1:8" x14ac:dyDescent="0.25">
      <c r="A141" s="6">
        <v>37505</v>
      </c>
      <c r="B141" s="7">
        <v>3120.1</v>
      </c>
      <c r="C141" s="7">
        <v>3143.2</v>
      </c>
      <c r="D141" s="7">
        <v>3079.9</v>
      </c>
      <c r="E141" s="7">
        <v>3089.5</v>
      </c>
      <c r="F141" s="8">
        <v>1754000000</v>
      </c>
      <c r="G141" s="8">
        <v>9045600000</v>
      </c>
      <c r="H141">
        <f t="shared" si="2"/>
        <v>102186.28034662963</v>
      </c>
    </row>
    <row r="142" spans="1:8" x14ac:dyDescent="0.25">
      <c r="A142" s="6">
        <v>37512</v>
      </c>
      <c r="B142" s="7">
        <v>3089.5</v>
      </c>
      <c r="C142" s="7">
        <v>3149.2</v>
      </c>
      <c r="D142" s="7">
        <v>3089.5</v>
      </c>
      <c r="E142" s="7">
        <v>3130.6</v>
      </c>
      <c r="F142" s="8">
        <v>1779100000</v>
      </c>
      <c r="G142" s="8">
        <v>8598001000</v>
      </c>
      <c r="H142">
        <f t="shared" si="2"/>
        <v>103545.67705232519</v>
      </c>
    </row>
    <row r="143" spans="1:8" x14ac:dyDescent="0.25">
      <c r="A143" s="6">
        <v>37519</v>
      </c>
      <c r="B143" s="7">
        <v>3130.6</v>
      </c>
      <c r="C143" s="7">
        <v>3156.7</v>
      </c>
      <c r="D143" s="7">
        <v>3062.3</v>
      </c>
      <c r="E143" s="7">
        <v>3073.6</v>
      </c>
      <c r="F143" s="8">
        <v>1939400000</v>
      </c>
      <c r="G143" s="8">
        <v>10689500000</v>
      </c>
      <c r="H143">
        <f t="shared" si="2"/>
        <v>101660.38235099555</v>
      </c>
    </row>
    <row r="144" spans="1:8" x14ac:dyDescent="0.25">
      <c r="A144" s="6">
        <v>37526</v>
      </c>
      <c r="B144" s="7">
        <v>3073.6</v>
      </c>
      <c r="C144" s="7">
        <v>3073.6</v>
      </c>
      <c r="D144" s="7">
        <v>2987.2</v>
      </c>
      <c r="E144" s="7">
        <v>3008.9</v>
      </c>
      <c r="F144" s="8">
        <v>1918100000</v>
      </c>
      <c r="G144" s="8">
        <v>11566900000</v>
      </c>
      <c r="H144">
        <f t="shared" si="2"/>
        <v>99520.40748825825</v>
      </c>
    </row>
    <row r="145" spans="1:8" x14ac:dyDescent="0.25">
      <c r="A145" s="6">
        <v>37533</v>
      </c>
      <c r="B145" s="7">
        <v>3008.9</v>
      </c>
      <c r="C145" s="7">
        <v>3018</v>
      </c>
      <c r="D145" s="7">
        <v>2953.2</v>
      </c>
      <c r="E145" s="7">
        <v>2991.6</v>
      </c>
      <c r="F145" s="8">
        <v>2072100000</v>
      </c>
      <c r="G145" s="8">
        <v>10982200000</v>
      </c>
      <c r="H145">
        <f t="shared" si="2"/>
        <v>98948.204008731889</v>
      </c>
    </row>
    <row r="146" spans="1:8" x14ac:dyDescent="0.25">
      <c r="A146" s="6">
        <v>37540</v>
      </c>
      <c r="B146" s="7">
        <v>2991.6</v>
      </c>
      <c r="C146" s="7">
        <v>2991.6</v>
      </c>
      <c r="D146" s="7">
        <v>2883.5</v>
      </c>
      <c r="E146" s="7">
        <v>2924.6</v>
      </c>
      <c r="F146" s="8">
        <v>1546800000</v>
      </c>
      <c r="G146" s="8">
        <v>8502401000</v>
      </c>
      <c r="H146">
        <f t="shared" si="2"/>
        <v>96732.155851028641</v>
      </c>
    </row>
    <row r="147" spans="1:8" x14ac:dyDescent="0.25">
      <c r="A147" s="6">
        <v>37547</v>
      </c>
      <c r="B147" s="7">
        <v>2924.6</v>
      </c>
      <c r="C147" s="7">
        <v>3028.4</v>
      </c>
      <c r="D147" s="7">
        <v>2924.6</v>
      </c>
      <c r="E147" s="7">
        <v>3010.6</v>
      </c>
      <c r="F147" s="8">
        <v>2083500000</v>
      </c>
      <c r="G147" s="8">
        <v>10724600000</v>
      </c>
      <c r="H147">
        <f t="shared" si="2"/>
        <v>99576.635575841763</v>
      </c>
    </row>
    <row r="148" spans="1:8" x14ac:dyDescent="0.25">
      <c r="A148" s="6">
        <v>37554</v>
      </c>
      <c r="B148" s="7">
        <v>3010.6</v>
      </c>
      <c r="C148" s="7">
        <v>3043</v>
      </c>
      <c r="D148" s="7">
        <v>2986.4</v>
      </c>
      <c r="E148" s="7">
        <v>3009.2</v>
      </c>
      <c r="F148" s="8">
        <v>1747900000</v>
      </c>
      <c r="G148" s="8">
        <v>10361200000</v>
      </c>
      <c r="H148">
        <f t="shared" si="2"/>
        <v>99530.33009194945</v>
      </c>
    </row>
    <row r="149" spans="1:8" x14ac:dyDescent="0.25">
      <c r="A149" s="6">
        <v>37561</v>
      </c>
      <c r="B149" s="7">
        <v>3009.2</v>
      </c>
      <c r="C149" s="7">
        <v>3042.9</v>
      </c>
      <c r="D149" s="7">
        <v>2994</v>
      </c>
      <c r="E149" s="7">
        <v>3010.3</v>
      </c>
      <c r="F149" s="8">
        <v>1732700000</v>
      </c>
      <c r="G149" s="8">
        <v>9212701000</v>
      </c>
      <c r="H149">
        <f t="shared" si="2"/>
        <v>99566.712972150563</v>
      </c>
    </row>
    <row r="150" spans="1:8" x14ac:dyDescent="0.25">
      <c r="A150" s="6">
        <v>37568</v>
      </c>
      <c r="B150" s="7">
        <v>3010.3</v>
      </c>
      <c r="C150" s="7">
        <v>3079.7</v>
      </c>
      <c r="D150" s="7">
        <v>3008.6</v>
      </c>
      <c r="E150" s="7">
        <v>3008.8</v>
      </c>
      <c r="F150" s="8">
        <v>1629600000</v>
      </c>
      <c r="G150" s="8">
        <v>10161200000</v>
      </c>
      <c r="H150">
        <f t="shared" si="2"/>
        <v>99517.099953694516</v>
      </c>
    </row>
    <row r="151" spans="1:8" x14ac:dyDescent="0.25">
      <c r="A151" s="6">
        <v>37575</v>
      </c>
      <c r="B151" s="7">
        <v>3008.8</v>
      </c>
      <c r="C151" s="7">
        <v>3008.8</v>
      </c>
      <c r="D151" s="7">
        <v>2950.7</v>
      </c>
      <c r="E151" s="7">
        <v>3004.9</v>
      </c>
      <c r="F151" s="8">
        <v>1944100000</v>
      </c>
      <c r="G151" s="8">
        <v>10554600000</v>
      </c>
      <c r="H151">
        <f t="shared" si="2"/>
        <v>99388.106105708808</v>
      </c>
    </row>
    <row r="152" spans="1:8" x14ac:dyDescent="0.25">
      <c r="A152" s="6">
        <v>37582</v>
      </c>
      <c r="B152" s="7">
        <v>3004.9</v>
      </c>
      <c r="C152" s="7">
        <v>3042.2</v>
      </c>
      <c r="D152" s="7">
        <v>2978.6</v>
      </c>
      <c r="E152" s="7">
        <v>3035.8</v>
      </c>
      <c r="F152" s="8">
        <v>2031700000</v>
      </c>
      <c r="G152" s="8">
        <v>10306200000</v>
      </c>
      <c r="H152">
        <f t="shared" si="2"/>
        <v>100410.13428590329</v>
      </c>
    </row>
    <row r="153" spans="1:8" x14ac:dyDescent="0.25">
      <c r="A153" s="6">
        <v>37589</v>
      </c>
      <c r="B153" s="7">
        <v>3035.8</v>
      </c>
      <c r="C153" s="7">
        <v>3061.4</v>
      </c>
      <c r="D153" s="7">
        <v>2997.4</v>
      </c>
      <c r="E153" s="7">
        <v>3061.4</v>
      </c>
      <c r="F153" s="8">
        <v>2150500000</v>
      </c>
      <c r="G153" s="8">
        <v>12631100000</v>
      </c>
      <c r="H153">
        <f t="shared" si="2"/>
        <v>101256.86313421975</v>
      </c>
    </row>
    <row r="154" spans="1:8" x14ac:dyDescent="0.25">
      <c r="A154" s="6">
        <v>37596</v>
      </c>
      <c r="B154" s="7">
        <v>3061.4</v>
      </c>
      <c r="C154" s="7">
        <v>3083.8</v>
      </c>
      <c r="D154" s="7">
        <v>3017.2</v>
      </c>
      <c r="E154" s="7">
        <v>3027.3</v>
      </c>
      <c r="F154" s="8">
        <v>1621400000</v>
      </c>
      <c r="G154" s="8">
        <v>8992700000</v>
      </c>
      <c r="H154">
        <f t="shared" si="2"/>
        <v>100128.99384798571</v>
      </c>
    </row>
    <row r="155" spans="1:8" x14ac:dyDescent="0.25">
      <c r="A155" s="6">
        <v>37603</v>
      </c>
      <c r="B155" s="7">
        <v>3027.3</v>
      </c>
      <c r="C155" s="7">
        <v>3054.4</v>
      </c>
      <c r="D155" s="7">
        <v>2957.9</v>
      </c>
      <c r="E155" s="7">
        <v>2971.3</v>
      </c>
      <c r="F155" s="8">
        <v>1944000000</v>
      </c>
      <c r="G155" s="8">
        <v>9091200000</v>
      </c>
      <c r="H155">
        <f t="shared" si="2"/>
        <v>98276.774492293436</v>
      </c>
    </row>
    <row r="156" spans="1:8" x14ac:dyDescent="0.25">
      <c r="A156" s="6">
        <v>37610</v>
      </c>
      <c r="B156" s="7">
        <v>2971.3</v>
      </c>
      <c r="C156" s="7">
        <v>3019.6</v>
      </c>
      <c r="D156" s="7">
        <v>2945.9</v>
      </c>
      <c r="E156" s="7">
        <v>3011.4</v>
      </c>
      <c r="F156" s="8">
        <v>2127700000</v>
      </c>
      <c r="G156" s="8">
        <v>10575900000</v>
      </c>
      <c r="H156">
        <f t="shared" si="2"/>
        <v>99603.095852351631</v>
      </c>
    </row>
    <row r="157" spans="1:8" x14ac:dyDescent="0.25">
      <c r="A157" s="6">
        <v>37617</v>
      </c>
      <c r="B157" s="7">
        <v>3011.4</v>
      </c>
      <c r="C157" s="7">
        <v>3037.8</v>
      </c>
      <c r="D157" s="7">
        <v>3011.4</v>
      </c>
      <c r="E157" s="7">
        <v>3027.2</v>
      </c>
      <c r="F157" s="8">
        <v>349600000</v>
      </c>
      <c r="G157" s="8">
        <v>1637400000</v>
      </c>
      <c r="H157">
        <f t="shared" si="2"/>
        <v>100125.68631342193</v>
      </c>
    </row>
    <row r="158" spans="1:8" x14ac:dyDescent="0.25">
      <c r="A158" s="6">
        <v>37624</v>
      </c>
      <c r="B158" s="7">
        <v>3027.2</v>
      </c>
      <c r="C158" s="7">
        <v>3055.9</v>
      </c>
      <c r="D158" s="7">
        <v>2987.8</v>
      </c>
      <c r="E158" s="7">
        <v>3055.5</v>
      </c>
      <c r="F158" s="8">
        <v>512400000</v>
      </c>
      <c r="G158" s="8">
        <v>2468900000</v>
      </c>
      <c r="H158">
        <f t="shared" si="2"/>
        <v>101061.71859495928</v>
      </c>
    </row>
    <row r="159" spans="1:8" x14ac:dyDescent="0.25">
      <c r="A159" s="6">
        <v>37631</v>
      </c>
      <c r="B159" s="7">
        <v>3055.5</v>
      </c>
      <c r="C159" s="7">
        <v>3094.1</v>
      </c>
      <c r="D159" s="7">
        <v>3051.8</v>
      </c>
      <c r="E159" s="7">
        <v>3063.6</v>
      </c>
      <c r="F159" s="8">
        <v>1683200000</v>
      </c>
      <c r="G159" s="8">
        <v>9005700000</v>
      </c>
      <c r="H159">
        <f t="shared" si="2"/>
        <v>101329.62889462191</v>
      </c>
    </row>
    <row r="160" spans="1:8" x14ac:dyDescent="0.25">
      <c r="A160" s="6">
        <v>37638</v>
      </c>
      <c r="B160" s="7">
        <v>3063.5</v>
      </c>
      <c r="C160" s="7">
        <v>3084.8</v>
      </c>
      <c r="D160" s="7">
        <v>3051.3</v>
      </c>
      <c r="E160" s="7">
        <v>3051.7</v>
      </c>
      <c r="F160" s="8">
        <v>1736600000</v>
      </c>
      <c r="G160" s="8">
        <v>8172799000</v>
      </c>
      <c r="H160">
        <f t="shared" si="2"/>
        <v>100936.03228153731</v>
      </c>
    </row>
    <row r="161" spans="1:8" x14ac:dyDescent="0.25">
      <c r="A161" s="6">
        <v>37645</v>
      </c>
      <c r="B161" s="7">
        <v>3051.7</v>
      </c>
      <c r="C161" s="7">
        <v>3061.9</v>
      </c>
      <c r="D161" s="7">
        <v>3017.4</v>
      </c>
      <c r="E161" s="7">
        <v>3026.2</v>
      </c>
      <c r="F161" s="8">
        <v>1968400000</v>
      </c>
      <c r="G161" s="8">
        <v>9483400000</v>
      </c>
      <c r="H161">
        <f t="shared" si="2"/>
        <v>100092.61096778458</v>
      </c>
    </row>
    <row r="162" spans="1:8" x14ac:dyDescent="0.25">
      <c r="A162" s="6">
        <v>37652</v>
      </c>
      <c r="B162" s="7">
        <v>3026.2</v>
      </c>
      <c r="C162" s="7">
        <v>3026.2</v>
      </c>
      <c r="D162" s="7">
        <v>2929.1</v>
      </c>
      <c r="E162" s="7">
        <v>2956.9</v>
      </c>
      <c r="F162" s="8">
        <v>1496300000</v>
      </c>
      <c r="G162" s="8">
        <v>8709200000</v>
      </c>
      <c r="H162">
        <f t="shared" si="2"/>
        <v>97800.489515115405</v>
      </c>
    </row>
    <row r="163" spans="1:8" x14ac:dyDescent="0.25">
      <c r="A163" s="6">
        <v>37659</v>
      </c>
      <c r="B163" s="7">
        <v>2956.9</v>
      </c>
      <c r="C163" s="7">
        <v>2969.2</v>
      </c>
      <c r="D163" s="7">
        <v>2882.6</v>
      </c>
      <c r="E163" s="7">
        <v>2906</v>
      </c>
      <c r="F163" s="8">
        <v>1792200000</v>
      </c>
      <c r="G163" s="8">
        <v>8883800000</v>
      </c>
      <c r="H163">
        <f t="shared" si="2"/>
        <v>96116.954422173687</v>
      </c>
    </row>
    <row r="164" spans="1:8" x14ac:dyDescent="0.25">
      <c r="A164" s="6">
        <v>37666</v>
      </c>
      <c r="B164" s="7">
        <v>2906</v>
      </c>
      <c r="C164" s="7">
        <v>2906</v>
      </c>
      <c r="D164" s="7">
        <v>2807.5</v>
      </c>
      <c r="E164" s="7">
        <v>2817.2</v>
      </c>
      <c r="F164" s="8">
        <v>1988400000</v>
      </c>
      <c r="G164" s="8">
        <v>10044200000</v>
      </c>
      <c r="H164">
        <f t="shared" si="2"/>
        <v>93179.86372957594</v>
      </c>
    </row>
    <row r="165" spans="1:8" x14ac:dyDescent="0.25">
      <c r="A165" s="6">
        <v>37673</v>
      </c>
      <c r="B165" s="7">
        <v>2817.2</v>
      </c>
      <c r="C165" s="7">
        <v>2873.5</v>
      </c>
      <c r="D165" s="7">
        <v>2796.3</v>
      </c>
      <c r="E165" s="7">
        <v>2820.2</v>
      </c>
      <c r="F165" s="8">
        <v>1951500000</v>
      </c>
      <c r="G165" s="8">
        <v>9414200000</v>
      </c>
      <c r="H165">
        <f t="shared" si="2"/>
        <v>93279.089766488032</v>
      </c>
    </row>
    <row r="166" spans="1:8" x14ac:dyDescent="0.25">
      <c r="A166" s="6">
        <v>37680</v>
      </c>
      <c r="B166" s="7">
        <v>2820.2</v>
      </c>
      <c r="C166" s="7">
        <v>2862.7</v>
      </c>
      <c r="D166" s="7">
        <v>2794.4</v>
      </c>
      <c r="E166" s="7">
        <v>2800.9</v>
      </c>
      <c r="F166" s="8">
        <v>2156900000</v>
      </c>
      <c r="G166" s="8">
        <v>10563800000</v>
      </c>
      <c r="H166">
        <f t="shared" si="2"/>
        <v>92640.735595686958</v>
      </c>
    </row>
    <row r="167" spans="1:8" x14ac:dyDescent="0.25">
      <c r="A167" s="6">
        <v>37687</v>
      </c>
      <c r="B167" s="7">
        <v>2800.9</v>
      </c>
      <c r="C167" s="7">
        <v>2820</v>
      </c>
      <c r="D167" s="7">
        <v>2740.7</v>
      </c>
      <c r="E167" s="7">
        <v>2744</v>
      </c>
      <c r="F167" s="8">
        <v>1636600000</v>
      </c>
      <c r="G167" s="8">
        <v>8102200000</v>
      </c>
      <c r="H167">
        <f t="shared" si="2"/>
        <v>90758.748428921055</v>
      </c>
    </row>
    <row r="168" spans="1:8" x14ac:dyDescent="0.25">
      <c r="A168" s="6">
        <v>37694</v>
      </c>
      <c r="B168" s="7">
        <v>2744</v>
      </c>
      <c r="C168" s="7">
        <v>2760.9</v>
      </c>
      <c r="D168" s="7">
        <v>2693.3</v>
      </c>
      <c r="E168" s="7">
        <v>2753.1</v>
      </c>
      <c r="F168" s="8">
        <v>1906700000</v>
      </c>
      <c r="G168" s="8">
        <v>9102000000</v>
      </c>
      <c r="H168">
        <f t="shared" si="2"/>
        <v>91059.734074221051</v>
      </c>
    </row>
    <row r="169" spans="1:8" x14ac:dyDescent="0.25">
      <c r="A169" s="6">
        <v>37701</v>
      </c>
      <c r="B169" s="7">
        <v>2753.1</v>
      </c>
      <c r="C169" s="7">
        <v>2882.7</v>
      </c>
      <c r="D169" s="7">
        <v>2727.7</v>
      </c>
      <c r="E169" s="7">
        <v>2866.7</v>
      </c>
      <c r="F169" s="8">
        <v>2383200000</v>
      </c>
      <c r="G169" s="8">
        <v>10645100000</v>
      </c>
      <c r="H169">
        <f t="shared" si="2"/>
        <v>94817.09333862536</v>
      </c>
    </row>
    <row r="170" spans="1:8" x14ac:dyDescent="0.25">
      <c r="A170" s="6">
        <v>37708</v>
      </c>
      <c r="B170" s="7">
        <v>2866.7</v>
      </c>
      <c r="C170" s="7">
        <v>2911.9</v>
      </c>
      <c r="D170" s="7">
        <v>2829</v>
      </c>
      <c r="E170" s="7">
        <v>2897.7</v>
      </c>
      <c r="F170" s="8">
        <v>2597000000</v>
      </c>
      <c r="G170" s="8">
        <v>13043100000</v>
      </c>
      <c r="H170">
        <f t="shared" si="2"/>
        <v>95842.429053383588</v>
      </c>
    </row>
    <row r="171" spans="1:8" x14ac:dyDescent="0.25">
      <c r="A171" s="6">
        <v>37715</v>
      </c>
      <c r="B171" s="7">
        <v>2897.7</v>
      </c>
      <c r="C171" s="7">
        <v>2933.5</v>
      </c>
      <c r="D171" s="7">
        <v>2865.9</v>
      </c>
      <c r="E171" s="7">
        <v>2933.5</v>
      </c>
      <c r="F171" s="8">
        <v>2818400000</v>
      </c>
      <c r="G171" s="8">
        <v>13653800000</v>
      </c>
      <c r="H171">
        <f t="shared" si="2"/>
        <v>97026.526427201155</v>
      </c>
    </row>
    <row r="172" spans="1:8" x14ac:dyDescent="0.25">
      <c r="A172" s="6">
        <v>37722</v>
      </c>
      <c r="B172" s="7">
        <v>2933.5</v>
      </c>
      <c r="C172" s="7">
        <v>2984.4</v>
      </c>
      <c r="D172" s="7">
        <v>2924.3</v>
      </c>
      <c r="E172" s="7">
        <v>2949</v>
      </c>
      <c r="F172" s="8">
        <v>2323000000</v>
      </c>
      <c r="G172" s="8">
        <v>10872600000</v>
      </c>
      <c r="H172">
        <f t="shared" si="2"/>
        <v>97539.19428458027</v>
      </c>
    </row>
    <row r="173" spans="1:8" x14ac:dyDescent="0.25">
      <c r="A173" s="6">
        <v>37728</v>
      </c>
      <c r="B173" s="7">
        <v>2949</v>
      </c>
      <c r="C173" s="7">
        <v>2985.1</v>
      </c>
      <c r="D173" s="7">
        <v>2932.5</v>
      </c>
      <c r="E173" s="7">
        <v>2953.2</v>
      </c>
      <c r="F173" s="8">
        <v>1482200000</v>
      </c>
      <c r="G173" s="8">
        <v>6742000000</v>
      </c>
      <c r="H173">
        <f t="shared" si="2"/>
        <v>97678.110736257178</v>
      </c>
    </row>
    <row r="174" spans="1:8" x14ac:dyDescent="0.25">
      <c r="A174" s="6">
        <v>37735</v>
      </c>
      <c r="B174" s="7">
        <v>2953.2</v>
      </c>
      <c r="C174" s="7">
        <v>3011.9</v>
      </c>
      <c r="D174" s="7">
        <v>2953.2</v>
      </c>
      <c r="E174" s="7">
        <v>3001.9</v>
      </c>
      <c r="F174" s="8">
        <v>1103700000</v>
      </c>
      <c r="G174" s="8">
        <v>6069200000</v>
      </c>
      <c r="H174">
        <f t="shared" si="2"/>
        <v>99288.880068796716</v>
      </c>
    </row>
    <row r="175" spans="1:8" x14ac:dyDescent="0.25">
      <c r="A175" s="6">
        <v>37743</v>
      </c>
      <c r="B175" s="7">
        <v>3001.9</v>
      </c>
      <c r="C175" s="7">
        <v>3023.7</v>
      </c>
      <c r="D175" s="7">
        <v>2969.6</v>
      </c>
      <c r="E175" s="7">
        <v>2975.4</v>
      </c>
      <c r="F175" s="8">
        <v>2043000000</v>
      </c>
      <c r="G175" s="8">
        <v>9848700000</v>
      </c>
      <c r="H175">
        <f t="shared" si="2"/>
        <v>98412.383409406626</v>
      </c>
    </row>
    <row r="176" spans="1:8" x14ac:dyDescent="0.25">
      <c r="A176" s="6">
        <v>37750</v>
      </c>
      <c r="B176" s="7">
        <v>2975.4</v>
      </c>
      <c r="C176" s="7">
        <v>2990.1</v>
      </c>
      <c r="D176" s="7">
        <v>2936.3</v>
      </c>
      <c r="E176" s="7">
        <v>2956</v>
      </c>
      <c r="F176" s="8">
        <v>2201200000</v>
      </c>
      <c r="G176" s="8">
        <v>10971900000</v>
      </c>
      <c r="H176">
        <f t="shared" si="2"/>
        <v>97770.721704041804</v>
      </c>
    </row>
    <row r="177" spans="1:8" x14ac:dyDescent="0.25">
      <c r="A177" s="6">
        <v>37757</v>
      </c>
      <c r="B177" s="7">
        <v>2956.1</v>
      </c>
      <c r="C177" s="7">
        <v>2994.6</v>
      </c>
      <c r="D177" s="7">
        <v>2942.6</v>
      </c>
      <c r="E177" s="7">
        <v>2951.3</v>
      </c>
      <c r="F177" s="8">
        <v>2207400000</v>
      </c>
      <c r="G177" s="8">
        <v>9786600000</v>
      </c>
      <c r="H177">
        <f t="shared" si="2"/>
        <v>97615.267579546213</v>
      </c>
    </row>
    <row r="178" spans="1:8" x14ac:dyDescent="0.25">
      <c r="A178" s="6">
        <v>37764</v>
      </c>
      <c r="B178" s="7">
        <v>2951.3</v>
      </c>
      <c r="C178" s="7">
        <v>3004.3</v>
      </c>
      <c r="D178" s="7">
        <v>2917.9</v>
      </c>
      <c r="E178" s="7">
        <v>2997.3</v>
      </c>
      <c r="F178" s="8">
        <v>2298100000</v>
      </c>
      <c r="G178" s="8">
        <v>9616300000</v>
      </c>
      <c r="H178">
        <f t="shared" si="2"/>
        <v>99136.733478864873</v>
      </c>
    </row>
    <row r="179" spans="1:8" x14ac:dyDescent="0.25">
      <c r="A179" s="6">
        <v>37771</v>
      </c>
      <c r="B179" s="7">
        <v>2997.7</v>
      </c>
      <c r="C179" s="7">
        <v>3026.1</v>
      </c>
      <c r="D179" s="7">
        <v>2981.2</v>
      </c>
      <c r="E179" s="7">
        <v>3011</v>
      </c>
      <c r="F179" s="8">
        <v>2722400000</v>
      </c>
      <c r="G179" s="8">
        <v>11736600000</v>
      </c>
      <c r="H179">
        <f t="shared" si="2"/>
        <v>99589.865714096726</v>
      </c>
    </row>
    <row r="180" spans="1:8" x14ac:dyDescent="0.25">
      <c r="A180" s="6">
        <v>37778</v>
      </c>
      <c r="B180" s="7">
        <v>3011</v>
      </c>
      <c r="C180" s="7">
        <v>3056.6</v>
      </c>
      <c r="D180" s="7">
        <v>3011</v>
      </c>
      <c r="E180" s="7">
        <v>3048.9</v>
      </c>
      <c r="F180" s="8">
        <v>2226500000</v>
      </c>
      <c r="G180" s="8">
        <v>10543300000</v>
      </c>
      <c r="H180">
        <f t="shared" si="2"/>
        <v>100843.42131375274</v>
      </c>
    </row>
    <row r="181" spans="1:8" x14ac:dyDescent="0.25">
      <c r="A181" s="6">
        <v>37785</v>
      </c>
      <c r="B181" s="7">
        <v>3048.9</v>
      </c>
      <c r="C181" s="7">
        <v>3092.9</v>
      </c>
      <c r="D181" s="7">
        <v>3040.2</v>
      </c>
      <c r="E181" s="7">
        <v>3087.6</v>
      </c>
      <c r="F181" s="8">
        <v>2506300000</v>
      </c>
      <c r="G181" s="8">
        <v>10053800000</v>
      </c>
      <c r="H181">
        <f t="shared" si="2"/>
        <v>102123.43718991864</v>
      </c>
    </row>
    <row r="182" spans="1:8" x14ac:dyDescent="0.25">
      <c r="A182" s="6">
        <v>37792</v>
      </c>
      <c r="B182" s="7">
        <v>3087.6</v>
      </c>
      <c r="C182" s="7">
        <v>3124.6</v>
      </c>
      <c r="D182" s="7">
        <v>3070.8</v>
      </c>
      <c r="E182" s="7">
        <v>3089.5</v>
      </c>
      <c r="F182" s="8">
        <v>2785400000</v>
      </c>
      <c r="G182" s="8">
        <v>13673200000</v>
      </c>
      <c r="H182">
        <f t="shared" si="2"/>
        <v>102186.28034662962</v>
      </c>
    </row>
    <row r="183" spans="1:8" x14ac:dyDescent="0.25">
      <c r="A183" s="6">
        <v>37799</v>
      </c>
      <c r="B183" s="7">
        <v>3089.5</v>
      </c>
      <c r="C183" s="7">
        <v>3107.3</v>
      </c>
      <c r="D183" s="7">
        <v>3022</v>
      </c>
      <c r="E183" s="7">
        <v>3048.8</v>
      </c>
      <c r="F183" s="8">
        <v>2293500000</v>
      </c>
      <c r="G183" s="8">
        <v>11616400000</v>
      </c>
      <c r="H183">
        <f t="shared" si="2"/>
        <v>100840.11377918899</v>
      </c>
    </row>
    <row r="184" spans="1:8" x14ac:dyDescent="0.25">
      <c r="A184" s="6">
        <v>37806</v>
      </c>
      <c r="B184" s="7">
        <v>3048.8</v>
      </c>
      <c r="C184" s="7">
        <v>3052.1</v>
      </c>
      <c r="D184" s="7">
        <v>3003.8</v>
      </c>
      <c r="E184" s="7">
        <v>3028.4</v>
      </c>
      <c r="F184" s="8">
        <v>1991800000</v>
      </c>
      <c r="G184" s="8">
        <v>9991600000</v>
      </c>
      <c r="H184">
        <f t="shared" si="2"/>
        <v>100165.37672818681</v>
      </c>
    </row>
    <row r="185" spans="1:8" x14ac:dyDescent="0.25">
      <c r="A185" s="6">
        <v>37813</v>
      </c>
      <c r="B185" s="7">
        <v>3028.4</v>
      </c>
      <c r="C185" s="7">
        <v>3063.7</v>
      </c>
      <c r="D185" s="7">
        <v>3021.5</v>
      </c>
      <c r="E185" s="7">
        <v>3043.8</v>
      </c>
      <c r="F185" s="8">
        <v>2201100000</v>
      </c>
      <c r="G185" s="8">
        <v>10576800000</v>
      </c>
      <c r="H185">
        <f t="shared" si="2"/>
        <v>100674.73705100219</v>
      </c>
    </row>
    <row r="186" spans="1:8" x14ac:dyDescent="0.25">
      <c r="A186" s="6">
        <v>37820</v>
      </c>
      <c r="B186" s="7">
        <v>3043.8</v>
      </c>
      <c r="C186" s="7">
        <v>3095.3</v>
      </c>
      <c r="D186" s="7">
        <v>3043.7</v>
      </c>
      <c r="E186" s="7">
        <v>3083.6</v>
      </c>
      <c r="F186" s="8">
        <v>1945000000</v>
      </c>
      <c r="G186" s="8">
        <v>9468800000</v>
      </c>
      <c r="H186">
        <f t="shared" si="2"/>
        <v>101991.13580736918</v>
      </c>
    </row>
    <row r="187" spans="1:8" x14ac:dyDescent="0.25">
      <c r="A187" s="6">
        <v>37827</v>
      </c>
      <c r="B187" s="7">
        <v>3083.6</v>
      </c>
      <c r="C187" s="7">
        <v>3102.6</v>
      </c>
      <c r="D187" s="7">
        <v>3058.9</v>
      </c>
      <c r="E187" s="7">
        <v>3098.6</v>
      </c>
      <c r="F187" s="8">
        <v>1900100000</v>
      </c>
      <c r="G187" s="8">
        <v>10319600000</v>
      </c>
      <c r="H187">
        <f t="shared" si="2"/>
        <v>102487.26599192961</v>
      </c>
    </row>
    <row r="188" spans="1:8" x14ac:dyDescent="0.25">
      <c r="A188" s="6">
        <v>37834</v>
      </c>
      <c r="B188" s="7">
        <v>3098.6</v>
      </c>
      <c r="C188" s="7">
        <v>3141.6</v>
      </c>
      <c r="D188" s="7">
        <v>3083.5</v>
      </c>
      <c r="E188" s="7">
        <v>3140.3</v>
      </c>
      <c r="F188" s="8">
        <v>2173000000</v>
      </c>
      <c r="G188" s="8">
        <v>10500800000</v>
      </c>
      <c r="H188">
        <f t="shared" si="2"/>
        <v>103866.5079050076</v>
      </c>
    </row>
    <row r="189" spans="1:8" x14ac:dyDescent="0.25">
      <c r="A189" s="6">
        <v>37841</v>
      </c>
      <c r="B189" s="7">
        <v>3140.3</v>
      </c>
      <c r="C189" s="7">
        <v>3157.7</v>
      </c>
      <c r="D189" s="7">
        <v>3120.1</v>
      </c>
      <c r="E189" s="7">
        <v>3149.4</v>
      </c>
      <c r="F189" s="8">
        <v>1724600000</v>
      </c>
      <c r="G189" s="8">
        <v>8400700000</v>
      </c>
      <c r="H189">
        <f t="shared" si="2"/>
        <v>104167.4935503076</v>
      </c>
    </row>
    <row r="190" spans="1:8" x14ac:dyDescent="0.25">
      <c r="A190" s="6">
        <v>37848</v>
      </c>
      <c r="B190" s="7">
        <v>3149.4</v>
      </c>
      <c r="C190" s="7">
        <v>3164.4</v>
      </c>
      <c r="D190" s="7">
        <v>3141.6</v>
      </c>
      <c r="E190" s="7">
        <v>3148</v>
      </c>
      <c r="F190" s="8">
        <v>2019800000</v>
      </c>
      <c r="G190" s="8">
        <v>9874900000</v>
      </c>
      <c r="H190">
        <f t="shared" si="2"/>
        <v>104121.18806641528</v>
      </c>
    </row>
    <row r="191" spans="1:8" x14ac:dyDescent="0.25">
      <c r="A191" s="6">
        <v>37855</v>
      </c>
      <c r="B191" s="7">
        <v>3148</v>
      </c>
      <c r="C191" s="7">
        <v>3185.8</v>
      </c>
      <c r="D191" s="7">
        <v>3148</v>
      </c>
      <c r="E191" s="7">
        <v>3184.4</v>
      </c>
      <c r="F191" s="8">
        <v>2210900000</v>
      </c>
      <c r="G191" s="8">
        <v>11385000000</v>
      </c>
      <c r="H191">
        <f t="shared" si="2"/>
        <v>105325.13064761525</v>
      </c>
    </row>
    <row r="192" spans="1:8" x14ac:dyDescent="0.25">
      <c r="A192" s="6">
        <v>37862</v>
      </c>
      <c r="B192" s="7">
        <v>3184.4</v>
      </c>
      <c r="C192" s="7">
        <v>3210.7</v>
      </c>
      <c r="D192" s="7">
        <v>3161.8</v>
      </c>
      <c r="E192" s="7">
        <v>3199.7</v>
      </c>
      <c r="F192" s="8">
        <v>2811100000</v>
      </c>
      <c r="G192" s="8">
        <v>15814200000</v>
      </c>
      <c r="H192">
        <f t="shared" si="2"/>
        <v>105831.18343586689</v>
      </c>
    </row>
    <row r="193" spans="1:8" x14ac:dyDescent="0.25">
      <c r="A193" s="6">
        <v>37869</v>
      </c>
      <c r="B193" s="7">
        <v>3199.7</v>
      </c>
      <c r="C193" s="7">
        <v>3237.4</v>
      </c>
      <c r="D193" s="7">
        <v>3199.7</v>
      </c>
      <c r="E193" s="7">
        <v>3213.8</v>
      </c>
      <c r="F193" s="8">
        <v>2664700000</v>
      </c>
      <c r="G193" s="8">
        <v>12687200000</v>
      </c>
      <c r="H193">
        <f t="shared" si="2"/>
        <v>106297.54580935369</v>
      </c>
    </row>
    <row r="194" spans="1:8" x14ac:dyDescent="0.25">
      <c r="A194" s="6">
        <v>37876</v>
      </c>
      <c r="B194" s="7">
        <v>3213.8</v>
      </c>
      <c r="C194" s="7">
        <v>3247.4</v>
      </c>
      <c r="D194" s="7">
        <v>3189.2</v>
      </c>
      <c r="E194" s="7">
        <v>3192.5</v>
      </c>
      <c r="F194" s="8">
        <v>2094200000</v>
      </c>
      <c r="G194" s="8">
        <v>9977600000</v>
      </c>
      <c r="H194">
        <f t="shared" si="2"/>
        <v>105593.04094727787</v>
      </c>
    </row>
    <row r="195" spans="1:8" x14ac:dyDescent="0.25">
      <c r="A195" s="6">
        <v>37883</v>
      </c>
      <c r="B195" s="7">
        <v>3192.5</v>
      </c>
      <c r="C195" s="7">
        <v>3247.1</v>
      </c>
      <c r="D195" s="7">
        <v>3183.2</v>
      </c>
      <c r="E195" s="7">
        <v>3218.1</v>
      </c>
      <c r="F195" s="8">
        <v>2212800000</v>
      </c>
      <c r="G195" s="8">
        <v>11573800000</v>
      </c>
      <c r="H195">
        <f t="shared" si="2"/>
        <v>106439.76979559433</v>
      </c>
    </row>
    <row r="196" spans="1:8" x14ac:dyDescent="0.25">
      <c r="A196" s="6">
        <v>37890</v>
      </c>
      <c r="B196" s="7">
        <v>3218.1</v>
      </c>
      <c r="C196" s="7">
        <v>3220</v>
      </c>
      <c r="D196" s="7">
        <v>3163.4</v>
      </c>
      <c r="E196" s="7">
        <v>3171.5</v>
      </c>
      <c r="F196" s="8">
        <v>2348300000</v>
      </c>
      <c r="G196" s="8">
        <v>13261500000</v>
      </c>
      <c r="H196">
        <f t="shared" ref="H196:H259" si="3">H195*(E196/E195)</f>
        <v>104898.45868889327</v>
      </c>
    </row>
    <row r="197" spans="1:8" x14ac:dyDescent="0.25">
      <c r="A197" s="6">
        <v>37897</v>
      </c>
      <c r="B197" s="7">
        <v>3171.5</v>
      </c>
      <c r="C197" s="7">
        <v>3206.8</v>
      </c>
      <c r="D197" s="7">
        <v>3153</v>
      </c>
      <c r="E197" s="7">
        <v>3203.3</v>
      </c>
      <c r="F197" s="8">
        <v>2258000000</v>
      </c>
      <c r="G197" s="8">
        <v>11282300000</v>
      </c>
      <c r="H197">
        <f t="shared" si="3"/>
        <v>105950.25468016138</v>
      </c>
    </row>
    <row r="198" spans="1:8" x14ac:dyDescent="0.25">
      <c r="A198" s="6">
        <v>37904</v>
      </c>
      <c r="B198" s="7">
        <v>3203.3</v>
      </c>
      <c r="C198" s="7">
        <v>3267.8</v>
      </c>
      <c r="D198" s="7">
        <v>3203.3</v>
      </c>
      <c r="E198" s="7">
        <v>3260.2</v>
      </c>
      <c r="F198" s="8">
        <v>1686000000</v>
      </c>
      <c r="G198" s="8">
        <v>9359200000</v>
      </c>
      <c r="H198">
        <f t="shared" si="3"/>
        <v>107832.24184692725</v>
      </c>
    </row>
    <row r="199" spans="1:8" x14ac:dyDescent="0.25">
      <c r="A199" s="6">
        <v>37911</v>
      </c>
      <c r="B199" s="7">
        <v>3260.2</v>
      </c>
      <c r="C199" s="7">
        <v>3299.7</v>
      </c>
      <c r="D199" s="7">
        <v>3260.2</v>
      </c>
      <c r="E199" s="7">
        <v>3294.3</v>
      </c>
      <c r="F199" s="8">
        <v>2003400000</v>
      </c>
      <c r="G199" s="8">
        <v>11211500000</v>
      </c>
      <c r="H199">
        <f t="shared" si="3"/>
        <v>108960.11113316131</v>
      </c>
    </row>
    <row r="200" spans="1:8" x14ac:dyDescent="0.25">
      <c r="A200" s="6">
        <v>37918</v>
      </c>
      <c r="B200" s="7">
        <v>3294.3</v>
      </c>
      <c r="C200" s="7">
        <v>3311.8</v>
      </c>
      <c r="D200" s="7">
        <v>3254.3</v>
      </c>
      <c r="E200" s="7">
        <v>3256.3</v>
      </c>
      <c r="F200" s="8">
        <v>1889800000</v>
      </c>
      <c r="G200" s="8">
        <v>10051700000</v>
      </c>
      <c r="H200">
        <f t="shared" si="3"/>
        <v>107703.24799894156</v>
      </c>
    </row>
    <row r="201" spans="1:8" x14ac:dyDescent="0.25">
      <c r="A201" s="6">
        <v>37925</v>
      </c>
      <c r="B201" s="7">
        <v>3256.3</v>
      </c>
      <c r="C201" s="7">
        <v>3286.6</v>
      </c>
      <c r="D201" s="7">
        <v>3240.5</v>
      </c>
      <c r="E201" s="7">
        <v>3272</v>
      </c>
      <c r="F201" s="8">
        <v>1960300000</v>
      </c>
      <c r="G201" s="8">
        <v>12171100000</v>
      </c>
      <c r="H201">
        <f t="shared" si="3"/>
        <v>108222.53092544814</v>
      </c>
    </row>
    <row r="202" spans="1:8" x14ac:dyDescent="0.25">
      <c r="A202" s="6">
        <v>37932</v>
      </c>
      <c r="B202" s="7">
        <v>3272</v>
      </c>
      <c r="C202" s="7">
        <v>3276.3</v>
      </c>
      <c r="D202" s="7">
        <v>3226.4</v>
      </c>
      <c r="E202" s="7">
        <v>3248.5</v>
      </c>
      <c r="F202" s="8">
        <v>1918400000</v>
      </c>
      <c r="G202" s="8">
        <v>10134300000</v>
      </c>
      <c r="H202">
        <f t="shared" si="3"/>
        <v>107445.26030297013</v>
      </c>
    </row>
    <row r="203" spans="1:8" x14ac:dyDescent="0.25">
      <c r="A203" s="6">
        <v>37939</v>
      </c>
      <c r="B203" s="7">
        <v>3248.5</v>
      </c>
      <c r="C203" s="7">
        <v>3248.5</v>
      </c>
      <c r="D203" s="7">
        <v>3195</v>
      </c>
      <c r="E203" s="7">
        <v>3201.8</v>
      </c>
      <c r="F203" s="8">
        <v>2217600000</v>
      </c>
      <c r="G203" s="8">
        <v>11729800000</v>
      </c>
      <c r="H203">
        <f t="shared" si="3"/>
        <v>105900.64166170533</v>
      </c>
    </row>
    <row r="204" spans="1:8" x14ac:dyDescent="0.25">
      <c r="A204" s="6">
        <v>37946</v>
      </c>
      <c r="B204" s="7">
        <v>3201.8</v>
      </c>
      <c r="C204" s="7">
        <v>3201.8</v>
      </c>
      <c r="D204" s="7">
        <v>3158.8</v>
      </c>
      <c r="E204" s="7">
        <v>3169.1</v>
      </c>
      <c r="F204" s="8">
        <v>1964600000</v>
      </c>
      <c r="G204" s="8">
        <v>10409700000</v>
      </c>
      <c r="H204">
        <f t="shared" si="3"/>
        <v>104819.07785936359</v>
      </c>
    </row>
    <row r="205" spans="1:8" x14ac:dyDescent="0.25">
      <c r="A205" s="6">
        <v>37953</v>
      </c>
      <c r="B205" s="7">
        <v>3169.1</v>
      </c>
      <c r="C205" s="7">
        <v>3201.4</v>
      </c>
      <c r="D205" s="7">
        <v>3167</v>
      </c>
      <c r="E205" s="7">
        <v>3186.4</v>
      </c>
      <c r="F205" s="8">
        <v>1611500000</v>
      </c>
      <c r="G205" s="8">
        <v>9350199000</v>
      </c>
      <c r="H205">
        <f t="shared" si="3"/>
        <v>105391.28133888995</v>
      </c>
    </row>
    <row r="206" spans="1:8" x14ac:dyDescent="0.25">
      <c r="A206" s="6">
        <v>37960</v>
      </c>
      <c r="B206" s="7">
        <v>3186.4</v>
      </c>
      <c r="C206" s="7">
        <v>3234.7</v>
      </c>
      <c r="D206" s="7">
        <v>3162.5</v>
      </c>
      <c r="E206" s="7">
        <v>3229.8</v>
      </c>
      <c r="F206" s="8">
        <v>1676100000</v>
      </c>
      <c r="G206" s="8">
        <v>9782700000</v>
      </c>
      <c r="H206">
        <f t="shared" si="3"/>
        <v>106826.75133955147</v>
      </c>
    </row>
    <row r="207" spans="1:8" x14ac:dyDescent="0.25">
      <c r="A207" s="6">
        <v>37967</v>
      </c>
      <c r="B207" s="7">
        <v>3229.8</v>
      </c>
      <c r="C207" s="7">
        <v>3243.9</v>
      </c>
      <c r="D207" s="7">
        <v>3186.2</v>
      </c>
      <c r="E207" s="7">
        <v>3212.7</v>
      </c>
      <c r="F207" s="8">
        <v>1817900000</v>
      </c>
      <c r="G207" s="8">
        <v>9405900000</v>
      </c>
      <c r="H207">
        <f t="shared" si="3"/>
        <v>106261.16292915258</v>
      </c>
    </row>
    <row r="208" spans="1:8" x14ac:dyDescent="0.25">
      <c r="A208" s="6">
        <v>37974</v>
      </c>
      <c r="B208" s="7">
        <v>3212.7</v>
      </c>
      <c r="C208" s="7">
        <v>3249.7</v>
      </c>
      <c r="D208" s="7">
        <v>3212.7</v>
      </c>
      <c r="E208" s="7">
        <v>3232.8</v>
      </c>
      <c r="F208" s="8">
        <v>2478900000</v>
      </c>
      <c r="G208" s="8">
        <v>14161300000</v>
      </c>
      <c r="H208">
        <f t="shared" si="3"/>
        <v>106925.97737646358</v>
      </c>
    </row>
    <row r="209" spans="1:8" x14ac:dyDescent="0.25">
      <c r="A209" s="6">
        <v>37979</v>
      </c>
      <c r="B209" s="7">
        <v>3232.8</v>
      </c>
      <c r="C209" s="7">
        <v>3267</v>
      </c>
      <c r="D209" s="7">
        <v>3232.8</v>
      </c>
      <c r="E209" s="7">
        <v>3265.6</v>
      </c>
      <c r="F209" s="8">
        <v>1055000000</v>
      </c>
      <c r="G209" s="8">
        <v>3505800000</v>
      </c>
      <c r="H209">
        <f t="shared" si="3"/>
        <v>108010.84871336904</v>
      </c>
    </row>
    <row r="210" spans="1:8" x14ac:dyDescent="0.25">
      <c r="A210" s="6">
        <v>37988</v>
      </c>
      <c r="B210" s="7">
        <v>3265.6</v>
      </c>
      <c r="C210" s="7">
        <v>3302.7</v>
      </c>
      <c r="D210" s="7">
        <v>3265.6</v>
      </c>
      <c r="E210" s="7">
        <v>3300.7</v>
      </c>
      <c r="F210" s="8">
        <v>601400000</v>
      </c>
      <c r="G210" s="8">
        <v>2838300000</v>
      </c>
      <c r="H210">
        <f t="shared" si="3"/>
        <v>109171.79334524042</v>
      </c>
    </row>
    <row r="211" spans="1:8" x14ac:dyDescent="0.25">
      <c r="A211" s="6">
        <v>37995</v>
      </c>
      <c r="B211" s="7">
        <v>3300.7</v>
      </c>
      <c r="C211" s="7">
        <v>3323.2</v>
      </c>
      <c r="D211" s="7">
        <v>3283.2</v>
      </c>
      <c r="E211" s="7">
        <v>3301.6</v>
      </c>
      <c r="F211" s="8">
        <v>1713400000</v>
      </c>
      <c r="G211" s="8">
        <v>9396799000</v>
      </c>
      <c r="H211">
        <f t="shared" si="3"/>
        <v>109201.56115631406</v>
      </c>
    </row>
    <row r="212" spans="1:8" x14ac:dyDescent="0.25">
      <c r="A212" s="6">
        <v>38002</v>
      </c>
      <c r="B212" s="7">
        <v>3301.6</v>
      </c>
      <c r="C212" s="7">
        <v>3316.9</v>
      </c>
      <c r="D212" s="7">
        <v>3285.5</v>
      </c>
      <c r="E212" s="7">
        <v>3288.8</v>
      </c>
      <c r="F212" s="8">
        <v>2150600000</v>
      </c>
      <c r="G212" s="8">
        <v>12150600000</v>
      </c>
      <c r="H212">
        <f t="shared" si="3"/>
        <v>108778.19673215583</v>
      </c>
    </row>
    <row r="213" spans="1:8" x14ac:dyDescent="0.25">
      <c r="A213" s="6">
        <v>38009</v>
      </c>
      <c r="B213" s="7">
        <v>3288.8</v>
      </c>
      <c r="C213" s="7">
        <v>3336.6</v>
      </c>
      <c r="D213" s="7">
        <v>3288.8</v>
      </c>
      <c r="E213" s="7">
        <v>3334.7</v>
      </c>
      <c r="F213" s="8">
        <v>1983100000</v>
      </c>
      <c r="G213" s="8">
        <v>10948900000</v>
      </c>
      <c r="H213">
        <f t="shared" si="3"/>
        <v>110296.35509691073</v>
      </c>
    </row>
    <row r="214" spans="1:8" x14ac:dyDescent="0.25">
      <c r="A214" s="6">
        <v>38016</v>
      </c>
      <c r="B214" s="7">
        <v>3334.7</v>
      </c>
      <c r="C214" s="7">
        <v>3346.2</v>
      </c>
      <c r="D214" s="7">
        <v>3258.3</v>
      </c>
      <c r="E214" s="7">
        <v>3272</v>
      </c>
      <c r="F214" s="8">
        <v>2165800000</v>
      </c>
      <c r="G214" s="8">
        <v>13274300000</v>
      </c>
      <c r="H214">
        <f t="shared" si="3"/>
        <v>108222.53092544814</v>
      </c>
    </row>
    <row r="215" spans="1:8" x14ac:dyDescent="0.25">
      <c r="A215" s="6">
        <v>38023</v>
      </c>
      <c r="B215" s="7">
        <v>3272</v>
      </c>
      <c r="C215" s="7">
        <v>3285.8</v>
      </c>
      <c r="D215" s="7">
        <v>3252.9</v>
      </c>
      <c r="E215" s="7">
        <v>3272.2</v>
      </c>
      <c r="F215" s="8">
        <v>1922600000</v>
      </c>
      <c r="G215" s="8">
        <v>10329100000</v>
      </c>
      <c r="H215">
        <f t="shared" si="3"/>
        <v>108229.14599457561</v>
      </c>
    </row>
    <row r="216" spans="1:8" x14ac:dyDescent="0.25">
      <c r="A216" s="6">
        <v>38030</v>
      </c>
      <c r="B216" s="7">
        <v>3272.2</v>
      </c>
      <c r="C216" s="7">
        <v>3337.5</v>
      </c>
      <c r="D216" s="7">
        <v>3272.2</v>
      </c>
      <c r="E216" s="7">
        <v>3333.7</v>
      </c>
      <c r="F216" s="8">
        <v>2141500000</v>
      </c>
      <c r="G216" s="8">
        <v>11595400000</v>
      </c>
      <c r="H216">
        <f t="shared" si="3"/>
        <v>110263.27975127335</v>
      </c>
    </row>
    <row r="217" spans="1:8" x14ac:dyDescent="0.25">
      <c r="A217" s="6">
        <v>38037</v>
      </c>
      <c r="B217" s="7">
        <v>3333.7</v>
      </c>
      <c r="C217" s="7">
        <v>3357.3</v>
      </c>
      <c r="D217" s="7">
        <v>3316.9</v>
      </c>
      <c r="E217" s="7">
        <v>3344.1</v>
      </c>
      <c r="F217" s="8">
        <v>1876900000</v>
      </c>
      <c r="G217" s="8">
        <v>10252400000</v>
      </c>
      <c r="H217">
        <f t="shared" si="3"/>
        <v>110607.26334590191</v>
      </c>
    </row>
    <row r="218" spans="1:8" x14ac:dyDescent="0.25">
      <c r="A218" s="6">
        <v>38044</v>
      </c>
      <c r="B218" s="7">
        <v>3344.1</v>
      </c>
      <c r="C218" s="7">
        <v>3360.9</v>
      </c>
      <c r="D218" s="7">
        <v>3320.9</v>
      </c>
      <c r="E218" s="7">
        <v>3360.6</v>
      </c>
      <c r="F218" s="8">
        <v>2329200000</v>
      </c>
      <c r="G218" s="8">
        <v>12293200000</v>
      </c>
      <c r="H218">
        <f t="shared" si="3"/>
        <v>111153.00654891839</v>
      </c>
    </row>
    <row r="219" spans="1:8" x14ac:dyDescent="0.25">
      <c r="A219" s="6">
        <v>38051</v>
      </c>
      <c r="B219" s="7">
        <v>3360.6</v>
      </c>
      <c r="C219" s="7">
        <v>3407.5</v>
      </c>
      <c r="D219" s="7">
        <v>3360.6</v>
      </c>
      <c r="E219" s="7">
        <v>3407.5</v>
      </c>
      <c r="F219" s="8">
        <v>2325200000</v>
      </c>
      <c r="G219" s="8">
        <v>11726700000</v>
      </c>
      <c r="H219">
        <f t="shared" si="3"/>
        <v>112704.24025931068</v>
      </c>
    </row>
    <row r="220" spans="1:8" x14ac:dyDescent="0.25">
      <c r="A220" s="6">
        <v>38058</v>
      </c>
      <c r="B220" s="7">
        <v>3407.5</v>
      </c>
      <c r="C220" s="7">
        <v>3429.3</v>
      </c>
      <c r="D220" s="7">
        <v>3391.1</v>
      </c>
      <c r="E220" s="7">
        <v>3402.3</v>
      </c>
      <c r="F220" s="8">
        <v>2381600000</v>
      </c>
      <c r="G220" s="8">
        <v>12869300000</v>
      </c>
      <c r="H220">
        <f t="shared" si="3"/>
        <v>112532.24846199641</v>
      </c>
    </row>
    <row r="221" spans="1:8" x14ac:dyDescent="0.25">
      <c r="A221" s="6">
        <v>38065</v>
      </c>
      <c r="B221" s="7">
        <v>3402.3</v>
      </c>
      <c r="C221" s="7">
        <v>3456.1</v>
      </c>
      <c r="D221" s="7">
        <v>3395</v>
      </c>
      <c r="E221" s="7">
        <v>3435.3</v>
      </c>
      <c r="F221" s="8">
        <v>2381200000</v>
      </c>
      <c r="G221" s="8">
        <v>12136900000</v>
      </c>
      <c r="H221">
        <f t="shared" si="3"/>
        <v>113623.73486802935</v>
      </c>
    </row>
    <row r="222" spans="1:8" x14ac:dyDescent="0.25">
      <c r="A222" s="6">
        <v>38072</v>
      </c>
      <c r="B222" s="7">
        <v>3435.3</v>
      </c>
      <c r="C222" s="7">
        <v>3435.7</v>
      </c>
      <c r="D222" s="7">
        <v>3376.3</v>
      </c>
      <c r="E222" s="7">
        <v>3428.5</v>
      </c>
      <c r="F222" s="8">
        <v>2464100000</v>
      </c>
      <c r="G222" s="8">
        <v>13794400000</v>
      </c>
      <c r="H222">
        <f t="shared" si="3"/>
        <v>113398.82251769528</v>
      </c>
    </row>
    <row r="223" spans="1:8" x14ac:dyDescent="0.25">
      <c r="A223" s="6">
        <v>38079</v>
      </c>
      <c r="B223" s="7">
        <v>3428.5</v>
      </c>
      <c r="C223" s="7">
        <v>3447.6</v>
      </c>
      <c r="D223" s="7">
        <v>3409.5</v>
      </c>
      <c r="E223" s="7">
        <v>3438.6</v>
      </c>
      <c r="F223" s="8">
        <v>2278700000</v>
      </c>
      <c r="G223" s="8">
        <v>11447700000</v>
      </c>
      <c r="H223">
        <f t="shared" si="3"/>
        <v>113732.88350863263</v>
      </c>
    </row>
    <row r="224" spans="1:8" x14ac:dyDescent="0.25">
      <c r="A224" s="6">
        <v>38085</v>
      </c>
      <c r="B224" s="7">
        <v>3438.6</v>
      </c>
      <c r="C224" s="7">
        <v>3469.2</v>
      </c>
      <c r="D224" s="7">
        <v>3438.6</v>
      </c>
      <c r="E224" s="7">
        <v>3450.6</v>
      </c>
      <c r="F224" s="8">
        <v>1601100000</v>
      </c>
      <c r="G224" s="8">
        <v>9456600000</v>
      </c>
      <c r="H224">
        <f t="shared" si="3"/>
        <v>114129.78765628097</v>
      </c>
    </row>
    <row r="225" spans="1:8" x14ac:dyDescent="0.25">
      <c r="A225" s="6">
        <v>38093</v>
      </c>
      <c r="B225" s="7">
        <v>3450.6</v>
      </c>
      <c r="C225" s="7">
        <v>3456.4</v>
      </c>
      <c r="D225" s="7">
        <v>3408.5</v>
      </c>
      <c r="E225" s="7">
        <v>3417.3</v>
      </c>
      <c r="F225" s="8">
        <v>1634500000</v>
      </c>
      <c r="G225" s="8">
        <v>8906600000</v>
      </c>
      <c r="H225">
        <f t="shared" si="3"/>
        <v>113028.37864655683</v>
      </c>
    </row>
    <row r="226" spans="1:8" x14ac:dyDescent="0.25">
      <c r="A226" s="6">
        <v>38100</v>
      </c>
      <c r="B226" s="7">
        <v>3417.3</v>
      </c>
      <c r="C226" s="7">
        <v>3468</v>
      </c>
      <c r="D226" s="7">
        <v>3417.3</v>
      </c>
      <c r="E226" s="7">
        <v>3457</v>
      </c>
      <c r="F226" s="8">
        <v>2241900000</v>
      </c>
      <c r="G226" s="8">
        <v>12512000000</v>
      </c>
      <c r="H226">
        <f t="shared" si="3"/>
        <v>114341.4698683601</v>
      </c>
    </row>
    <row r="227" spans="1:8" x14ac:dyDescent="0.25">
      <c r="A227" s="6">
        <v>38107</v>
      </c>
      <c r="B227" s="7">
        <v>3457.4</v>
      </c>
      <c r="C227" s="7">
        <v>3460.4</v>
      </c>
      <c r="D227" s="7">
        <v>3378.6</v>
      </c>
      <c r="E227" s="7">
        <v>3400.8</v>
      </c>
      <c r="F227" s="8">
        <v>2293900000</v>
      </c>
      <c r="G227" s="8">
        <v>12873300000</v>
      </c>
      <c r="H227">
        <f t="shared" si="3"/>
        <v>112482.63544354036</v>
      </c>
    </row>
    <row r="228" spans="1:8" x14ac:dyDescent="0.25">
      <c r="A228" s="6">
        <v>38114</v>
      </c>
      <c r="B228" s="7">
        <v>3400.8</v>
      </c>
      <c r="C228" s="7">
        <v>3412.6</v>
      </c>
      <c r="D228" s="7">
        <v>3376.7</v>
      </c>
      <c r="E228" s="7">
        <v>3393.2</v>
      </c>
      <c r="F228" s="8">
        <v>2365900000</v>
      </c>
      <c r="G228" s="8">
        <v>11792200000</v>
      </c>
      <c r="H228">
        <f t="shared" si="3"/>
        <v>112231.2628166964</v>
      </c>
    </row>
    <row r="229" spans="1:8" x14ac:dyDescent="0.25">
      <c r="A229" s="6">
        <v>38121</v>
      </c>
      <c r="B229" s="7">
        <v>3393.2</v>
      </c>
      <c r="C229" s="7">
        <v>3393.2</v>
      </c>
      <c r="D229" s="7">
        <v>3341</v>
      </c>
      <c r="E229" s="7">
        <v>3359.5</v>
      </c>
      <c r="F229" s="8">
        <v>2216800000</v>
      </c>
      <c r="G229" s="8">
        <v>12122800000</v>
      </c>
      <c r="H229">
        <f t="shared" si="3"/>
        <v>111116.62366871731</v>
      </c>
    </row>
    <row r="230" spans="1:8" x14ac:dyDescent="0.25">
      <c r="A230" s="6">
        <v>38128</v>
      </c>
      <c r="B230" s="7">
        <v>3359.5</v>
      </c>
      <c r="C230" s="7">
        <v>3397.9</v>
      </c>
      <c r="D230" s="7">
        <v>3343.4</v>
      </c>
      <c r="E230" s="7">
        <v>3395.4</v>
      </c>
      <c r="F230" s="8">
        <v>2007500000</v>
      </c>
      <c r="G230" s="8">
        <v>10821500000</v>
      </c>
      <c r="H230">
        <f t="shared" si="3"/>
        <v>112304.02857709859</v>
      </c>
    </row>
    <row r="231" spans="1:8" x14ac:dyDescent="0.25">
      <c r="A231" s="6">
        <v>38135</v>
      </c>
      <c r="B231" s="7">
        <v>3395.4</v>
      </c>
      <c r="C231" s="7">
        <v>3467.6</v>
      </c>
      <c r="D231" s="7">
        <v>3390.8</v>
      </c>
      <c r="E231" s="7">
        <v>3450.4</v>
      </c>
      <c r="F231" s="8">
        <v>2562300000</v>
      </c>
      <c r="G231" s="8">
        <v>14169700000</v>
      </c>
      <c r="H231">
        <f t="shared" si="3"/>
        <v>114123.17258715349</v>
      </c>
    </row>
    <row r="232" spans="1:8" x14ac:dyDescent="0.25">
      <c r="A232" s="6">
        <v>38142</v>
      </c>
      <c r="B232" s="7">
        <v>3450.4</v>
      </c>
      <c r="C232" s="7">
        <v>3478</v>
      </c>
      <c r="D232" s="7">
        <v>3449.9</v>
      </c>
      <c r="E232" s="7">
        <v>3467.7</v>
      </c>
      <c r="F232" s="8">
        <v>1940800000</v>
      </c>
      <c r="G232" s="8">
        <v>10216900000</v>
      </c>
      <c r="H232">
        <f t="shared" si="3"/>
        <v>114695.37606667985</v>
      </c>
    </row>
    <row r="233" spans="1:8" x14ac:dyDescent="0.25">
      <c r="A233" s="6">
        <v>38149</v>
      </c>
      <c r="B233" s="7">
        <v>3467.7</v>
      </c>
      <c r="C233" s="7">
        <v>3501.6</v>
      </c>
      <c r="D233" s="7">
        <v>3458.7</v>
      </c>
      <c r="E233" s="7">
        <v>3478.2</v>
      </c>
      <c r="F233" s="8">
        <v>2187900000</v>
      </c>
      <c r="G233" s="8">
        <v>11612800000</v>
      </c>
      <c r="H233">
        <f t="shared" si="3"/>
        <v>115042.66719587216</v>
      </c>
    </row>
    <row r="234" spans="1:8" x14ac:dyDescent="0.25">
      <c r="A234" s="6">
        <v>38156</v>
      </c>
      <c r="B234" s="7">
        <v>3478.2</v>
      </c>
      <c r="C234" s="7">
        <v>3531.1</v>
      </c>
      <c r="D234" s="7">
        <v>3457.9</v>
      </c>
      <c r="E234" s="7">
        <v>3527.7</v>
      </c>
      <c r="F234" s="8">
        <v>2339200000</v>
      </c>
      <c r="G234" s="8">
        <v>12523500000</v>
      </c>
      <c r="H234">
        <f t="shared" si="3"/>
        <v>116679.89680492156</v>
      </c>
    </row>
    <row r="235" spans="1:8" x14ac:dyDescent="0.25">
      <c r="A235" s="6">
        <v>38163</v>
      </c>
      <c r="B235" s="7">
        <v>3527.7</v>
      </c>
      <c r="C235" s="7">
        <v>3556.4</v>
      </c>
      <c r="D235" s="7">
        <v>3527.7</v>
      </c>
      <c r="E235" s="7">
        <v>3529.2</v>
      </c>
      <c r="F235" s="8">
        <v>2879500000</v>
      </c>
      <c r="G235" s="8">
        <v>17533500000</v>
      </c>
      <c r="H235">
        <f t="shared" si="3"/>
        <v>116729.50982337761</v>
      </c>
    </row>
    <row r="236" spans="1:8" x14ac:dyDescent="0.25">
      <c r="A236" s="6">
        <v>38170</v>
      </c>
      <c r="B236" s="7">
        <v>3529.2</v>
      </c>
      <c r="C236" s="7">
        <v>3540.5</v>
      </c>
      <c r="D236" s="7">
        <v>3514.6</v>
      </c>
      <c r="E236" s="7">
        <v>3534.4</v>
      </c>
      <c r="F236" s="8">
        <v>2325700000</v>
      </c>
      <c r="G236" s="8">
        <v>11847800000</v>
      </c>
      <c r="H236">
        <f t="shared" si="3"/>
        <v>116901.50162069188</v>
      </c>
    </row>
    <row r="237" spans="1:8" x14ac:dyDescent="0.25">
      <c r="A237" s="6">
        <v>38177</v>
      </c>
      <c r="B237" s="7">
        <v>3534.4</v>
      </c>
      <c r="C237" s="7">
        <v>3568.7</v>
      </c>
      <c r="D237" s="7">
        <v>3520.9</v>
      </c>
      <c r="E237" s="7">
        <v>3564</v>
      </c>
      <c r="F237" s="8">
        <v>2361000000</v>
      </c>
      <c r="G237" s="8">
        <v>12012500000</v>
      </c>
      <c r="H237">
        <f t="shared" si="3"/>
        <v>117880.5318515578</v>
      </c>
    </row>
    <row r="238" spans="1:8" x14ac:dyDescent="0.25">
      <c r="A238" s="6">
        <v>38184</v>
      </c>
      <c r="B238" s="7">
        <v>3564</v>
      </c>
      <c r="C238" s="7">
        <v>3568</v>
      </c>
      <c r="D238" s="7">
        <v>3518.7</v>
      </c>
      <c r="E238" s="7">
        <v>3531</v>
      </c>
      <c r="F238" s="8">
        <v>1804700000</v>
      </c>
      <c r="G238" s="8">
        <v>11843900000</v>
      </c>
      <c r="H238">
        <f t="shared" si="3"/>
        <v>116789.04544552485</v>
      </c>
    </row>
    <row r="239" spans="1:8" x14ac:dyDescent="0.25">
      <c r="A239" s="6">
        <v>38191</v>
      </c>
      <c r="B239" s="7">
        <v>3531</v>
      </c>
      <c r="C239" s="7">
        <v>3535.8</v>
      </c>
      <c r="D239" s="7">
        <v>3485.2</v>
      </c>
      <c r="E239" s="7">
        <v>3485.2</v>
      </c>
      <c r="F239" s="8">
        <v>2244800000</v>
      </c>
      <c r="G239" s="8">
        <v>13774000000</v>
      </c>
      <c r="H239">
        <f t="shared" si="3"/>
        <v>115274.19461533368</v>
      </c>
    </row>
    <row r="240" spans="1:8" x14ac:dyDescent="0.25">
      <c r="A240" s="6">
        <v>38198</v>
      </c>
      <c r="B240" s="7">
        <v>3485.2</v>
      </c>
      <c r="C240" s="7">
        <v>3538.6</v>
      </c>
      <c r="D240" s="7">
        <v>3478.2</v>
      </c>
      <c r="E240" s="7">
        <v>3536.1</v>
      </c>
      <c r="F240" s="8">
        <v>2366500000</v>
      </c>
      <c r="G240" s="8">
        <v>14033500000</v>
      </c>
      <c r="H240">
        <f t="shared" si="3"/>
        <v>116957.72970827539</v>
      </c>
    </row>
    <row r="241" spans="1:8" x14ac:dyDescent="0.25">
      <c r="A241" s="6">
        <v>38205</v>
      </c>
      <c r="B241" s="7">
        <v>3536.1</v>
      </c>
      <c r="C241" s="7">
        <v>3562.6</v>
      </c>
      <c r="D241" s="7">
        <v>3519.3</v>
      </c>
      <c r="E241" s="7">
        <v>3530.6</v>
      </c>
      <c r="F241" s="8">
        <v>1871400000</v>
      </c>
      <c r="G241" s="8">
        <v>10513200000</v>
      </c>
      <c r="H241">
        <f t="shared" si="3"/>
        <v>116775.81530726991</v>
      </c>
    </row>
    <row r="242" spans="1:8" x14ac:dyDescent="0.25">
      <c r="A242" s="6">
        <v>38212</v>
      </c>
      <c r="B242" s="7">
        <v>3530.6</v>
      </c>
      <c r="C242" s="7">
        <v>3530.6</v>
      </c>
      <c r="D242" s="7">
        <v>3475.5</v>
      </c>
      <c r="E242" s="7">
        <v>3477.8</v>
      </c>
      <c r="F242" s="8">
        <v>2138400000</v>
      </c>
      <c r="G242" s="8">
        <v>11958900000</v>
      </c>
      <c r="H242">
        <f t="shared" si="3"/>
        <v>115029.43705761721</v>
      </c>
    </row>
    <row r="243" spans="1:8" x14ac:dyDescent="0.25">
      <c r="A243" s="6">
        <v>38219</v>
      </c>
      <c r="B243" s="7">
        <v>3477.8</v>
      </c>
      <c r="C243" s="7">
        <v>3502.2</v>
      </c>
      <c r="D243" s="7">
        <v>3467.1</v>
      </c>
      <c r="E243" s="7">
        <v>3497.7</v>
      </c>
      <c r="F243" s="8">
        <v>1865600000</v>
      </c>
      <c r="G243" s="8">
        <v>11187900000</v>
      </c>
      <c r="H243">
        <f t="shared" si="3"/>
        <v>115687.63643580068</v>
      </c>
    </row>
    <row r="244" spans="1:8" x14ac:dyDescent="0.25">
      <c r="A244" s="6">
        <v>38226</v>
      </c>
      <c r="B244" s="7">
        <v>3497.7</v>
      </c>
      <c r="C244" s="7">
        <v>3565.3</v>
      </c>
      <c r="D244" s="7">
        <v>3497.7</v>
      </c>
      <c r="E244" s="7">
        <v>3558.9</v>
      </c>
      <c r="F244" s="8">
        <v>2321400000</v>
      </c>
      <c r="G244" s="8">
        <v>13140700000</v>
      </c>
      <c r="H244">
        <f t="shared" si="3"/>
        <v>117711.84758880724</v>
      </c>
    </row>
    <row r="245" spans="1:8" x14ac:dyDescent="0.25">
      <c r="A245" s="6">
        <v>38233</v>
      </c>
      <c r="B245" s="7">
        <v>3558.9</v>
      </c>
      <c r="C245" s="7">
        <v>3595</v>
      </c>
      <c r="D245" s="7">
        <v>3551.9</v>
      </c>
      <c r="E245" s="7">
        <v>3577.3</v>
      </c>
      <c r="F245" s="8">
        <v>2335800000</v>
      </c>
      <c r="G245" s="8">
        <v>12717400000</v>
      </c>
      <c r="H245">
        <f t="shared" si="3"/>
        <v>118320.43394853472</v>
      </c>
    </row>
    <row r="246" spans="1:8" x14ac:dyDescent="0.25">
      <c r="A246" s="6">
        <v>38240</v>
      </c>
      <c r="B246" s="7">
        <v>3577.3</v>
      </c>
      <c r="C246" s="7">
        <v>3608.2</v>
      </c>
      <c r="D246" s="7">
        <v>3574.2</v>
      </c>
      <c r="E246" s="7">
        <v>3596</v>
      </c>
      <c r="F246" s="8">
        <v>2118600000</v>
      </c>
      <c r="G246" s="8">
        <v>10028300000</v>
      </c>
      <c r="H246">
        <f t="shared" si="3"/>
        <v>118938.94291195337</v>
      </c>
    </row>
    <row r="247" spans="1:8" x14ac:dyDescent="0.25">
      <c r="A247" s="6">
        <v>38247</v>
      </c>
      <c r="B247" s="7">
        <v>3596</v>
      </c>
      <c r="C247" s="7">
        <v>3636.4</v>
      </c>
      <c r="D247" s="7">
        <v>3594.6</v>
      </c>
      <c r="E247" s="7">
        <v>3631.6</v>
      </c>
      <c r="F247" s="8">
        <v>2258300000</v>
      </c>
      <c r="G247" s="8">
        <v>13303200000</v>
      </c>
      <c r="H247">
        <f t="shared" si="3"/>
        <v>120116.42521664346</v>
      </c>
    </row>
    <row r="248" spans="1:8" x14ac:dyDescent="0.25">
      <c r="A248" s="6">
        <v>38254</v>
      </c>
      <c r="B248" s="7">
        <v>3631.6</v>
      </c>
      <c r="C248" s="7">
        <v>3644.3</v>
      </c>
      <c r="D248" s="7">
        <v>3613.9</v>
      </c>
      <c r="E248" s="7">
        <v>3623.9</v>
      </c>
      <c r="F248" s="8">
        <v>2361300000</v>
      </c>
      <c r="G248" s="8">
        <v>13030100000</v>
      </c>
      <c r="H248">
        <f t="shared" si="3"/>
        <v>119861.74505523578</v>
      </c>
    </row>
    <row r="249" spans="1:8" x14ac:dyDescent="0.25">
      <c r="A249" s="6">
        <v>38261</v>
      </c>
      <c r="B249" s="7">
        <v>3623.9</v>
      </c>
      <c r="C249" s="7">
        <v>3674.2</v>
      </c>
      <c r="D249" s="7">
        <v>3610</v>
      </c>
      <c r="E249" s="7">
        <v>3659.6</v>
      </c>
      <c r="F249" s="8">
        <v>2155600000</v>
      </c>
      <c r="G249" s="8">
        <v>11978300000</v>
      </c>
      <c r="H249">
        <f t="shared" si="3"/>
        <v>121042.53489448958</v>
      </c>
    </row>
    <row r="250" spans="1:8" x14ac:dyDescent="0.25">
      <c r="A250" s="6">
        <v>38268</v>
      </c>
      <c r="B250" s="7">
        <v>3659.6</v>
      </c>
      <c r="C250" s="7">
        <v>3720.4</v>
      </c>
      <c r="D250" s="7">
        <v>3659.6</v>
      </c>
      <c r="E250" s="7">
        <v>3686.8</v>
      </c>
      <c r="F250" s="8">
        <v>2111600000</v>
      </c>
      <c r="G250" s="8">
        <v>11406200000</v>
      </c>
      <c r="H250">
        <f t="shared" si="3"/>
        <v>121942.18429582583</v>
      </c>
    </row>
    <row r="251" spans="1:8" x14ac:dyDescent="0.25">
      <c r="A251" s="6">
        <v>38275</v>
      </c>
      <c r="B251" s="7">
        <v>3686.8</v>
      </c>
      <c r="C251" s="7">
        <v>3725.2</v>
      </c>
      <c r="D251" s="7">
        <v>3686.8</v>
      </c>
      <c r="E251" s="7">
        <v>3720.5</v>
      </c>
      <c r="F251" s="8">
        <v>2906300000</v>
      </c>
      <c r="G251" s="8">
        <v>16035100000</v>
      </c>
      <c r="H251">
        <f t="shared" si="3"/>
        <v>123056.82344380491</v>
      </c>
    </row>
    <row r="252" spans="1:8" x14ac:dyDescent="0.25">
      <c r="A252" s="6">
        <v>38282</v>
      </c>
      <c r="B252" s="7">
        <v>3720.9</v>
      </c>
      <c r="C252" s="7">
        <v>3720.9</v>
      </c>
      <c r="D252" s="7">
        <v>3695.4</v>
      </c>
      <c r="E252" s="7">
        <v>3709.9</v>
      </c>
      <c r="F252" s="8">
        <v>2519800000</v>
      </c>
      <c r="G252" s="8">
        <v>14275500000</v>
      </c>
      <c r="H252">
        <f t="shared" si="3"/>
        <v>122706.22478004887</v>
      </c>
    </row>
    <row r="253" spans="1:8" x14ac:dyDescent="0.25">
      <c r="A253" s="6">
        <v>38289</v>
      </c>
      <c r="B253" s="7">
        <v>3709.9</v>
      </c>
      <c r="C253" s="7">
        <v>3779.5</v>
      </c>
      <c r="D253" s="7">
        <v>3674.9</v>
      </c>
      <c r="E253" s="7">
        <v>3778.6</v>
      </c>
      <c r="F253" s="8">
        <v>3505600000</v>
      </c>
      <c r="G253" s="8">
        <v>21548900000</v>
      </c>
      <c r="H253">
        <f t="shared" si="3"/>
        <v>124978.50102533563</v>
      </c>
    </row>
    <row r="254" spans="1:8" x14ac:dyDescent="0.25">
      <c r="A254" s="6">
        <v>38296</v>
      </c>
      <c r="B254" s="7">
        <v>3778.6</v>
      </c>
      <c r="C254" s="7">
        <v>3854.9</v>
      </c>
      <c r="D254" s="7">
        <v>3777.9</v>
      </c>
      <c r="E254" s="7">
        <v>3843.5</v>
      </c>
      <c r="F254" s="8">
        <v>2582800000</v>
      </c>
      <c r="G254" s="8">
        <v>17217900000</v>
      </c>
      <c r="H254">
        <f t="shared" si="3"/>
        <v>127125.09095720043</v>
      </c>
    </row>
    <row r="255" spans="1:8" x14ac:dyDescent="0.25">
      <c r="A255" s="6">
        <v>38303</v>
      </c>
      <c r="B255" s="7">
        <v>3843.5</v>
      </c>
      <c r="C255" s="7">
        <v>3868.2</v>
      </c>
      <c r="D255" s="7">
        <v>3821.2</v>
      </c>
      <c r="E255" s="7">
        <v>3862.5</v>
      </c>
      <c r="F255" s="8">
        <v>2271100000</v>
      </c>
      <c r="G255" s="8">
        <v>14574500000</v>
      </c>
      <c r="H255">
        <f t="shared" si="3"/>
        <v>127753.52252431031</v>
      </c>
    </row>
    <row r="256" spans="1:8" x14ac:dyDescent="0.25">
      <c r="A256" s="6">
        <v>38310</v>
      </c>
      <c r="B256" s="7">
        <v>3862.5</v>
      </c>
      <c r="C256" s="7">
        <v>3889</v>
      </c>
      <c r="D256" s="7">
        <v>3862</v>
      </c>
      <c r="E256" s="7">
        <v>3872.7</v>
      </c>
      <c r="F256" s="8">
        <v>2309300000</v>
      </c>
      <c r="G256" s="8">
        <v>14763100000</v>
      </c>
      <c r="H256">
        <f t="shared" si="3"/>
        <v>128090.89104981138</v>
      </c>
    </row>
    <row r="257" spans="1:8" x14ac:dyDescent="0.25">
      <c r="A257" s="6">
        <v>38317</v>
      </c>
      <c r="B257" s="7">
        <v>3872.7</v>
      </c>
      <c r="C257" s="7">
        <v>3917.8</v>
      </c>
      <c r="D257" s="7">
        <v>3825.1</v>
      </c>
      <c r="E257" s="7">
        <v>3912.1</v>
      </c>
      <c r="F257" s="8">
        <v>2487300000</v>
      </c>
      <c r="G257" s="8">
        <v>16892400000</v>
      </c>
      <c r="H257">
        <f t="shared" si="3"/>
        <v>129394.05966792344</v>
      </c>
    </row>
    <row r="258" spans="1:8" x14ac:dyDescent="0.25">
      <c r="A258" s="6">
        <v>38324</v>
      </c>
      <c r="B258" s="7">
        <v>3912.1</v>
      </c>
      <c r="C258" s="7">
        <v>3948.7</v>
      </c>
      <c r="D258" s="7">
        <v>3899.3</v>
      </c>
      <c r="E258" s="7">
        <v>3939.5</v>
      </c>
      <c r="F258" s="8">
        <v>2246400000</v>
      </c>
      <c r="G258" s="8">
        <v>14755700000</v>
      </c>
      <c r="H258">
        <f t="shared" si="3"/>
        <v>130300.32413838716</v>
      </c>
    </row>
    <row r="259" spans="1:8" x14ac:dyDescent="0.25">
      <c r="A259" s="6">
        <v>38331</v>
      </c>
      <c r="B259" s="7">
        <v>3939.5</v>
      </c>
      <c r="C259" s="7">
        <v>3964.8</v>
      </c>
      <c r="D259" s="7">
        <v>3877.1</v>
      </c>
      <c r="E259" s="7">
        <v>3898.5</v>
      </c>
      <c r="F259" s="8">
        <v>2405000000</v>
      </c>
      <c r="G259" s="8">
        <v>14719200000</v>
      </c>
      <c r="H259">
        <f t="shared" si="3"/>
        <v>128944.23496725532</v>
      </c>
    </row>
    <row r="260" spans="1:8" x14ac:dyDescent="0.25">
      <c r="A260" s="6">
        <v>38338</v>
      </c>
      <c r="B260" s="7">
        <v>3886.9</v>
      </c>
      <c r="C260" s="7">
        <v>3997.6</v>
      </c>
      <c r="D260" s="7">
        <v>3886.9</v>
      </c>
      <c r="E260" s="7">
        <v>3988</v>
      </c>
      <c r="F260" s="8">
        <v>2264200000</v>
      </c>
      <c r="G260" s="8">
        <v>17029300000</v>
      </c>
      <c r="H260">
        <f t="shared" ref="H260:H323" si="4">H259*(E260/E259)</f>
        <v>131904.47840179922</v>
      </c>
    </row>
    <row r="261" spans="1:8" x14ac:dyDescent="0.25">
      <c r="A261" s="6">
        <v>38345</v>
      </c>
      <c r="B261" s="7">
        <v>3988</v>
      </c>
      <c r="C261" s="7">
        <v>4048.6</v>
      </c>
      <c r="D261" s="7">
        <v>3980.6</v>
      </c>
      <c r="E261" s="7">
        <v>4048.6</v>
      </c>
      <c r="F261" s="8">
        <v>1848400000</v>
      </c>
      <c r="G261" s="8">
        <v>14828600000</v>
      </c>
      <c r="H261">
        <f t="shared" si="4"/>
        <v>133908.84434742335</v>
      </c>
    </row>
    <row r="262" spans="1:8" x14ac:dyDescent="0.25">
      <c r="A262" s="6">
        <v>38352</v>
      </c>
      <c r="B262" s="7">
        <v>4048.6</v>
      </c>
      <c r="C262" s="7">
        <v>4055</v>
      </c>
      <c r="D262" s="7">
        <v>4036.5</v>
      </c>
      <c r="E262" s="7">
        <v>4050.6</v>
      </c>
      <c r="F262" s="8">
        <v>376500000</v>
      </c>
      <c r="G262" s="8">
        <v>2268700000</v>
      </c>
      <c r="H262">
        <f t="shared" si="4"/>
        <v>133974.99503869808</v>
      </c>
    </row>
    <row r="263" spans="1:8" x14ac:dyDescent="0.25">
      <c r="A263" s="6">
        <v>38359</v>
      </c>
      <c r="B263" s="7">
        <v>4050.6</v>
      </c>
      <c r="C263" s="7">
        <v>4069.7</v>
      </c>
      <c r="D263" s="7">
        <v>4026.1</v>
      </c>
      <c r="E263" s="7">
        <v>4063.2</v>
      </c>
      <c r="F263" s="8">
        <v>1234700000</v>
      </c>
      <c r="G263" s="8">
        <v>7754100000</v>
      </c>
      <c r="H263">
        <f t="shared" si="4"/>
        <v>134391.74439372885</v>
      </c>
    </row>
    <row r="264" spans="1:8" x14ac:dyDescent="0.25">
      <c r="A264" s="6">
        <v>38366</v>
      </c>
      <c r="B264" s="7">
        <v>4063.2</v>
      </c>
      <c r="C264" s="7">
        <v>4089.8</v>
      </c>
      <c r="D264" s="7">
        <v>4056.8</v>
      </c>
      <c r="E264" s="7">
        <v>4061.6</v>
      </c>
      <c r="F264" s="8">
        <v>1892600000</v>
      </c>
      <c r="G264" s="8">
        <v>12515500000</v>
      </c>
      <c r="H264">
        <f t="shared" si="4"/>
        <v>134338.82384070908</v>
      </c>
    </row>
    <row r="265" spans="1:8" x14ac:dyDescent="0.25">
      <c r="A265" s="6">
        <v>38373</v>
      </c>
      <c r="B265" s="7">
        <v>4061.6</v>
      </c>
      <c r="C265" s="7">
        <v>4094.3</v>
      </c>
      <c r="D265" s="7">
        <v>4027.3</v>
      </c>
      <c r="E265" s="7">
        <v>4043.9</v>
      </c>
      <c r="F265" s="8">
        <v>1915000000</v>
      </c>
      <c r="G265" s="8">
        <v>12969500000</v>
      </c>
      <c r="H265">
        <f t="shared" si="4"/>
        <v>133753.39022292779</v>
      </c>
    </row>
    <row r="266" spans="1:8" x14ac:dyDescent="0.25">
      <c r="A266" s="6">
        <v>38380</v>
      </c>
      <c r="B266" s="7">
        <v>4043.9</v>
      </c>
      <c r="C266" s="7">
        <v>4121</v>
      </c>
      <c r="D266" s="7">
        <v>4041.7</v>
      </c>
      <c r="E266" s="7">
        <v>4098.8999999999996</v>
      </c>
      <c r="F266" s="8">
        <v>1787200000</v>
      </c>
      <c r="G266" s="8">
        <v>13182800000</v>
      </c>
      <c r="H266">
        <f t="shared" si="4"/>
        <v>135572.5342329827</v>
      </c>
    </row>
    <row r="267" spans="1:8" x14ac:dyDescent="0.25">
      <c r="A267" s="6">
        <v>38387</v>
      </c>
      <c r="B267" s="7">
        <v>4098.8999999999996</v>
      </c>
      <c r="C267" s="7">
        <v>4165.3999999999996</v>
      </c>
      <c r="D267" s="7">
        <v>4095.4</v>
      </c>
      <c r="E267" s="7">
        <v>4161.8</v>
      </c>
      <c r="F267" s="8">
        <v>2518400000</v>
      </c>
      <c r="G267" s="8">
        <v>16837200000</v>
      </c>
      <c r="H267">
        <f t="shared" si="4"/>
        <v>137652.97347357275</v>
      </c>
    </row>
    <row r="268" spans="1:8" x14ac:dyDescent="0.25">
      <c r="A268" s="6">
        <v>38394</v>
      </c>
      <c r="B268" s="7">
        <v>4161.8</v>
      </c>
      <c r="C268" s="7">
        <v>4195.6000000000004</v>
      </c>
      <c r="D268" s="7">
        <v>4160</v>
      </c>
      <c r="E268" s="7">
        <v>4174.3</v>
      </c>
      <c r="F268" s="8">
        <v>2215300000</v>
      </c>
      <c r="G268" s="8">
        <v>15488500000</v>
      </c>
      <c r="H268">
        <f t="shared" si="4"/>
        <v>138066.41529403976</v>
      </c>
    </row>
    <row r="269" spans="1:8" x14ac:dyDescent="0.25">
      <c r="A269" s="6">
        <v>38401</v>
      </c>
      <c r="B269" s="7">
        <v>4174.3</v>
      </c>
      <c r="C269" s="7">
        <v>4190.5</v>
      </c>
      <c r="D269" s="7">
        <v>4140.7</v>
      </c>
      <c r="E269" s="7">
        <v>4163.6000000000004</v>
      </c>
      <c r="F269" s="8">
        <v>2559200000</v>
      </c>
      <c r="G269" s="8">
        <v>17267200000</v>
      </c>
      <c r="H269">
        <f t="shared" si="4"/>
        <v>137712.50909571999</v>
      </c>
    </row>
    <row r="270" spans="1:8" x14ac:dyDescent="0.25">
      <c r="A270" s="6">
        <v>38408</v>
      </c>
      <c r="B270" s="7">
        <v>4163.6000000000004</v>
      </c>
      <c r="C270" s="7">
        <v>4175.2</v>
      </c>
      <c r="D270" s="7">
        <v>4096.8999999999996</v>
      </c>
      <c r="E270" s="7">
        <v>4130.5</v>
      </c>
      <c r="F270" s="8">
        <v>2578800000</v>
      </c>
      <c r="G270" s="8">
        <v>19132200000</v>
      </c>
      <c r="H270">
        <f t="shared" si="4"/>
        <v>136617.7151551233</v>
      </c>
    </row>
    <row r="271" spans="1:8" x14ac:dyDescent="0.25">
      <c r="A271" s="6">
        <v>38415</v>
      </c>
      <c r="B271" s="7">
        <v>4130.5</v>
      </c>
      <c r="C271" s="7">
        <v>4228.7</v>
      </c>
      <c r="D271" s="7">
        <v>4130.5</v>
      </c>
      <c r="E271" s="7">
        <v>4220.3999999999996</v>
      </c>
      <c r="F271" s="8">
        <v>2304300000</v>
      </c>
      <c r="G271" s="8">
        <v>16572900000</v>
      </c>
      <c r="H271">
        <f t="shared" si="4"/>
        <v>139591.18872792213</v>
      </c>
    </row>
    <row r="272" spans="1:8" x14ac:dyDescent="0.25">
      <c r="A272" s="6">
        <v>38422</v>
      </c>
      <c r="B272" s="7">
        <v>4220.3999999999996</v>
      </c>
      <c r="C272" s="7">
        <v>4255</v>
      </c>
      <c r="D272" s="7">
        <v>4195.5</v>
      </c>
      <c r="E272" s="7">
        <v>4203.8</v>
      </c>
      <c r="F272" s="8">
        <v>2329000000</v>
      </c>
      <c r="G272" s="8">
        <v>16012400000</v>
      </c>
      <c r="H272">
        <f t="shared" si="4"/>
        <v>139042.13799034193</v>
      </c>
    </row>
    <row r="273" spans="1:8" x14ac:dyDescent="0.25">
      <c r="A273" s="6">
        <v>38429</v>
      </c>
      <c r="B273" s="7">
        <v>4203.8</v>
      </c>
      <c r="C273" s="7">
        <v>4258.1000000000004</v>
      </c>
      <c r="D273" s="7">
        <v>4195.3</v>
      </c>
      <c r="E273" s="7">
        <v>4249.1000000000004</v>
      </c>
      <c r="F273" s="8">
        <v>2280700000</v>
      </c>
      <c r="G273" s="8">
        <v>16816400000</v>
      </c>
      <c r="H273">
        <f t="shared" si="4"/>
        <v>140540.45114771443</v>
      </c>
    </row>
    <row r="274" spans="1:8" x14ac:dyDescent="0.25">
      <c r="A274" s="6">
        <v>38435</v>
      </c>
      <c r="B274" s="7">
        <v>4249.1000000000004</v>
      </c>
      <c r="C274" s="7">
        <v>4266.8999999999996</v>
      </c>
      <c r="D274" s="7">
        <v>4123.8</v>
      </c>
      <c r="E274" s="7">
        <v>4136.3999999999996</v>
      </c>
      <c r="F274" s="8">
        <v>1974600000</v>
      </c>
      <c r="G274" s="8">
        <v>14622100000</v>
      </c>
      <c r="H274">
        <f t="shared" si="4"/>
        <v>136812.85969438372</v>
      </c>
    </row>
    <row r="275" spans="1:8" x14ac:dyDescent="0.25">
      <c r="A275" s="6">
        <v>38443</v>
      </c>
      <c r="B275" s="7">
        <v>4136.3999999999996</v>
      </c>
      <c r="C275" s="7">
        <v>4151.2</v>
      </c>
      <c r="D275" s="7">
        <v>4059.5</v>
      </c>
      <c r="E275" s="7">
        <v>4138.3</v>
      </c>
      <c r="F275" s="8">
        <v>1887500000</v>
      </c>
      <c r="G275" s="8">
        <v>12286500000</v>
      </c>
      <c r="H275">
        <f t="shared" si="4"/>
        <v>136875.70285109471</v>
      </c>
    </row>
    <row r="276" spans="1:8" x14ac:dyDescent="0.25">
      <c r="A276" s="6">
        <v>38450</v>
      </c>
      <c r="B276" s="7">
        <v>4109.8</v>
      </c>
      <c r="C276" s="7">
        <v>4165.6000000000004</v>
      </c>
      <c r="D276" s="7">
        <v>4109.8</v>
      </c>
      <c r="E276" s="7">
        <v>4165.6000000000004</v>
      </c>
      <c r="F276" s="8">
        <v>2068800000</v>
      </c>
      <c r="G276" s="8">
        <v>13086700000</v>
      </c>
      <c r="H276">
        <f t="shared" si="4"/>
        <v>137778.65978699471</v>
      </c>
    </row>
    <row r="277" spans="1:8" x14ac:dyDescent="0.25">
      <c r="A277" s="6">
        <v>38457</v>
      </c>
      <c r="B277" s="7">
        <v>4165.6000000000004</v>
      </c>
      <c r="C277" s="7">
        <v>4165.6000000000004</v>
      </c>
      <c r="D277" s="7">
        <v>4010.8</v>
      </c>
      <c r="E277" s="7">
        <v>4014.3</v>
      </c>
      <c r="F277" s="8">
        <v>2156100000</v>
      </c>
      <c r="G277" s="8">
        <v>15330300000</v>
      </c>
      <c r="H277">
        <f t="shared" si="4"/>
        <v>132774.35999206186</v>
      </c>
    </row>
    <row r="278" spans="1:8" x14ac:dyDescent="0.25">
      <c r="A278" s="6">
        <v>38464</v>
      </c>
      <c r="B278" s="7">
        <v>4014.3</v>
      </c>
      <c r="C278" s="7">
        <v>4057.2</v>
      </c>
      <c r="D278" s="7">
        <v>3958.3</v>
      </c>
      <c r="E278" s="7">
        <v>4034.1</v>
      </c>
      <c r="F278" s="8">
        <v>2524000000</v>
      </c>
      <c r="G278" s="8">
        <v>17302500000</v>
      </c>
      <c r="H278">
        <f t="shared" si="4"/>
        <v>133429.25183568161</v>
      </c>
    </row>
    <row r="279" spans="1:8" x14ac:dyDescent="0.25">
      <c r="A279" s="6">
        <v>38471</v>
      </c>
      <c r="B279" s="7">
        <v>4034.1</v>
      </c>
      <c r="C279" s="7">
        <v>4050.6</v>
      </c>
      <c r="D279" s="7">
        <v>3969.1</v>
      </c>
      <c r="E279" s="7">
        <v>3983.2</v>
      </c>
      <c r="F279" s="8">
        <v>1947400000</v>
      </c>
      <c r="G279" s="8">
        <v>15463900000</v>
      </c>
      <c r="H279">
        <f t="shared" si="4"/>
        <v>131745.7167427399</v>
      </c>
    </row>
    <row r="280" spans="1:8" x14ac:dyDescent="0.25">
      <c r="A280" s="6">
        <v>38478</v>
      </c>
      <c r="B280" s="7">
        <v>3983.2</v>
      </c>
      <c r="C280" s="7">
        <v>4031.1</v>
      </c>
      <c r="D280" s="7">
        <v>3926.6</v>
      </c>
      <c r="E280" s="7">
        <v>3983.3</v>
      </c>
      <c r="F280" s="8">
        <v>2249300000</v>
      </c>
      <c r="G280" s="8">
        <v>14095100000</v>
      </c>
      <c r="H280">
        <f t="shared" si="4"/>
        <v>131749.02427730366</v>
      </c>
    </row>
    <row r="281" spans="1:8" x14ac:dyDescent="0.25">
      <c r="A281" s="6">
        <v>38485</v>
      </c>
      <c r="B281" s="7">
        <v>3983.3</v>
      </c>
      <c r="C281" s="7">
        <v>4028.9</v>
      </c>
      <c r="D281" s="7">
        <v>3974.6</v>
      </c>
      <c r="E281" s="7">
        <v>4012.1</v>
      </c>
      <c r="F281" s="8">
        <v>2234900000</v>
      </c>
      <c r="G281" s="8">
        <v>15974400000</v>
      </c>
      <c r="H281">
        <f t="shared" si="4"/>
        <v>132701.59423165966</v>
      </c>
    </row>
    <row r="282" spans="1:8" x14ac:dyDescent="0.25">
      <c r="A282" s="6">
        <v>38492</v>
      </c>
      <c r="B282" s="7">
        <v>4012.1</v>
      </c>
      <c r="C282" s="7">
        <v>4057.6</v>
      </c>
      <c r="D282" s="7">
        <v>3943.8</v>
      </c>
      <c r="E282" s="7">
        <v>4041.2</v>
      </c>
      <c r="F282" s="8">
        <v>2243500000</v>
      </c>
      <c r="G282" s="8">
        <v>15572900000</v>
      </c>
      <c r="H282">
        <f t="shared" si="4"/>
        <v>133664.0867897069</v>
      </c>
    </row>
    <row r="283" spans="1:8" x14ac:dyDescent="0.25">
      <c r="A283" s="6">
        <v>38499</v>
      </c>
      <c r="B283" s="7">
        <v>4041.3</v>
      </c>
      <c r="C283" s="7">
        <v>4120.2</v>
      </c>
      <c r="D283" s="7">
        <v>4041</v>
      </c>
      <c r="E283" s="7">
        <v>4116.3999999999996</v>
      </c>
      <c r="F283" s="8">
        <v>2411700000</v>
      </c>
      <c r="G283" s="8">
        <v>17896200000</v>
      </c>
      <c r="H283">
        <f t="shared" si="4"/>
        <v>136151.35278163652</v>
      </c>
    </row>
    <row r="284" spans="1:8" x14ac:dyDescent="0.25">
      <c r="A284" s="6">
        <v>38506</v>
      </c>
      <c r="B284" s="7">
        <v>4116.3999999999996</v>
      </c>
      <c r="C284" s="7">
        <v>4194.2</v>
      </c>
      <c r="D284" s="7">
        <v>4098.8</v>
      </c>
      <c r="E284" s="7">
        <v>4194</v>
      </c>
      <c r="F284" s="8">
        <v>2874200000</v>
      </c>
      <c r="G284" s="8">
        <v>19035000000</v>
      </c>
      <c r="H284">
        <f t="shared" si="4"/>
        <v>138717.99960309581</v>
      </c>
    </row>
    <row r="285" spans="1:8" x14ac:dyDescent="0.25">
      <c r="A285" s="6">
        <v>38513</v>
      </c>
      <c r="B285" s="7">
        <v>4194</v>
      </c>
      <c r="C285" s="7">
        <v>4231.8999999999996</v>
      </c>
      <c r="D285" s="7">
        <v>4179.3</v>
      </c>
      <c r="E285" s="7">
        <v>4221.7</v>
      </c>
      <c r="F285" s="8">
        <v>2124800000</v>
      </c>
      <c r="G285" s="8">
        <v>14147100000</v>
      </c>
      <c r="H285">
        <f t="shared" si="4"/>
        <v>139634.18667725072</v>
      </c>
    </row>
    <row r="286" spans="1:8" x14ac:dyDescent="0.25">
      <c r="A286" s="6">
        <v>38520</v>
      </c>
      <c r="B286" s="7">
        <v>4221.7</v>
      </c>
      <c r="C286" s="7">
        <v>4312.2</v>
      </c>
      <c r="D286" s="7">
        <v>4219.6000000000004</v>
      </c>
      <c r="E286" s="7">
        <v>4312.2</v>
      </c>
      <c r="F286" s="8">
        <v>2169700000</v>
      </c>
      <c r="G286" s="8">
        <v>15816000000</v>
      </c>
      <c r="H286">
        <f t="shared" si="4"/>
        <v>142627.50545743198</v>
      </c>
    </row>
    <row r="287" spans="1:8" x14ac:dyDescent="0.25">
      <c r="A287" s="6">
        <v>38527</v>
      </c>
      <c r="B287" s="7">
        <v>4312.2</v>
      </c>
      <c r="C287" s="7">
        <v>4321.7</v>
      </c>
      <c r="D287" s="7">
        <v>4224.2</v>
      </c>
      <c r="E287" s="7">
        <v>4245.6000000000004</v>
      </c>
      <c r="F287" s="8">
        <v>2488100000</v>
      </c>
      <c r="G287" s="8">
        <v>19121500000</v>
      </c>
      <c r="H287">
        <f t="shared" si="4"/>
        <v>140424.6874379837</v>
      </c>
    </row>
    <row r="288" spans="1:8" x14ac:dyDescent="0.25">
      <c r="A288" s="6">
        <v>38534</v>
      </c>
      <c r="B288" s="7">
        <v>4245.6000000000004</v>
      </c>
      <c r="C288" s="7">
        <v>4294.8999999999996</v>
      </c>
      <c r="D288" s="7">
        <v>4221.5</v>
      </c>
      <c r="E288" s="7">
        <v>4272.6000000000004</v>
      </c>
      <c r="F288" s="8">
        <v>2376700000</v>
      </c>
      <c r="G288" s="8">
        <v>15895600000</v>
      </c>
      <c r="H288">
        <f t="shared" si="4"/>
        <v>141317.72177019247</v>
      </c>
    </row>
    <row r="289" spans="1:8" x14ac:dyDescent="0.25">
      <c r="A289" s="6">
        <v>38541</v>
      </c>
      <c r="B289" s="7">
        <v>4272.6000000000004</v>
      </c>
      <c r="C289" s="7">
        <v>4316.3</v>
      </c>
      <c r="D289" s="7">
        <v>4213.6000000000004</v>
      </c>
      <c r="E289" s="7">
        <v>4229.2</v>
      </c>
      <c r="F289" s="8">
        <v>2030400000</v>
      </c>
      <c r="G289" s="8">
        <v>13158100000</v>
      </c>
      <c r="H289">
        <f t="shared" si="4"/>
        <v>139882.25176953094</v>
      </c>
    </row>
    <row r="290" spans="1:8" x14ac:dyDescent="0.25">
      <c r="A290" s="6">
        <v>38548</v>
      </c>
      <c r="B290" s="7">
        <v>4229.2</v>
      </c>
      <c r="C290" s="7">
        <v>4301.5</v>
      </c>
      <c r="D290" s="7">
        <v>4229.2</v>
      </c>
      <c r="E290" s="7">
        <v>4292.3999999999996</v>
      </c>
      <c r="F290" s="8">
        <v>2079200000</v>
      </c>
      <c r="G290" s="8">
        <v>12785500000</v>
      </c>
      <c r="H290">
        <f t="shared" si="4"/>
        <v>141972.61361381222</v>
      </c>
    </row>
    <row r="291" spans="1:8" x14ac:dyDescent="0.25">
      <c r="A291" s="6">
        <v>38555</v>
      </c>
      <c r="B291" s="7">
        <v>4292.3999999999996</v>
      </c>
      <c r="C291" s="7">
        <v>4371.2</v>
      </c>
      <c r="D291" s="7">
        <v>4273.1000000000004</v>
      </c>
      <c r="E291" s="7">
        <v>4371.1000000000004</v>
      </c>
      <c r="F291" s="8">
        <v>2110300000</v>
      </c>
      <c r="G291" s="8">
        <v>15825400000</v>
      </c>
      <c r="H291">
        <f t="shared" si="4"/>
        <v>144575.64331547264</v>
      </c>
    </row>
    <row r="292" spans="1:8" x14ac:dyDescent="0.25">
      <c r="A292" s="6">
        <v>38562</v>
      </c>
      <c r="B292" s="7">
        <v>4371.1000000000004</v>
      </c>
      <c r="C292" s="7">
        <v>4398.8</v>
      </c>
      <c r="D292" s="7">
        <v>4365.3</v>
      </c>
      <c r="E292" s="7">
        <v>4388.8</v>
      </c>
      <c r="F292" s="8">
        <v>2153500000</v>
      </c>
      <c r="G292" s="8">
        <v>16430200000</v>
      </c>
      <c r="H292">
        <f t="shared" si="4"/>
        <v>145161.07693325396</v>
      </c>
    </row>
    <row r="293" spans="1:8" x14ac:dyDescent="0.25">
      <c r="A293" s="6">
        <v>38569</v>
      </c>
      <c r="B293" s="7">
        <v>4388.8</v>
      </c>
      <c r="C293" s="7">
        <v>4399.2</v>
      </c>
      <c r="D293" s="7">
        <v>4361.3999999999996</v>
      </c>
      <c r="E293" s="7">
        <v>4377.3</v>
      </c>
      <c r="F293" s="8">
        <v>2211400000</v>
      </c>
      <c r="G293" s="8">
        <v>14697900000</v>
      </c>
      <c r="H293">
        <f t="shared" si="4"/>
        <v>144780.71045842429</v>
      </c>
    </row>
    <row r="294" spans="1:8" x14ac:dyDescent="0.25">
      <c r="A294" s="6">
        <v>38576</v>
      </c>
      <c r="B294" s="7">
        <v>4377.3</v>
      </c>
      <c r="C294" s="7">
        <v>4472</v>
      </c>
      <c r="D294" s="7">
        <v>4374.2</v>
      </c>
      <c r="E294" s="7">
        <v>4469.2</v>
      </c>
      <c r="F294" s="8">
        <v>2533400000</v>
      </c>
      <c r="G294" s="8">
        <v>18659600000</v>
      </c>
      <c r="H294">
        <f t="shared" si="4"/>
        <v>147820.33472249785</v>
      </c>
    </row>
    <row r="295" spans="1:8" x14ac:dyDescent="0.25">
      <c r="A295" s="6">
        <v>38583</v>
      </c>
      <c r="B295" s="7">
        <v>4469.2</v>
      </c>
      <c r="C295" s="7">
        <v>4484.8999999999996</v>
      </c>
      <c r="D295" s="7">
        <v>4434.7</v>
      </c>
      <c r="E295" s="7">
        <v>4461.6000000000004</v>
      </c>
      <c r="F295" s="8">
        <v>2340300000</v>
      </c>
      <c r="G295" s="8">
        <v>16886500000</v>
      </c>
      <c r="H295">
        <f t="shared" si="4"/>
        <v>147568.96209565393</v>
      </c>
    </row>
    <row r="296" spans="1:8" x14ac:dyDescent="0.25">
      <c r="A296" s="6">
        <v>38590</v>
      </c>
      <c r="B296" s="7">
        <v>4461.6000000000004</v>
      </c>
      <c r="C296" s="7">
        <v>4502.2</v>
      </c>
      <c r="D296" s="7">
        <v>4416.3999999999996</v>
      </c>
      <c r="E296" s="7">
        <v>4452.3999999999996</v>
      </c>
      <c r="F296" s="8">
        <v>2718700000</v>
      </c>
      <c r="G296" s="8">
        <v>20694200000</v>
      </c>
      <c r="H296">
        <f t="shared" si="4"/>
        <v>147264.66891579019</v>
      </c>
    </row>
    <row r="297" spans="1:8" x14ac:dyDescent="0.25">
      <c r="A297" s="6">
        <v>38597</v>
      </c>
      <c r="B297" s="7">
        <v>4452.5</v>
      </c>
      <c r="C297" s="7">
        <v>4514.3</v>
      </c>
      <c r="D297" s="7">
        <v>4392</v>
      </c>
      <c r="E297" s="7">
        <v>4473.7</v>
      </c>
      <c r="F297" s="8">
        <v>2357100000</v>
      </c>
      <c r="G297" s="8">
        <v>17429900000</v>
      </c>
      <c r="H297">
        <f t="shared" si="4"/>
        <v>147969.173777866</v>
      </c>
    </row>
    <row r="298" spans="1:8" x14ac:dyDescent="0.25">
      <c r="A298" s="6">
        <v>38604</v>
      </c>
      <c r="B298" s="7">
        <v>4473.7</v>
      </c>
      <c r="C298" s="7">
        <v>4502.8999999999996</v>
      </c>
      <c r="D298" s="7">
        <v>4440.8999999999996</v>
      </c>
      <c r="E298" s="7">
        <v>4468.1000000000004</v>
      </c>
      <c r="F298" s="8">
        <v>2408700000</v>
      </c>
      <c r="G298" s="8">
        <v>16099800000</v>
      </c>
      <c r="H298">
        <f t="shared" si="4"/>
        <v>147783.95184229678</v>
      </c>
    </row>
    <row r="299" spans="1:8" x14ac:dyDescent="0.25">
      <c r="A299" s="6">
        <v>38611</v>
      </c>
      <c r="B299" s="7">
        <v>4468.1000000000004</v>
      </c>
      <c r="C299" s="7">
        <v>4560.8999999999996</v>
      </c>
      <c r="D299" s="7">
        <v>4465</v>
      </c>
      <c r="E299" s="7">
        <v>4553.6000000000004</v>
      </c>
      <c r="F299" s="8">
        <v>2706800000</v>
      </c>
      <c r="G299" s="8">
        <v>20529200000</v>
      </c>
      <c r="H299">
        <f t="shared" si="4"/>
        <v>150611.89389429125</v>
      </c>
    </row>
    <row r="300" spans="1:8" x14ac:dyDescent="0.25">
      <c r="A300" s="6">
        <v>38618</v>
      </c>
      <c r="B300" s="7">
        <v>4553.6000000000004</v>
      </c>
      <c r="C300" s="7">
        <v>4584.8</v>
      </c>
      <c r="D300" s="7">
        <v>4537.5</v>
      </c>
      <c r="E300" s="7">
        <v>4562.3999999999996</v>
      </c>
      <c r="F300" s="8">
        <v>2236800000</v>
      </c>
      <c r="G300" s="8">
        <v>16089700000</v>
      </c>
      <c r="H300">
        <f t="shared" si="4"/>
        <v>150902.95693590003</v>
      </c>
    </row>
    <row r="301" spans="1:8" x14ac:dyDescent="0.25">
      <c r="A301" s="6">
        <v>38625</v>
      </c>
      <c r="B301" s="7">
        <v>4562.3999999999996</v>
      </c>
      <c r="C301" s="7">
        <v>4679.1000000000004</v>
      </c>
      <c r="D301" s="7">
        <v>4562.3999999999996</v>
      </c>
      <c r="E301" s="7">
        <v>4641.2</v>
      </c>
      <c r="F301" s="8">
        <v>2826700000</v>
      </c>
      <c r="G301" s="8">
        <v>22714400000</v>
      </c>
      <c r="H301">
        <f t="shared" si="4"/>
        <v>153509.29417212418</v>
      </c>
    </row>
    <row r="302" spans="1:8" x14ac:dyDescent="0.25">
      <c r="A302" s="6">
        <v>38632</v>
      </c>
      <c r="B302" s="7">
        <v>4641.2</v>
      </c>
      <c r="C302" s="7">
        <v>4654.3</v>
      </c>
      <c r="D302" s="7">
        <v>4421.5</v>
      </c>
      <c r="E302" s="7">
        <v>4440.6000000000004</v>
      </c>
      <c r="F302" s="8">
        <v>2212200000</v>
      </c>
      <c r="G302" s="8">
        <v>15990300000</v>
      </c>
      <c r="H302">
        <f t="shared" si="4"/>
        <v>146874.3798372694</v>
      </c>
    </row>
    <row r="303" spans="1:8" x14ac:dyDescent="0.25">
      <c r="A303" s="6">
        <v>38639</v>
      </c>
      <c r="B303" s="7">
        <v>4440.6000000000004</v>
      </c>
      <c r="C303" s="7">
        <v>4479.8</v>
      </c>
      <c r="D303" s="7">
        <v>4393.2</v>
      </c>
      <c r="E303" s="7">
        <v>4406.1000000000004</v>
      </c>
      <c r="F303" s="8">
        <v>2168300000</v>
      </c>
      <c r="G303" s="8">
        <v>14912800000</v>
      </c>
      <c r="H303">
        <f t="shared" si="4"/>
        <v>145733.28041278041</v>
      </c>
    </row>
    <row r="304" spans="1:8" x14ac:dyDescent="0.25">
      <c r="A304" s="6">
        <v>38646</v>
      </c>
      <c r="B304" s="7">
        <v>4406.1000000000004</v>
      </c>
      <c r="C304" s="7">
        <v>4461.3</v>
      </c>
      <c r="D304" s="7">
        <v>4311.1000000000004</v>
      </c>
      <c r="E304" s="7">
        <v>4364.3</v>
      </c>
      <c r="F304" s="8">
        <v>2334000000</v>
      </c>
      <c r="G304" s="8">
        <v>16420500000</v>
      </c>
      <c r="H304">
        <f t="shared" si="4"/>
        <v>144350.73096513867</v>
      </c>
    </row>
    <row r="305" spans="1:8" x14ac:dyDescent="0.25">
      <c r="A305" s="6">
        <v>38653</v>
      </c>
      <c r="B305" s="7">
        <v>4364.3</v>
      </c>
      <c r="C305" s="7">
        <v>4453.8</v>
      </c>
      <c r="D305" s="7">
        <v>4337.7</v>
      </c>
      <c r="E305" s="7">
        <v>4383</v>
      </c>
      <c r="F305" s="8">
        <v>2467700000</v>
      </c>
      <c r="G305" s="8">
        <v>20156800000</v>
      </c>
      <c r="H305">
        <f t="shared" si="4"/>
        <v>144969.23992855733</v>
      </c>
    </row>
    <row r="306" spans="1:8" x14ac:dyDescent="0.25">
      <c r="A306" s="6">
        <v>38660</v>
      </c>
      <c r="B306" s="7">
        <v>4383</v>
      </c>
      <c r="C306" s="7">
        <v>4533.5</v>
      </c>
      <c r="D306" s="7">
        <v>4383</v>
      </c>
      <c r="E306" s="7">
        <v>4519.5</v>
      </c>
      <c r="F306" s="8">
        <v>1919400000</v>
      </c>
      <c r="G306" s="8">
        <v>14668200000</v>
      </c>
      <c r="H306">
        <f t="shared" si="4"/>
        <v>149484.02460805723</v>
      </c>
    </row>
    <row r="307" spans="1:8" x14ac:dyDescent="0.25">
      <c r="A307" s="6">
        <v>38667</v>
      </c>
      <c r="B307" s="7">
        <v>4519.5</v>
      </c>
      <c r="C307" s="7">
        <v>4583.1000000000004</v>
      </c>
      <c r="D307" s="7">
        <v>4497.3999999999996</v>
      </c>
      <c r="E307" s="7">
        <v>4574.3</v>
      </c>
      <c r="F307" s="8">
        <v>2132200000</v>
      </c>
      <c r="G307" s="8">
        <v>15818900000</v>
      </c>
      <c r="H307">
        <f t="shared" si="4"/>
        <v>151296.55354898467</v>
      </c>
    </row>
    <row r="308" spans="1:8" x14ac:dyDescent="0.25">
      <c r="A308" s="6">
        <v>38674</v>
      </c>
      <c r="B308" s="7">
        <v>4574.3</v>
      </c>
      <c r="C308" s="7">
        <v>4671.1000000000004</v>
      </c>
      <c r="D308" s="7">
        <v>4574.3</v>
      </c>
      <c r="E308" s="7">
        <v>4671.1000000000004</v>
      </c>
      <c r="F308" s="8">
        <v>2420000000</v>
      </c>
      <c r="G308" s="8">
        <v>16346900000</v>
      </c>
      <c r="H308">
        <f t="shared" si="4"/>
        <v>154498.24700668131</v>
      </c>
    </row>
    <row r="309" spans="1:8" x14ac:dyDescent="0.25">
      <c r="A309" s="6">
        <v>38681</v>
      </c>
      <c r="B309" s="7">
        <v>4671.1000000000004</v>
      </c>
      <c r="C309" s="7">
        <v>4680.1000000000004</v>
      </c>
      <c r="D309" s="7">
        <v>4614</v>
      </c>
      <c r="E309" s="7">
        <v>4648.8</v>
      </c>
      <c r="F309" s="8">
        <v>2614800000</v>
      </c>
      <c r="G309" s="8">
        <v>18986300000</v>
      </c>
      <c r="H309">
        <f t="shared" si="4"/>
        <v>153760.66679896813</v>
      </c>
    </row>
    <row r="310" spans="1:8" x14ac:dyDescent="0.25">
      <c r="A310" s="6">
        <v>38688</v>
      </c>
      <c r="B310" s="7">
        <v>4648.8</v>
      </c>
      <c r="C310" s="7">
        <v>4677.6000000000004</v>
      </c>
      <c r="D310" s="7">
        <v>4577.3999999999996</v>
      </c>
      <c r="E310" s="7">
        <v>4623.5</v>
      </c>
      <c r="F310" s="8">
        <v>2945500000</v>
      </c>
      <c r="G310" s="8">
        <v>18888300000</v>
      </c>
      <c r="H310">
        <f t="shared" si="4"/>
        <v>152923.86055434286</v>
      </c>
    </row>
    <row r="311" spans="1:8" x14ac:dyDescent="0.25">
      <c r="A311" s="6">
        <v>38695</v>
      </c>
      <c r="B311" s="7">
        <v>4623.5</v>
      </c>
      <c r="C311" s="7">
        <v>4636.2</v>
      </c>
      <c r="D311" s="7">
        <v>4549.3</v>
      </c>
      <c r="E311" s="7">
        <v>4580.1000000000004</v>
      </c>
      <c r="F311" s="8">
        <v>2041200000</v>
      </c>
      <c r="G311" s="8">
        <v>14372500000</v>
      </c>
      <c r="H311">
        <f t="shared" si="4"/>
        <v>151488.39055368135</v>
      </c>
    </row>
    <row r="312" spans="1:8" x14ac:dyDescent="0.25">
      <c r="A312" s="6">
        <v>38702</v>
      </c>
      <c r="B312" s="7">
        <v>4580.1000000000004</v>
      </c>
      <c r="C312" s="7">
        <v>4645.6000000000004</v>
      </c>
      <c r="D312" s="7">
        <v>4580.1000000000004</v>
      </c>
      <c r="E312" s="7">
        <v>4644</v>
      </c>
      <c r="F312" s="8">
        <v>2038900000</v>
      </c>
      <c r="G312" s="8">
        <v>14876300000</v>
      </c>
      <c r="H312">
        <f t="shared" si="4"/>
        <v>153601.90513990878</v>
      </c>
    </row>
    <row r="313" spans="1:8" x14ac:dyDescent="0.25">
      <c r="A313" s="6">
        <v>38709</v>
      </c>
      <c r="B313" s="7">
        <v>4644</v>
      </c>
      <c r="C313" s="7">
        <v>4732.8999999999996</v>
      </c>
      <c r="D313" s="7">
        <v>4638.2</v>
      </c>
      <c r="E313" s="7">
        <v>4727.7</v>
      </c>
      <c r="F313" s="8">
        <v>1874800000</v>
      </c>
      <c r="G313" s="8">
        <v>17007000000</v>
      </c>
      <c r="H313">
        <f t="shared" si="4"/>
        <v>156370.31156975596</v>
      </c>
    </row>
    <row r="314" spans="1:8" x14ac:dyDescent="0.25">
      <c r="A314" s="6">
        <v>38716</v>
      </c>
      <c r="B314" s="7">
        <v>4727.7</v>
      </c>
      <c r="C314" s="7">
        <v>4775.8</v>
      </c>
      <c r="D314" s="7">
        <v>4723.1000000000004</v>
      </c>
      <c r="E314" s="7">
        <v>4763.3999999999996</v>
      </c>
      <c r="F314" s="8">
        <v>546600000</v>
      </c>
      <c r="G314" s="8">
        <v>3747600000</v>
      </c>
      <c r="H314">
        <f t="shared" si="4"/>
        <v>157551.10140900977</v>
      </c>
    </row>
    <row r="315" spans="1:8" x14ac:dyDescent="0.25">
      <c r="A315" s="6">
        <v>38723</v>
      </c>
      <c r="B315" s="7">
        <v>4763.3999999999996</v>
      </c>
      <c r="C315" s="7">
        <v>4831</v>
      </c>
      <c r="D315" s="7">
        <v>4751.1000000000004</v>
      </c>
      <c r="E315" s="7">
        <v>4791.1000000000004</v>
      </c>
      <c r="F315" s="8">
        <v>1172600000</v>
      </c>
      <c r="G315" s="8">
        <v>8720900000</v>
      </c>
      <c r="H315">
        <f t="shared" si="4"/>
        <v>158467.28848316474</v>
      </c>
    </row>
    <row r="316" spans="1:8" x14ac:dyDescent="0.25">
      <c r="A316" s="6">
        <v>38730</v>
      </c>
      <c r="B316" s="7">
        <v>4791.1000000000004</v>
      </c>
      <c r="C316" s="7">
        <v>4857.8</v>
      </c>
      <c r="D316" s="7">
        <v>4791.1000000000004</v>
      </c>
      <c r="E316" s="7">
        <v>4836.7</v>
      </c>
      <c r="F316" s="8">
        <v>1891800000</v>
      </c>
      <c r="G316" s="8">
        <v>14192600000</v>
      </c>
      <c r="H316">
        <f t="shared" si="4"/>
        <v>159975.52424422844</v>
      </c>
    </row>
    <row r="317" spans="1:8" x14ac:dyDescent="0.25">
      <c r="A317" s="6">
        <v>38737</v>
      </c>
      <c r="B317" s="7">
        <v>4836.7</v>
      </c>
      <c r="C317" s="7">
        <v>4869.3</v>
      </c>
      <c r="D317" s="7">
        <v>4778</v>
      </c>
      <c r="E317" s="7">
        <v>4854.3999999999996</v>
      </c>
      <c r="F317" s="8">
        <v>2335700000</v>
      </c>
      <c r="G317" s="8">
        <v>17252600000</v>
      </c>
      <c r="H317">
        <f t="shared" si="4"/>
        <v>160560.95786200976</v>
      </c>
    </row>
    <row r="318" spans="1:8" x14ac:dyDescent="0.25">
      <c r="A318" s="6">
        <v>38744</v>
      </c>
      <c r="B318" s="7">
        <v>4854.3999999999996</v>
      </c>
      <c r="C318" s="7">
        <v>4923.1000000000004</v>
      </c>
      <c r="D318" s="7">
        <v>4773</v>
      </c>
      <c r="E318" s="7">
        <v>4919.3</v>
      </c>
      <c r="F318" s="8">
        <v>1864100000</v>
      </c>
      <c r="G318" s="8">
        <v>16355800000</v>
      </c>
      <c r="H318">
        <f t="shared" si="4"/>
        <v>162707.54779387458</v>
      </c>
    </row>
    <row r="319" spans="1:8" x14ac:dyDescent="0.25">
      <c r="A319" s="6">
        <v>38751</v>
      </c>
      <c r="B319" s="7">
        <v>4919.3</v>
      </c>
      <c r="C319" s="7">
        <v>4982.6000000000004</v>
      </c>
      <c r="D319" s="7">
        <v>4844.8999999999996</v>
      </c>
      <c r="E319" s="7">
        <v>4883.8</v>
      </c>
      <c r="F319" s="8">
        <v>2495400000</v>
      </c>
      <c r="G319" s="8">
        <v>20304600000</v>
      </c>
      <c r="H319">
        <f t="shared" si="4"/>
        <v>161533.37302374822</v>
      </c>
    </row>
    <row r="320" spans="1:8" x14ac:dyDescent="0.25">
      <c r="A320" s="6">
        <v>38758</v>
      </c>
      <c r="B320" s="7">
        <v>4883.8</v>
      </c>
      <c r="C320" s="7">
        <v>4923.7</v>
      </c>
      <c r="D320" s="7">
        <v>4824.8999999999996</v>
      </c>
      <c r="E320" s="7">
        <v>4871.5</v>
      </c>
      <c r="F320" s="8">
        <v>2399100000</v>
      </c>
      <c r="G320" s="8">
        <v>19105700000</v>
      </c>
      <c r="H320">
        <f t="shared" si="4"/>
        <v>161126.54627240868</v>
      </c>
    </row>
    <row r="321" spans="1:8" x14ac:dyDescent="0.25">
      <c r="A321" s="6">
        <v>38765</v>
      </c>
      <c r="B321" s="7">
        <v>4871.5</v>
      </c>
      <c r="C321" s="7">
        <v>4895.6000000000004</v>
      </c>
      <c r="D321" s="7">
        <v>4790.8</v>
      </c>
      <c r="E321" s="7">
        <v>4799.8999999999996</v>
      </c>
      <c r="F321" s="8">
        <v>2503800000</v>
      </c>
      <c r="G321" s="8">
        <v>19997200000</v>
      </c>
      <c r="H321">
        <f t="shared" si="4"/>
        <v>158758.35152477355</v>
      </c>
    </row>
    <row r="322" spans="1:8" x14ac:dyDescent="0.25">
      <c r="A322" s="6">
        <v>38772</v>
      </c>
      <c r="B322" s="7">
        <v>4799.8999999999996</v>
      </c>
      <c r="C322" s="7">
        <v>4929.2</v>
      </c>
      <c r="D322" s="7">
        <v>4799.8999999999996</v>
      </c>
      <c r="E322" s="7">
        <v>4893.3999999999996</v>
      </c>
      <c r="F322" s="8">
        <v>2836200000</v>
      </c>
      <c r="G322" s="8">
        <v>25517800000</v>
      </c>
      <c r="H322">
        <f t="shared" si="4"/>
        <v>161850.8963418669</v>
      </c>
    </row>
    <row r="323" spans="1:8" x14ac:dyDescent="0.25">
      <c r="A323" s="6">
        <v>38779</v>
      </c>
      <c r="B323" s="7">
        <v>4893.3999999999996</v>
      </c>
      <c r="C323" s="7">
        <v>4939.5</v>
      </c>
      <c r="D323" s="7">
        <v>4849.1000000000004</v>
      </c>
      <c r="E323" s="7">
        <v>4898.5</v>
      </c>
      <c r="F323" s="8">
        <v>2694600000</v>
      </c>
      <c r="G323" s="8">
        <v>20206000000</v>
      </c>
      <c r="H323">
        <f t="shared" si="4"/>
        <v>162019.58060461745</v>
      </c>
    </row>
    <row r="324" spans="1:8" x14ac:dyDescent="0.25">
      <c r="A324" s="6">
        <v>38786</v>
      </c>
      <c r="B324" s="7">
        <v>4898.5</v>
      </c>
      <c r="C324" s="7">
        <v>4904.8</v>
      </c>
      <c r="D324" s="7">
        <v>4844.8</v>
      </c>
      <c r="E324" s="7">
        <v>4888.1000000000004</v>
      </c>
      <c r="F324" s="8">
        <v>2293200000</v>
      </c>
      <c r="G324" s="8">
        <v>16977300000</v>
      </c>
      <c r="H324">
        <f t="shared" ref="H324:H387" si="5">H323*(E324/E323)</f>
        <v>161675.59700998891</v>
      </c>
    </row>
    <row r="325" spans="1:8" x14ac:dyDescent="0.25">
      <c r="A325" s="6">
        <v>38793</v>
      </c>
      <c r="B325" s="7">
        <v>4888.1000000000004</v>
      </c>
      <c r="C325" s="7">
        <v>4997.8</v>
      </c>
      <c r="D325" s="7">
        <v>4888.1000000000004</v>
      </c>
      <c r="E325" s="7">
        <v>4971.7</v>
      </c>
      <c r="F325" s="8">
        <v>2738700000</v>
      </c>
      <c r="G325" s="8">
        <v>20888100000</v>
      </c>
      <c r="H325">
        <f t="shared" si="5"/>
        <v>164440.69590527235</v>
      </c>
    </row>
    <row r="326" spans="1:8" x14ac:dyDescent="0.25">
      <c r="A326" s="6">
        <v>38800</v>
      </c>
      <c r="B326" s="7">
        <v>4971.7</v>
      </c>
      <c r="C326" s="7">
        <v>5051.8999999999996</v>
      </c>
      <c r="D326" s="7">
        <v>4971.7</v>
      </c>
      <c r="E326" s="7">
        <v>5040.1000000000004</v>
      </c>
      <c r="F326" s="8">
        <v>2541800000</v>
      </c>
      <c r="G326" s="8">
        <v>17580000000</v>
      </c>
      <c r="H326">
        <f t="shared" si="5"/>
        <v>166703.04954686793</v>
      </c>
    </row>
    <row r="327" spans="1:8" x14ac:dyDescent="0.25">
      <c r="A327" s="6">
        <v>38807</v>
      </c>
      <c r="B327" s="7">
        <v>5040.1000000000004</v>
      </c>
      <c r="C327" s="7">
        <v>5139.5</v>
      </c>
      <c r="D327" s="7">
        <v>5040.1000000000004</v>
      </c>
      <c r="E327" s="7">
        <v>5129.7</v>
      </c>
      <c r="F327" s="8">
        <v>3236100000</v>
      </c>
      <c r="G327" s="8">
        <v>25623900000</v>
      </c>
      <c r="H327">
        <f t="shared" si="5"/>
        <v>169666.60051597556</v>
      </c>
    </row>
    <row r="328" spans="1:8" x14ac:dyDescent="0.25">
      <c r="A328" s="6">
        <v>38814</v>
      </c>
      <c r="B328" s="7">
        <v>5129.7</v>
      </c>
      <c r="C328" s="7">
        <v>5248.8</v>
      </c>
      <c r="D328" s="7">
        <v>5122.1000000000004</v>
      </c>
      <c r="E328" s="7">
        <v>5232.8999999999996</v>
      </c>
      <c r="F328" s="8">
        <v>2533800000</v>
      </c>
      <c r="G328" s="8">
        <v>21342300000</v>
      </c>
      <c r="H328">
        <f t="shared" si="5"/>
        <v>173079.97618575129</v>
      </c>
    </row>
    <row r="329" spans="1:8" x14ac:dyDescent="0.25">
      <c r="A329" s="6">
        <v>38820</v>
      </c>
      <c r="B329" s="7">
        <v>5232.8999999999996</v>
      </c>
      <c r="C329" s="7">
        <v>5239.8</v>
      </c>
      <c r="D329" s="7">
        <v>5158.8999999999996</v>
      </c>
      <c r="E329" s="7">
        <v>5175.7</v>
      </c>
      <c r="F329" s="8">
        <v>1658700000</v>
      </c>
      <c r="G329" s="8">
        <v>13390300000</v>
      </c>
      <c r="H329">
        <f t="shared" si="5"/>
        <v>171188.06641529419</v>
      </c>
    </row>
    <row r="330" spans="1:8" x14ac:dyDescent="0.25">
      <c r="A330" s="6">
        <v>38828</v>
      </c>
      <c r="B330" s="7">
        <v>5175.7</v>
      </c>
      <c r="C330" s="7">
        <v>5301.8</v>
      </c>
      <c r="D330" s="7">
        <v>5175.7</v>
      </c>
      <c r="E330" s="7">
        <v>5250.1</v>
      </c>
      <c r="F330" s="8">
        <v>2347400000</v>
      </c>
      <c r="G330" s="8">
        <v>18679200000</v>
      </c>
      <c r="H330">
        <f t="shared" si="5"/>
        <v>173648.87213071392</v>
      </c>
    </row>
    <row r="331" spans="1:8" x14ac:dyDescent="0.25">
      <c r="A331" s="6">
        <v>38835</v>
      </c>
      <c r="B331" s="7">
        <v>5250.1</v>
      </c>
      <c r="C331" s="7">
        <v>5336.6</v>
      </c>
      <c r="D331" s="7">
        <v>5246.6</v>
      </c>
      <c r="E331" s="7">
        <v>5258.8</v>
      </c>
      <c r="F331" s="8">
        <v>2325200000</v>
      </c>
      <c r="G331" s="8">
        <v>19943700000</v>
      </c>
      <c r="H331">
        <f t="shared" si="5"/>
        <v>173936.62763775897</v>
      </c>
    </row>
    <row r="332" spans="1:8" x14ac:dyDescent="0.25">
      <c r="A332" s="6">
        <v>38842</v>
      </c>
      <c r="B332" s="7">
        <v>5258.8</v>
      </c>
      <c r="C332" s="7">
        <v>5315.7</v>
      </c>
      <c r="D332" s="7">
        <v>5189.2</v>
      </c>
      <c r="E332" s="7">
        <v>5255.4</v>
      </c>
      <c r="F332" s="8">
        <v>2473500000</v>
      </c>
      <c r="G332" s="8">
        <v>19073300000</v>
      </c>
      <c r="H332">
        <f t="shared" si="5"/>
        <v>173824.17146259191</v>
      </c>
    </row>
    <row r="333" spans="1:8" x14ac:dyDescent="0.25">
      <c r="A333" s="6">
        <v>38849</v>
      </c>
      <c r="B333" s="7">
        <v>5255.4</v>
      </c>
      <c r="C333" s="7">
        <v>5406.7</v>
      </c>
      <c r="D333" s="7">
        <v>5255.4</v>
      </c>
      <c r="E333" s="7">
        <v>5329.5</v>
      </c>
      <c r="F333" s="8">
        <v>2529000000</v>
      </c>
      <c r="G333" s="8">
        <v>19976200000</v>
      </c>
      <c r="H333">
        <f t="shared" si="5"/>
        <v>176275.05457432041</v>
      </c>
    </row>
    <row r="334" spans="1:8" x14ac:dyDescent="0.25">
      <c r="A334" s="6">
        <v>38856</v>
      </c>
      <c r="B334" s="7">
        <v>5329.5</v>
      </c>
      <c r="C334" s="7">
        <v>5329.5</v>
      </c>
      <c r="D334" s="7">
        <v>5096</v>
      </c>
      <c r="E334" s="7">
        <v>5100.8999999999996</v>
      </c>
      <c r="F334" s="8">
        <v>2875600000</v>
      </c>
      <c r="G334" s="8">
        <v>22764100000</v>
      </c>
      <c r="H334">
        <f t="shared" si="5"/>
        <v>168714.03056161947</v>
      </c>
    </row>
    <row r="335" spans="1:8" x14ac:dyDescent="0.25">
      <c r="A335" s="6">
        <v>38863</v>
      </c>
      <c r="B335" s="7">
        <v>5100.8999999999996</v>
      </c>
      <c r="C335" s="7">
        <v>5105.3999999999996</v>
      </c>
      <c r="D335" s="7">
        <v>4976.8</v>
      </c>
      <c r="E335" s="7">
        <v>5053.7</v>
      </c>
      <c r="F335" s="8">
        <v>2925000000</v>
      </c>
      <c r="G335" s="8">
        <v>25150900000</v>
      </c>
      <c r="H335">
        <f t="shared" si="5"/>
        <v>167152.874247536</v>
      </c>
    </row>
    <row r="336" spans="1:8" x14ac:dyDescent="0.25">
      <c r="A336" s="6">
        <v>38870</v>
      </c>
      <c r="B336" s="7">
        <v>5053.7</v>
      </c>
      <c r="C336" s="7">
        <v>5110.7</v>
      </c>
      <c r="D336" s="7">
        <v>5001.7</v>
      </c>
      <c r="E336" s="7">
        <v>5077.2</v>
      </c>
      <c r="F336" s="8">
        <v>2430100000</v>
      </c>
      <c r="G336" s="8">
        <v>18821900000</v>
      </c>
      <c r="H336">
        <f t="shared" si="5"/>
        <v>167930.14487001399</v>
      </c>
    </row>
    <row r="337" spans="1:8" x14ac:dyDescent="0.25">
      <c r="A337" s="6">
        <v>38877</v>
      </c>
      <c r="B337" s="7">
        <v>5077.2</v>
      </c>
      <c r="C337" s="7">
        <v>5120</v>
      </c>
      <c r="D337" s="7">
        <v>4903.8999999999996</v>
      </c>
      <c r="E337" s="7">
        <v>4966</v>
      </c>
      <c r="F337" s="8">
        <v>2812200000</v>
      </c>
      <c r="G337" s="8">
        <v>22049000000</v>
      </c>
      <c r="H337">
        <f t="shared" si="5"/>
        <v>164252.16643513934</v>
      </c>
    </row>
    <row r="338" spans="1:8" x14ac:dyDescent="0.25">
      <c r="A338" s="6">
        <v>38884</v>
      </c>
      <c r="B338" s="7">
        <v>4966</v>
      </c>
      <c r="C338" s="7">
        <v>4976.6000000000004</v>
      </c>
      <c r="D338" s="7">
        <v>4758.3</v>
      </c>
      <c r="E338" s="7">
        <v>4969</v>
      </c>
      <c r="F338" s="8">
        <v>2763800000</v>
      </c>
      <c r="G338" s="8">
        <v>20903800000</v>
      </c>
      <c r="H338">
        <f t="shared" si="5"/>
        <v>164351.39247205143</v>
      </c>
    </row>
    <row r="339" spans="1:8" x14ac:dyDescent="0.25">
      <c r="A339" s="6">
        <v>38891</v>
      </c>
      <c r="B339" s="7">
        <v>4969</v>
      </c>
      <c r="C339" s="7">
        <v>5011.8</v>
      </c>
      <c r="D339" s="7">
        <v>4843</v>
      </c>
      <c r="E339" s="7">
        <v>4964.8999999999996</v>
      </c>
      <c r="F339" s="8">
        <v>2487100000</v>
      </c>
      <c r="G339" s="8">
        <v>17313200000</v>
      </c>
      <c r="H339">
        <f t="shared" si="5"/>
        <v>164215.78355493824</v>
      </c>
    </row>
    <row r="340" spans="1:8" x14ac:dyDescent="0.25">
      <c r="A340" s="6">
        <v>38898</v>
      </c>
      <c r="B340" s="7">
        <v>4964.8999999999996</v>
      </c>
      <c r="C340" s="7">
        <v>5113.1000000000004</v>
      </c>
      <c r="D340" s="7">
        <v>4922.6000000000004</v>
      </c>
      <c r="E340" s="7">
        <v>5073.8999999999996</v>
      </c>
      <c r="F340" s="8">
        <v>2767200000</v>
      </c>
      <c r="G340" s="8">
        <v>23771500000</v>
      </c>
      <c r="H340">
        <f t="shared" si="5"/>
        <v>167820.9962294107</v>
      </c>
    </row>
    <row r="341" spans="1:8" x14ac:dyDescent="0.25">
      <c r="A341" s="6">
        <v>38905</v>
      </c>
      <c r="B341" s="7">
        <v>5073.8999999999996</v>
      </c>
      <c r="C341" s="7">
        <v>5146.6000000000004</v>
      </c>
      <c r="D341" s="7">
        <v>5053.5</v>
      </c>
      <c r="E341" s="7">
        <v>5135.3</v>
      </c>
      <c r="F341" s="8">
        <v>2418000000</v>
      </c>
      <c r="G341" s="8">
        <v>17117500000</v>
      </c>
      <c r="H341">
        <f t="shared" si="5"/>
        <v>169851.82245154472</v>
      </c>
    </row>
    <row r="342" spans="1:8" x14ac:dyDescent="0.25">
      <c r="A342" s="6">
        <v>38912</v>
      </c>
      <c r="B342" s="7">
        <v>5135.3</v>
      </c>
      <c r="C342" s="7">
        <v>5142.8</v>
      </c>
      <c r="D342" s="7">
        <v>4966.1000000000004</v>
      </c>
      <c r="E342" s="7">
        <v>4966.1000000000004</v>
      </c>
      <c r="F342" s="8">
        <v>2300000000</v>
      </c>
      <c r="G342" s="8">
        <v>17388000000</v>
      </c>
      <c r="H342">
        <f t="shared" si="5"/>
        <v>164255.4739697031</v>
      </c>
    </row>
    <row r="343" spans="1:8" x14ac:dyDescent="0.25">
      <c r="A343" s="6">
        <v>38919</v>
      </c>
      <c r="B343" s="7">
        <v>4966.1000000000004</v>
      </c>
      <c r="C343" s="7">
        <v>4996.5</v>
      </c>
      <c r="D343" s="7">
        <v>4899.8999999999996</v>
      </c>
      <c r="E343" s="7">
        <v>4960.6000000000004</v>
      </c>
      <c r="F343" s="8">
        <v>2203400000</v>
      </c>
      <c r="G343" s="8">
        <v>16715000000</v>
      </c>
      <c r="H343">
        <f t="shared" si="5"/>
        <v>164073.55956869762</v>
      </c>
    </row>
    <row r="344" spans="1:8" x14ac:dyDescent="0.25">
      <c r="A344" s="6">
        <v>38926</v>
      </c>
      <c r="B344" s="7">
        <v>4960.6000000000004</v>
      </c>
      <c r="C344" s="7">
        <v>5015.8999999999996</v>
      </c>
      <c r="D344" s="7">
        <v>4901.7</v>
      </c>
      <c r="E344" s="7">
        <v>4958.3</v>
      </c>
      <c r="F344" s="8">
        <v>2529600000</v>
      </c>
      <c r="G344" s="8">
        <v>19522600000</v>
      </c>
      <c r="H344">
        <f t="shared" si="5"/>
        <v>163997.48627373169</v>
      </c>
    </row>
    <row r="345" spans="1:8" x14ac:dyDescent="0.25">
      <c r="A345" s="6">
        <v>38933</v>
      </c>
      <c r="B345" s="7">
        <v>4958.3</v>
      </c>
      <c r="C345" s="7">
        <v>5027.1000000000004</v>
      </c>
      <c r="D345" s="7">
        <v>4919.5</v>
      </c>
      <c r="E345" s="7">
        <v>4956.1000000000004</v>
      </c>
      <c r="F345" s="8">
        <v>2463900000</v>
      </c>
      <c r="G345" s="8">
        <v>17928300000</v>
      </c>
      <c r="H345">
        <f t="shared" si="5"/>
        <v>163924.72051332949</v>
      </c>
    </row>
    <row r="346" spans="1:8" x14ac:dyDescent="0.25">
      <c r="A346" s="6">
        <v>38940</v>
      </c>
      <c r="B346" s="7">
        <v>4956.1000000000004</v>
      </c>
      <c r="C346" s="7">
        <v>5024.8</v>
      </c>
      <c r="D346" s="7">
        <v>4926.3</v>
      </c>
      <c r="E346" s="7">
        <v>4949.2</v>
      </c>
      <c r="F346" s="8">
        <v>2256100000</v>
      </c>
      <c r="G346" s="8">
        <v>17224100000</v>
      </c>
      <c r="H346">
        <f t="shared" si="5"/>
        <v>163696.50062843168</v>
      </c>
    </row>
    <row r="347" spans="1:8" x14ac:dyDescent="0.25">
      <c r="A347" s="6">
        <v>38947</v>
      </c>
      <c r="B347" s="7">
        <v>4949.2</v>
      </c>
      <c r="C347" s="7">
        <v>5059.1000000000004</v>
      </c>
      <c r="D347" s="7">
        <v>4927.3999999999996</v>
      </c>
      <c r="E347" s="7">
        <v>5052.5</v>
      </c>
      <c r="F347" s="8">
        <v>2878700000</v>
      </c>
      <c r="G347" s="8">
        <v>20241600000</v>
      </c>
      <c r="H347">
        <f t="shared" si="5"/>
        <v>167113.18383277117</v>
      </c>
    </row>
    <row r="348" spans="1:8" x14ac:dyDescent="0.25">
      <c r="A348" s="6">
        <v>38954</v>
      </c>
      <c r="B348" s="7">
        <v>5052.5</v>
      </c>
      <c r="C348" s="7">
        <v>5107.8</v>
      </c>
      <c r="D348" s="7">
        <v>4982.7</v>
      </c>
      <c r="E348" s="7">
        <v>5023.6000000000004</v>
      </c>
      <c r="F348" s="8">
        <v>3260900000</v>
      </c>
      <c r="G348" s="8">
        <v>24035800000</v>
      </c>
      <c r="H348">
        <f t="shared" si="5"/>
        <v>166157.30634385141</v>
      </c>
    </row>
    <row r="349" spans="1:8" x14ac:dyDescent="0.25">
      <c r="A349" s="6">
        <v>38961</v>
      </c>
      <c r="B349" s="7">
        <v>5023.6000000000004</v>
      </c>
      <c r="C349" s="7">
        <v>5121.3</v>
      </c>
      <c r="D349" s="7">
        <v>5014.3</v>
      </c>
      <c r="E349" s="7">
        <v>5097.1000000000004</v>
      </c>
      <c r="F349" s="8">
        <v>2675500000</v>
      </c>
      <c r="G349" s="8">
        <v>18831000000</v>
      </c>
      <c r="H349">
        <f t="shared" si="5"/>
        <v>168588.34424819751</v>
      </c>
    </row>
    <row r="350" spans="1:8" x14ac:dyDescent="0.25">
      <c r="A350" s="6">
        <v>38968</v>
      </c>
      <c r="B350" s="7">
        <v>5097.1000000000004</v>
      </c>
      <c r="C350" s="7">
        <v>5164.2</v>
      </c>
      <c r="D350" s="7">
        <v>5061.3999999999996</v>
      </c>
      <c r="E350" s="7">
        <v>5098.3</v>
      </c>
      <c r="F350" s="8">
        <v>2419500000</v>
      </c>
      <c r="G350" s="8">
        <v>17245900000</v>
      </c>
      <c r="H350">
        <f t="shared" si="5"/>
        <v>168628.03466296234</v>
      </c>
    </row>
    <row r="351" spans="1:8" x14ac:dyDescent="0.25">
      <c r="A351" s="6">
        <v>38975</v>
      </c>
      <c r="B351" s="7">
        <v>5098.3</v>
      </c>
      <c r="C351" s="7">
        <v>5099.5</v>
      </c>
      <c r="D351" s="7">
        <v>4961.3</v>
      </c>
      <c r="E351" s="7">
        <v>5036.3999999999996</v>
      </c>
      <c r="F351" s="8">
        <v>2776800000</v>
      </c>
      <c r="G351" s="8">
        <v>21603300000</v>
      </c>
      <c r="H351">
        <f t="shared" si="5"/>
        <v>166580.67076800962</v>
      </c>
    </row>
    <row r="352" spans="1:8" x14ac:dyDescent="0.25">
      <c r="A352" s="6">
        <v>38982</v>
      </c>
      <c r="B352" s="7">
        <v>5036.3999999999996</v>
      </c>
      <c r="C352" s="7">
        <v>5098.3999999999996</v>
      </c>
      <c r="D352" s="7">
        <v>4964.2</v>
      </c>
      <c r="E352" s="7">
        <v>4983.2</v>
      </c>
      <c r="F352" s="8">
        <v>3374000000</v>
      </c>
      <c r="G352" s="8">
        <v>24671100000</v>
      </c>
      <c r="H352">
        <f t="shared" si="5"/>
        <v>164821.06238010197</v>
      </c>
    </row>
    <row r="353" spans="1:8" x14ac:dyDescent="0.25">
      <c r="A353" s="6">
        <v>38989</v>
      </c>
      <c r="B353" s="7">
        <v>4983.2</v>
      </c>
      <c r="C353" s="7">
        <v>5155.3</v>
      </c>
      <c r="D353" s="7">
        <v>4963.3999999999996</v>
      </c>
      <c r="E353" s="7">
        <v>5154.1000000000004</v>
      </c>
      <c r="F353" s="8">
        <v>3274800000</v>
      </c>
      <c r="G353" s="8">
        <v>22947900000</v>
      </c>
      <c r="H353">
        <f t="shared" si="5"/>
        <v>170473.63894952714</v>
      </c>
    </row>
    <row r="354" spans="1:8" x14ac:dyDescent="0.25">
      <c r="A354" s="6">
        <v>38996</v>
      </c>
      <c r="B354" s="7">
        <v>5154.1000000000004</v>
      </c>
      <c r="C354" s="7">
        <v>5229.3</v>
      </c>
      <c r="D354" s="7">
        <v>5142.7</v>
      </c>
      <c r="E354" s="7">
        <v>5220.7</v>
      </c>
      <c r="F354" s="8">
        <v>2163700000</v>
      </c>
      <c r="G354" s="8">
        <v>16061500000</v>
      </c>
      <c r="H354">
        <f t="shared" si="5"/>
        <v>172676.45696897543</v>
      </c>
    </row>
    <row r="355" spans="1:8" x14ac:dyDescent="0.25">
      <c r="A355" s="6">
        <v>39003</v>
      </c>
      <c r="B355" s="7">
        <v>5220.7</v>
      </c>
      <c r="C355" s="7">
        <v>5314.5</v>
      </c>
      <c r="D355" s="7">
        <v>5173.1000000000004</v>
      </c>
      <c r="E355" s="7">
        <v>5290</v>
      </c>
      <c r="F355" s="8">
        <v>2658400000</v>
      </c>
      <c r="G355" s="8">
        <v>19283200000</v>
      </c>
      <c r="H355">
        <f t="shared" si="5"/>
        <v>174968.57842164463</v>
      </c>
    </row>
    <row r="356" spans="1:8" x14ac:dyDescent="0.25">
      <c r="A356" s="6">
        <v>39010</v>
      </c>
      <c r="B356" s="7">
        <v>5290</v>
      </c>
      <c r="C356" s="7">
        <v>5335.4</v>
      </c>
      <c r="D356" s="7">
        <v>5264.6</v>
      </c>
      <c r="E356" s="7">
        <v>5335.4</v>
      </c>
      <c r="F356" s="8">
        <v>3234200000</v>
      </c>
      <c r="G356" s="8">
        <v>23580600000</v>
      </c>
      <c r="H356">
        <f t="shared" si="5"/>
        <v>176470.19911358083</v>
      </c>
    </row>
    <row r="357" spans="1:8" x14ac:dyDescent="0.25">
      <c r="A357" s="6">
        <v>39017</v>
      </c>
      <c r="B357" s="7">
        <v>5335.4</v>
      </c>
      <c r="C357" s="7">
        <v>5391.1</v>
      </c>
      <c r="D357" s="7">
        <v>5315.9</v>
      </c>
      <c r="E357" s="7">
        <v>5358.5</v>
      </c>
      <c r="F357" s="8">
        <v>3219700000</v>
      </c>
      <c r="G357" s="8">
        <v>26396700000</v>
      </c>
      <c r="H357">
        <f t="shared" si="5"/>
        <v>177234.23959780391</v>
      </c>
    </row>
    <row r="358" spans="1:8" x14ac:dyDescent="0.25">
      <c r="A358" s="6">
        <v>39024</v>
      </c>
      <c r="B358" s="7">
        <v>5358.5</v>
      </c>
      <c r="C358" s="7">
        <v>5432.5</v>
      </c>
      <c r="D358" s="7">
        <v>5348.8</v>
      </c>
      <c r="E358" s="7">
        <v>5432</v>
      </c>
      <c r="F358" s="8">
        <v>2800700000</v>
      </c>
      <c r="G358" s="8">
        <v>22265100000</v>
      </c>
      <c r="H358">
        <f t="shared" si="5"/>
        <v>179665.27750215004</v>
      </c>
    </row>
    <row r="359" spans="1:8" x14ac:dyDescent="0.25">
      <c r="A359" s="6">
        <v>39031</v>
      </c>
      <c r="B359" s="7">
        <v>5432</v>
      </c>
      <c r="C359" s="7">
        <v>5496.3</v>
      </c>
      <c r="D359" s="7">
        <v>5406.3</v>
      </c>
      <c r="E359" s="7">
        <v>5436.7</v>
      </c>
      <c r="F359" s="8">
        <v>2513700000</v>
      </c>
      <c r="G359" s="8">
        <v>20879300000</v>
      </c>
      <c r="H359">
        <f t="shared" si="5"/>
        <v>179820.73162664563</v>
      </c>
    </row>
    <row r="360" spans="1:8" x14ac:dyDescent="0.25">
      <c r="A360" s="6">
        <v>39038</v>
      </c>
      <c r="B360" s="7">
        <v>5436.7</v>
      </c>
      <c r="C360" s="7">
        <v>5462</v>
      </c>
      <c r="D360" s="7">
        <v>5356.9</v>
      </c>
      <c r="E360" s="7">
        <v>5419.7</v>
      </c>
      <c r="F360" s="8">
        <v>2766000000</v>
      </c>
      <c r="G360" s="8">
        <v>22600800000</v>
      </c>
      <c r="H360">
        <f t="shared" si="5"/>
        <v>179258.45075081047</v>
      </c>
    </row>
    <row r="361" spans="1:8" x14ac:dyDescent="0.25">
      <c r="A361" s="6">
        <v>39045</v>
      </c>
      <c r="B361" s="7">
        <v>5419.7</v>
      </c>
      <c r="C361" s="7">
        <v>5473.8</v>
      </c>
      <c r="D361" s="7">
        <v>5322.4</v>
      </c>
      <c r="E361" s="7">
        <v>5453.6</v>
      </c>
      <c r="F361" s="8">
        <v>3872000000</v>
      </c>
      <c r="G361" s="8">
        <v>28922600000</v>
      </c>
      <c r="H361">
        <f t="shared" si="5"/>
        <v>180379.70496791706</v>
      </c>
    </row>
    <row r="362" spans="1:8" x14ac:dyDescent="0.25">
      <c r="A362" s="6">
        <v>39052</v>
      </c>
      <c r="B362" s="7">
        <v>5453.6</v>
      </c>
      <c r="C362" s="7">
        <v>5495.7</v>
      </c>
      <c r="D362" s="7">
        <v>5368.3</v>
      </c>
      <c r="E362" s="7">
        <v>5427.9</v>
      </c>
      <c r="F362" s="8">
        <v>3407800000</v>
      </c>
      <c r="G362" s="8">
        <v>23510500000</v>
      </c>
      <c r="H362">
        <f t="shared" si="5"/>
        <v>179529.66858503685</v>
      </c>
    </row>
    <row r="363" spans="1:8" x14ac:dyDescent="0.25">
      <c r="A363" s="6">
        <v>39059</v>
      </c>
      <c r="B363" s="7">
        <v>5427.9</v>
      </c>
      <c r="C363" s="7">
        <v>5471.6</v>
      </c>
      <c r="D363" s="7">
        <v>5411</v>
      </c>
      <c r="E363" s="7">
        <v>5425.8</v>
      </c>
      <c r="F363" s="8">
        <v>3214100000</v>
      </c>
      <c r="G363" s="8">
        <v>22136400000</v>
      </c>
      <c r="H363">
        <f t="shared" si="5"/>
        <v>179460.21035919842</v>
      </c>
    </row>
    <row r="364" spans="1:8" x14ac:dyDescent="0.25">
      <c r="A364" s="6">
        <v>39066</v>
      </c>
      <c r="B364" s="7">
        <v>5425.8</v>
      </c>
      <c r="C364" s="7">
        <v>5587.4</v>
      </c>
      <c r="D364" s="7">
        <v>5425.8</v>
      </c>
      <c r="E364" s="7">
        <v>5575.4</v>
      </c>
      <c r="F364" s="8">
        <v>3176100000</v>
      </c>
      <c r="G364" s="8">
        <v>21793100000</v>
      </c>
      <c r="H364">
        <f t="shared" si="5"/>
        <v>184408.28206654775</v>
      </c>
    </row>
    <row r="365" spans="1:8" x14ac:dyDescent="0.25">
      <c r="A365" s="6">
        <v>39073</v>
      </c>
      <c r="B365" s="7">
        <v>5575.4</v>
      </c>
      <c r="C365" s="7">
        <v>5618.4</v>
      </c>
      <c r="D365" s="7">
        <v>5557.1</v>
      </c>
      <c r="E365" s="7">
        <v>5603.7</v>
      </c>
      <c r="F365" s="8">
        <v>3692000000</v>
      </c>
      <c r="G365" s="8">
        <v>31534800000</v>
      </c>
      <c r="H365">
        <f t="shared" si="5"/>
        <v>185344.31434808508</v>
      </c>
    </row>
    <row r="366" spans="1:8" x14ac:dyDescent="0.25">
      <c r="A366" s="6">
        <v>39080</v>
      </c>
      <c r="B366" s="7">
        <v>5603.7</v>
      </c>
      <c r="C366" s="7">
        <v>5684.4</v>
      </c>
      <c r="D366" s="7">
        <v>5600.8</v>
      </c>
      <c r="E366" s="7">
        <v>5669.9</v>
      </c>
      <c r="F366" s="8">
        <v>736200000</v>
      </c>
      <c r="G366" s="8">
        <v>4973200000</v>
      </c>
      <c r="H366">
        <f t="shared" si="5"/>
        <v>187533.90222927844</v>
      </c>
    </row>
    <row r="367" spans="1:8" x14ac:dyDescent="0.25">
      <c r="A367" s="6">
        <v>39087</v>
      </c>
      <c r="B367" s="7">
        <v>5669.9</v>
      </c>
      <c r="C367" s="7">
        <v>5698.2</v>
      </c>
      <c r="D367" s="7">
        <v>5565.2</v>
      </c>
      <c r="E367" s="7">
        <v>5572</v>
      </c>
      <c r="F367" s="8">
        <v>1535900000</v>
      </c>
      <c r="G367" s="8">
        <v>12526500000</v>
      </c>
      <c r="H367">
        <f t="shared" si="5"/>
        <v>184295.82589138069</v>
      </c>
    </row>
    <row r="368" spans="1:8" x14ac:dyDescent="0.25">
      <c r="A368" s="6">
        <v>39094</v>
      </c>
      <c r="B368" s="7">
        <v>5572.1</v>
      </c>
      <c r="C368" s="7">
        <v>5638.8</v>
      </c>
      <c r="D368" s="7">
        <v>5499</v>
      </c>
      <c r="E368" s="7">
        <v>5638.8</v>
      </c>
      <c r="F368" s="8">
        <v>3129000000</v>
      </c>
      <c r="G368" s="8">
        <v>22530800000</v>
      </c>
      <c r="H368">
        <f t="shared" si="5"/>
        <v>186505.25897995647</v>
      </c>
    </row>
    <row r="369" spans="1:8" x14ac:dyDescent="0.25">
      <c r="A369" s="6">
        <v>39101</v>
      </c>
      <c r="B369" s="7">
        <v>5638.8</v>
      </c>
      <c r="C369" s="7">
        <v>5705.4</v>
      </c>
      <c r="D369" s="7">
        <v>5633.2</v>
      </c>
      <c r="E369" s="7">
        <v>5673.1</v>
      </c>
      <c r="F369" s="8">
        <v>2767500000</v>
      </c>
      <c r="G369" s="8">
        <v>20532900000</v>
      </c>
      <c r="H369">
        <f t="shared" si="5"/>
        <v>187639.74333531799</v>
      </c>
    </row>
    <row r="370" spans="1:8" x14ac:dyDescent="0.25">
      <c r="A370" s="6">
        <v>39107</v>
      </c>
      <c r="B370" s="7">
        <v>5673.1</v>
      </c>
      <c r="C370" s="7">
        <v>5802.1</v>
      </c>
      <c r="D370" s="7">
        <v>5673.1</v>
      </c>
      <c r="E370" s="7">
        <v>5769.9</v>
      </c>
      <c r="F370" s="8">
        <v>2516000000</v>
      </c>
      <c r="G370" s="8">
        <v>22127200000</v>
      </c>
      <c r="H370">
        <f t="shared" si="5"/>
        <v>190841.43679301461</v>
      </c>
    </row>
    <row r="371" spans="1:8" x14ac:dyDescent="0.25">
      <c r="A371" s="6">
        <v>39115</v>
      </c>
      <c r="B371" s="7">
        <v>5769.9</v>
      </c>
      <c r="C371" s="7">
        <v>5841.3</v>
      </c>
      <c r="D371" s="7">
        <v>5752.6</v>
      </c>
      <c r="E371" s="7">
        <v>5831.5</v>
      </c>
      <c r="F371" s="8">
        <v>3373900000</v>
      </c>
      <c r="G371" s="8">
        <v>26263600000</v>
      </c>
      <c r="H371">
        <f t="shared" si="5"/>
        <v>192878.8780842761</v>
      </c>
    </row>
    <row r="372" spans="1:8" x14ac:dyDescent="0.25">
      <c r="A372" s="6">
        <v>39122</v>
      </c>
      <c r="B372" s="7">
        <v>5831.5</v>
      </c>
      <c r="C372" s="7">
        <v>5927.2</v>
      </c>
      <c r="D372" s="7">
        <v>5801.4</v>
      </c>
      <c r="E372" s="7">
        <v>5927.2</v>
      </c>
      <c r="F372" s="8">
        <v>3371200000</v>
      </c>
      <c r="G372" s="8">
        <v>28248800000</v>
      </c>
      <c r="H372">
        <f t="shared" si="5"/>
        <v>196044.18866177162</v>
      </c>
    </row>
    <row r="373" spans="1:8" x14ac:dyDescent="0.25">
      <c r="A373" s="6">
        <v>39129</v>
      </c>
      <c r="B373" s="7">
        <v>5927.2</v>
      </c>
      <c r="C373" s="7">
        <v>6000</v>
      </c>
      <c r="D373" s="7">
        <v>5905.4</v>
      </c>
      <c r="E373" s="7">
        <v>5953.7</v>
      </c>
      <c r="F373" s="8">
        <v>3151100000</v>
      </c>
      <c r="G373" s="8">
        <v>25160300000</v>
      </c>
      <c r="H373">
        <f t="shared" si="5"/>
        <v>196920.68532116173</v>
      </c>
    </row>
    <row r="374" spans="1:8" x14ac:dyDescent="0.25">
      <c r="A374" s="6">
        <v>39136</v>
      </c>
      <c r="B374" s="7">
        <v>5953.7</v>
      </c>
      <c r="C374" s="7">
        <v>6052.1</v>
      </c>
      <c r="D374" s="7">
        <v>5950.5</v>
      </c>
      <c r="E374" s="7">
        <v>6036.1</v>
      </c>
      <c r="F374" s="8">
        <v>3311900000</v>
      </c>
      <c r="G374" s="8">
        <v>29417300000</v>
      </c>
      <c r="H374">
        <f t="shared" si="5"/>
        <v>199646.09380168037</v>
      </c>
    </row>
    <row r="375" spans="1:8" x14ac:dyDescent="0.25">
      <c r="A375" s="6">
        <v>39143</v>
      </c>
      <c r="B375" s="7">
        <v>6036.1</v>
      </c>
      <c r="C375" s="7">
        <v>6044</v>
      </c>
      <c r="D375" s="7">
        <v>5780.9</v>
      </c>
      <c r="E375" s="7">
        <v>5786</v>
      </c>
      <c r="F375" s="8">
        <v>3661000000</v>
      </c>
      <c r="G375" s="8">
        <v>30651500000</v>
      </c>
      <c r="H375">
        <f t="shared" si="5"/>
        <v>191373.94985777614</v>
      </c>
    </row>
    <row r="376" spans="1:8" x14ac:dyDescent="0.25">
      <c r="A376" s="6">
        <v>39150</v>
      </c>
      <c r="B376" s="7">
        <v>5786</v>
      </c>
      <c r="C376" s="7">
        <v>5852.6</v>
      </c>
      <c r="D376" s="7">
        <v>5641.1</v>
      </c>
      <c r="E376" s="7">
        <v>5830.2</v>
      </c>
      <c r="F376" s="8">
        <v>3482400000</v>
      </c>
      <c r="G376" s="8">
        <v>28779500000</v>
      </c>
      <c r="H376">
        <f t="shared" si="5"/>
        <v>192835.88013494754</v>
      </c>
    </row>
    <row r="377" spans="1:8" x14ac:dyDescent="0.25">
      <c r="A377" s="6">
        <v>39157</v>
      </c>
      <c r="B377" s="7">
        <v>5830.2</v>
      </c>
      <c r="C377" s="7">
        <v>5917.7</v>
      </c>
      <c r="D377" s="7">
        <v>5741.9</v>
      </c>
      <c r="E377" s="7">
        <v>5836.3</v>
      </c>
      <c r="F377" s="8">
        <v>3393800000</v>
      </c>
      <c r="G377" s="8">
        <v>27565900000</v>
      </c>
      <c r="H377">
        <f t="shared" si="5"/>
        <v>193037.63974333546</v>
      </c>
    </row>
    <row r="378" spans="1:8" x14ac:dyDescent="0.25">
      <c r="A378" s="6">
        <v>39164</v>
      </c>
      <c r="B378" s="7">
        <v>5836.3</v>
      </c>
      <c r="C378" s="7">
        <v>5968.1</v>
      </c>
      <c r="D378" s="7">
        <v>5818.6</v>
      </c>
      <c r="E378" s="7">
        <v>5952.3</v>
      </c>
      <c r="F378" s="8">
        <v>2726700000</v>
      </c>
      <c r="G378" s="8">
        <v>24036800000</v>
      </c>
      <c r="H378">
        <f t="shared" si="5"/>
        <v>196874.37983726946</v>
      </c>
    </row>
    <row r="379" spans="1:8" x14ac:dyDescent="0.25">
      <c r="A379" s="6">
        <v>39171</v>
      </c>
      <c r="B379" s="7">
        <v>5952.3</v>
      </c>
      <c r="C379" s="7">
        <v>5998.9</v>
      </c>
      <c r="D379" s="7">
        <v>5905.3</v>
      </c>
      <c r="E379" s="7">
        <v>5995</v>
      </c>
      <c r="F379" s="8">
        <v>3508900000</v>
      </c>
      <c r="G379" s="8">
        <v>31260500000</v>
      </c>
      <c r="H379">
        <f t="shared" si="5"/>
        <v>198286.69709598483</v>
      </c>
    </row>
    <row r="380" spans="1:8" x14ac:dyDescent="0.25">
      <c r="A380" s="6">
        <v>39177</v>
      </c>
      <c r="B380" s="7">
        <v>5995</v>
      </c>
      <c r="C380" s="7">
        <v>6097.2</v>
      </c>
      <c r="D380" s="7">
        <v>5915.8</v>
      </c>
      <c r="E380" s="7">
        <v>6077.1</v>
      </c>
      <c r="F380" s="8">
        <v>2450200000</v>
      </c>
      <c r="G380" s="8">
        <v>20109400000</v>
      </c>
      <c r="H380">
        <f t="shared" si="5"/>
        <v>201002.18297281227</v>
      </c>
    </row>
    <row r="381" spans="1:8" x14ac:dyDescent="0.25">
      <c r="A381" s="6">
        <v>39185</v>
      </c>
      <c r="B381" s="7">
        <v>6077.1</v>
      </c>
      <c r="C381" s="7">
        <v>6195.8</v>
      </c>
      <c r="D381" s="7">
        <v>6077.1</v>
      </c>
      <c r="E381" s="7">
        <v>6135.8</v>
      </c>
      <c r="F381" s="8">
        <v>2648700000</v>
      </c>
      <c r="G381" s="8">
        <v>22071000000</v>
      </c>
      <c r="H381">
        <f t="shared" si="5"/>
        <v>202943.70576172543</v>
      </c>
    </row>
    <row r="382" spans="1:8" x14ac:dyDescent="0.25">
      <c r="A382" s="6">
        <v>39192</v>
      </c>
      <c r="B382" s="7">
        <v>6135.8</v>
      </c>
      <c r="C382" s="7">
        <v>6265.2</v>
      </c>
      <c r="D382" s="7">
        <v>6135.8</v>
      </c>
      <c r="E382" s="7">
        <v>6207.5</v>
      </c>
      <c r="F382" s="8">
        <v>3406000000</v>
      </c>
      <c r="G382" s="8">
        <v>28507700000</v>
      </c>
      <c r="H382">
        <f t="shared" si="5"/>
        <v>205315.20804392424</v>
      </c>
    </row>
    <row r="383" spans="1:8" x14ac:dyDescent="0.25">
      <c r="A383" s="6">
        <v>39199</v>
      </c>
      <c r="B383" s="7">
        <v>6207.5</v>
      </c>
      <c r="C383" s="7">
        <v>6252.3</v>
      </c>
      <c r="D383" s="7">
        <v>6144.2</v>
      </c>
      <c r="E383" s="7">
        <v>6151.6</v>
      </c>
      <c r="F383" s="8">
        <v>2734100000</v>
      </c>
      <c r="G383" s="8">
        <v>25236200000</v>
      </c>
      <c r="H383">
        <f t="shared" si="5"/>
        <v>203466.2962227957</v>
      </c>
    </row>
    <row r="384" spans="1:8" x14ac:dyDescent="0.25">
      <c r="A384" s="6">
        <v>39206</v>
      </c>
      <c r="B384" s="7">
        <v>6151.6</v>
      </c>
      <c r="C384" s="7">
        <v>6304.9</v>
      </c>
      <c r="D384" s="7">
        <v>6134.2</v>
      </c>
      <c r="E384" s="7">
        <v>6304.9</v>
      </c>
      <c r="F384" s="8">
        <v>3244100000</v>
      </c>
      <c r="G384" s="8">
        <v>25738500000</v>
      </c>
      <c r="H384">
        <f t="shared" si="5"/>
        <v>208536.74670900329</v>
      </c>
    </row>
    <row r="385" spans="1:8" x14ac:dyDescent="0.25">
      <c r="A385" s="6">
        <v>39213</v>
      </c>
      <c r="B385" s="7">
        <v>6304.9</v>
      </c>
      <c r="C385" s="7">
        <v>6382.7</v>
      </c>
      <c r="D385" s="7">
        <v>6280.5</v>
      </c>
      <c r="E385" s="7">
        <v>6297.4</v>
      </c>
      <c r="F385" s="8">
        <v>3443100000</v>
      </c>
      <c r="G385" s="8">
        <v>31299100000</v>
      </c>
      <c r="H385">
        <f t="shared" si="5"/>
        <v>208288.68161672307</v>
      </c>
    </row>
    <row r="386" spans="1:8" x14ac:dyDescent="0.25">
      <c r="A386" s="6">
        <v>39220</v>
      </c>
      <c r="B386" s="7">
        <v>6297.4</v>
      </c>
      <c r="C386" s="7">
        <v>6365.9</v>
      </c>
      <c r="D386" s="7">
        <v>6267.3</v>
      </c>
      <c r="E386" s="7">
        <v>6312.5</v>
      </c>
      <c r="F386" s="8">
        <v>3128100000</v>
      </c>
      <c r="G386" s="8">
        <v>27017900000</v>
      </c>
      <c r="H386">
        <f t="shared" si="5"/>
        <v>208788.11933584724</v>
      </c>
    </row>
    <row r="387" spans="1:8" x14ac:dyDescent="0.25">
      <c r="A387" s="6">
        <v>39227</v>
      </c>
      <c r="B387" s="7">
        <v>6318.7</v>
      </c>
      <c r="C387" s="7">
        <v>6384.1</v>
      </c>
      <c r="D387" s="7">
        <v>6226.4</v>
      </c>
      <c r="E387" s="7">
        <v>6252.8</v>
      </c>
      <c r="F387" s="8">
        <v>3684700000</v>
      </c>
      <c r="G387" s="8">
        <v>31502000000</v>
      </c>
      <c r="H387">
        <f t="shared" si="5"/>
        <v>206813.52120129674</v>
      </c>
    </row>
    <row r="388" spans="1:8" x14ac:dyDescent="0.25">
      <c r="A388" s="6">
        <v>39234</v>
      </c>
      <c r="B388" s="7">
        <v>6252.8</v>
      </c>
      <c r="C388" s="7">
        <v>6352.5</v>
      </c>
      <c r="D388" s="7">
        <v>6231</v>
      </c>
      <c r="E388" s="7">
        <v>6333.5</v>
      </c>
      <c r="F388" s="8">
        <v>3473500000</v>
      </c>
      <c r="G388" s="8">
        <v>29081100000</v>
      </c>
      <c r="H388">
        <f t="shared" ref="H388:H451" si="6">H387*(E388/E387)</f>
        <v>209482.70159423185</v>
      </c>
    </row>
    <row r="389" spans="1:8" x14ac:dyDescent="0.25">
      <c r="A389" s="6">
        <v>39241</v>
      </c>
      <c r="B389" s="7">
        <v>6333.5</v>
      </c>
      <c r="C389" s="7">
        <v>6409.2</v>
      </c>
      <c r="D389" s="7">
        <v>6199.3</v>
      </c>
      <c r="E389" s="7">
        <v>6231.7</v>
      </c>
      <c r="F389" s="8">
        <v>3592000000</v>
      </c>
      <c r="G389" s="8">
        <v>29663100000</v>
      </c>
      <c r="H389">
        <f t="shared" si="6"/>
        <v>206115.63140834839</v>
      </c>
    </row>
    <row r="390" spans="1:8" x14ac:dyDescent="0.25">
      <c r="A390" s="6">
        <v>39248</v>
      </c>
      <c r="B390" s="7">
        <v>6231.7</v>
      </c>
      <c r="C390" s="7">
        <v>6298.5</v>
      </c>
      <c r="D390" s="7">
        <v>6170.2</v>
      </c>
      <c r="E390" s="7">
        <v>6293.8</v>
      </c>
      <c r="F390" s="8">
        <v>2834900000</v>
      </c>
      <c r="G390" s="8">
        <v>23654300000</v>
      </c>
      <c r="H390">
        <f t="shared" si="6"/>
        <v>208169.61037242858</v>
      </c>
    </row>
    <row r="391" spans="1:8" x14ac:dyDescent="0.25">
      <c r="A391" s="6">
        <v>39255</v>
      </c>
      <c r="B391" s="7">
        <v>6293.8</v>
      </c>
      <c r="C391" s="7">
        <v>6403.9</v>
      </c>
      <c r="D391" s="7">
        <v>6293.8</v>
      </c>
      <c r="E391" s="7">
        <v>6382.6</v>
      </c>
      <c r="F391" s="8">
        <v>4589600000</v>
      </c>
      <c r="G391" s="8">
        <v>38173300000</v>
      </c>
      <c r="H391">
        <f t="shared" si="6"/>
        <v>211106.70106502634</v>
      </c>
    </row>
    <row r="392" spans="1:8" x14ac:dyDescent="0.25">
      <c r="A392" s="6">
        <v>39262</v>
      </c>
      <c r="B392" s="7">
        <v>6382.6</v>
      </c>
      <c r="C392" s="7">
        <v>6382.6</v>
      </c>
      <c r="D392" s="7">
        <v>6184.2</v>
      </c>
      <c r="E392" s="7">
        <v>6274.9</v>
      </c>
      <c r="F392" s="8">
        <v>4524000000</v>
      </c>
      <c r="G392" s="8">
        <v>39198100000</v>
      </c>
      <c r="H392">
        <f t="shared" si="6"/>
        <v>207544.48633988242</v>
      </c>
    </row>
    <row r="393" spans="1:8" x14ac:dyDescent="0.25">
      <c r="A393" s="6">
        <v>39269</v>
      </c>
      <c r="B393" s="7">
        <v>6274.9</v>
      </c>
      <c r="C393" s="7">
        <v>6362.3</v>
      </c>
      <c r="D393" s="7">
        <v>6254.6</v>
      </c>
      <c r="E393" s="7">
        <v>6351.1</v>
      </c>
      <c r="F393" s="8">
        <v>3772500000</v>
      </c>
      <c r="G393" s="8">
        <v>29582800000</v>
      </c>
      <c r="H393">
        <f t="shared" si="6"/>
        <v>210064.82767744942</v>
      </c>
    </row>
    <row r="394" spans="1:8" x14ac:dyDescent="0.25">
      <c r="A394" s="6">
        <v>39276</v>
      </c>
      <c r="B394" s="7">
        <v>6351.1</v>
      </c>
      <c r="C394" s="7">
        <v>6436.7</v>
      </c>
      <c r="D394" s="7">
        <v>6300.8</v>
      </c>
      <c r="E394" s="7">
        <v>6389.4</v>
      </c>
      <c r="F394" s="8">
        <v>3207100000</v>
      </c>
      <c r="G394" s="8">
        <v>27861200000</v>
      </c>
      <c r="H394">
        <f t="shared" si="6"/>
        <v>211331.61341536033</v>
      </c>
    </row>
    <row r="395" spans="1:8" x14ac:dyDescent="0.25">
      <c r="A395" s="6">
        <v>39283</v>
      </c>
      <c r="B395" s="7">
        <v>6389.4</v>
      </c>
      <c r="C395" s="7">
        <v>6422.3</v>
      </c>
      <c r="D395" s="7">
        <v>6326.4</v>
      </c>
      <c r="E395" s="7">
        <v>6421.8</v>
      </c>
      <c r="F395" s="8">
        <v>3292200000</v>
      </c>
      <c r="G395" s="8">
        <v>27309000000</v>
      </c>
      <c r="H395">
        <f t="shared" si="6"/>
        <v>212403.25461401086</v>
      </c>
    </row>
    <row r="396" spans="1:8" x14ac:dyDescent="0.25">
      <c r="A396" s="6">
        <v>39290</v>
      </c>
      <c r="B396" s="7">
        <v>6421.8</v>
      </c>
      <c r="C396" s="7">
        <v>6432.2</v>
      </c>
      <c r="D396" s="7">
        <v>6082.9</v>
      </c>
      <c r="E396" s="7">
        <v>6082.9</v>
      </c>
      <c r="F396" s="8">
        <v>3856700000</v>
      </c>
      <c r="G396" s="8">
        <v>34767100000</v>
      </c>
      <c r="H396">
        <f t="shared" si="6"/>
        <v>201194.0199775089</v>
      </c>
    </row>
    <row r="397" spans="1:8" x14ac:dyDescent="0.25">
      <c r="A397" s="6">
        <v>39297</v>
      </c>
      <c r="B397" s="7">
        <v>6082.9</v>
      </c>
      <c r="C397" s="7">
        <v>6145.4</v>
      </c>
      <c r="D397" s="7">
        <v>5903.2</v>
      </c>
      <c r="E397" s="7">
        <v>6021</v>
      </c>
      <c r="F397" s="8">
        <v>3662900000</v>
      </c>
      <c r="G397" s="8">
        <v>31926400000</v>
      </c>
      <c r="H397">
        <f t="shared" si="6"/>
        <v>199146.6560825562</v>
      </c>
    </row>
    <row r="398" spans="1:8" x14ac:dyDescent="0.25">
      <c r="A398" s="6">
        <v>39304</v>
      </c>
      <c r="B398" s="7">
        <v>6021</v>
      </c>
      <c r="C398" s="7">
        <v>6165.6</v>
      </c>
      <c r="D398" s="7">
        <v>5891.1</v>
      </c>
      <c r="E398" s="7">
        <v>5936</v>
      </c>
      <c r="F398" s="8">
        <v>3861400000</v>
      </c>
      <c r="G398" s="8">
        <v>31548800000</v>
      </c>
      <c r="H398">
        <f t="shared" si="6"/>
        <v>196335.25170338046</v>
      </c>
    </row>
    <row r="399" spans="1:8" x14ac:dyDescent="0.25">
      <c r="A399" s="6">
        <v>39311</v>
      </c>
      <c r="B399" s="7">
        <v>5936</v>
      </c>
      <c r="C399" s="7">
        <v>6040.4</v>
      </c>
      <c r="D399" s="7">
        <v>5483.3</v>
      </c>
      <c r="E399" s="7">
        <v>5671</v>
      </c>
      <c r="F399" s="8">
        <v>4701400000</v>
      </c>
      <c r="G399" s="8">
        <v>38543500000</v>
      </c>
      <c r="H399">
        <f t="shared" si="6"/>
        <v>187570.28510947956</v>
      </c>
    </row>
    <row r="400" spans="1:8" x14ac:dyDescent="0.25">
      <c r="A400" s="6">
        <v>39318</v>
      </c>
      <c r="B400" s="7">
        <v>5671</v>
      </c>
      <c r="C400" s="7">
        <v>6177.7</v>
      </c>
      <c r="D400" s="7">
        <v>5671</v>
      </c>
      <c r="E400" s="7">
        <v>6088.5</v>
      </c>
      <c r="F400" s="8">
        <v>3735000000</v>
      </c>
      <c r="G400" s="8">
        <v>31511800000</v>
      </c>
      <c r="H400">
        <f t="shared" si="6"/>
        <v>201379.24191307818</v>
      </c>
    </row>
    <row r="401" spans="1:8" x14ac:dyDescent="0.25">
      <c r="A401" s="6">
        <v>39325</v>
      </c>
      <c r="B401" s="7">
        <v>6088.5</v>
      </c>
      <c r="C401" s="7">
        <v>6247.2</v>
      </c>
      <c r="D401" s="7">
        <v>6031.6</v>
      </c>
      <c r="E401" s="7">
        <v>6247.2</v>
      </c>
      <c r="F401" s="8">
        <v>3993200000</v>
      </c>
      <c r="G401" s="8">
        <v>33067300000</v>
      </c>
      <c r="H401">
        <f t="shared" si="6"/>
        <v>206628.29926572752</v>
      </c>
    </row>
    <row r="402" spans="1:8" x14ac:dyDescent="0.25">
      <c r="A402" s="6">
        <v>39332</v>
      </c>
      <c r="B402" s="7">
        <v>6247.2</v>
      </c>
      <c r="C402" s="7">
        <v>6355.7</v>
      </c>
      <c r="D402" s="7">
        <v>6189.7</v>
      </c>
      <c r="E402" s="7">
        <v>6278.4</v>
      </c>
      <c r="F402" s="8">
        <v>2773100000</v>
      </c>
      <c r="G402" s="8">
        <v>22733100000</v>
      </c>
      <c r="H402">
        <f t="shared" si="6"/>
        <v>207660.25004961318</v>
      </c>
    </row>
    <row r="403" spans="1:8" x14ac:dyDescent="0.25">
      <c r="A403" s="6">
        <v>39339</v>
      </c>
      <c r="B403" s="7">
        <v>6278.4</v>
      </c>
      <c r="C403" s="7">
        <v>6310.8</v>
      </c>
      <c r="D403" s="7">
        <v>6146.5</v>
      </c>
      <c r="E403" s="7">
        <v>6306.8</v>
      </c>
      <c r="F403" s="8">
        <v>3150700000</v>
      </c>
      <c r="G403" s="8">
        <v>26419200000</v>
      </c>
      <c r="H403">
        <f t="shared" si="6"/>
        <v>208599.58986571428</v>
      </c>
    </row>
    <row r="404" spans="1:8" x14ac:dyDescent="0.25">
      <c r="A404" s="6">
        <v>39346</v>
      </c>
      <c r="B404" s="7">
        <v>6306.8</v>
      </c>
      <c r="C404" s="7">
        <v>6416.4</v>
      </c>
      <c r="D404" s="7">
        <v>6166.2</v>
      </c>
      <c r="E404" s="7">
        <v>6357.9</v>
      </c>
      <c r="F404" s="8">
        <v>4121800000</v>
      </c>
      <c r="G404" s="8">
        <v>36427200000</v>
      </c>
      <c r="H404">
        <f t="shared" si="6"/>
        <v>210289.74002778347</v>
      </c>
    </row>
    <row r="405" spans="1:8" x14ac:dyDescent="0.25">
      <c r="A405" s="6">
        <v>39353</v>
      </c>
      <c r="B405" s="7">
        <v>6357.9</v>
      </c>
      <c r="C405" s="7">
        <v>6594.4</v>
      </c>
      <c r="D405" s="7">
        <v>6357.9</v>
      </c>
      <c r="E405" s="7">
        <v>6567.8</v>
      </c>
      <c r="F405" s="8">
        <v>3669900000</v>
      </c>
      <c r="G405" s="8">
        <v>37388100000</v>
      </c>
      <c r="H405">
        <f t="shared" si="6"/>
        <v>217232.25507706573</v>
      </c>
    </row>
    <row r="406" spans="1:8" x14ac:dyDescent="0.25">
      <c r="A406" s="6">
        <v>39360</v>
      </c>
      <c r="B406" s="7">
        <v>6567.8</v>
      </c>
      <c r="C406" s="7">
        <v>6680.3</v>
      </c>
      <c r="D406" s="7">
        <v>6551.7</v>
      </c>
      <c r="E406" s="7">
        <v>6605.4</v>
      </c>
      <c r="F406" s="8">
        <v>2890200000</v>
      </c>
      <c r="G406" s="8">
        <v>25537700000</v>
      </c>
      <c r="H406">
        <f t="shared" si="6"/>
        <v>218475.88807303051</v>
      </c>
    </row>
    <row r="407" spans="1:8" x14ac:dyDescent="0.25">
      <c r="A407" s="6">
        <v>39367</v>
      </c>
      <c r="B407" s="7">
        <v>6605.4</v>
      </c>
      <c r="C407" s="7">
        <v>6782.5</v>
      </c>
      <c r="D407" s="7">
        <v>6605.4</v>
      </c>
      <c r="E407" s="7">
        <v>6748.9</v>
      </c>
      <c r="F407" s="8">
        <v>2944700000</v>
      </c>
      <c r="G407" s="8">
        <v>26242500000</v>
      </c>
      <c r="H407">
        <f t="shared" si="6"/>
        <v>223222.20017199198</v>
      </c>
    </row>
    <row r="408" spans="1:8" x14ac:dyDescent="0.25">
      <c r="A408" s="6">
        <v>39374</v>
      </c>
      <c r="B408" s="7">
        <v>6748.9</v>
      </c>
      <c r="C408" s="7">
        <v>6800.2</v>
      </c>
      <c r="D408" s="7">
        <v>6648.4</v>
      </c>
      <c r="E408" s="7">
        <v>6706.3</v>
      </c>
      <c r="F408" s="8">
        <v>2825400000</v>
      </c>
      <c r="G408" s="8">
        <v>26956900000</v>
      </c>
      <c r="H408">
        <f t="shared" si="6"/>
        <v>221813.19044784037</v>
      </c>
    </row>
    <row r="409" spans="1:8" x14ac:dyDescent="0.25">
      <c r="A409" s="6">
        <v>39381</v>
      </c>
      <c r="B409" s="7">
        <v>6706.3</v>
      </c>
      <c r="C409" s="7">
        <v>6733.4</v>
      </c>
      <c r="D409" s="7">
        <v>6542.9</v>
      </c>
      <c r="E409" s="7">
        <v>6700.6</v>
      </c>
      <c r="F409" s="8">
        <v>3875700000</v>
      </c>
      <c r="G409" s="8">
        <v>39125100000</v>
      </c>
      <c r="H409">
        <f t="shared" si="6"/>
        <v>221624.66097770742</v>
      </c>
    </row>
    <row r="410" spans="1:8" x14ac:dyDescent="0.25">
      <c r="A410" s="6">
        <v>39388</v>
      </c>
      <c r="B410" s="7">
        <v>6700.6</v>
      </c>
      <c r="C410" s="7">
        <v>6851.5</v>
      </c>
      <c r="D410" s="7">
        <v>6674.7</v>
      </c>
      <c r="E410" s="7">
        <v>6696.6</v>
      </c>
      <c r="F410" s="8">
        <v>3294200000</v>
      </c>
      <c r="G410" s="8">
        <v>32119400000</v>
      </c>
      <c r="H410">
        <f t="shared" si="6"/>
        <v>221492.35959515796</v>
      </c>
    </row>
    <row r="411" spans="1:8" x14ac:dyDescent="0.25">
      <c r="A411" s="6">
        <v>39395</v>
      </c>
      <c r="B411" s="7">
        <v>6696.6</v>
      </c>
      <c r="C411" s="7">
        <v>6710.2</v>
      </c>
      <c r="D411" s="7">
        <v>6488.5</v>
      </c>
      <c r="E411" s="7">
        <v>6545.7</v>
      </c>
      <c r="F411" s="8">
        <v>3022400000</v>
      </c>
      <c r="G411" s="8">
        <v>32472900000</v>
      </c>
      <c r="H411">
        <f t="shared" si="6"/>
        <v>216501.28993848001</v>
      </c>
    </row>
    <row r="412" spans="1:8" x14ac:dyDescent="0.25">
      <c r="A412" s="6">
        <v>39402</v>
      </c>
      <c r="B412" s="7">
        <v>6545.7</v>
      </c>
      <c r="C412" s="7">
        <v>6616.5</v>
      </c>
      <c r="D412" s="7">
        <v>6437.3</v>
      </c>
      <c r="E412" s="7">
        <v>6461.9</v>
      </c>
      <c r="F412" s="8">
        <v>3209900000</v>
      </c>
      <c r="G412" s="8">
        <v>33954100000</v>
      </c>
      <c r="H412">
        <f t="shared" si="6"/>
        <v>213729.57597406907</v>
      </c>
    </row>
    <row r="413" spans="1:8" x14ac:dyDescent="0.25">
      <c r="A413" s="6">
        <v>39409</v>
      </c>
      <c r="B413" s="7">
        <v>6461.9</v>
      </c>
      <c r="C413" s="7">
        <v>6551.9</v>
      </c>
      <c r="D413" s="7">
        <v>6312.6</v>
      </c>
      <c r="E413" s="7">
        <v>6330.2</v>
      </c>
      <c r="F413" s="8">
        <v>2805600000</v>
      </c>
      <c r="G413" s="8">
        <v>27411100000</v>
      </c>
      <c r="H413">
        <f t="shared" si="6"/>
        <v>209373.55295362853</v>
      </c>
    </row>
    <row r="414" spans="1:8" x14ac:dyDescent="0.25">
      <c r="A414" s="6">
        <v>39416</v>
      </c>
      <c r="B414" s="7">
        <v>6330.2</v>
      </c>
      <c r="C414" s="7">
        <v>6552.9</v>
      </c>
      <c r="D414" s="7">
        <v>6330.2</v>
      </c>
      <c r="E414" s="7">
        <v>6533.1</v>
      </c>
      <c r="F414" s="8">
        <v>3937300000</v>
      </c>
      <c r="G414" s="8">
        <v>37309700000</v>
      </c>
      <c r="H414">
        <f t="shared" si="6"/>
        <v>216084.5405834493</v>
      </c>
    </row>
    <row r="415" spans="1:8" x14ac:dyDescent="0.25">
      <c r="A415" s="6">
        <v>39423</v>
      </c>
      <c r="B415" s="7">
        <v>6533.1</v>
      </c>
      <c r="C415" s="7">
        <v>6671.4</v>
      </c>
      <c r="D415" s="7">
        <v>6482</v>
      </c>
      <c r="E415" s="7">
        <v>6654.7</v>
      </c>
      <c r="F415" s="8">
        <v>3196500000</v>
      </c>
      <c r="G415" s="8">
        <v>28524800000</v>
      </c>
      <c r="H415">
        <f t="shared" si="6"/>
        <v>220106.50261295249</v>
      </c>
    </row>
    <row r="416" spans="1:8" x14ac:dyDescent="0.25">
      <c r="A416" s="6">
        <v>39430</v>
      </c>
      <c r="B416" s="7">
        <v>6654.7</v>
      </c>
      <c r="C416" s="7">
        <v>6684.4</v>
      </c>
      <c r="D416" s="7">
        <v>6466.7</v>
      </c>
      <c r="E416" s="7">
        <v>6491.7</v>
      </c>
      <c r="F416" s="8">
        <v>2981400000</v>
      </c>
      <c r="G416" s="8">
        <v>27414900000</v>
      </c>
      <c r="H416">
        <f t="shared" si="6"/>
        <v>214715.2212740625</v>
      </c>
    </row>
    <row r="417" spans="1:8" x14ac:dyDescent="0.25">
      <c r="A417" s="6">
        <v>39437</v>
      </c>
      <c r="B417" s="7">
        <v>6491.7</v>
      </c>
      <c r="C417" s="7">
        <v>6491.7</v>
      </c>
      <c r="D417" s="7">
        <v>6105.1</v>
      </c>
      <c r="E417" s="7">
        <v>6247</v>
      </c>
      <c r="F417" s="8">
        <v>5880400000</v>
      </c>
      <c r="G417" s="8">
        <v>45675800000</v>
      </c>
      <c r="H417">
        <f t="shared" si="6"/>
        <v>206621.68419660005</v>
      </c>
    </row>
    <row r="418" spans="1:8" x14ac:dyDescent="0.25">
      <c r="A418" s="6">
        <v>39444</v>
      </c>
      <c r="B418" s="7">
        <v>6247</v>
      </c>
      <c r="C418" s="7">
        <v>6366.5</v>
      </c>
      <c r="D418" s="7">
        <v>6247</v>
      </c>
      <c r="E418" s="7">
        <v>6339.9</v>
      </c>
      <c r="F418" s="8">
        <v>965700000</v>
      </c>
      <c r="G418" s="8">
        <v>6714500000</v>
      </c>
      <c r="H418">
        <f t="shared" si="6"/>
        <v>209694.38380631097</v>
      </c>
    </row>
    <row r="419" spans="1:8" x14ac:dyDescent="0.25">
      <c r="A419" s="6">
        <v>39451</v>
      </c>
      <c r="B419" s="7">
        <v>6339.9</v>
      </c>
      <c r="C419" s="7">
        <v>6385.7</v>
      </c>
      <c r="D419" s="7">
        <v>6251.4</v>
      </c>
      <c r="E419" s="7">
        <v>6306.8</v>
      </c>
      <c r="F419" s="8">
        <v>1500500000</v>
      </c>
      <c r="G419" s="8">
        <v>10323800000</v>
      </c>
      <c r="H419">
        <f t="shared" si="6"/>
        <v>208599.58986571431</v>
      </c>
    </row>
    <row r="420" spans="1:8" x14ac:dyDescent="0.25">
      <c r="A420" s="6">
        <v>39458</v>
      </c>
      <c r="B420" s="7">
        <v>6306.8</v>
      </c>
      <c r="C420" s="7">
        <v>6306.8</v>
      </c>
      <c r="D420" s="7">
        <v>5981.6</v>
      </c>
      <c r="E420" s="7">
        <v>5981.6</v>
      </c>
      <c r="F420" s="8">
        <v>3457100000</v>
      </c>
      <c r="G420" s="8">
        <v>25888300000</v>
      </c>
      <c r="H420">
        <f t="shared" si="6"/>
        <v>197843.48746444422</v>
      </c>
    </row>
    <row r="421" spans="1:8" x14ac:dyDescent="0.25">
      <c r="A421" s="6">
        <v>39465</v>
      </c>
      <c r="B421" s="7">
        <v>5981.6</v>
      </c>
      <c r="C421" s="7">
        <v>6042</v>
      </c>
      <c r="D421" s="7">
        <v>5619.3</v>
      </c>
      <c r="E421" s="7">
        <v>5747.3</v>
      </c>
      <c r="F421" s="8">
        <v>4420000000</v>
      </c>
      <c r="G421" s="8">
        <v>31540700000</v>
      </c>
      <c r="H421">
        <f t="shared" si="6"/>
        <v>190093.93398161029</v>
      </c>
    </row>
    <row r="422" spans="1:8" x14ac:dyDescent="0.25">
      <c r="A422" s="6">
        <v>39472</v>
      </c>
      <c r="B422" s="7">
        <v>5747.3</v>
      </c>
      <c r="C422" s="7">
        <v>5860.3</v>
      </c>
      <c r="D422" s="7">
        <v>5186.8</v>
      </c>
      <c r="E422" s="7">
        <v>5860.3</v>
      </c>
      <c r="F422" s="8">
        <v>5414800000</v>
      </c>
      <c r="G422" s="8">
        <v>40708600000</v>
      </c>
      <c r="H422">
        <f t="shared" si="6"/>
        <v>193831.4480386322</v>
      </c>
    </row>
    <row r="423" spans="1:8" x14ac:dyDescent="0.25">
      <c r="A423" s="6">
        <v>39479</v>
      </c>
      <c r="B423" s="7">
        <v>5860.3</v>
      </c>
      <c r="C423" s="7">
        <v>5862.1</v>
      </c>
      <c r="D423" s="7">
        <v>5448.5</v>
      </c>
      <c r="E423" s="7">
        <v>5842.9</v>
      </c>
      <c r="F423" s="8">
        <v>3480300000</v>
      </c>
      <c r="G423" s="8">
        <v>25693700000</v>
      </c>
      <c r="H423">
        <f t="shared" si="6"/>
        <v>193255.93702454207</v>
      </c>
    </row>
    <row r="424" spans="1:8" x14ac:dyDescent="0.25">
      <c r="A424" s="6">
        <v>39486</v>
      </c>
      <c r="B424" s="7">
        <v>5842.9</v>
      </c>
      <c r="C424" s="7">
        <v>6022</v>
      </c>
      <c r="D424" s="7">
        <v>5508.7</v>
      </c>
      <c r="E424" s="7">
        <v>5658</v>
      </c>
      <c r="F424" s="8">
        <v>3322300000</v>
      </c>
      <c r="G424" s="8">
        <v>27843900000</v>
      </c>
      <c r="H424">
        <f t="shared" si="6"/>
        <v>187140.30561619386</v>
      </c>
    </row>
    <row r="425" spans="1:8" x14ac:dyDescent="0.25">
      <c r="A425" s="6">
        <v>39493</v>
      </c>
      <c r="B425" s="7">
        <v>5658</v>
      </c>
      <c r="C425" s="7">
        <v>5690.5</v>
      </c>
      <c r="D425" s="7">
        <v>5513.2</v>
      </c>
      <c r="E425" s="7">
        <v>5606.6</v>
      </c>
      <c r="F425" s="8">
        <v>3564300000</v>
      </c>
      <c r="G425" s="8">
        <v>29725200000</v>
      </c>
      <c r="H425">
        <f t="shared" si="6"/>
        <v>185440.23285043347</v>
      </c>
    </row>
    <row r="426" spans="1:8" x14ac:dyDescent="0.25">
      <c r="A426" s="6">
        <v>39500</v>
      </c>
      <c r="B426" s="7">
        <v>5606.6</v>
      </c>
      <c r="C426" s="7">
        <v>5650.3</v>
      </c>
      <c r="D426" s="7">
        <v>5490.4</v>
      </c>
      <c r="E426" s="7">
        <v>5559.9</v>
      </c>
      <c r="F426" s="8">
        <v>3816800000</v>
      </c>
      <c r="G426" s="8">
        <v>30813000000</v>
      </c>
      <c r="H426">
        <f t="shared" si="6"/>
        <v>183895.61420916865</v>
      </c>
    </row>
    <row r="427" spans="1:8" x14ac:dyDescent="0.25">
      <c r="A427" s="6">
        <v>39507</v>
      </c>
      <c r="B427" s="7">
        <v>5559.9</v>
      </c>
      <c r="C427" s="7">
        <v>5769.8</v>
      </c>
      <c r="D427" s="7">
        <v>5515.6</v>
      </c>
      <c r="E427" s="7">
        <v>5572.1</v>
      </c>
      <c r="F427" s="8">
        <v>4178200000</v>
      </c>
      <c r="G427" s="8">
        <v>32744100000</v>
      </c>
      <c r="H427">
        <f t="shared" si="6"/>
        <v>184299.13342594448</v>
      </c>
    </row>
    <row r="428" spans="1:8" x14ac:dyDescent="0.25">
      <c r="A428" s="6">
        <v>39514</v>
      </c>
      <c r="B428" s="7">
        <v>5572.1</v>
      </c>
      <c r="C428" s="7">
        <v>5572.1</v>
      </c>
      <c r="D428" s="7">
        <v>5240.3</v>
      </c>
      <c r="E428" s="7">
        <v>5264</v>
      </c>
      <c r="F428" s="8">
        <v>4729700000</v>
      </c>
      <c r="G428" s="8">
        <v>32488300000</v>
      </c>
      <c r="H428">
        <f t="shared" si="6"/>
        <v>174108.61943507325</v>
      </c>
    </row>
    <row r="429" spans="1:8" x14ac:dyDescent="0.25">
      <c r="A429" s="6">
        <v>39521</v>
      </c>
      <c r="B429" s="7">
        <v>5264</v>
      </c>
      <c r="C429" s="7">
        <v>5369.7</v>
      </c>
      <c r="D429" s="7">
        <v>5082.1000000000004</v>
      </c>
      <c r="E429" s="7">
        <v>5206.8999999999996</v>
      </c>
      <c r="F429" s="8">
        <v>4282300000</v>
      </c>
      <c r="G429" s="8">
        <v>29549400000</v>
      </c>
      <c r="H429">
        <f t="shared" si="6"/>
        <v>172220.01719917989</v>
      </c>
    </row>
    <row r="430" spans="1:8" x14ac:dyDescent="0.25">
      <c r="A430" s="6">
        <v>39527</v>
      </c>
      <c r="B430" s="7">
        <v>5206.8999999999996</v>
      </c>
      <c r="C430" s="7">
        <v>5289.1</v>
      </c>
      <c r="D430" s="7">
        <v>5039.6000000000004</v>
      </c>
      <c r="E430" s="7">
        <v>5127.5</v>
      </c>
      <c r="F430" s="8">
        <v>4575700000</v>
      </c>
      <c r="G430" s="8">
        <v>32923400000</v>
      </c>
      <c r="H430">
        <f t="shared" si="6"/>
        <v>169593.83475557336</v>
      </c>
    </row>
    <row r="431" spans="1:8" x14ac:dyDescent="0.25">
      <c r="A431" s="6">
        <v>39535</v>
      </c>
      <c r="B431" s="7">
        <v>5127.5</v>
      </c>
      <c r="C431" s="7">
        <v>5389.7</v>
      </c>
      <c r="D431" s="7">
        <v>5127.5</v>
      </c>
      <c r="E431" s="7">
        <v>5351.1</v>
      </c>
      <c r="F431" s="8">
        <v>3758500000</v>
      </c>
      <c r="G431" s="8">
        <v>25998400000</v>
      </c>
      <c r="H431">
        <f t="shared" si="6"/>
        <v>176989.48204008752</v>
      </c>
    </row>
    <row r="432" spans="1:8" x14ac:dyDescent="0.25">
      <c r="A432" s="6">
        <v>39542</v>
      </c>
      <c r="B432" s="7">
        <v>5351.1</v>
      </c>
      <c r="C432" s="7">
        <v>5657.7</v>
      </c>
      <c r="D432" s="7">
        <v>5301</v>
      </c>
      <c r="E432" s="7">
        <v>5619.6</v>
      </c>
      <c r="F432" s="8">
        <v>4353200000</v>
      </c>
      <c r="G432" s="8">
        <v>27509500000</v>
      </c>
      <c r="H432">
        <f t="shared" si="6"/>
        <v>185870.21234371921</v>
      </c>
    </row>
    <row r="433" spans="1:8" x14ac:dyDescent="0.25">
      <c r="A433" s="6">
        <v>39549</v>
      </c>
      <c r="B433" s="7">
        <v>5619.6</v>
      </c>
      <c r="C433" s="7">
        <v>5643.7</v>
      </c>
      <c r="D433" s="7">
        <v>5386.1</v>
      </c>
      <c r="E433" s="7">
        <v>5439.3</v>
      </c>
      <c r="F433" s="8">
        <v>3550500000</v>
      </c>
      <c r="G433" s="8">
        <v>25352900000</v>
      </c>
      <c r="H433">
        <f t="shared" si="6"/>
        <v>179906.72752530285</v>
      </c>
    </row>
    <row r="434" spans="1:8" x14ac:dyDescent="0.25">
      <c r="A434" s="6">
        <v>39556</v>
      </c>
      <c r="B434" s="7">
        <v>5439.3</v>
      </c>
      <c r="C434" s="7">
        <v>5567.6</v>
      </c>
      <c r="D434" s="7">
        <v>5309.2</v>
      </c>
      <c r="E434" s="7">
        <v>5429.7</v>
      </c>
      <c r="F434" s="8">
        <v>3295500000</v>
      </c>
      <c r="G434" s="8">
        <v>23051900000</v>
      </c>
      <c r="H434">
        <f t="shared" si="6"/>
        <v>179589.20420718417</v>
      </c>
    </row>
    <row r="435" spans="1:8" x14ac:dyDescent="0.25">
      <c r="A435" s="6">
        <v>39562</v>
      </c>
      <c r="B435" s="7">
        <v>5429.7</v>
      </c>
      <c r="C435" s="7">
        <v>5653.9</v>
      </c>
      <c r="D435" s="7">
        <v>5429.7</v>
      </c>
      <c r="E435" s="7">
        <v>5587.3</v>
      </c>
      <c r="F435" s="8">
        <v>2809900000</v>
      </c>
      <c r="G435" s="8">
        <v>22387700000</v>
      </c>
      <c r="H435">
        <f t="shared" si="6"/>
        <v>184801.87867963244</v>
      </c>
    </row>
    <row r="436" spans="1:8" x14ac:dyDescent="0.25">
      <c r="A436" s="6">
        <v>39570</v>
      </c>
      <c r="B436" s="7">
        <v>5587.3</v>
      </c>
      <c r="C436" s="7">
        <v>5700.4</v>
      </c>
      <c r="D436" s="7">
        <v>5516</v>
      </c>
      <c r="E436" s="7">
        <v>5700.4</v>
      </c>
      <c r="F436" s="8">
        <v>3663400000</v>
      </c>
      <c r="G436" s="8">
        <v>25920500000</v>
      </c>
      <c r="H436">
        <f t="shared" si="6"/>
        <v>188542.70027121805</v>
      </c>
    </row>
    <row r="437" spans="1:8" x14ac:dyDescent="0.25">
      <c r="A437" s="6">
        <v>39577</v>
      </c>
      <c r="B437" s="7">
        <v>5700.4</v>
      </c>
      <c r="C437" s="7">
        <v>5810.7</v>
      </c>
      <c r="D437" s="7">
        <v>5590.6</v>
      </c>
      <c r="E437" s="7">
        <v>5771.8</v>
      </c>
      <c r="F437" s="8">
        <v>3456100000</v>
      </c>
      <c r="G437" s="8">
        <v>24842000000</v>
      </c>
      <c r="H437">
        <f t="shared" si="6"/>
        <v>190904.27994972572</v>
      </c>
    </row>
    <row r="438" spans="1:8" x14ac:dyDescent="0.25">
      <c r="A438" s="6">
        <v>39584</v>
      </c>
      <c r="B438" s="7">
        <v>5771.8</v>
      </c>
      <c r="C438" s="7">
        <v>5971.5</v>
      </c>
      <c r="D438" s="7">
        <v>5771.8</v>
      </c>
      <c r="E438" s="7">
        <v>5931</v>
      </c>
      <c r="F438" s="8">
        <v>3686400000</v>
      </c>
      <c r="G438" s="8">
        <v>29266300000</v>
      </c>
      <c r="H438">
        <f t="shared" si="6"/>
        <v>196169.87497519373</v>
      </c>
    </row>
    <row r="439" spans="1:8" x14ac:dyDescent="0.25">
      <c r="A439" s="6">
        <v>39591</v>
      </c>
      <c r="B439" s="7">
        <v>5931</v>
      </c>
      <c r="C439" s="7">
        <v>5980.8</v>
      </c>
      <c r="D439" s="7">
        <v>5738.9</v>
      </c>
      <c r="E439" s="7">
        <v>5768</v>
      </c>
      <c r="F439" s="8">
        <v>3832700000</v>
      </c>
      <c r="G439" s="8">
        <v>28303000000</v>
      </c>
      <c r="H439">
        <f t="shared" si="6"/>
        <v>190778.59363630373</v>
      </c>
    </row>
    <row r="440" spans="1:8" x14ac:dyDescent="0.25">
      <c r="A440" s="6">
        <v>39598</v>
      </c>
      <c r="B440" s="7">
        <v>5768</v>
      </c>
      <c r="C440" s="7">
        <v>5768</v>
      </c>
      <c r="D440" s="7">
        <v>5628.5</v>
      </c>
      <c r="E440" s="7">
        <v>5654.7</v>
      </c>
      <c r="F440" s="8">
        <v>4474900000</v>
      </c>
      <c r="G440" s="8">
        <v>30676100000</v>
      </c>
      <c r="H440">
        <f t="shared" si="6"/>
        <v>187031.15697559062</v>
      </c>
    </row>
    <row r="441" spans="1:8" x14ac:dyDescent="0.25">
      <c r="A441" s="6">
        <v>39605</v>
      </c>
      <c r="B441" s="7">
        <v>5654.7</v>
      </c>
      <c r="C441" s="7">
        <v>5681.5</v>
      </c>
      <c r="D441" s="7">
        <v>5514.3</v>
      </c>
      <c r="E441" s="7">
        <v>5592.1</v>
      </c>
      <c r="F441" s="8">
        <v>3869800000</v>
      </c>
      <c r="G441" s="8">
        <v>26981800000</v>
      </c>
      <c r="H441">
        <f t="shared" si="6"/>
        <v>184960.6403386918</v>
      </c>
    </row>
    <row r="442" spans="1:8" x14ac:dyDescent="0.25">
      <c r="A442" s="6">
        <v>39612</v>
      </c>
      <c r="B442" s="7">
        <v>5592.1</v>
      </c>
      <c r="C442" s="7">
        <v>5592.1</v>
      </c>
      <c r="D442" s="7">
        <v>5290</v>
      </c>
      <c r="E442" s="7">
        <v>5378.1</v>
      </c>
      <c r="F442" s="8">
        <v>3630100000</v>
      </c>
      <c r="G442" s="8">
        <v>24344800000</v>
      </c>
      <c r="H442">
        <f t="shared" si="6"/>
        <v>177882.51637229635</v>
      </c>
    </row>
    <row r="443" spans="1:8" x14ac:dyDescent="0.25">
      <c r="A443" s="6">
        <v>39619</v>
      </c>
      <c r="B443" s="7">
        <v>5378.1</v>
      </c>
      <c r="C443" s="7">
        <v>5444.2</v>
      </c>
      <c r="D443" s="7">
        <v>5276.2</v>
      </c>
      <c r="E443" s="7">
        <v>5288.3</v>
      </c>
      <c r="F443" s="8">
        <v>5429900000</v>
      </c>
      <c r="G443" s="8">
        <v>34997400000</v>
      </c>
      <c r="H443">
        <f t="shared" si="6"/>
        <v>174912.35033406122</v>
      </c>
    </row>
    <row r="444" spans="1:8" x14ac:dyDescent="0.25">
      <c r="A444" s="6">
        <v>39626</v>
      </c>
      <c r="B444" s="7">
        <v>5288.3</v>
      </c>
      <c r="C444" s="7">
        <v>5334.1</v>
      </c>
      <c r="D444" s="7">
        <v>5144.7</v>
      </c>
      <c r="E444" s="7">
        <v>5237</v>
      </c>
      <c r="F444" s="8">
        <v>5300400000</v>
      </c>
      <c r="G444" s="8">
        <v>36406400000</v>
      </c>
      <c r="H444">
        <f t="shared" si="6"/>
        <v>173215.58510286454</v>
      </c>
    </row>
    <row r="445" spans="1:8" x14ac:dyDescent="0.25">
      <c r="A445" s="6">
        <v>39633</v>
      </c>
      <c r="B445" s="7">
        <v>5237</v>
      </c>
      <c r="C445" s="7">
        <v>5305.9</v>
      </c>
      <c r="D445" s="7">
        <v>4969.1000000000004</v>
      </c>
      <c r="E445" s="7">
        <v>5082.1000000000004</v>
      </c>
      <c r="F445" s="8">
        <v>4399200000</v>
      </c>
      <c r="G445" s="8">
        <v>30162500000</v>
      </c>
      <c r="H445">
        <f t="shared" si="6"/>
        <v>168092.21406363719</v>
      </c>
    </row>
    <row r="446" spans="1:8" x14ac:dyDescent="0.25">
      <c r="A446" s="6">
        <v>39640</v>
      </c>
      <c r="B446" s="7">
        <v>5082.1000000000004</v>
      </c>
      <c r="C446" s="7">
        <v>5082.1000000000004</v>
      </c>
      <c r="D446" s="7">
        <v>4916.8999999999996</v>
      </c>
      <c r="E446" s="7">
        <v>4979.8999999999996</v>
      </c>
      <c r="F446" s="8">
        <v>3915100000</v>
      </c>
      <c r="G446" s="8">
        <v>24052900000</v>
      </c>
      <c r="H446">
        <f t="shared" si="6"/>
        <v>164711.91373949876</v>
      </c>
    </row>
    <row r="447" spans="1:8" x14ac:dyDescent="0.25">
      <c r="A447" s="6">
        <v>39647</v>
      </c>
      <c r="B447" s="7">
        <v>4979.8999999999996</v>
      </c>
      <c r="C447" s="7">
        <v>4979.8999999999996</v>
      </c>
      <c r="D447" s="7">
        <v>4787.5</v>
      </c>
      <c r="E447" s="7">
        <v>4840.3999999999996</v>
      </c>
      <c r="F447" s="8">
        <v>4038100000</v>
      </c>
      <c r="G447" s="8">
        <v>23872800000</v>
      </c>
      <c r="H447">
        <f t="shared" si="6"/>
        <v>160097.90302308678</v>
      </c>
    </row>
    <row r="448" spans="1:8" x14ac:dyDescent="0.25">
      <c r="A448" s="6">
        <v>39654</v>
      </c>
      <c r="B448" s="7">
        <v>4840.3999999999996</v>
      </c>
      <c r="C448" s="7">
        <v>5158.3</v>
      </c>
      <c r="D448" s="7">
        <v>4840.3999999999996</v>
      </c>
      <c r="E448" s="7">
        <v>4970.5</v>
      </c>
      <c r="F448" s="8">
        <v>4244900000</v>
      </c>
      <c r="G448" s="8">
        <v>30300000000</v>
      </c>
      <c r="H448">
        <f t="shared" si="6"/>
        <v>164401.00549050758</v>
      </c>
    </row>
    <row r="449" spans="1:8" x14ac:dyDescent="0.25">
      <c r="A449" s="6">
        <v>39661</v>
      </c>
      <c r="B449" s="7">
        <v>4970.5</v>
      </c>
      <c r="C449" s="7">
        <v>5015.2</v>
      </c>
      <c r="D449" s="7">
        <v>4819.3999999999996</v>
      </c>
      <c r="E449" s="7">
        <v>4904</v>
      </c>
      <c r="F449" s="8">
        <v>3525900000</v>
      </c>
      <c r="G449" s="8">
        <v>24475700000</v>
      </c>
      <c r="H449">
        <f t="shared" si="6"/>
        <v>162201.495005623</v>
      </c>
    </row>
    <row r="450" spans="1:8" x14ac:dyDescent="0.25">
      <c r="A450" s="6">
        <v>39668</v>
      </c>
      <c r="B450" s="7">
        <v>4904</v>
      </c>
      <c r="C450" s="7">
        <v>5004.8999999999996</v>
      </c>
      <c r="D450" s="7">
        <v>4758.5</v>
      </c>
      <c r="E450" s="7">
        <v>4986.2</v>
      </c>
      <c r="F450" s="8">
        <v>3929700000</v>
      </c>
      <c r="G450" s="8">
        <v>24512200000</v>
      </c>
      <c r="H450">
        <f t="shared" si="6"/>
        <v>164920.28841701415</v>
      </c>
    </row>
    <row r="451" spans="1:8" x14ac:dyDescent="0.25">
      <c r="A451" s="6">
        <v>39675</v>
      </c>
      <c r="B451" s="7">
        <v>4986.2</v>
      </c>
      <c r="C451" s="7">
        <v>5072.8999999999996</v>
      </c>
      <c r="D451" s="7">
        <v>4931.7</v>
      </c>
      <c r="E451" s="7">
        <v>4981.7</v>
      </c>
      <c r="F451" s="8">
        <v>3875100000</v>
      </c>
      <c r="G451" s="8">
        <v>25674100000</v>
      </c>
      <c r="H451">
        <f t="shared" si="6"/>
        <v>164771.44936164602</v>
      </c>
    </row>
    <row r="452" spans="1:8" x14ac:dyDescent="0.25">
      <c r="A452" s="6">
        <v>39682</v>
      </c>
      <c r="B452" s="7">
        <v>4981.7</v>
      </c>
      <c r="C452" s="7">
        <v>5031.6000000000004</v>
      </c>
      <c r="D452" s="7">
        <v>4866.3999999999996</v>
      </c>
      <c r="E452" s="7">
        <v>4931.3999999999996</v>
      </c>
      <c r="F452" s="8">
        <v>4125900000</v>
      </c>
      <c r="G452" s="8">
        <v>25039800000</v>
      </c>
      <c r="H452">
        <f t="shared" ref="H452:H515" si="7">H451*(E452/E451)</f>
        <v>163107.75947608671</v>
      </c>
    </row>
    <row r="453" spans="1:8" x14ac:dyDescent="0.25">
      <c r="A453" s="6">
        <v>39689</v>
      </c>
      <c r="B453" s="7">
        <v>4931.3999999999996</v>
      </c>
      <c r="C453" s="7">
        <v>5146.3</v>
      </c>
      <c r="D453" s="7">
        <v>4895</v>
      </c>
      <c r="E453" s="7">
        <v>5135.6000000000004</v>
      </c>
      <c r="F453" s="8">
        <v>3860700000</v>
      </c>
      <c r="G453" s="8">
        <v>25573900000</v>
      </c>
      <c r="H453">
        <f t="shared" si="7"/>
        <v>169861.74505523604</v>
      </c>
    </row>
    <row r="454" spans="1:8" x14ac:dyDescent="0.25">
      <c r="A454" s="6">
        <v>39696</v>
      </c>
      <c r="B454" s="7">
        <v>5135.6000000000004</v>
      </c>
      <c r="C454" s="7">
        <v>5177.2</v>
      </c>
      <c r="D454" s="7">
        <v>4837.6000000000004</v>
      </c>
      <c r="E454" s="7">
        <v>4877.1000000000004</v>
      </c>
      <c r="F454" s="8">
        <v>3863100000</v>
      </c>
      <c r="G454" s="8">
        <v>24939700000</v>
      </c>
      <c r="H454">
        <f t="shared" si="7"/>
        <v>161311.76820797796</v>
      </c>
    </row>
    <row r="455" spans="1:8" x14ac:dyDescent="0.25">
      <c r="A455" s="6">
        <v>39703</v>
      </c>
      <c r="B455" s="7">
        <v>4877.1000000000004</v>
      </c>
      <c r="C455" s="7">
        <v>5081.7</v>
      </c>
      <c r="D455" s="7">
        <v>4811.3999999999996</v>
      </c>
      <c r="E455" s="7">
        <v>4903.8</v>
      </c>
      <c r="F455" s="8">
        <v>4141300000</v>
      </c>
      <c r="G455" s="8">
        <v>28182700000</v>
      </c>
      <c r="H455">
        <f t="shared" si="7"/>
        <v>162194.8799364955</v>
      </c>
    </row>
    <row r="456" spans="1:8" x14ac:dyDescent="0.25">
      <c r="A456" s="6">
        <v>39710</v>
      </c>
      <c r="B456" s="7">
        <v>4903.8</v>
      </c>
      <c r="C456" s="7">
        <v>4905.1000000000004</v>
      </c>
      <c r="D456" s="7">
        <v>4527.3999999999996</v>
      </c>
      <c r="E456" s="7">
        <v>4804.1000000000004</v>
      </c>
      <c r="F456" s="8">
        <v>6767700000</v>
      </c>
      <c r="G456" s="8">
        <v>40827600000</v>
      </c>
      <c r="H456">
        <f t="shared" si="7"/>
        <v>158897.26797645053</v>
      </c>
    </row>
    <row r="457" spans="1:8" x14ac:dyDescent="0.25">
      <c r="A457" s="6">
        <v>39717</v>
      </c>
      <c r="B457" s="7">
        <v>4804.1000000000004</v>
      </c>
      <c r="C457" s="7">
        <v>5020.5</v>
      </c>
      <c r="D457" s="7">
        <v>4804.1000000000004</v>
      </c>
      <c r="E457" s="7">
        <v>4904.8</v>
      </c>
      <c r="F457" s="8">
        <v>4128800000</v>
      </c>
      <c r="G457" s="8">
        <v>28580700000</v>
      </c>
      <c r="H457">
        <f t="shared" si="7"/>
        <v>162227.95528213287</v>
      </c>
    </row>
    <row r="458" spans="1:8" x14ac:dyDescent="0.25">
      <c r="A458" s="6">
        <v>39724</v>
      </c>
      <c r="B458" s="7">
        <v>4904.8</v>
      </c>
      <c r="C458" s="7">
        <v>4956.6000000000004</v>
      </c>
      <c r="D458" s="7">
        <v>4540.7</v>
      </c>
      <c r="E458" s="7">
        <v>4695.3999999999996</v>
      </c>
      <c r="F458" s="8">
        <v>3026500000</v>
      </c>
      <c r="G458" s="8">
        <v>20763700000</v>
      </c>
      <c r="H458">
        <f t="shared" si="7"/>
        <v>155301.97790566925</v>
      </c>
    </row>
    <row r="459" spans="1:8" x14ac:dyDescent="0.25">
      <c r="A459" s="6">
        <v>39731</v>
      </c>
      <c r="B459" s="7">
        <v>4695.3999999999996</v>
      </c>
      <c r="C459" s="7">
        <v>4695.3999999999996</v>
      </c>
      <c r="D459" s="7">
        <v>3960.7</v>
      </c>
      <c r="E459" s="7">
        <v>3960.7</v>
      </c>
      <c r="F459" s="8">
        <v>3894000000</v>
      </c>
      <c r="G459" s="8">
        <v>22303000000</v>
      </c>
      <c r="H459">
        <f t="shared" si="7"/>
        <v>131001.52146589944</v>
      </c>
    </row>
    <row r="460" spans="1:8" x14ac:dyDescent="0.25">
      <c r="A460" s="6">
        <v>39738</v>
      </c>
      <c r="B460" s="7">
        <v>3960.7</v>
      </c>
      <c r="C460" s="7">
        <v>4442.3999999999996</v>
      </c>
      <c r="D460" s="7">
        <v>3960.7</v>
      </c>
      <c r="E460" s="7">
        <v>3970.8</v>
      </c>
      <c r="F460" s="8">
        <v>4626900000</v>
      </c>
      <c r="G460" s="8">
        <v>24753400000</v>
      </c>
      <c r="H460">
        <f t="shared" si="7"/>
        <v>131335.5824568368</v>
      </c>
    </row>
    <row r="461" spans="1:8" x14ac:dyDescent="0.25">
      <c r="A461" s="6">
        <v>39745</v>
      </c>
      <c r="B461" s="7">
        <v>3970.8</v>
      </c>
      <c r="C461" s="7">
        <v>4302.5</v>
      </c>
      <c r="D461" s="7">
        <v>3830</v>
      </c>
      <c r="E461" s="7">
        <v>3869.4</v>
      </c>
      <c r="F461" s="8">
        <v>3963100000</v>
      </c>
      <c r="G461" s="8">
        <v>20314200000</v>
      </c>
      <c r="H461">
        <f t="shared" si="7"/>
        <v>127981.74240920829</v>
      </c>
    </row>
    <row r="462" spans="1:8" x14ac:dyDescent="0.25">
      <c r="A462" s="6">
        <v>39752</v>
      </c>
      <c r="B462" s="7">
        <v>3869.4</v>
      </c>
      <c r="C462" s="7">
        <v>4022.4</v>
      </c>
      <c r="D462" s="7">
        <v>3724.8</v>
      </c>
      <c r="E462" s="7">
        <v>4018</v>
      </c>
      <c r="F462" s="8">
        <v>4847200000</v>
      </c>
      <c r="G462" s="8">
        <v>23124000000</v>
      </c>
      <c r="H462">
        <f t="shared" si="7"/>
        <v>132896.73877092029</v>
      </c>
    </row>
    <row r="463" spans="1:8" x14ac:dyDescent="0.25">
      <c r="A463" s="6">
        <v>39759</v>
      </c>
      <c r="B463" s="7">
        <v>4018</v>
      </c>
      <c r="C463" s="7">
        <v>4340.5</v>
      </c>
      <c r="D463" s="7">
        <v>3963.8</v>
      </c>
      <c r="E463" s="7">
        <v>4051.3</v>
      </c>
      <c r="F463" s="8">
        <v>4119000000</v>
      </c>
      <c r="G463" s="8">
        <v>20278400000</v>
      </c>
      <c r="H463">
        <f t="shared" si="7"/>
        <v>133998.14778064445</v>
      </c>
    </row>
    <row r="464" spans="1:8" x14ac:dyDescent="0.25">
      <c r="A464" s="6">
        <v>39766</v>
      </c>
      <c r="B464" s="7">
        <v>4051.3</v>
      </c>
      <c r="C464" s="7">
        <v>4159.8</v>
      </c>
      <c r="D464" s="7">
        <v>3697.3</v>
      </c>
      <c r="E464" s="7">
        <v>3748.1</v>
      </c>
      <c r="F464" s="8">
        <v>4200600000</v>
      </c>
      <c r="G464" s="8">
        <v>18234000000</v>
      </c>
      <c r="H464">
        <f t="shared" si="7"/>
        <v>123969.70298339629</v>
      </c>
    </row>
    <row r="465" spans="1:8" x14ac:dyDescent="0.25">
      <c r="A465" s="6">
        <v>39773</v>
      </c>
      <c r="B465" s="7">
        <v>3748.1</v>
      </c>
      <c r="C465" s="7">
        <v>3748.1</v>
      </c>
      <c r="D465" s="7">
        <v>3217.5</v>
      </c>
      <c r="E465" s="7">
        <v>3416.5</v>
      </c>
      <c r="F465" s="8">
        <v>4730700000</v>
      </c>
      <c r="G465" s="8">
        <v>21533700000</v>
      </c>
      <c r="H465">
        <f t="shared" si="7"/>
        <v>113001.91837004706</v>
      </c>
    </row>
    <row r="466" spans="1:8" x14ac:dyDescent="0.25">
      <c r="A466" s="6">
        <v>39780</v>
      </c>
      <c r="B466" s="7">
        <v>3416.5</v>
      </c>
      <c r="C466" s="7">
        <v>3742.5</v>
      </c>
      <c r="D466" s="7">
        <v>3362</v>
      </c>
      <c r="E466" s="7">
        <v>3742.5</v>
      </c>
      <c r="F466" s="8">
        <v>4670500000</v>
      </c>
      <c r="G466" s="8">
        <v>23597000000</v>
      </c>
      <c r="H466">
        <f t="shared" si="7"/>
        <v>123784.48104782705</v>
      </c>
    </row>
    <row r="467" spans="1:8" x14ac:dyDescent="0.25">
      <c r="A467" s="6">
        <v>39787</v>
      </c>
      <c r="B467" s="7">
        <v>3742.5</v>
      </c>
      <c r="C467" s="7">
        <v>3742.5</v>
      </c>
      <c r="D467" s="7">
        <v>3485.2</v>
      </c>
      <c r="E467" s="7">
        <v>3489.9</v>
      </c>
      <c r="F467" s="8">
        <v>3737000000</v>
      </c>
      <c r="G467" s="8">
        <v>17147300000</v>
      </c>
      <c r="H467">
        <f t="shared" si="7"/>
        <v>115429.64873982944</v>
      </c>
    </row>
    <row r="468" spans="1:8" x14ac:dyDescent="0.25">
      <c r="A468" s="6">
        <v>39794</v>
      </c>
      <c r="B468" s="7">
        <v>3489.9</v>
      </c>
      <c r="C468" s="7">
        <v>3670.8</v>
      </c>
      <c r="D468" s="7">
        <v>3474.1</v>
      </c>
      <c r="E468" s="7">
        <v>3510.4</v>
      </c>
      <c r="F468" s="8">
        <v>3887600000</v>
      </c>
      <c r="G468" s="8">
        <v>19235900000</v>
      </c>
      <c r="H468">
        <f t="shared" si="7"/>
        <v>116107.69332539538</v>
      </c>
    </row>
    <row r="469" spans="1:8" x14ac:dyDescent="0.25">
      <c r="A469" s="6">
        <v>39801</v>
      </c>
      <c r="B469" s="7">
        <v>3510.4</v>
      </c>
      <c r="C469" s="7">
        <v>3664.4</v>
      </c>
      <c r="D469" s="7">
        <v>3507.7</v>
      </c>
      <c r="E469" s="7">
        <v>3615.7</v>
      </c>
      <c r="F469" s="8">
        <v>6609800000</v>
      </c>
      <c r="G469" s="8">
        <v>28953300000</v>
      </c>
      <c r="H469">
        <f t="shared" si="7"/>
        <v>119590.52722100959</v>
      </c>
    </row>
    <row r="470" spans="1:8" x14ac:dyDescent="0.25">
      <c r="A470" s="6">
        <v>39806</v>
      </c>
      <c r="B470" s="7">
        <v>3615.7</v>
      </c>
      <c r="C470" s="7">
        <v>3627.7</v>
      </c>
      <c r="D470" s="7">
        <v>3494.3</v>
      </c>
      <c r="E470" s="7">
        <v>3582.2</v>
      </c>
      <c r="F470" s="8">
        <v>1541100000</v>
      </c>
      <c r="G470" s="8">
        <v>5324500000</v>
      </c>
      <c r="H470">
        <f t="shared" si="7"/>
        <v>118482.50314215796</v>
      </c>
    </row>
    <row r="471" spans="1:8" x14ac:dyDescent="0.25">
      <c r="A471" s="6">
        <v>39815</v>
      </c>
      <c r="B471" s="7">
        <v>3582.2</v>
      </c>
      <c r="C471" s="7">
        <v>3767.5</v>
      </c>
      <c r="D471" s="7">
        <v>3572.7</v>
      </c>
      <c r="E471" s="7">
        <v>3713.8</v>
      </c>
      <c r="F471" s="8">
        <v>1611200000</v>
      </c>
      <c r="G471" s="8">
        <v>5423900000</v>
      </c>
      <c r="H471">
        <f t="shared" si="7"/>
        <v>122835.21862803481</v>
      </c>
    </row>
    <row r="472" spans="1:8" x14ac:dyDescent="0.25">
      <c r="A472" s="6">
        <v>39822</v>
      </c>
      <c r="B472" s="7">
        <v>3742.5</v>
      </c>
      <c r="C472" s="7">
        <v>3817.9</v>
      </c>
      <c r="D472" s="7">
        <v>3662.6</v>
      </c>
      <c r="E472" s="7">
        <v>3735.7</v>
      </c>
      <c r="F472" s="8">
        <v>3605700000</v>
      </c>
      <c r="G472" s="8">
        <v>12774900000</v>
      </c>
      <c r="H472">
        <f t="shared" si="7"/>
        <v>123559.56869749303</v>
      </c>
    </row>
    <row r="473" spans="1:8" x14ac:dyDescent="0.25">
      <c r="A473" s="6">
        <v>39829</v>
      </c>
      <c r="B473" s="7">
        <v>3722</v>
      </c>
      <c r="C473" s="7">
        <v>3722</v>
      </c>
      <c r="D473" s="7">
        <v>3515.1</v>
      </c>
      <c r="E473" s="7">
        <v>3550.9</v>
      </c>
      <c r="F473" s="8">
        <v>2953800000</v>
      </c>
      <c r="G473" s="8">
        <v>11966300000</v>
      </c>
      <c r="H473">
        <f t="shared" si="7"/>
        <v>117447.24482370855</v>
      </c>
    </row>
    <row r="474" spans="1:8" x14ac:dyDescent="0.25">
      <c r="A474" s="6">
        <v>39836</v>
      </c>
      <c r="B474" s="7">
        <v>3556</v>
      </c>
      <c r="C474" s="7">
        <v>3602</v>
      </c>
      <c r="D474" s="7">
        <v>3342.7</v>
      </c>
      <c r="E474" s="7">
        <v>3342.7</v>
      </c>
      <c r="F474" s="8">
        <v>3111100000</v>
      </c>
      <c r="G474" s="8">
        <v>14541100000</v>
      </c>
      <c r="H474">
        <f t="shared" si="7"/>
        <v>110560.95786200977</v>
      </c>
    </row>
    <row r="475" spans="1:8" x14ac:dyDescent="0.25">
      <c r="A475" s="6">
        <v>39843</v>
      </c>
      <c r="B475" s="7">
        <v>3376</v>
      </c>
      <c r="C475" s="7">
        <v>3564.1</v>
      </c>
      <c r="D475" s="7">
        <v>3374</v>
      </c>
      <c r="E475" s="7">
        <v>3540.7</v>
      </c>
      <c r="F475" s="8">
        <v>2984300000</v>
      </c>
      <c r="G475" s="8">
        <v>16037200000</v>
      </c>
      <c r="H475">
        <f t="shared" si="7"/>
        <v>117109.87629820745</v>
      </c>
    </row>
    <row r="476" spans="1:8" x14ac:dyDescent="0.25">
      <c r="A476" s="6">
        <v>39850</v>
      </c>
      <c r="B476" s="7">
        <v>3519.4</v>
      </c>
      <c r="C476" s="7">
        <v>3578.7</v>
      </c>
      <c r="D476" s="7">
        <v>3414.5</v>
      </c>
      <c r="E476" s="7">
        <v>3469.9</v>
      </c>
      <c r="F476" s="8">
        <v>4095800000</v>
      </c>
      <c r="G476" s="8">
        <v>17231700000</v>
      </c>
      <c r="H476">
        <f t="shared" si="7"/>
        <v>114768.14182708223</v>
      </c>
    </row>
    <row r="477" spans="1:8" x14ac:dyDescent="0.25">
      <c r="A477" s="6">
        <v>39857</v>
      </c>
      <c r="B477" s="7">
        <v>3498.4</v>
      </c>
      <c r="C477" s="7">
        <v>3559.5</v>
      </c>
      <c r="D477" s="7">
        <v>3409.6</v>
      </c>
      <c r="E477" s="7">
        <v>3559.1</v>
      </c>
      <c r="F477" s="8">
        <v>3574200000</v>
      </c>
      <c r="G477" s="8">
        <v>15672900000</v>
      </c>
      <c r="H477">
        <f t="shared" si="7"/>
        <v>117718.46265793491</v>
      </c>
    </row>
    <row r="478" spans="1:8" x14ac:dyDescent="0.25">
      <c r="A478" s="6">
        <v>39864</v>
      </c>
      <c r="B478" s="7">
        <v>3548.8</v>
      </c>
      <c r="C478" s="7">
        <v>3548.8</v>
      </c>
      <c r="D478" s="7">
        <v>3368.1</v>
      </c>
      <c r="E478" s="7">
        <v>3402.4</v>
      </c>
      <c r="F478" s="8">
        <v>4204200000</v>
      </c>
      <c r="G478" s="8">
        <v>16124500000</v>
      </c>
      <c r="H478">
        <f t="shared" si="7"/>
        <v>112535.5559965603</v>
      </c>
    </row>
    <row r="479" spans="1:8" x14ac:dyDescent="0.25">
      <c r="A479" s="6">
        <v>39871</v>
      </c>
      <c r="B479" s="7">
        <v>3386.9</v>
      </c>
      <c r="C479" s="7">
        <v>3386.9</v>
      </c>
      <c r="D479" s="7">
        <v>3296.2</v>
      </c>
      <c r="E479" s="7">
        <v>3344.5</v>
      </c>
      <c r="F479" s="8">
        <v>4751400000</v>
      </c>
      <c r="G479" s="8">
        <v>16985500000</v>
      </c>
      <c r="H479">
        <f t="shared" si="7"/>
        <v>110620.49348415705</v>
      </c>
    </row>
    <row r="480" spans="1:8" x14ac:dyDescent="0.25">
      <c r="A480" s="6">
        <v>39878</v>
      </c>
      <c r="B480" s="7">
        <v>3329.4</v>
      </c>
      <c r="C480" s="7">
        <v>3330.4</v>
      </c>
      <c r="D480" s="7">
        <v>3124.3</v>
      </c>
      <c r="E480" s="7">
        <v>3145.5</v>
      </c>
      <c r="F480" s="8">
        <v>4622900000</v>
      </c>
      <c r="G480" s="8">
        <v>16612400000</v>
      </c>
      <c r="H480">
        <f t="shared" si="7"/>
        <v>104038.49970232202</v>
      </c>
    </row>
    <row r="481" spans="1:8" x14ac:dyDescent="0.25">
      <c r="A481" s="6">
        <v>39885</v>
      </c>
      <c r="B481" s="7">
        <v>3165.5</v>
      </c>
      <c r="C481" s="7">
        <v>3353.5</v>
      </c>
      <c r="D481" s="7">
        <v>3120.8</v>
      </c>
      <c r="E481" s="7">
        <v>3345.2</v>
      </c>
      <c r="F481" s="8">
        <v>4582600000</v>
      </c>
      <c r="G481" s="8">
        <v>17078700000</v>
      </c>
      <c r="H481">
        <f t="shared" si="7"/>
        <v>110643.64622610318</v>
      </c>
    </row>
    <row r="482" spans="1:8" x14ac:dyDescent="0.25">
      <c r="A482" s="6">
        <v>39892</v>
      </c>
      <c r="B482" s="7">
        <v>3345.8</v>
      </c>
      <c r="C482" s="7">
        <v>3500.7</v>
      </c>
      <c r="D482" s="7">
        <v>3339.9</v>
      </c>
      <c r="E482" s="7">
        <v>3465.8</v>
      </c>
      <c r="F482" s="8">
        <v>7689600000</v>
      </c>
      <c r="G482" s="8">
        <v>26475200000</v>
      </c>
      <c r="H482">
        <f t="shared" si="7"/>
        <v>114632.53290996906</v>
      </c>
    </row>
    <row r="483" spans="1:8" x14ac:dyDescent="0.25">
      <c r="A483" s="6">
        <v>39899</v>
      </c>
      <c r="B483" s="7">
        <v>3469.9</v>
      </c>
      <c r="C483" s="7">
        <v>3706.6</v>
      </c>
      <c r="D483" s="7">
        <v>3456.2</v>
      </c>
      <c r="E483" s="7">
        <v>3672.3</v>
      </c>
      <c r="F483" s="8">
        <v>5176700000</v>
      </c>
      <c r="G483" s="8">
        <v>22320000000</v>
      </c>
      <c r="H483">
        <f t="shared" si="7"/>
        <v>121462.59178408429</v>
      </c>
    </row>
    <row r="484" spans="1:8" x14ac:dyDescent="0.25">
      <c r="A484" s="6">
        <v>39906</v>
      </c>
      <c r="B484" s="7">
        <v>3658</v>
      </c>
      <c r="C484" s="7">
        <v>3750.1</v>
      </c>
      <c r="D484" s="7">
        <v>3550.9</v>
      </c>
      <c r="E484" s="7">
        <v>3735.6</v>
      </c>
      <c r="F484" s="8">
        <v>5148300000</v>
      </c>
      <c r="G484" s="8">
        <v>18160000000</v>
      </c>
      <c r="H484">
        <f t="shared" si="7"/>
        <v>123556.26116292928</v>
      </c>
    </row>
    <row r="485" spans="1:8" x14ac:dyDescent="0.25">
      <c r="A485" s="6">
        <v>39912</v>
      </c>
      <c r="B485" s="7">
        <v>3733.8</v>
      </c>
      <c r="C485" s="7">
        <v>3763.1</v>
      </c>
      <c r="D485" s="7">
        <v>3610.9</v>
      </c>
      <c r="E485" s="7">
        <v>3671.6</v>
      </c>
      <c r="F485" s="8">
        <v>3814000000</v>
      </c>
      <c r="G485" s="8">
        <v>13674000000</v>
      </c>
      <c r="H485">
        <f t="shared" si="7"/>
        <v>121439.43904213811</v>
      </c>
    </row>
    <row r="486" spans="1:8" x14ac:dyDescent="0.25">
      <c r="A486" s="6">
        <v>39920</v>
      </c>
      <c r="B486" s="7">
        <v>3697</v>
      </c>
      <c r="C486" s="7">
        <v>3851.2</v>
      </c>
      <c r="D486" s="7">
        <v>3696.4</v>
      </c>
      <c r="E486" s="7">
        <v>3776.7</v>
      </c>
      <c r="F486" s="8">
        <v>3732500000</v>
      </c>
      <c r="G486" s="8">
        <v>12763800000</v>
      </c>
      <c r="H486">
        <f t="shared" si="7"/>
        <v>124915.65786862485</v>
      </c>
    </row>
    <row r="487" spans="1:8" x14ac:dyDescent="0.25">
      <c r="A487" s="6">
        <v>39927</v>
      </c>
      <c r="B487" s="7">
        <v>3777.9</v>
      </c>
      <c r="C487" s="7">
        <v>3788</v>
      </c>
      <c r="D487" s="7">
        <v>3661</v>
      </c>
      <c r="E487" s="7">
        <v>3712.3</v>
      </c>
      <c r="F487" s="8">
        <v>4689000000</v>
      </c>
      <c r="G487" s="8">
        <v>17995600000</v>
      </c>
      <c r="H487">
        <f t="shared" si="7"/>
        <v>122785.60560957875</v>
      </c>
    </row>
    <row r="488" spans="1:8" x14ac:dyDescent="0.25">
      <c r="A488" s="6">
        <v>39934</v>
      </c>
      <c r="B488" s="7">
        <v>3725</v>
      </c>
      <c r="C488" s="7">
        <v>3799.3</v>
      </c>
      <c r="D488" s="7">
        <v>3679.8</v>
      </c>
      <c r="E488" s="7">
        <v>3769.6</v>
      </c>
      <c r="F488" s="8">
        <v>4587500000</v>
      </c>
      <c r="G488" s="8">
        <v>16347400000</v>
      </c>
      <c r="H488">
        <f t="shared" si="7"/>
        <v>124680.82291459959</v>
      </c>
    </row>
    <row r="489" spans="1:8" x14ac:dyDescent="0.25">
      <c r="A489" s="6">
        <v>39941</v>
      </c>
      <c r="B489" s="7">
        <v>3781.5</v>
      </c>
      <c r="C489" s="7">
        <v>3954.2</v>
      </c>
      <c r="D489" s="7">
        <v>3781.5</v>
      </c>
      <c r="E489" s="7">
        <v>3941.7</v>
      </c>
      <c r="F489" s="8">
        <v>5757400000</v>
      </c>
      <c r="G489" s="8">
        <v>21326600000</v>
      </c>
      <c r="H489">
        <f t="shared" si="7"/>
        <v>130373.08989878956</v>
      </c>
    </row>
    <row r="490" spans="1:8" x14ac:dyDescent="0.25">
      <c r="A490" s="6">
        <v>39948</v>
      </c>
      <c r="B490" s="7">
        <v>3943.2</v>
      </c>
      <c r="C490" s="7">
        <v>3960.4</v>
      </c>
      <c r="D490" s="7">
        <v>3722.7</v>
      </c>
      <c r="E490" s="7">
        <v>3773.2</v>
      </c>
      <c r="F490" s="8">
        <v>6348500000</v>
      </c>
      <c r="G490" s="8">
        <v>21955000000</v>
      </c>
      <c r="H490">
        <f t="shared" si="7"/>
        <v>124799.89415889408</v>
      </c>
    </row>
    <row r="491" spans="1:8" x14ac:dyDescent="0.25">
      <c r="A491" s="6">
        <v>39955</v>
      </c>
      <c r="B491" s="7">
        <v>3763.8</v>
      </c>
      <c r="C491" s="7">
        <v>3831.5</v>
      </c>
      <c r="D491" s="7">
        <v>3714.9</v>
      </c>
      <c r="E491" s="7">
        <v>3761.6</v>
      </c>
      <c r="F491" s="8">
        <v>5031000000</v>
      </c>
      <c r="G491" s="8">
        <v>18038100000</v>
      </c>
      <c r="H491">
        <f t="shared" si="7"/>
        <v>124416.22014950069</v>
      </c>
    </row>
    <row r="492" spans="1:8" x14ac:dyDescent="0.25">
      <c r="A492" s="6">
        <v>39962</v>
      </c>
      <c r="B492" s="7">
        <v>3763.7</v>
      </c>
      <c r="C492" s="7">
        <v>3836.9</v>
      </c>
      <c r="D492" s="7">
        <v>3722</v>
      </c>
      <c r="E492" s="7">
        <v>3818</v>
      </c>
      <c r="F492" s="8">
        <v>6327400000</v>
      </c>
      <c r="G492" s="8">
        <v>23985400000</v>
      </c>
      <c r="H492">
        <f t="shared" si="7"/>
        <v>126281.66964344792</v>
      </c>
    </row>
    <row r="493" spans="1:8" x14ac:dyDescent="0.25">
      <c r="A493" s="6">
        <v>39969</v>
      </c>
      <c r="B493" s="7">
        <v>3826.4</v>
      </c>
      <c r="C493" s="7">
        <v>4021.3</v>
      </c>
      <c r="D493" s="7">
        <v>3810.2</v>
      </c>
      <c r="E493" s="7">
        <v>3971.2</v>
      </c>
      <c r="F493" s="8">
        <v>7536000000</v>
      </c>
      <c r="G493" s="8">
        <v>29209500000</v>
      </c>
      <c r="H493">
        <f t="shared" si="7"/>
        <v>131348.81259509176</v>
      </c>
    </row>
    <row r="494" spans="1:8" x14ac:dyDescent="0.25">
      <c r="A494" s="6">
        <v>39976</v>
      </c>
      <c r="B494" s="7">
        <v>3959.2</v>
      </c>
      <c r="C494" s="7">
        <v>4079.4</v>
      </c>
      <c r="D494" s="7">
        <v>3934.9</v>
      </c>
      <c r="E494" s="7">
        <v>4062.2</v>
      </c>
      <c r="F494" s="8">
        <v>5962900000</v>
      </c>
      <c r="G494" s="8">
        <v>22209800000</v>
      </c>
      <c r="H494">
        <f t="shared" si="7"/>
        <v>134358.66904809169</v>
      </c>
    </row>
    <row r="495" spans="1:8" x14ac:dyDescent="0.25">
      <c r="A495" s="6">
        <v>39983</v>
      </c>
      <c r="B495" s="7">
        <v>4048.8</v>
      </c>
      <c r="C495" s="7">
        <v>4058.8</v>
      </c>
      <c r="D495" s="7">
        <v>3871.5</v>
      </c>
      <c r="E495" s="7">
        <v>3899.6</v>
      </c>
      <c r="F495" s="8">
        <v>7288800000</v>
      </c>
      <c r="G495" s="8">
        <v>27883800000</v>
      </c>
      <c r="H495">
        <f t="shared" si="7"/>
        <v>128980.61784745664</v>
      </c>
    </row>
    <row r="496" spans="1:8" x14ac:dyDescent="0.25">
      <c r="A496" s="6">
        <v>39990</v>
      </c>
      <c r="B496" s="7">
        <v>3908.9</v>
      </c>
      <c r="C496" s="7">
        <v>3931.2</v>
      </c>
      <c r="D496" s="7">
        <v>3767.9</v>
      </c>
      <c r="E496" s="7">
        <v>3903.8</v>
      </c>
      <c r="F496" s="8">
        <v>5329200000</v>
      </c>
      <c r="G496" s="8">
        <v>24787900000</v>
      </c>
      <c r="H496">
        <f t="shared" si="7"/>
        <v>129119.53429913355</v>
      </c>
    </row>
    <row r="497" spans="1:8" x14ac:dyDescent="0.25">
      <c r="A497" s="6">
        <v>39997</v>
      </c>
      <c r="B497" s="7">
        <v>3899.4</v>
      </c>
      <c r="C497" s="7">
        <v>3955.5</v>
      </c>
      <c r="D497" s="7">
        <v>3804.1</v>
      </c>
      <c r="E497" s="7">
        <v>3828.2</v>
      </c>
      <c r="F497" s="8">
        <v>4783200000</v>
      </c>
      <c r="G497" s="8">
        <v>19767900000</v>
      </c>
      <c r="H497">
        <f t="shared" si="7"/>
        <v>126619.03816894897</v>
      </c>
    </row>
    <row r="498" spans="1:8" x14ac:dyDescent="0.25">
      <c r="A498" s="6">
        <v>40004</v>
      </c>
      <c r="B498" s="7">
        <v>3821</v>
      </c>
      <c r="C498" s="7">
        <v>3821.4</v>
      </c>
      <c r="D498" s="7">
        <v>3709.2</v>
      </c>
      <c r="E498" s="7">
        <v>3794.1</v>
      </c>
      <c r="F498" s="8">
        <v>4234100000</v>
      </c>
      <c r="G498" s="8">
        <v>16859300000</v>
      </c>
      <c r="H498">
        <f t="shared" si="7"/>
        <v>125491.16888271493</v>
      </c>
    </row>
    <row r="499" spans="1:8" x14ac:dyDescent="0.25">
      <c r="A499" s="6">
        <v>40011</v>
      </c>
      <c r="B499" s="7">
        <v>3790.3</v>
      </c>
      <c r="C499" s="7">
        <v>4026.7</v>
      </c>
      <c r="D499" s="7">
        <v>3735.6</v>
      </c>
      <c r="E499" s="7">
        <v>4000.8</v>
      </c>
      <c r="F499" s="8">
        <v>4415700000</v>
      </c>
      <c r="G499" s="8">
        <v>19045500000</v>
      </c>
      <c r="H499">
        <f t="shared" si="7"/>
        <v>132327.84282595766</v>
      </c>
    </row>
    <row r="500" spans="1:8" x14ac:dyDescent="0.25">
      <c r="A500" s="6">
        <v>40018</v>
      </c>
      <c r="B500" s="7">
        <v>4006.8</v>
      </c>
      <c r="C500" s="7">
        <v>4122.1000000000004</v>
      </c>
      <c r="D500" s="7">
        <v>4006.8</v>
      </c>
      <c r="E500" s="7">
        <v>4089.8</v>
      </c>
      <c r="F500" s="8">
        <v>5156400000</v>
      </c>
      <c r="G500" s="8">
        <v>23390500000</v>
      </c>
      <c r="H500">
        <f t="shared" si="7"/>
        <v>135271.54858768289</v>
      </c>
    </row>
    <row r="501" spans="1:8" x14ac:dyDescent="0.25">
      <c r="A501" s="6">
        <v>40025</v>
      </c>
      <c r="B501" s="7">
        <v>4097.5</v>
      </c>
      <c r="C501" s="7">
        <v>4247.8999999999996</v>
      </c>
      <c r="D501" s="7">
        <v>4097.5</v>
      </c>
      <c r="E501" s="7">
        <v>4244</v>
      </c>
      <c r="F501" s="8">
        <v>6558200000</v>
      </c>
      <c r="G501" s="8">
        <v>28757500000</v>
      </c>
      <c r="H501">
        <f t="shared" si="7"/>
        <v>140371.7668849641</v>
      </c>
    </row>
    <row r="502" spans="1:8" x14ac:dyDescent="0.25">
      <c r="A502" s="6">
        <v>40032</v>
      </c>
      <c r="B502" s="7">
        <v>4245.8999999999996</v>
      </c>
      <c r="C502" s="7">
        <v>4340</v>
      </c>
      <c r="D502" s="7">
        <v>4244.6000000000004</v>
      </c>
      <c r="E502" s="7">
        <v>4299.3999999999996</v>
      </c>
      <c r="F502" s="8">
        <v>10620800000</v>
      </c>
      <c r="G502" s="8">
        <v>27146000000</v>
      </c>
      <c r="H502">
        <f t="shared" si="7"/>
        <v>142204.14103327395</v>
      </c>
    </row>
    <row r="503" spans="1:8" x14ac:dyDescent="0.25">
      <c r="A503" s="6">
        <v>40039</v>
      </c>
      <c r="B503" s="7">
        <v>4311.8999999999996</v>
      </c>
      <c r="C503" s="7">
        <v>4509.5</v>
      </c>
      <c r="D503" s="7">
        <v>4279</v>
      </c>
      <c r="E503" s="7">
        <v>4461</v>
      </c>
      <c r="F503" s="8">
        <v>7032000000</v>
      </c>
      <c r="G503" s="8">
        <v>26000900000</v>
      </c>
      <c r="H503">
        <f t="shared" si="7"/>
        <v>147549.11688827164</v>
      </c>
    </row>
    <row r="504" spans="1:8" x14ac:dyDescent="0.25">
      <c r="A504" s="6">
        <v>40046</v>
      </c>
      <c r="B504" s="7">
        <v>4451</v>
      </c>
      <c r="C504" s="7">
        <v>4451</v>
      </c>
      <c r="D504" s="7">
        <v>4260.7</v>
      </c>
      <c r="E504" s="7">
        <v>4290.6000000000004</v>
      </c>
      <c r="F504" s="8">
        <v>7274100000</v>
      </c>
      <c r="G504" s="8">
        <v>30266000000</v>
      </c>
      <c r="H504">
        <f t="shared" si="7"/>
        <v>141913.0779916652</v>
      </c>
    </row>
    <row r="505" spans="1:8" x14ac:dyDescent="0.25">
      <c r="A505" s="6">
        <v>40053</v>
      </c>
      <c r="B505" s="7">
        <v>4291.6000000000004</v>
      </c>
      <c r="C505" s="7">
        <v>4492.6000000000004</v>
      </c>
      <c r="D505" s="7">
        <v>4290.6000000000004</v>
      </c>
      <c r="E505" s="7">
        <v>4489.6000000000004</v>
      </c>
      <c r="F505" s="8">
        <v>7507600000</v>
      </c>
      <c r="G505" s="8">
        <v>28884300000</v>
      </c>
      <c r="H505">
        <f t="shared" si="7"/>
        <v>148495.07177350021</v>
      </c>
    </row>
    <row r="506" spans="1:8" x14ac:dyDescent="0.25">
      <c r="A506" s="6">
        <v>40060</v>
      </c>
      <c r="B506" s="7">
        <v>4485.7</v>
      </c>
      <c r="C506" s="7">
        <v>4537.2</v>
      </c>
      <c r="D506" s="7">
        <v>4410</v>
      </c>
      <c r="E506" s="7">
        <v>4435.5</v>
      </c>
      <c r="F506" s="8">
        <v>7030400000</v>
      </c>
      <c r="G506" s="8">
        <v>27990500000</v>
      </c>
      <c r="H506">
        <f t="shared" si="7"/>
        <v>146705.6955745189</v>
      </c>
    </row>
    <row r="507" spans="1:8" x14ac:dyDescent="0.25">
      <c r="A507" s="6">
        <v>40067</v>
      </c>
      <c r="B507" s="7">
        <v>4443.1000000000004</v>
      </c>
      <c r="C507" s="7">
        <v>4608.6000000000004</v>
      </c>
      <c r="D507" s="7">
        <v>4441</v>
      </c>
      <c r="E507" s="7">
        <v>4596.1000000000004</v>
      </c>
      <c r="F507" s="8">
        <v>7748400000</v>
      </c>
      <c r="G507" s="8">
        <v>28685400000</v>
      </c>
      <c r="H507">
        <f t="shared" si="7"/>
        <v>152017.59608387927</v>
      </c>
    </row>
    <row r="508" spans="1:8" x14ac:dyDescent="0.25">
      <c r="A508" s="6">
        <v>40074</v>
      </c>
      <c r="B508" s="7">
        <v>4595.7</v>
      </c>
      <c r="C508" s="7">
        <v>4749.7</v>
      </c>
      <c r="D508" s="7">
        <v>4518.8</v>
      </c>
      <c r="E508" s="7">
        <v>4693.2</v>
      </c>
      <c r="F508" s="8">
        <v>8086200000</v>
      </c>
      <c r="G508" s="8">
        <v>35245500000</v>
      </c>
      <c r="H508">
        <f t="shared" si="7"/>
        <v>155229.21214526708</v>
      </c>
    </row>
    <row r="509" spans="1:8" x14ac:dyDescent="0.25">
      <c r="A509" s="6">
        <v>40081</v>
      </c>
      <c r="B509" s="7">
        <v>4687.3999999999996</v>
      </c>
      <c r="C509" s="7">
        <v>4735.6000000000004</v>
      </c>
      <c r="D509" s="7">
        <v>4639.3999999999996</v>
      </c>
      <c r="E509" s="7">
        <v>4713.3</v>
      </c>
      <c r="F509" s="8">
        <v>6221700000</v>
      </c>
      <c r="G509" s="8">
        <v>26073300000</v>
      </c>
      <c r="H509">
        <f t="shared" si="7"/>
        <v>155894.02659257807</v>
      </c>
    </row>
    <row r="510" spans="1:8" x14ac:dyDescent="0.25">
      <c r="A510" s="6">
        <v>40088</v>
      </c>
      <c r="B510" s="7">
        <v>4703.8</v>
      </c>
      <c r="C510" s="7">
        <v>4767.8999999999996</v>
      </c>
      <c r="D510" s="7">
        <v>4601.5</v>
      </c>
      <c r="E510" s="7">
        <v>4601.7</v>
      </c>
      <c r="F510" s="8">
        <v>5470800000</v>
      </c>
      <c r="G510" s="8">
        <v>21273700000</v>
      </c>
      <c r="H510">
        <f t="shared" si="7"/>
        <v>152202.81801944846</v>
      </c>
    </row>
    <row r="511" spans="1:8" x14ac:dyDescent="0.25">
      <c r="A511" s="6">
        <v>40095</v>
      </c>
      <c r="B511" s="7">
        <v>4601.3</v>
      </c>
      <c r="C511" s="7">
        <v>4803.5</v>
      </c>
      <c r="D511" s="7">
        <v>4573.3</v>
      </c>
      <c r="E511" s="7">
        <v>4752.8999999999996</v>
      </c>
      <c r="F511" s="8">
        <v>5238700000</v>
      </c>
      <c r="G511" s="8">
        <v>23030000000</v>
      </c>
      <c r="H511">
        <f t="shared" si="7"/>
        <v>157203.81027981758</v>
      </c>
    </row>
    <row r="512" spans="1:8" x14ac:dyDescent="0.25">
      <c r="A512" s="6">
        <v>40102</v>
      </c>
      <c r="B512" s="7">
        <v>4761.2</v>
      </c>
      <c r="C512" s="7">
        <v>4895.3</v>
      </c>
      <c r="D512" s="7">
        <v>4736.8999999999996</v>
      </c>
      <c r="E512" s="7">
        <v>4836.3999999999996</v>
      </c>
      <c r="F512" s="8">
        <v>5328600000</v>
      </c>
      <c r="G512" s="8">
        <v>21914900000</v>
      </c>
      <c r="H512">
        <f t="shared" si="7"/>
        <v>159965.60164053732</v>
      </c>
    </row>
    <row r="513" spans="1:8" x14ac:dyDescent="0.25">
      <c r="A513" s="6">
        <v>40109</v>
      </c>
      <c r="B513" s="7">
        <v>4830.3999999999996</v>
      </c>
      <c r="C513" s="7">
        <v>4871.3</v>
      </c>
      <c r="D513" s="7">
        <v>4772.1000000000004</v>
      </c>
      <c r="E513" s="7">
        <v>4859.3999999999996</v>
      </c>
      <c r="F513" s="8">
        <v>6354200000</v>
      </c>
      <c r="G513" s="8">
        <v>25827300000</v>
      </c>
      <c r="H513">
        <f t="shared" si="7"/>
        <v>160726.33459019667</v>
      </c>
    </row>
    <row r="514" spans="1:8" x14ac:dyDescent="0.25">
      <c r="A514" s="6">
        <v>40116</v>
      </c>
      <c r="B514" s="7">
        <v>4845.8</v>
      </c>
      <c r="C514" s="7">
        <v>4848.8</v>
      </c>
      <c r="D514" s="7">
        <v>4562.5</v>
      </c>
      <c r="E514" s="7">
        <v>4643.2</v>
      </c>
      <c r="F514" s="8">
        <v>6735700000</v>
      </c>
      <c r="G514" s="8">
        <v>31112400000</v>
      </c>
      <c r="H514">
        <f t="shared" si="7"/>
        <v>153575.44486339903</v>
      </c>
    </row>
    <row r="515" spans="1:8" x14ac:dyDescent="0.25">
      <c r="A515" s="6">
        <v>40123</v>
      </c>
      <c r="B515" s="7">
        <v>4611</v>
      </c>
      <c r="C515" s="7">
        <v>4611.3</v>
      </c>
      <c r="D515" s="7">
        <v>4502.5</v>
      </c>
      <c r="E515" s="7">
        <v>4594</v>
      </c>
      <c r="F515" s="8">
        <v>5178100000</v>
      </c>
      <c r="G515" s="8">
        <v>20887300000</v>
      </c>
      <c r="H515">
        <f t="shared" si="7"/>
        <v>151948.13785804083</v>
      </c>
    </row>
    <row r="516" spans="1:8" x14ac:dyDescent="0.25">
      <c r="A516" s="6">
        <v>40130</v>
      </c>
      <c r="B516" s="7">
        <v>4596.8</v>
      </c>
      <c r="C516" s="7">
        <v>4796.6000000000004</v>
      </c>
      <c r="D516" s="7">
        <v>4596.5</v>
      </c>
      <c r="E516" s="7">
        <v>4706.3999999999996</v>
      </c>
      <c r="F516" s="8">
        <v>5782099000</v>
      </c>
      <c r="G516" s="8">
        <v>26373200000</v>
      </c>
      <c r="H516">
        <f t="shared" ref="H516:H579" si="8">H515*(E516/E515)</f>
        <v>155665.80670768031</v>
      </c>
    </row>
    <row r="517" spans="1:8" x14ac:dyDescent="0.25">
      <c r="A517" s="6">
        <v>40137</v>
      </c>
      <c r="B517" s="7">
        <v>4715.8999999999996</v>
      </c>
      <c r="C517" s="7">
        <v>4799</v>
      </c>
      <c r="D517" s="7">
        <v>4673.2</v>
      </c>
      <c r="E517" s="7">
        <v>4685.8</v>
      </c>
      <c r="F517" s="8">
        <v>5212300000</v>
      </c>
      <c r="G517" s="8">
        <v>22521600000</v>
      </c>
      <c r="H517">
        <f t="shared" si="8"/>
        <v>154984.45458755069</v>
      </c>
    </row>
    <row r="518" spans="1:8" x14ac:dyDescent="0.25">
      <c r="A518" s="6">
        <v>40144</v>
      </c>
      <c r="B518" s="7">
        <v>4688.8</v>
      </c>
      <c r="C518" s="7">
        <v>4763.8999999999996</v>
      </c>
      <c r="D518" s="7">
        <v>4562.7</v>
      </c>
      <c r="E518" s="7">
        <v>4572.1000000000004</v>
      </c>
      <c r="F518" s="8">
        <v>5213600000</v>
      </c>
      <c r="G518" s="8">
        <v>25062500000</v>
      </c>
      <c r="H518">
        <f t="shared" si="8"/>
        <v>151223.78778858265</v>
      </c>
    </row>
    <row r="519" spans="1:8" x14ac:dyDescent="0.25">
      <c r="A519" s="6">
        <v>40151</v>
      </c>
      <c r="B519" s="7">
        <v>4592.8</v>
      </c>
      <c r="C519" s="7">
        <v>4795.2</v>
      </c>
      <c r="D519" s="7">
        <v>4592.8</v>
      </c>
      <c r="E519" s="7">
        <v>4702.2</v>
      </c>
      <c r="F519" s="8">
        <v>5052400000</v>
      </c>
      <c r="G519" s="8">
        <v>23228200000</v>
      </c>
      <c r="H519">
        <f t="shared" si="8"/>
        <v>155526.89025600342</v>
      </c>
    </row>
    <row r="520" spans="1:8" x14ac:dyDescent="0.25">
      <c r="A520" s="6">
        <v>40158</v>
      </c>
      <c r="B520" s="7">
        <v>4707.3999999999996</v>
      </c>
      <c r="C520" s="7">
        <v>4723.1000000000004</v>
      </c>
      <c r="D520" s="7">
        <v>4596.2</v>
      </c>
      <c r="E520" s="7">
        <v>4635.2</v>
      </c>
      <c r="F520" s="8">
        <v>4942200000</v>
      </c>
      <c r="G520" s="8">
        <v>21639400000</v>
      </c>
      <c r="H520">
        <f t="shared" si="8"/>
        <v>153310.84209830017</v>
      </c>
    </row>
    <row r="521" spans="1:8" x14ac:dyDescent="0.25">
      <c r="A521" s="6">
        <v>40165</v>
      </c>
      <c r="B521" s="7">
        <v>4635.6000000000004</v>
      </c>
      <c r="C521" s="7">
        <v>4703.1000000000004</v>
      </c>
      <c r="D521" s="7">
        <v>4604.7</v>
      </c>
      <c r="E521" s="7">
        <v>4650.5</v>
      </c>
      <c r="F521" s="8">
        <v>5930500000</v>
      </c>
      <c r="G521" s="8">
        <v>29792900000</v>
      </c>
      <c r="H521">
        <f t="shared" si="8"/>
        <v>153816.89488655183</v>
      </c>
    </row>
    <row r="522" spans="1:8" x14ac:dyDescent="0.25">
      <c r="A522" s="6">
        <v>40171</v>
      </c>
      <c r="B522" s="7">
        <v>4660.3999999999996</v>
      </c>
      <c r="C522" s="7">
        <v>4790.8999999999996</v>
      </c>
      <c r="D522" s="7">
        <v>4635.1000000000004</v>
      </c>
      <c r="E522" s="7">
        <v>4790.8999999999996</v>
      </c>
      <c r="F522" s="8">
        <v>2298400000</v>
      </c>
      <c r="G522" s="8">
        <v>10975900000</v>
      </c>
      <c r="H522">
        <f t="shared" si="8"/>
        <v>158460.67341403745</v>
      </c>
    </row>
    <row r="523" spans="1:8" x14ac:dyDescent="0.25">
      <c r="A523" s="6">
        <v>40178</v>
      </c>
      <c r="B523" s="7">
        <v>4796.5</v>
      </c>
      <c r="C523" s="7">
        <v>4873.6000000000004</v>
      </c>
      <c r="D523" s="7">
        <v>4796.5</v>
      </c>
      <c r="E523" s="7">
        <v>4870.6000000000004</v>
      </c>
      <c r="F523" s="8">
        <v>1226200000</v>
      </c>
      <c r="G523" s="8">
        <v>5363200000</v>
      </c>
      <c r="H523">
        <f t="shared" si="8"/>
        <v>161096.77846133523</v>
      </c>
    </row>
    <row r="524" spans="1:8" x14ac:dyDescent="0.25">
      <c r="A524" s="6">
        <v>40186</v>
      </c>
      <c r="B524" s="7">
        <v>4864.8999999999996</v>
      </c>
      <c r="C524" s="7">
        <v>4938.5</v>
      </c>
      <c r="D524" s="7">
        <v>4862.3</v>
      </c>
      <c r="E524" s="7">
        <v>4912.1000000000004</v>
      </c>
      <c r="F524" s="8">
        <v>3709400000</v>
      </c>
      <c r="G524" s="8">
        <v>15701600000</v>
      </c>
      <c r="H524">
        <f t="shared" si="8"/>
        <v>162469.40530528573</v>
      </c>
    </row>
    <row r="525" spans="1:8" x14ac:dyDescent="0.25">
      <c r="A525" s="6">
        <v>40193</v>
      </c>
      <c r="B525" s="7">
        <v>4921.8999999999996</v>
      </c>
      <c r="C525" s="7">
        <v>4955.1000000000004</v>
      </c>
      <c r="D525" s="7">
        <v>4852.8999999999996</v>
      </c>
      <c r="E525" s="7">
        <v>4899.6000000000004</v>
      </c>
      <c r="F525" s="8">
        <v>3697600000</v>
      </c>
      <c r="G525" s="8">
        <v>19241500000</v>
      </c>
      <c r="H525">
        <f t="shared" si="8"/>
        <v>162055.96348481873</v>
      </c>
    </row>
    <row r="526" spans="1:8" x14ac:dyDescent="0.25">
      <c r="A526" s="6">
        <v>40200</v>
      </c>
      <c r="B526" s="7">
        <v>4890.6000000000004</v>
      </c>
      <c r="C526" s="7">
        <v>4930</v>
      </c>
      <c r="D526" s="7">
        <v>4716</v>
      </c>
      <c r="E526" s="7">
        <v>4750.6000000000004</v>
      </c>
      <c r="F526" s="8">
        <v>4817900000</v>
      </c>
      <c r="G526" s="8">
        <v>25630300000</v>
      </c>
      <c r="H526">
        <f t="shared" si="8"/>
        <v>157127.7369848518</v>
      </c>
    </row>
    <row r="527" spans="1:8" x14ac:dyDescent="0.25">
      <c r="A527" s="6">
        <v>40207</v>
      </c>
      <c r="B527" s="7">
        <v>4725.7</v>
      </c>
      <c r="C527" s="7">
        <v>4726.6000000000004</v>
      </c>
      <c r="D527" s="7">
        <v>4566.7</v>
      </c>
      <c r="E527" s="7">
        <v>4569.6000000000004</v>
      </c>
      <c r="F527" s="8">
        <v>4455200000</v>
      </c>
      <c r="G527" s="8">
        <v>22814800000</v>
      </c>
      <c r="H527">
        <f t="shared" si="8"/>
        <v>151141.09942448928</v>
      </c>
    </row>
    <row r="528" spans="1:8" x14ac:dyDescent="0.25">
      <c r="A528" s="6">
        <v>40214</v>
      </c>
      <c r="B528" s="7">
        <v>4569.8999999999996</v>
      </c>
      <c r="C528" s="7">
        <v>4656.8999999999996</v>
      </c>
      <c r="D528" s="7">
        <v>4488.3999999999996</v>
      </c>
      <c r="E528" s="7">
        <v>4514.1000000000004</v>
      </c>
      <c r="F528" s="8">
        <v>5625800000</v>
      </c>
      <c r="G528" s="8">
        <v>25905100000</v>
      </c>
      <c r="H528">
        <f t="shared" si="8"/>
        <v>149305.41774161567</v>
      </c>
    </row>
    <row r="529" spans="1:8" x14ac:dyDescent="0.25">
      <c r="A529" s="6">
        <v>40221</v>
      </c>
      <c r="B529" s="7">
        <v>4521.7</v>
      </c>
      <c r="C529" s="7">
        <v>4593.3</v>
      </c>
      <c r="D529" s="7">
        <v>4464.8999999999996</v>
      </c>
      <c r="E529" s="7">
        <v>4562.1000000000004</v>
      </c>
      <c r="F529" s="8">
        <v>4596700000</v>
      </c>
      <c r="G529" s="8">
        <v>22849400000</v>
      </c>
      <c r="H529">
        <f t="shared" si="8"/>
        <v>150893.03433220903</v>
      </c>
    </row>
    <row r="530" spans="1:8" x14ac:dyDescent="0.25">
      <c r="A530" s="6">
        <v>40228</v>
      </c>
      <c r="B530" s="7">
        <v>4558.5</v>
      </c>
      <c r="C530" s="7">
        <v>4673.1000000000004</v>
      </c>
      <c r="D530" s="7">
        <v>4537.8999999999996</v>
      </c>
      <c r="E530" s="7">
        <v>4635.1000000000004</v>
      </c>
      <c r="F530" s="8">
        <v>4791900000</v>
      </c>
      <c r="G530" s="8">
        <v>23992600000</v>
      </c>
      <c r="H530">
        <f t="shared" si="8"/>
        <v>153307.53456373644</v>
      </c>
    </row>
    <row r="531" spans="1:8" x14ac:dyDescent="0.25">
      <c r="A531" s="6">
        <v>40235</v>
      </c>
      <c r="B531" s="7">
        <v>4654.7</v>
      </c>
      <c r="C531" s="7">
        <v>4718.3</v>
      </c>
      <c r="D531" s="7">
        <v>4589.8999999999996</v>
      </c>
      <c r="E531" s="7">
        <v>4637.7</v>
      </c>
      <c r="F531" s="8">
        <v>5971800000</v>
      </c>
      <c r="G531" s="8">
        <v>29601500000</v>
      </c>
      <c r="H531">
        <f t="shared" si="8"/>
        <v>153393.53046239357</v>
      </c>
    </row>
    <row r="532" spans="1:8" x14ac:dyDescent="0.25">
      <c r="A532" s="6">
        <v>40242</v>
      </c>
      <c r="B532" s="7">
        <v>4633.1000000000004</v>
      </c>
      <c r="C532" s="7">
        <v>4780.3999999999996</v>
      </c>
      <c r="D532" s="7">
        <v>4633.1000000000004</v>
      </c>
      <c r="E532" s="7">
        <v>4767.2</v>
      </c>
      <c r="F532" s="8">
        <v>5701400000</v>
      </c>
      <c r="G532" s="8">
        <v>25471100000</v>
      </c>
      <c r="H532">
        <f t="shared" si="8"/>
        <v>157676.78772243194</v>
      </c>
    </row>
    <row r="533" spans="1:8" x14ac:dyDescent="0.25">
      <c r="A533" s="6">
        <v>40249</v>
      </c>
      <c r="B533" s="7">
        <v>4787.8</v>
      </c>
      <c r="C533" s="7">
        <v>4840.1000000000004</v>
      </c>
      <c r="D533" s="7">
        <v>4787.8</v>
      </c>
      <c r="E533" s="7">
        <v>4818.1000000000004</v>
      </c>
      <c r="F533" s="8">
        <v>5044600000</v>
      </c>
      <c r="G533" s="8">
        <v>24410100000</v>
      </c>
      <c r="H533">
        <f t="shared" si="8"/>
        <v>159360.32281537369</v>
      </c>
    </row>
    <row r="534" spans="1:8" x14ac:dyDescent="0.25">
      <c r="A534" s="6">
        <v>40256</v>
      </c>
      <c r="B534" s="7">
        <v>4820.6000000000004</v>
      </c>
      <c r="C534" s="7">
        <v>4875.8</v>
      </c>
      <c r="D534" s="7">
        <v>4781.1000000000004</v>
      </c>
      <c r="E534" s="7">
        <v>4872.2</v>
      </c>
      <c r="F534" s="8">
        <v>6280100000</v>
      </c>
      <c r="G534" s="8">
        <v>27607700000</v>
      </c>
      <c r="H534">
        <f t="shared" si="8"/>
        <v>161149.69901435496</v>
      </c>
    </row>
    <row r="535" spans="1:8" x14ac:dyDescent="0.25">
      <c r="A535" s="6">
        <v>40263</v>
      </c>
      <c r="B535" s="7">
        <v>4857.2</v>
      </c>
      <c r="C535" s="7">
        <v>4911.1000000000004</v>
      </c>
      <c r="D535" s="7">
        <v>4826.8999999999996</v>
      </c>
      <c r="E535" s="7">
        <v>4896.8999999999996</v>
      </c>
      <c r="F535" s="8">
        <v>5246400000</v>
      </c>
      <c r="G535" s="8">
        <v>27945300000</v>
      </c>
      <c r="H535">
        <f t="shared" si="8"/>
        <v>161966.66005159778</v>
      </c>
    </row>
    <row r="536" spans="1:8" x14ac:dyDescent="0.25">
      <c r="A536" s="6">
        <v>40269</v>
      </c>
      <c r="B536" s="7">
        <v>4902.5</v>
      </c>
      <c r="C536" s="7">
        <v>4928.8999999999996</v>
      </c>
      <c r="D536" s="7">
        <v>4875.5</v>
      </c>
      <c r="E536" s="7">
        <v>4907.7</v>
      </c>
      <c r="F536" s="8">
        <v>4458200000</v>
      </c>
      <c r="G536" s="8">
        <v>21666600000</v>
      </c>
      <c r="H536">
        <f t="shared" si="8"/>
        <v>162323.87378448129</v>
      </c>
    </row>
    <row r="537" spans="1:8" x14ac:dyDescent="0.25">
      <c r="A537" s="6">
        <v>40277</v>
      </c>
      <c r="B537" s="7">
        <v>4924.7</v>
      </c>
      <c r="C537" s="7">
        <v>4971.3</v>
      </c>
      <c r="D537" s="7">
        <v>4924.7</v>
      </c>
      <c r="E537" s="7">
        <v>4948.1000000000004</v>
      </c>
      <c r="F537" s="8">
        <v>4456500000</v>
      </c>
      <c r="G537" s="8">
        <v>19508400000</v>
      </c>
      <c r="H537">
        <f t="shared" si="8"/>
        <v>163660.11774823072</v>
      </c>
    </row>
    <row r="538" spans="1:8" x14ac:dyDescent="0.25">
      <c r="A538" s="6">
        <v>40284</v>
      </c>
      <c r="B538" s="7">
        <v>4957.5</v>
      </c>
      <c r="C538" s="7">
        <v>5025.1000000000004</v>
      </c>
      <c r="D538" s="7">
        <v>4944.5</v>
      </c>
      <c r="E538" s="7">
        <v>4984.7</v>
      </c>
      <c r="F538" s="8">
        <v>5526800000</v>
      </c>
      <c r="G538" s="8">
        <v>25765400000</v>
      </c>
      <c r="H538">
        <f t="shared" si="8"/>
        <v>164870.67539855815</v>
      </c>
    </row>
    <row r="539" spans="1:8" x14ac:dyDescent="0.25">
      <c r="A539" s="6">
        <v>40291</v>
      </c>
      <c r="B539" s="7">
        <v>4965.3999999999996</v>
      </c>
      <c r="C539" s="7">
        <v>4970.2</v>
      </c>
      <c r="D539" s="7">
        <v>4875.8</v>
      </c>
      <c r="E539" s="7">
        <v>4881.5</v>
      </c>
      <c r="F539" s="8">
        <v>4700700000</v>
      </c>
      <c r="G539" s="8">
        <v>27341300000</v>
      </c>
      <c r="H539">
        <f t="shared" si="8"/>
        <v>161457.29972878238</v>
      </c>
    </row>
    <row r="540" spans="1:8" x14ac:dyDescent="0.25">
      <c r="A540" s="6">
        <v>40298</v>
      </c>
      <c r="B540" s="7">
        <v>4886.8</v>
      </c>
      <c r="C540" s="7">
        <v>4911.8999999999996</v>
      </c>
      <c r="D540" s="7">
        <v>4779.3</v>
      </c>
      <c r="E540" s="7">
        <v>4807.3999999999996</v>
      </c>
      <c r="F540" s="8">
        <v>4555700000</v>
      </c>
      <c r="G540" s="8">
        <v>27075100000</v>
      </c>
      <c r="H540">
        <f t="shared" si="8"/>
        <v>159006.41661705385</v>
      </c>
    </row>
    <row r="541" spans="1:8" x14ac:dyDescent="0.25">
      <c r="A541" s="6">
        <v>40305</v>
      </c>
      <c r="B541" s="7">
        <v>4782.8</v>
      </c>
      <c r="C541" s="7">
        <v>4804.5</v>
      </c>
      <c r="D541" s="7">
        <v>4427.3</v>
      </c>
      <c r="E541" s="7">
        <v>4480.7</v>
      </c>
      <c r="F541" s="8">
        <v>7222000000</v>
      </c>
      <c r="G541" s="8">
        <v>37419900000</v>
      </c>
      <c r="H541">
        <f t="shared" si="8"/>
        <v>148200.7011973277</v>
      </c>
    </row>
    <row r="542" spans="1:8" x14ac:dyDescent="0.25">
      <c r="A542" s="6">
        <v>40312</v>
      </c>
      <c r="B542" s="7">
        <v>4497.2</v>
      </c>
      <c r="C542" s="7">
        <v>4652.8</v>
      </c>
      <c r="D542" s="7">
        <v>4497.2</v>
      </c>
      <c r="E542" s="7">
        <v>4611.1000000000004</v>
      </c>
      <c r="F542" s="8">
        <v>5277700000</v>
      </c>
      <c r="G542" s="8">
        <v>27908300000</v>
      </c>
      <c r="H542">
        <f t="shared" si="8"/>
        <v>152513.72626843973</v>
      </c>
    </row>
    <row r="543" spans="1:8" x14ac:dyDescent="0.25">
      <c r="A543" s="6">
        <v>40319</v>
      </c>
      <c r="B543" s="7">
        <v>4587.6000000000004</v>
      </c>
      <c r="C543" s="7">
        <v>4587.6000000000004</v>
      </c>
      <c r="D543" s="7">
        <v>4175.7</v>
      </c>
      <c r="E543" s="7">
        <v>4305.3999999999996</v>
      </c>
      <c r="F543" s="8">
        <v>6995500000</v>
      </c>
      <c r="G543" s="8">
        <v>36886700000</v>
      </c>
      <c r="H543">
        <f t="shared" si="8"/>
        <v>142402.59310709816</v>
      </c>
    </row>
    <row r="544" spans="1:8" x14ac:dyDescent="0.25">
      <c r="A544" s="6">
        <v>40326</v>
      </c>
      <c r="B544" s="7">
        <v>4319.8999999999996</v>
      </c>
      <c r="C544" s="7">
        <v>4460.8</v>
      </c>
      <c r="D544" s="7">
        <v>4265.3</v>
      </c>
      <c r="E544" s="7">
        <v>4457.5</v>
      </c>
      <c r="F544" s="8">
        <v>6622500000</v>
      </c>
      <c r="G544" s="8">
        <v>34893800000</v>
      </c>
      <c r="H544">
        <f t="shared" si="8"/>
        <v>147433.35317854094</v>
      </c>
    </row>
    <row r="545" spans="1:8" x14ac:dyDescent="0.25">
      <c r="A545" s="6">
        <v>40333</v>
      </c>
      <c r="B545" s="7">
        <v>4447.7</v>
      </c>
      <c r="C545" s="7">
        <v>4489.1000000000004</v>
      </c>
      <c r="D545" s="7">
        <v>4374.2</v>
      </c>
      <c r="E545" s="7">
        <v>4449.3999999999996</v>
      </c>
      <c r="F545" s="8">
        <v>4821900000</v>
      </c>
      <c r="G545" s="8">
        <v>23045800000</v>
      </c>
      <c r="H545">
        <f t="shared" si="8"/>
        <v>147165.4428788783</v>
      </c>
    </row>
    <row r="546" spans="1:8" x14ac:dyDescent="0.25">
      <c r="A546" s="6">
        <v>40340</v>
      </c>
      <c r="B546" s="7">
        <v>4410.3999999999996</v>
      </c>
      <c r="C546" s="7">
        <v>4506.7</v>
      </c>
      <c r="D546" s="7">
        <v>4299.8</v>
      </c>
      <c r="E546" s="7">
        <v>4505.5</v>
      </c>
      <c r="F546" s="8">
        <v>5232100000</v>
      </c>
      <c r="G546" s="8">
        <v>25475700000</v>
      </c>
      <c r="H546">
        <f t="shared" si="8"/>
        <v>149020.96976913433</v>
      </c>
    </row>
    <row r="547" spans="1:8" x14ac:dyDescent="0.25">
      <c r="A547" s="6">
        <v>40347</v>
      </c>
      <c r="B547" s="7">
        <v>4505.3999999999996</v>
      </c>
      <c r="C547" s="7">
        <v>4572.3999999999996</v>
      </c>
      <c r="D547" s="7">
        <v>4490.8999999999996</v>
      </c>
      <c r="E547" s="7">
        <v>4551.8999999999996</v>
      </c>
      <c r="F547" s="8">
        <v>4192500000</v>
      </c>
      <c r="G547" s="8">
        <v>20752100000</v>
      </c>
      <c r="H547">
        <f t="shared" si="8"/>
        <v>150555.66580670793</v>
      </c>
    </row>
    <row r="548" spans="1:8" x14ac:dyDescent="0.25">
      <c r="A548" s="6">
        <v>40354</v>
      </c>
      <c r="B548" s="7">
        <v>4568</v>
      </c>
      <c r="C548" s="7">
        <v>4622</v>
      </c>
      <c r="D548" s="7">
        <v>4409.3</v>
      </c>
      <c r="E548" s="7">
        <v>4413</v>
      </c>
      <c r="F548" s="8">
        <v>5122900000</v>
      </c>
      <c r="G548" s="8">
        <v>27597000000</v>
      </c>
      <c r="H548">
        <f t="shared" si="8"/>
        <v>145961.50029767837</v>
      </c>
    </row>
    <row r="549" spans="1:8" x14ac:dyDescent="0.25">
      <c r="A549" s="6">
        <v>40361</v>
      </c>
      <c r="B549" s="7">
        <v>4419.7</v>
      </c>
      <c r="C549" s="7">
        <v>4433.3999999999996</v>
      </c>
      <c r="D549" s="7">
        <v>4214.7</v>
      </c>
      <c r="E549" s="7">
        <v>4238.7</v>
      </c>
      <c r="F549" s="8">
        <v>4447000000</v>
      </c>
      <c r="G549" s="8">
        <v>22348100000</v>
      </c>
      <c r="H549">
        <f t="shared" si="8"/>
        <v>140196.46755308617</v>
      </c>
    </row>
    <row r="550" spans="1:8" x14ac:dyDescent="0.25">
      <c r="A550" s="6">
        <v>40368</v>
      </c>
      <c r="B550" s="7">
        <v>4239.7</v>
      </c>
      <c r="C550" s="7">
        <v>4397.5</v>
      </c>
      <c r="D550" s="7">
        <v>4182.3</v>
      </c>
      <c r="E550" s="7">
        <v>4396.3</v>
      </c>
      <c r="F550" s="8">
        <v>3957700000</v>
      </c>
      <c r="G550" s="8">
        <v>20493700000</v>
      </c>
      <c r="H550">
        <f t="shared" si="8"/>
        <v>145409.14202553444</v>
      </c>
    </row>
    <row r="551" spans="1:8" x14ac:dyDescent="0.25">
      <c r="A551" s="6">
        <v>40375</v>
      </c>
      <c r="B551" s="7">
        <v>4396.7</v>
      </c>
      <c r="C551" s="7">
        <v>4465.6000000000004</v>
      </c>
      <c r="D551" s="7">
        <v>4380.3</v>
      </c>
      <c r="E551" s="7">
        <v>4422.7</v>
      </c>
      <c r="F551" s="8">
        <v>3863300000</v>
      </c>
      <c r="G551" s="8">
        <v>17122400000</v>
      </c>
      <c r="H551">
        <f t="shared" si="8"/>
        <v>146282.33115036078</v>
      </c>
    </row>
    <row r="552" spans="1:8" x14ac:dyDescent="0.25">
      <c r="A552" s="6">
        <v>40382</v>
      </c>
      <c r="B552" s="7">
        <v>4404.2</v>
      </c>
      <c r="C552" s="7">
        <v>4472.3</v>
      </c>
      <c r="D552" s="7">
        <v>4345.2</v>
      </c>
      <c r="E552" s="7">
        <v>4458.3999999999996</v>
      </c>
      <c r="F552" s="8">
        <v>4316900000</v>
      </c>
      <c r="G552" s="8">
        <v>21031700000</v>
      </c>
      <c r="H552">
        <f t="shared" si="8"/>
        <v>147463.1209896146</v>
      </c>
    </row>
    <row r="553" spans="1:8" x14ac:dyDescent="0.25">
      <c r="A553" s="6">
        <v>40389</v>
      </c>
      <c r="B553" s="7">
        <v>4466.7</v>
      </c>
      <c r="C553" s="7">
        <v>4531.6000000000004</v>
      </c>
      <c r="D553" s="7">
        <v>4466.6000000000004</v>
      </c>
      <c r="E553" s="7">
        <v>4493.5</v>
      </c>
      <c r="F553" s="8">
        <v>4382700000</v>
      </c>
      <c r="G553" s="8">
        <v>26834800000</v>
      </c>
      <c r="H553">
        <f t="shared" si="8"/>
        <v>148624.06562148599</v>
      </c>
    </row>
    <row r="554" spans="1:8" x14ac:dyDescent="0.25">
      <c r="A554" s="6">
        <v>40396</v>
      </c>
      <c r="B554" s="7">
        <v>4495.1000000000004</v>
      </c>
      <c r="C554" s="7">
        <v>4584.1000000000004</v>
      </c>
      <c r="D554" s="7">
        <v>4494.3</v>
      </c>
      <c r="E554" s="7">
        <v>4566.1000000000004</v>
      </c>
      <c r="F554" s="8">
        <v>3827200000</v>
      </c>
      <c r="G554" s="8">
        <v>21106700000</v>
      </c>
      <c r="H554">
        <f t="shared" si="8"/>
        <v>151025.33571475849</v>
      </c>
    </row>
    <row r="555" spans="1:8" x14ac:dyDescent="0.25">
      <c r="A555" s="6">
        <v>40403</v>
      </c>
      <c r="B555" s="7">
        <v>4559.5</v>
      </c>
      <c r="C555" s="7">
        <v>4598.7</v>
      </c>
      <c r="D555" s="7">
        <v>4382.1000000000004</v>
      </c>
      <c r="E555" s="7">
        <v>4459.6000000000004</v>
      </c>
      <c r="F555" s="8">
        <v>5332000000</v>
      </c>
      <c r="G555" s="8">
        <v>29295400000</v>
      </c>
      <c r="H555">
        <f t="shared" si="8"/>
        <v>147502.81140437946</v>
      </c>
    </row>
    <row r="556" spans="1:8" x14ac:dyDescent="0.25">
      <c r="A556" s="6">
        <v>40410</v>
      </c>
      <c r="B556" s="7">
        <v>4448.7</v>
      </c>
      <c r="C556" s="7">
        <v>4494.8999999999996</v>
      </c>
      <c r="D556" s="7">
        <v>4402.6000000000004</v>
      </c>
      <c r="E556" s="7">
        <v>4430.8999999999996</v>
      </c>
      <c r="F556" s="8">
        <v>5724400000</v>
      </c>
      <c r="G556" s="8">
        <v>29201100000</v>
      </c>
      <c r="H556">
        <f t="shared" si="8"/>
        <v>146553.54898458716</v>
      </c>
    </row>
    <row r="557" spans="1:8" x14ac:dyDescent="0.25">
      <c r="A557" s="6">
        <v>40417</v>
      </c>
      <c r="B557" s="7">
        <v>4433</v>
      </c>
      <c r="C557" s="7">
        <v>4439.3999999999996</v>
      </c>
      <c r="D557" s="7">
        <v>4313.8999999999996</v>
      </c>
      <c r="E557" s="7">
        <v>4370.1000000000004</v>
      </c>
      <c r="F557" s="8">
        <v>5994800000</v>
      </c>
      <c r="G557" s="8">
        <v>30595200000</v>
      </c>
      <c r="H557">
        <f t="shared" si="8"/>
        <v>144542.56796983557</v>
      </c>
    </row>
    <row r="558" spans="1:8" x14ac:dyDescent="0.25">
      <c r="A558" s="6">
        <v>40424</v>
      </c>
      <c r="B558" s="7">
        <v>4381.2</v>
      </c>
      <c r="C558" s="7">
        <v>4558.7</v>
      </c>
      <c r="D558" s="7">
        <v>4379.5</v>
      </c>
      <c r="E558" s="7">
        <v>4541.2</v>
      </c>
      <c r="F558" s="8">
        <v>5559800000</v>
      </c>
      <c r="G558" s="8">
        <v>27675700000</v>
      </c>
      <c r="H558">
        <f t="shared" si="8"/>
        <v>150201.75960838818</v>
      </c>
    </row>
    <row r="559" spans="1:8" x14ac:dyDescent="0.25">
      <c r="A559" s="6">
        <v>40431</v>
      </c>
      <c r="B559" s="7">
        <v>4547.2</v>
      </c>
      <c r="C559" s="7">
        <v>4598.5</v>
      </c>
      <c r="D559" s="7">
        <v>4532.6000000000004</v>
      </c>
      <c r="E559" s="7">
        <v>4560.3</v>
      </c>
      <c r="F559" s="8">
        <v>5178500000</v>
      </c>
      <c r="G559" s="8">
        <v>23830900000</v>
      </c>
      <c r="H559">
        <f t="shared" si="8"/>
        <v>150833.4987100618</v>
      </c>
    </row>
    <row r="560" spans="1:8" x14ac:dyDescent="0.25">
      <c r="A560" s="6">
        <v>40438</v>
      </c>
      <c r="B560" s="7">
        <v>4575.2</v>
      </c>
      <c r="C560" s="7">
        <v>4670.1000000000004</v>
      </c>
      <c r="D560" s="7">
        <v>4574</v>
      </c>
      <c r="E560" s="7">
        <v>4638.8999999999996</v>
      </c>
      <c r="F560" s="8">
        <v>6233300000</v>
      </c>
      <c r="G560" s="8">
        <v>30730200000</v>
      </c>
      <c r="H560">
        <f t="shared" si="8"/>
        <v>153433.22087715843</v>
      </c>
    </row>
    <row r="561" spans="1:8" x14ac:dyDescent="0.25">
      <c r="A561" s="6">
        <v>40445</v>
      </c>
      <c r="B561" s="7">
        <v>4633.3999999999996</v>
      </c>
      <c r="C561" s="7">
        <v>4664.5</v>
      </c>
      <c r="D561" s="7">
        <v>4585.1000000000004</v>
      </c>
      <c r="E561" s="7">
        <v>4601.8999999999996</v>
      </c>
      <c r="F561" s="8">
        <v>4187700000</v>
      </c>
      <c r="G561" s="8">
        <v>24240500000</v>
      </c>
      <c r="H561">
        <f t="shared" si="8"/>
        <v>152209.43308857604</v>
      </c>
    </row>
    <row r="562" spans="1:8" x14ac:dyDescent="0.25">
      <c r="A562" s="6">
        <v>40452</v>
      </c>
      <c r="B562" s="7">
        <v>4620</v>
      </c>
      <c r="C562" s="7">
        <v>4698</v>
      </c>
      <c r="D562" s="7">
        <v>4559</v>
      </c>
      <c r="E562" s="7">
        <v>4579.2</v>
      </c>
      <c r="F562" s="8">
        <v>4704600000</v>
      </c>
      <c r="G562" s="8">
        <v>23293100000</v>
      </c>
      <c r="H562">
        <f t="shared" si="8"/>
        <v>151458.62274260793</v>
      </c>
    </row>
    <row r="563" spans="1:8" x14ac:dyDescent="0.25">
      <c r="A563" s="6">
        <v>40459</v>
      </c>
      <c r="B563" s="7">
        <v>4587.1000000000004</v>
      </c>
      <c r="C563" s="7">
        <v>4697.3</v>
      </c>
      <c r="D563" s="7">
        <v>4559.2</v>
      </c>
      <c r="E563" s="7">
        <v>4681.3999999999996</v>
      </c>
      <c r="F563" s="8">
        <v>4202000000</v>
      </c>
      <c r="G563" s="8">
        <v>21211400000</v>
      </c>
      <c r="H563">
        <f t="shared" si="8"/>
        <v>154838.92306674633</v>
      </c>
    </row>
    <row r="564" spans="1:8" x14ac:dyDescent="0.25">
      <c r="A564" s="6">
        <v>40466</v>
      </c>
      <c r="B564" s="7">
        <v>4686.8</v>
      </c>
      <c r="C564" s="7">
        <v>4713</v>
      </c>
      <c r="D564" s="7">
        <v>4617.3999999999996</v>
      </c>
      <c r="E564" s="7">
        <v>4689</v>
      </c>
      <c r="F564" s="8">
        <v>5095000000</v>
      </c>
      <c r="G564" s="8">
        <v>23995100000</v>
      </c>
      <c r="H564">
        <f t="shared" si="8"/>
        <v>155090.29569359031</v>
      </c>
    </row>
    <row r="565" spans="1:8" x14ac:dyDescent="0.25">
      <c r="A565" s="6">
        <v>40473</v>
      </c>
      <c r="B565" s="7">
        <v>4688.8</v>
      </c>
      <c r="C565" s="7">
        <v>4688.8</v>
      </c>
      <c r="D565" s="7">
        <v>4583</v>
      </c>
      <c r="E565" s="7">
        <v>4648.2</v>
      </c>
      <c r="F565" s="8">
        <v>5198400000</v>
      </c>
      <c r="G565" s="8">
        <v>25837300000</v>
      </c>
      <c r="H565">
        <f t="shared" si="8"/>
        <v>153740.82159158593</v>
      </c>
    </row>
    <row r="566" spans="1:8" x14ac:dyDescent="0.25">
      <c r="A566" s="6">
        <v>40480</v>
      </c>
      <c r="B566" s="7">
        <v>4644.3999999999996</v>
      </c>
      <c r="C566" s="7">
        <v>4725.8999999999996</v>
      </c>
      <c r="D566" s="7">
        <v>4641</v>
      </c>
      <c r="E566" s="7">
        <v>4661.6000000000004</v>
      </c>
      <c r="F566" s="8">
        <v>5463400000</v>
      </c>
      <c r="G566" s="8">
        <v>30666100000</v>
      </c>
      <c r="H566">
        <f t="shared" si="8"/>
        <v>154184.0312231266</v>
      </c>
    </row>
    <row r="567" spans="1:8" x14ac:dyDescent="0.25">
      <c r="A567" s="6">
        <v>40487</v>
      </c>
      <c r="B567" s="7">
        <v>4665.7</v>
      </c>
      <c r="C567" s="7">
        <v>4815</v>
      </c>
      <c r="D567" s="7">
        <v>4664.8</v>
      </c>
      <c r="E567" s="7">
        <v>4800.6000000000004</v>
      </c>
      <c r="F567" s="8">
        <v>4267500000</v>
      </c>
      <c r="G567" s="8">
        <v>23637400000</v>
      </c>
      <c r="H567">
        <f t="shared" si="8"/>
        <v>158781.50426671992</v>
      </c>
    </row>
    <row r="568" spans="1:8" x14ac:dyDescent="0.25">
      <c r="A568" s="6">
        <v>40494</v>
      </c>
      <c r="B568" s="7">
        <v>4802.3</v>
      </c>
      <c r="C568" s="7">
        <v>4810.5</v>
      </c>
      <c r="D568" s="7">
        <v>4681.6000000000004</v>
      </c>
      <c r="E568" s="7">
        <v>4692.7</v>
      </c>
      <c r="F568" s="8">
        <v>5408800000</v>
      </c>
      <c r="G568" s="8">
        <v>32624900000</v>
      </c>
      <c r="H568">
        <f t="shared" si="8"/>
        <v>155212.67447244853</v>
      </c>
    </row>
    <row r="569" spans="1:8" x14ac:dyDescent="0.25">
      <c r="A569" s="6">
        <v>40501</v>
      </c>
      <c r="B569" s="7">
        <v>4694.6000000000004</v>
      </c>
      <c r="C569" s="7">
        <v>4714.2</v>
      </c>
      <c r="D569" s="7">
        <v>4612</v>
      </c>
      <c r="E569" s="7">
        <v>4629.2</v>
      </c>
      <c r="F569" s="8">
        <v>4911100000</v>
      </c>
      <c r="G569" s="8">
        <v>25541600000</v>
      </c>
      <c r="H569">
        <f t="shared" si="8"/>
        <v>153112.39002447604</v>
      </c>
    </row>
    <row r="570" spans="1:8" x14ac:dyDescent="0.25">
      <c r="A570" s="6">
        <v>40508</v>
      </c>
      <c r="B570" s="7">
        <v>4639.2</v>
      </c>
      <c r="C570" s="7">
        <v>4672</v>
      </c>
      <c r="D570" s="7">
        <v>4551.2</v>
      </c>
      <c r="E570" s="7">
        <v>4598.3</v>
      </c>
      <c r="F570" s="8">
        <v>5729800000</v>
      </c>
      <c r="G570" s="8">
        <v>27182300000</v>
      </c>
      <c r="H570">
        <f t="shared" si="8"/>
        <v>152090.36184428158</v>
      </c>
    </row>
    <row r="571" spans="1:8" x14ac:dyDescent="0.25">
      <c r="A571" s="6">
        <v>40515</v>
      </c>
      <c r="B571" s="7">
        <v>4594.3</v>
      </c>
      <c r="C571" s="7">
        <v>4717.1000000000004</v>
      </c>
      <c r="D571" s="7">
        <v>4557</v>
      </c>
      <c r="E571" s="7">
        <v>4694.2</v>
      </c>
      <c r="F571" s="8">
        <v>4540000000</v>
      </c>
      <c r="G571" s="8">
        <v>23626900000</v>
      </c>
      <c r="H571">
        <f t="shared" si="8"/>
        <v>155262.28749090459</v>
      </c>
    </row>
    <row r="572" spans="1:8" x14ac:dyDescent="0.25">
      <c r="A572" s="6">
        <v>40522</v>
      </c>
      <c r="B572" s="7">
        <v>4696.3</v>
      </c>
      <c r="C572" s="7">
        <v>4750</v>
      </c>
      <c r="D572" s="7">
        <v>4688</v>
      </c>
      <c r="E572" s="7">
        <v>4745.8999999999996</v>
      </c>
      <c r="F572" s="8">
        <v>5144100000</v>
      </c>
      <c r="G572" s="8">
        <v>24864800000</v>
      </c>
      <c r="H572">
        <f t="shared" si="8"/>
        <v>156972.28286035618</v>
      </c>
    </row>
    <row r="573" spans="1:8" x14ac:dyDescent="0.25">
      <c r="A573" s="6">
        <v>40529</v>
      </c>
      <c r="B573" s="7">
        <v>4750.1000000000004</v>
      </c>
      <c r="C573" s="7">
        <v>4784.3</v>
      </c>
      <c r="D573" s="7">
        <v>4749.6000000000004</v>
      </c>
      <c r="E573" s="7">
        <v>4763.1000000000004</v>
      </c>
      <c r="F573" s="8">
        <v>5541599000</v>
      </c>
      <c r="G573" s="8">
        <v>24678000000</v>
      </c>
      <c r="H573">
        <f t="shared" si="8"/>
        <v>157541.17880531884</v>
      </c>
    </row>
    <row r="574" spans="1:8" x14ac:dyDescent="0.25">
      <c r="A574" s="6">
        <v>40536</v>
      </c>
      <c r="B574" s="7">
        <v>4763.6000000000004</v>
      </c>
      <c r="C574" s="7">
        <v>4811.8999999999996</v>
      </c>
      <c r="D574" s="7">
        <v>4736.6000000000004</v>
      </c>
      <c r="E574" s="7">
        <v>4777.3</v>
      </c>
      <c r="F574" s="8">
        <v>3307800000</v>
      </c>
      <c r="G574" s="8">
        <v>19165500000</v>
      </c>
      <c r="H574">
        <f t="shared" si="8"/>
        <v>158010.84871336937</v>
      </c>
    </row>
    <row r="575" spans="1:8" x14ac:dyDescent="0.25">
      <c r="A575" s="6">
        <v>40543</v>
      </c>
      <c r="B575" s="7">
        <v>4768.3999999999996</v>
      </c>
      <c r="C575" s="7">
        <v>4799.8999999999996</v>
      </c>
      <c r="D575" s="7">
        <v>4745.2</v>
      </c>
      <c r="E575" s="7">
        <v>4745.2</v>
      </c>
      <c r="F575" s="8">
        <v>1398300000</v>
      </c>
      <c r="G575" s="8">
        <v>5895300000</v>
      </c>
      <c r="H575">
        <f t="shared" si="8"/>
        <v>156949.13011841004</v>
      </c>
    </row>
    <row r="576" spans="1:8" x14ac:dyDescent="0.25">
      <c r="A576" s="6">
        <v>40550</v>
      </c>
      <c r="B576" s="7">
        <v>4758.3</v>
      </c>
      <c r="C576" s="7">
        <v>4775</v>
      </c>
      <c r="D576" s="7">
        <v>4690.3</v>
      </c>
      <c r="E576" s="7">
        <v>4705</v>
      </c>
      <c r="F576" s="8">
        <v>3284900000</v>
      </c>
      <c r="G576" s="8">
        <v>15158800000</v>
      </c>
      <c r="H576">
        <f t="shared" si="8"/>
        <v>155619.5012237881</v>
      </c>
    </row>
    <row r="577" spans="1:8" x14ac:dyDescent="0.25">
      <c r="A577" s="6">
        <v>40557</v>
      </c>
      <c r="B577" s="7">
        <v>4702.2</v>
      </c>
      <c r="C577" s="7">
        <v>4802.8</v>
      </c>
      <c r="D577" s="7">
        <v>4686.5</v>
      </c>
      <c r="E577" s="7">
        <v>4801.5</v>
      </c>
      <c r="F577" s="8">
        <v>3995400000</v>
      </c>
      <c r="G577" s="8">
        <v>18876500000</v>
      </c>
      <c r="H577">
        <f t="shared" si="8"/>
        <v>158811.27207779355</v>
      </c>
    </row>
    <row r="578" spans="1:8" x14ac:dyDescent="0.25">
      <c r="A578" s="6">
        <v>40564</v>
      </c>
      <c r="B578" s="7">
        <v>4802.7</v>
      </c>
      <c r="C578" s="7">
        <v>4839.2</v>
      </c>
      <c r="D578" s="7">
        <v>4740.5</v>
      </c>
      <c r="E578" s="7">
        <v>4755.7</v>
      </c>
      <c r="F578" s="8">
        <v>4416500000</v>
      </c>
      <c r="G578" s="8">
        <v>21967800000</v>
      </c>
      <c r="H578">
        <f t="shared" si="8"/>
        <v>157296.42124760235</v>
      </c>
    </row>
    <row r="579" spans="1:8" x14ac:dyDescent="0.25">
      <c r="A579" s="6">
        <v>40571</v>
      </c>
      <c r="B579" s="7">
        <v>4755.3999999999996</v>
      </c>
      <c r="C579" s="7">
        <v>4825.3999999999996</v>
      </c>
      <c r="D579" s="7">
        <v>4750.2</v>
      </c>
      <c r="E579" s="7">
        <v>4774.8999999999996</v>
      </c>
      <c r="F579" s="8">
        <v>3614900000</v>
      </c>
      <c r="G579" s="8">
        <v>19363600000</v>
      </c>
      <c r="H579">
        <f t="shared" si="8"/>
        <v>157931.46788383971</v>
      </c>
    </row>
    <row r="580" spans="1:8" x14ac:dyDescent="0.25">
      <c r="A580" s="6">
        <v>40578</v>
      </c>
      <c r="B580" s="7">
        <v>4757.8999999999996</v>
      </c>
      <c r="C580" s="7">
        <v>4870.2</v>
      </c>
      <c r="D580" s="7">
        <v>4717.6000000000004</v>
      </c>
      <c r="E580" s="7">
        <v>4862.7</v>
      </c>
      <c r="F580" s="8">
        <v>4773600000</v>
      </c>
      <c r="G580" s="8">
        <v>24438200000</v>
      </c>
      <c r="H580">
        <f t="shared" ref="H580:H643" si="9">H579*(E580/E579)</f>
        <v>160835.48323080008</v>
      </c>
    </row>
    <row r="581" spans="1:8" x14ac:dyDescent="0.25">
      <c r="A581" s="6">
        <v>40585</v>
      </c>
      <c r="B581" s="7">
        <v>4860.1000000000004</v>
      </c>
      <c r="C581" s="7">
        <v>4931.2</v>
      </c>
      <c r="D581" s="7">
        <v>4859.5</v>
      </c>
      <c r="E581" s="7">
        <v>4880.8999999999996</v>
      </c>
      <c r="F581" s="8">
        <v>4277300000</v>
      </c>
      <c r="G581" s="8">
        <v>23916100000</v>
      </c>
      <c r="H581">
        <f t="shared" si="9"/>
        <v>161437.45452140007</v>
      </c>
    </row>
    <row r="582" spans="1:8" x14ac:dyDescent="0.25">
      <c r="A582" s="6">
        <v>40592</v>
      </c>
      <c r="B582" s="7">
        <v>4891.6000000000004</v>
      </c>
      <c r="C582" s="7">
        <v>4944.3999999999996</v>
      </c>
      <c r="D582" s="7">
        <v>4885.1000000000004</v>
      </c>
      <c r="E582" s="7">
        <v>4936.7</v>
      </c>
      <c r="F582" s="8">
        <v>4164600000</v>
      </c>
      <c r="G582" s="8">
        <v>23412400000</v>
      </c>
      <c r="H582">
        <f t="shared" si="9"/>
        <v>163283.05880796487</v>
      </c>
    </row>
    <row r="583" spans="1:8" x14ac:dyDescent="0.25">
      <c r="A583" s="6">
        <v>40599</v>
      </c>
      <c r="B583" s="7">
        <v>4923.3999999999996</v>
      </c>
      <c r="C583" s="7">
        <v>4924.3</v>
      </c>
      <c r="D583" s="7">
        <v>4799.2</v>
      </c>
      <c r="E583" s="7">
        <v>4836.5</v>
      </c>
      <c r="F583" s="8">
        <v>4818600000</v>
      </c>
      <c r="G583" s="8">
        <v>29844900000</v>
      </c>
      <c r="H583">
        <f t="shared" si="9"/>
        <v>159968.9091751012</v>
      </c>
    </row>
    <row r="584" spans="1:8" x14ac:dyDescent="0.25">
      <c r="A584" s="6">
        <v>40606</v>
      </c>
      <c r="B584" s="7">
        <v>4839.7</v>
      </c>
      <c r="C584" s="7">
        <v>4864.3</v>
      </c>
      <c r="D584" s="7">
        <v>4779.3999999999996</v>
      </c>
      <c r="E584" s="7">
        <v>4864.3</v>
      </c>
      <c r="F584" s="8">
        <v>5351800000</v>
      </c>
      <c r="G584" s="8">
        <v>23994200000</v>
      </c>
      <c r="H584">
        <f t="shared" si="9"/>
        <v>160888.40378381987</v>
      </c>
    </row>
    <row r="585" spans="1:8" x14ac:dyDescent="0.25">
      <c r="A585" s="6">
        <v>40613</v>
      </c>
      <c r="B585" s="7">
        <v>4850.7</v>
      </c>
      <c r="C585" s="7">
        <v>4852.3999999999996</v>
      </c>
      <c r="D585" s="7">
        <v>4630.7</v>
      </c>
      <c r="E585" s="7">
        <v>4644.8</v>
      </c>
      <c r="F585" s="8">
        <v>5445900000</v>
      </c>
      <c r="G585" s="8">
        <v>27050900000</v>
      </c>
      <c r="H585">
        <f t="shared" si="9"/>
        <v>153628.36541641891</v>
      </c>
    </row>
    <row r="586" spans="1:8" x14ac:dyDescent="0.25">
      <c r="A586" s="6">
        <v>40620</v>
      </c>
      <c r="B586" s="7">
        <v>4634.8</v>
      </c>
      <c r="C586" s="7">
        <v>4634.8</v>
      </c>
      <c r="D586" s="7">
        <v>4477.3999999999996</v>
      </c>
      <c r="E586" s="7">
        <v>4626.3999999999996</v>
      </c>
      <c r="F586" s="8">
        <v>7614200000</v>
      </c>
      <c r="G586" s="8">
        <v>34577000000</v>
      </c>
      <c r="H586">
        <f t="shared" si="9"/>
        <v>153019.77905669142</v>
      </c>
    </row>
    <row r="587" spans="1:8" x14ac:dyDescent="0.25">
      <c r="A587" s="6">
        <v>40627</v>
      </c>
      <c r="B587" s="7">
        <v>4625.3</v>
      </c>
      <c r="C587" s="7">
        <v>4763</v>
      </c>
      <c r="D587" s="7">
        <v>4606.3999999999996</v>
      </c>
      <c r="E587" s="7">
        <v>4742.6000000000004</v>
      </c>
      <c r="F587" s="8">
        <v>4504900000</v>
      </c>
      <c r="G587" s="8">
        <v>25599000000</v>
      </c>
      <c r="H587">
        <f t="shared" si="9"/>
        <v>156863.13421975292</v>
      </c>
    </row>
    <row r="588" spans="1:8" x14ac:dyDescent="0.25">
      <c r="A588" s="6">
        <v>40634</v>
      </c>
      <c r="B588" s="7">
        <v>4733.3999999999996</v>
      </c>
      <c r="C588" s="7">
        <v>4878.8</v>
      </c>
      <c r="D588" s="7">
        <v>4721.5</v>
      </c>
      <c r="E588" s="7">
        <v>4861.8</v>
      </c>
      <c r="F588" s="8">
        <v>4461800000</v>
      </c>
      <c r="G588" s="8">
        <v>24442600000</v>
      </c>
      <c r="H588">
        <f t="shared" si="9"/>
        <v>160805.71541972645</v>
      </c>
    </row>
    <row r="589" spans="1:8" x14ac:dyDescent="0.25">
      <c r="A589" s="6">
        <v>40641</v>
      </c>
      <c r="B589" s="7">
        <v>4868.6000000000004</v>
      </c>
      <c r="C589" s="7">
        <v>4941.6000000000004</v>
      </c>
      <c r="D589" s="7">
        <v>4868.6000000000004</v>
      </c>
      <c r="E589" s="7">
        <v>4940.6000000000004</v>
      </c>
      <c r="F589" s="8">
        <v>4724900000</v>
      </c>
      <c r="G589" s="8">
        <v>26775600000</v>
      </c>
      <c r="H589">
        <f t="shared" si="9"/>
        <v>163412.05265595057</v>
      </c>
    </row>
    <row r="590" spans="1:8" x14ac:dyDescent="0.25">
      <c r="A590" s="6">
        <v>40648</v>
      </c>
      <c r="B590" s="7">
        <v>4943.3</v>
      </c>
      <c r="C590" s="7">
        <v>4976.3999999999996</v>
      </c>
      <c r="D590" s="7">
        <v>4852.1000000000004</v>
      </c>
      <c r="E590" s="7">
        <v>4852.1000000000004</v>
      </c>
      <c r="F590" s="8">
        <v>4819000000</v>
      </c>
      <c r="G590" s="8">
        <v>30022700000</v>
      </c>
      <c r="H590">
        <f t="shared" si="9"/>
        <v>160484.88456704404</v>
      </c>
    </row>
    <row r="591" spans="1:8" x14ac:dyDescent="0.25">
      <c r="A591" s="6">
        <v>40654</v>
      </c>
      <c r="B591" s="7">
        <v>4852.6000000000004</v>
      </c>
      <c r="C591" s="7">
        <v>4915.5</v>
      </c>
      <c r="D591" s="7">
        <v>4788.6000000000004</v>
      </c>
      <c r="E591" s="7">
        <v>4913.8</v>
      </c>
      <c r="F591" s="8">
        <v>3096100000</v>
      </c>
      <c r="G591" s="8">
        <v>18175600000</v>
      </c>
      <c r="H591">
        <f t="shared" si="9"/>
        <v>162525.63339286923</v>
      </c>
    </row>
    <row r="592" spans="1:8" x14ac:dyDescent="0.25">
      <c r="A592" s="6">
        <v>40662</v>
      </c>
      <c r="B592" s="7">
        <v>4919.3</v>
      </c>
      <c r="C592" s="7">
        <v>4930.6000000000004</v>
      </c>
      <c r="D592" s="7">
        <v>4794.8</v>
      </c>
      <c r="E592" s="7">
        <v>4823.2</v>
      </c>
      <c r="F592" s="8">
        <v>3057800000</v>
      </c>
      <c r="G592" s="8">
        <v>18652600000</v>
      </c>
      <c r="H592">
        <f t="shared" si="9"/>
        <v>159529.00707812424</v>
      </c>
    </row>
    <row r="593" spans="1:8" x14ac:dyDescent="0.25">
      <c r="A593" s="6">
        <v>40669</v>
      </c>
      <c r="B593" s="7">
        <v>4826.3</v>
      </c>
      <c r="C593" s="7">
        <v>4835.5</v>
      </c>
      <c r="D593" s="7">
        <v>4713.3999999999996</v>
      </c>
      <c r="E593" s="7">
        <v>4743</v>
      </c>
      <c r="F593" s="8">
        <v>5335200000</v>
      </c>
      <c r="G593" s="8">
        <v>27353500000</v>
      </c>
      <c r="H593">
        <f t="shared" si="9"/>
        <v>156876.36435800782</v>
      </c>
    </row>
    <row r="594" spans="1:8" x14ac:dyDescent="0.25">
      <c r="A594" s="6">
        <v>40676</v>
      </c>
      <c r="B594" s="7">
        <v>4752.8999999999996</v>
      </c>
      <c r="C594" s="7">
        <v>4795.8999999999996</v>
      </c>
      <c r="D594" s="7">
        <v>4675.3999999999996</v>
      </c>
      <c r="E594" s="7">
        <v>4711.3999999999996</v>
      </c>
      <c r="F594" s="8">
        <v>4551300000</v>
      </c>
      <c r="G594" s="8">
        <v>24665900000</v>
      </c>
      <c r="H594">
        <f t="shared" si="9"/>
        <v>155831.18343586716</v>
      </c>
    </row>
    <row r="595" spans="1:8" x14ac:dyDescent="0.25">
      <c r="A595" s="6">
        <v>40683</v>
      </c>
      <c r="B595" s="7">
        <v>4692.5</v>
      </c>
      <c r="C595" s="7">
        <v>4763.8999999999996</v>
      </c>
      <c r="D595" s="7">
        <v>4641.3999999999996</v>
      </c>
      <c r="E595" s="7">
        <v>4732.2</v>
      </c>
      <c r="F595" s="8">
        <v>4457100000</v>
      </c>
      <c r="G595" s="8">
        <v>22225000000</v>
      </c>
      <c r="H595">
        <f t="shared" si="9"/>
        <v>156519.15062512431</v>
      </c>
    </row>
    <row r="596" spans="1:8" x14ac:dyDescent="0.25">
      <c r="A596" s="6">
        <v>40690</v>
      </c>
      <c r="B596" s="7">
        <v>4720.3</v>
      </c>
      <c r="C596" s="7">
        <v>4720.3</v>
      </c>
      <c r="D596" s="7">
        <v>4582.7</v>
      </c>
      <c r="E596" s="7">
        <v>4684</v>
      </c>
      <c r="F596" s="8">
        <v>4802000000</v>
      </c>
      <c r="G596" s="8">
        <v>27069600000</v>
      </c>
      <c r="H596">
        <f t="shared" si="9"/>
        <v>154924.91896540346</v>
      </c>
    </row>
    <row r="597" spans="1:8" x14ac:dyDescent="0.25">
      <c r="A597" s="6">
        <v>40697</v>
      </c>
      <c r="B597" s="7">
        <v>4684.6000000000004</v>
      </c>
      <c r="C597" s="7">
        <v>4724.8</v>
      </c>
      <c r="D597" s="7">
        <v>4578</v>
      </c>
      <c r="E597" s="7">
        <v>4583.1000000000004</v>
      </c>
      <c r="F597" s="8">
        <v>4660900000</v>
      </c>
      <c r="G597" s="8">
        <v>23846000000</v>
      </c>
      <c r="H597">
        <f t="shared" si="9"/>
        <v>151587.61659059365</v>
      </c>
    </row>
    <row r="598" spans="1:8" x14ac:dyDescent="0.25">
      <c r="A598" s="6">
        <v>40704</v>
      </c>
      <c r="B598" s="7">
        <v>4577.3</v>
      </c>
      <c r="C598" s="7">
        <v>4589.2</v>
      </c>
      <c r="D598" s="7">
        <v>4518.1000000000004</v>
      </c>
      <c r="E598" s="7">
        <v>4562.1000000000004</v>
      </c>
      <c r="F598" s="8">
        <v>4565000000</v>
      </c>
      <c r="G598" s="8">
        <v>22454500000</v>
      </c>
      <c r="H598">
        <f t="shared" si="9"/>
        <v>150893.03433220906</v>
      </c>
    </row>
    <row r="599" spans="1:8" x14ac:dyDescent="0.25">
      <c r="A599" s="6">
        <v>40711</v>
      </c>
      <c r="B599" s="7">
        <v>4549.7</v>
      </c>
      <c r="C599" s="7">
        <v>4593.3</v>
      </c>
      <c r="D599" s="7">
        <v>4465.8999999999996</v>
      </c>
      <c r="E599" s="7">
        <v>4484.8999999999996</v>
      </c>
      <c r="F599" s="8">
        <v>4549100000</v>
      </c>
      <c r="G599" s="8">
        <v>24287700000</v>
      </c>
      <c r="H599">
        <f t="shared" si="9"/>
        <v>148339.61764900471</v>
      </c>
    </row>
    <row r="600" spans="1:8" x14ac:dyDescent="0.25">
      <c r="A600" s="6">
        <v>40718</v>
      </c>
      <c r="B600" s="7">
        <v>4487.2</v>
      </c>
      <c r="C600" s="7">
        <v>4565.8999999999996</v>
      </c>
      <c r="D600" s="7">
        <v>4451.7</v>
      </c>
      <c r="E600" s="7">
        <v>4508.1000000000004</v>
      </c>
      <c r="F600" s="8">
        <v>4968600000</v>
      </c>
      <c r="G600" s="8">
        <v>27720700000</v>
      </c>
      <c r="H600">
        <f t="shared" si="9"/>
        <v>149106.96566779152</v>
      </c>
    </row>
    <row r="601" spans="1:8" x14ac:dyDescent="0.25">
      <c r="A601" s="6">
        <v>40725</v>
      </c>
      <c r="B601" s="7">
        <v>4502.1000000000004</v>
      </c>
      <c r="C601" s="7">
        <v>4622</v>
      </c>
      <c r="D601" s="7">
        <v>4453.7</v>
      </c>
      <c r="E601" s="7">
        <v>4591.2</v>
      </c>
      <c r="F601" s="8">
        <v>4469300000</v>
      </c>
      <c r="G601" s="8">
        <v>22625600000</v>
      </c>
      <c r="H601">
        <f t="shared" si="9"/>
        <v>151855.52689025627</v>
      </c>
    </row>
    <row r="602" spans="1:8" x14ac:dyDescent="0.25">
      <c r="A602" s="6">
        <v>40732</v>
      </c>
      <c r="B602" s="7">
        <v>4602.7</v>
      </c>
      <c r="C602" s="7">
        <v>4657.3999999999996</v>
      </c>
      <c r="D602" s="7">
        <v>4582.5</v>
      </c>
      <c r="E602" s="7">
        <v>4654.7</v>
      </c>
      <c r="F602" s="8">
        <v>3768900000</v>
      </c>
      <c r="G602" s="8">
        <v>19800300000</v>
      </c>
      <c r="H602">
        <f t="shared" si="9"/>
        <v>153955.81133822876</v>
      </c>
    </row>
    <row r="603" spans="1:8" x14ac:dyDescent="0.25">
      <c r="A603" s="6">
        <v>40739</v>
      </c>
      <c r="B603" s="7">
        <v>4641.5</v>
      </c>
      <c r="C603" s="7">
        <v>4641.5</v>
      </c>
      <c r="D603" s="7">
        <v>4454.3</v>
      </c>
      <c r="E603" s="7">
        <v>4473.5</v>
      </c>
      <c r="F603" s="8">
        <v>4305900000</v>
      </c>
      <c r="G603" s="8">
        <v>24279500000</v>
      </c>
      <c r="H603">
        <f t="shared" si="9"/>
        <v>147962.55870873877</v>
      </c>
    </row>
    <row r="604" spans="1:8" x14ac:dyDescent="0.25">
      <c r="A604" s="6">
        <v>40746</v>
      </c>
      <c r="B604" s="7">
        <v>4473.1000000000004</v>
      </c>
      <c r="C604" s="7">
        <v>4612.2</v>
      </c>
      <c r="D604" s="7">
        <v>4445</v>
      </c>
      <c r="E604" s="7">
        <v>4602.8999999999996</v>
      </c>
      <c r="F604" s="8">
        <v>4596700000</v>
      </c>
      <c r="G604" s="8">
        <v>22370800000</v>
      </c>
      <c r="H604">
        <f t="shared" si="9"/>
        <v>152242.50843421341</v>
      </c>
    </row>
    <row r="605" spans="1:8" x14ac:dyDescent="0.25">
      <c r="A605" s="6">
        <v>40753</v>
      </c>
      <c r="B605" s="7">
        <v>4595.3</v>
      </c>
      <c r="C605" s="7">
        <v>4595.3999999999996</v>
      </c>
      <c r="D605" s="7">
        <v>4421.1000000000004</v>
      </c>
      <c r="E605" s="7">
        <v>4424.6000000000004</v>
      </c>
      <c r="F605" s="8">
        <v>4974400000</v>
      </c>
      <c r="G605" s="8">
        <v>27013900000</v>
      </c>
      <c r="H605">
        <f t="shared" si="9"/>
        <v>146345.17430707181</v>
      </c>
    </row>
    <row r="606" spans="1:8" x14ac:dyDescent="0.25">
      <c r="A606" s="6">
        <v>40760</v>
      </c>
      <c r="B606" s="7">
        <v>4440.8999999999996</v>
      </c>
      <c r="C606" s="7">
        <v>4517.3999999999996</v>
      </c>
      <c r="D606" s="7">
        <v>4087.7</v>
      </c>
      <c r="E606" s="7">
        <v>4105.3999999999996</v>
      </c>
      <c r="F606" s="8">
        <v>5556800000</v>
      </c>
      <c r="G606" s="8">
        <v>30252000000</v>
      </c>
      <c r="H606">
        <f t="shared" si="9"/>
        <v>135787.52397962584</v>
      </c>
    </row>
    <row r="607" spans="1:8" x14ac:dyDescent="0.25">
      <c r="A607" s="6">
        <v>40767</v>
      </c>
      <c r="B607" s="7">
        <v>4078.6</v>
      </c>
      <c r="C607" s="7">
        <v>4216.1000000000004</v>
      </c>
      <c r="D607" s="7">
        <v>3765.9</v>
      </c>
      <c r="E607" s="7">
        <v>4172.6000000000004</v>
      </c>
      <c r="F607" s="8">
        <v>7537400000</v>
      </c>
      <c r="G607" s="8">
        <v>39356800000</v>
      </c>
      <c r="H607">
        <f t="shared" si="9"/>
        <v>138010.18720645658</v>
      </c>
    </row>
    <row r="608" spans="1:8" x14ac:dyDescent="0.25">
      <c r="A608" s="6">
        <v>40774</v>
      </c>
      <c r="B608" s="7">
        <v>4193.5</v>
      </c>
      <c r="C608" s="7">
        <v>4324.7</v>
      </c>
      <c r="D608" s="7">
        <v>4099.3999999999996</v>
      </c>
      <c r="E608" s="7">
        <v>4101.8999999999996</v>
      </c>
      <c r="F608" s="8">
        <v>5162800000</v>
      </c>
      <c r="G608" s="8">
        <v>28498800000</v>
      </c>
      <c r="H608">
        <f t="shared" si="9"/>
        <v>135671.76026989508</v>
      </c>
    </row>
    <row r="609" spans="1:8" x14ac:dyDescent="0.25">
      <c r="A609" s="6">
        <v>40781</v>
      </c>
      <c r="B609" s="7">
        <v>4099</v>
      </c>
      <c r="C609" s="7">
        <v>4238.6000000000004</v>
      </c>
      <c r="D609" s="7">
        <v>4075.1</v>
      </c>
      <c r="E609" s="7">
        <v>4200</v>
      </c>
      <c r="F609" s="8">
        <v>5459600000</v>
      </c>
      <c r="G609" s="8">
        <v>28965800000</v>
      </c>
      <c r="H609">
        <f t="shared" si="9"/>
        <v>138916.45167692029</v>
      </c>
    </row>
    <row r="610" spans="1:8" x14ac:dyDescent="0.25">
      <c r="A610" s="6">
        <v>40788</v>
      </c>
      <c r="B610" s="7">
        <v>4209.5</v>
      </c>
      <c r="C610" s="7">
        <v>4354.6000000000004</v>
      </c>
      <c r="D610" s="7">
        <v>4209.5</v>
      </c>
      <c r="E610" s="7">
        <v>4242.8999999999996</v>
      </c>
      <c r="F610" s="8">
        <v>4892800000</v>
      </c>
      <c r="G610" s="8">
        <v>24981000000</v>
      </c>
      <c r="H610">
        <f t="shared" si="9"/>
        <v>140335.38400476312</v>
      </c>
    </row>
    <row r="611" spans="1:8" x14ac:dyDescent="0.25">
      <c r="A611" s="6">
        <v>40795</v>
      </c>
      <c r="B611" s="7">
        <v>4221.2</v>
      </c>
      <c r="C611" s="7">
        <v>4232</v>
      </c>
      <c r="D611" s="7">
        <v>4072.7</v>
      </c>
      <c r="E611" s="7">
        <v>4194.7</v>
      </c>
      <c r="F611" s="8">
        <v>4534900000</v>
      </c>
      <c r="G611" s="8">
        <v>24196800000</v>
      </c>
      <c r="H611">
        <f t="shared" si="9"/>
        <v>138741.15234504227</v>
      </c>
    </row>
    <row r="612" spans="1:8" x14ac:dyDescent="0.25">
      <c r="A612" s="6">
        <v>40802</v>
      </c>
      <c r="B612" s="7">
        <v>4169.3</v>
      </c>
      <c r="C612" s="7">
        <v>4170</v>
      </c>
      <c r="D612" s="7">
        <v>3997.6</v>
      </c>
      <c r="E612" s="7">
        <v>4149.3999999999996</v>
      </c>
      <c r="F612" s="8">
        <v>5373000000</v>
      </c>
      <c r="G612" s="8">
        <v>26581900000</v>
      </c>
      <c r="H612">
        <f t="shared" si="9"/>
        <v>137242.83918766977</v>
      </c>
    </row>
    <row r="613" spans="1:8" x14ac:dyDescent="0.25">
      <c r="A613" s="6">
        <v>40809</v>
      </c>
      <c r="B613" s="7">
        <v>4140.1000000000004</v>
      </c>
      <c r="C613" s="7">
        <v>4141.3999999999996</v>
      </c>
      <c r="D613" s="7">
        <v>3882.2</v>
      </c>
      <c r="E613" s="7">
        <v>3903.2</v>
      </c>
      <c r="F613" s="8">
        <v>5120400000</v>
      </c>
      <c r="G613" s="8">
        <v>26697400000</v>
      </c>
      <c r="H613">
        <f t="shared" si="9"/>
        <v>129099.68909175125</v>
      </c>
    </row>
    <row r="614" spans="1:8" x14ac:dyDescent="0.25">
      <c r="A614" s="6">
        <v>40816</v>
      </c>
      <c r="B614" s="7">
        <v>3917.8</v>
      </c>
      <c r="C614" s="7">
        <v>4053.8</v>
      </c>
      <c r="D614" s="7">
        <v>3862.4</v>
      </c>
      <c r="E614" s="7">
        <v>4008.6</v>
      </c>
      <c r="F614" s="8">
        <v>6422100000</v>
      </c>
      <c r="G614" s="8">
        <v>29736900000</v>
      </c>
      <c r="H614">
        <f t="shared" si="9"/>
        <v>132585.83052192922</v>
      </c>
    </row>
    <row r="615" spans="1:8" x14ac:dyDescent="0.25">
      <c r="A615" s="6">
        <v>40823</v>
      </c>
      <c r="B615" s="7">
        <v>3990.6</v>
      </c>
      <c r="C615" s="7">
        <v>4182</v>
      </c>
      <c r="D615" s="7">
        <v>3840.2</v>
      </c>
      <c r="E615" s="7">
        <v>4162.8999999999996</v>
      </c>
      <c r="F615" s="8">
        <v>5623200000</v>
      </c>
      <c r="G615" s="8">
        <v>25575900000</v>
      </c>
      <c r="H615">
        <f t="shared" si="9"/>
        <v>137689.35635377414</v>
      </c>
    </row>
    <row r="616" spans="1:8" x14ac:dyDescent="0.25">
      <c r="A616" s="6">
        <v>40830</v>
      </c>
      <c r="B616" s="7">
        <v>4157.6000000000004</v>
      </c>
      <c r="C616" s="7">
        <v>4256.1000000000004</v>
      </c>
      <c r="D616" s="7">
        <v>4146.8999999999996</v>
      </c>
      <c r="E616" s="7">
        <v>4205.6000000000004</v>
      </c>
      <c r="F616" s="8">
        <v>4143800000</v>
      </c>
      <c r="G616" s="8">
        <v>21934800000</v>
      </c>
      <c r="H616">
        <f t="shared" si="9"/>
        <v>139101.67361248951</v>
      </c>
    </row>
    <row r="617" spans="1:8" x14ac:dyDescent="0.25">
      <c r="A617" s="6">
        <v>40837</v>
      </c>
      <c r="B617" s="7">
        <v>4221.7</v>
      </c>
      <c r="C617" s="7">
        <v>4287.7</v>
      </c>
      <c r="D617" s="7">
        <v>4131.8999999999996</v>
      </c>
      <c r="E617" s="7">
        <v>4141.8999999999996</v>
      </c>
      <c r="F617" s="8">
        <v>3620800000</v>
      </c>
      <c r="G617" s="8">
        <v>20411900000</v>
      </c>
      <c r="H617">
        <f t="shared" si="9"/>
        <v>136994.77409538953</v>
      </c>
    </row>
    <row r="618" spans="1:8" x14ac:dyDescent="0.25">
      <c r="A618" s="6">
        <v>40844</v>
      </c>
      <c r="B618" s="7">
        <v>4155.2</v>
      </c>
      <c r="C618" s="7">
        <v>4417.6000000000004</v>
      </c>
      <c r="D618" s="7">
        <v>4155</v>
      </c>
      <c r="E618" s="7">
        <v>4353.3</v>
      </c>
      <c r="F618" s="8">
        <v>4002000000</v>
      </c>
      <c r="G618" s="8">
        <v>24837000000</v>
      </c>
      <c r="H618">
        <f t="shared" si="9"/>
        <v>143986.90216312787</v>
      </c>
    </row>
    <row r="619" spans="1:8" x14ac:dyDescent="0.25">
      <c r="A619" s="6">
        <v>40851</v>
      </c>
      <c r="B619" s="7">
        <v>4348.8999999999996</v>
      </c>
      <c r="C619" s="7">
        <v>4358.2</v>
      </c>
      <c r="D619" s="7">
        <v>4141.3</v>
      </c>
      <c r="E619" s="7">
        <v>4281.1000000000004</v>
      </c>
      <c r="F619" s="8">
        <v>3761000000</v>
      </c>
      <c r="G619" s="8">
        <v>20363800000</v>
      </c>
      <c r="H619">
        <f t="shared" si="9"/>
        <v>141598.86220811034</v>
      </c>
    </row>
    <row r="620" spans="1:8" x14ac:dyDescent="0.25">
      <c r="A620" s="6">
        <v>40858</v>
      </c>
      <c r="B620" s="7">
        <v>4281.8999999999996</v>
      </c>
      <c r="C620" s="7">
        <v>4365</v>
      </c>
      <c r="D620" s="7">
        <v>4205</v>
      </c>
      <c r="E620" s="7">
        <v>4296.5</v>
      </c>
      <c r="F620" s="8">
        <v>3706600000</v>
      </c>
      <c r="G620" s="8">
        <v>20511900000</v>
      </c>
      <c r="H620">
        <f t="shared" si="9"/>
        <v>142108.2225309257</v>
      </c>
    </row>
    <row r="621" spans="1:8" x14ac:dyDescent="0.25">
      <c r="A621" s="6">
        <v>40865</v>
      </c>
      <c r="B621" s="7">
        <v>4310.5</v>
      </c>
      <c r="C621" s="7">
        <v>4363.1000000000004</v>
      </c>
      <c r="D621" s="7">
        <v>4172.6000000000004</v>
      </c>
      <c r="E621" s="7">
        <v>4177</v>
      </c>
      <c r="F621" s="8">
        <v>3291400000</v>
      </c>
      <c r="G621" s="8">
        <v>19060500000</v>
      </c>
      <c r="H621">
        <f t="shared" si="9"/>
        <v>138155.71872726094</v>
      </c>
    </row>
    <row r="622" spans="1:8" x14ac:dyDescent="0.25">
      <c r="A622" s="6">
        <v>40872</v>
      </c>
      <c r="B622" s="7">
        <v>4174.2</v>
      </c>
      <c r="C622" s="7">
        <v>4181.3999999999996</v>
      </c>
      <c r="D622" s="7">
        <v>3973.8</v>
      </c>
      <c r="E622" s="7">
        <v>3984.3</v>
      </c>
      <c r="F622" s="8">
        <v>4355600000</v>
      </c>
      <c r="G622" s="8">
        <v>23605700000</v>
      </c>
      <c r="H622">
        <f t="shared" si="9"/>
        <v>131782.09962294128</v>
      </c>
    </row>
    <row r="623" spans="1:8" x14ac:dyDescent="0.25">
      <c r="A623" s="6">
        <v>40879</v>
      </c>
      <c r="B623" s="7">
        <v>3984.3</v>
      </c>
      <c r="C623" s="7">
        <v>4288</v>
      </c>
      <c r="D623" s="7">
        <v>3984.3</v>
      </c>
      <c r="E623" s="7">
        <v>4288</v>
      </c>
      <c r="F623" s="8">
        <v>4650100000</v>
      </c>
      <c r="G623" s="8">
        <v>23875600000</v>
      </c>
      <c r="H623">
        <f t="shared" si="9"/>
        <v>141827.08209300812</v>
      </c>
    </row>
    <row r="624" spans="1:8" x14ac:dyDescent="0.25">
      <c r="A624" s="6">
        <v>40886</v>
      </c>
      <c r="B624" s="7">
        <v>4292.6000000000004</v>
      </c>
      <c r="C624" s="7">
        <v>4335.2</v>
      </c>
      <c r="D624" s="7">
        <v>4186.1000000000004</v>
      </c>
      <c r="E624" s="7">
        <v>4203</v>
      </c>
      <c r="F624" s="8">
        <v>3870400000</v>
      </c>
      <c r="G624" s="8">
        <v>20083600000</v>
      </c>
      <c r="H624">
        <f t="shared" si="9"/>
        <v>139015.67771383235</v>
      </c>
    </row>
    <row r="625" spans="1:8" x14ac:dyDescent="0.25">
      <c r="A625" s="6">
        <v>40893</v>
      </c>
      <c r="B625" s="7">
        <v>4222</v>
      </c>
      <c r="C625" s="7">
        <v>4271.8999999999996</v>
      </c>
      <c r="D625" s="7">
        <v>4115.2</v>
      </c>
      <c r="E625" s="7">
        <v>4159.2</v>
      </c>
      <c r="F625" s="8">
        <v>4207200000</v>
      </c>
      <c r="G625" s="8">
        <v>21745300000</v>
      </c>
      <c r="H625">
        <f t="shared" si="9"/>
        <v>137566.97757491589</v>
      </c>
    </row>
    <row r="626" spans="1:8" x14ac:dyDescent="0.25">
      <c r="A626" s="6">
        <v>40900</v>
      </c>
      <c r="B626" s="7">
        <v>4147.8</v>
      </c>
      <c r="C626" s="7">
        <v>4148.2</v>
      </c>
      <c r="D626" s="7">
        <v>4050.3</v>
      </c>
      <c r="E626" s="7">
        <v>4140.3999999999996</v>
      </c>
      <c r="F626" s="8">
        <v>3264200000</v>
      </c>
      <c r="G626" s="8">
        <v>18874800000</v>
      </c>
      <c r="H626">
        <f t="shared" si="9"/>
        <v>136945.16107693347</v>
      </c>
    </row>
    <row r="627" spans="1:8" x14ac:dyDescent="0.25">
      <c r="A627" s="6">
        <v>40907</v>
      </c>
      <c r="B627" s="7">
        <v>4140.1000000000004</v>
      </c>
      <c r="C627" s="7">
        <v>4142.6000000000004</v>
      </c>
      <c r="D627" s="7">
        <v>4038.1</v>
      </c>
      <c r="E627" s="7">
        <v>4056.6</v>
      </c>
      <c r="F627" s="8">
        <v>1018200000</v>
      </c>
      <c r="G627" s="8">
        <v>4660900000</v>
      </c>
      <c r="H627">
        <f t="shared" si="9"/>
        <v>134173.44711252252</v>
      </c>
    </row>
    <row r="628" spans="1:8" x14ac:dyDescent="0.25">
      <c r="A628" s="6">
        <v>40914</v>
      </c>
      <c r="B628" s="7">
        <v>4069.3</v>
      </c>
      <c r="C628" s="7">
        <v>4202.3999999999996</v>
      </c>
      <c r="D628" s="7">
        <v>4069.1</v>
      </c>
      <c r="E628" s="7">
        <v>4108.5</v>
      </c>
      <c r="F628" s="8">
        <v>2059500000</v>
      </c>
      <c r="G628" s="8">
        <v>10776100000</v>
      </c>
      <c r="H628">
        <f t="shared" si="9"/>
        <v>135890.05755110161</v>
      </c>
    </row>
    <row r="629" spans="1:8" x14ac:dyDescent="0.25">
      <c r="A629" s="6">
        <v>40921</v>
      </c>
      <c r="B629" s="7">
        <v>4118.1000000000004</v>
      </c>
      <c r="C629" s="7">
        <v>4203.6000000000004</v>
      </c>
      <c r="D629" s="7">
        <v>4088.7</v>
      </c>
      <c r="E629" s="7">
        <v>4195.8999999999996</v>
      </c>
      <c r="F629" s="8">
        <v>3053500000</v>
      </c>
      <c r="G629" s="8">
        <v>16088300000</v>
      </c>
      <c r="H629">
        <f t="shared" si="9"/>
        <v>138780.84275980704</v>
      </c>
    </row>
    <row r="630" spans="1:8" x14ac:dyDescent="0.25">
      <c r="A630" s="6">
        <v>40928</v>
      </c>
      <c r="B630" s="7">
        <v>4191.3</v>
      </c>
      <c r="C630" s="7">
        <v>4258.3999999999996</v>
      </c>
      <c r="D630" s="7">
        <v>4138.5</v>
      </c>
      <c r="E630" s="7">
        <v>4239.6000000000004</v>
      </c>
      <c r="F630" s="8">
        <v>3698200000</v>
      </c>
      <c r="G630" s="8">
        <v>18815300000</v>
      </c>
      <c r="H630">
        <f t="shared" si="9"/>
        <v>140226.2353641598</v>
      </c>
    </row>
    <row r="631" spans="1:8" x14ac:dyDescent="0.25">
      <c r="A631" s="6">
        <v>40935</v>
      </c>
      <c r="B631" s="7">
        <v>4239.6000000000004</v>
      </c>
      <c r="C631" s="7">
        <v>4315.6000000000004</v>
      </c>
      <c r="D631" s="7">
        <v>4218.3999999999996</v>
      </c>
      <c r="E631" s="7">
        <v>4288.3999999999996</v>
      </c>
      <c r="F631" s="8">
        <v>2571000000</v>
      </c>
      <c r="G631" s="8">
        <v>16328100000</v>
      </c>
      <c r="H631">
        <f t="shared" si="9"/>
        <v>141840.31223126303</v>
      </c>
    </row>
    <row r="632" spans="1:8" x14ac:dyDescent="0.25">
      <c r="A632" s="6">
        <v>40942</v>
      </c>
      <c r="B632" s="7">
        <v>4288.3999999999996</v>
      </c>
      <c r="C632" s="7">
        <v>4294.7</v>
      </c>
      <c r="D632" s="7">
        <v>4225.7</v>
      </c>
      <c r="E632" s="7">
        <v>4251.2</v>
      </c>
      <c r="F632" s="8">
        <v>3881600000</v>
      </c>
      <c r="G632" s="8">
        <v>20258400000</v>
      </c>
      <c r="H632">
        <f t="shared" si="9"/>
        <v>140609.90937355318</v>
      </c>
    </row>
    <row r="633" spans="1:8" x14ac:dyDescent="0.25">
      <c r="A633" s="6">
        <v>40949</v>
      </c>
      <c r="B633" s="7">
        <v>4266</v>
      </c>
      <c r="C633" s="7">
        <v>4312</v>
      </c>
      <c r="D633" s="7">
        <v>4244.8999999999996</v>
      </c>
      <c r="E633" s="7">
        <v>4245.3</v>
      </c>
      <c r="F633" s="8">
        <v>3986100000</v>
      </c>
      <c r="G633" s="8">
        <v>22520300000</v>
      </c>
      <c r="H633">
        <f t="shared" si="9"/>
        <v>140414.76483429276</v>
      </c>
    </row>
    <row r="634" spans="1:8" x14ac:dyDescent="0.25">
      <c r="A634" s="6">
        <v>40956</v>
      </c>
      <c r="B634" s="7">
        <v>4245.3</v>
      </c>
      <c r="C634" s="7">
        <v>4289.7</v>
      </c>
      <c r="D634" s="7">
        <v>4170.2</v>
      </c>
      <c r="E634" s="7">
        <v>4195.8999999999996</v>
      </c>
      <c r="F634" s="8">
        <v>4153000000</v>
      </c>
      <c r="G634" s="8">
        <v>21792500000</v>
      </c>
      <c r="H634">
        <f t="shared" si="9"/>
        <v>138780.84275980707</v>
      </c>
    </row>
    <row r="635" spans="1:8" x14ac:dyDescent="0.25">
      <c r="A635" s="6">
        <v>40963</v>
      </c>
      <c r="B635" s="7">
        <v>4195.8999999999996</v>
      </c>
      <c r="C635" s="7">
        <v>4307.5</v>
      </c>
      <c r="D635" s="7">
        <v>4195.8999999999996</v>
      </c>
      <c r="E635" s="7">
        <v>4306.8</v>
      </c>
      <c r="F635" s="8">
        <v>4515100000</v>
      </c>
      <c r="G635" s="8">
        <v>23569700000</v>
      </c>
      <c r="H635">
        <f t="shared" si="9"/>
        <v>142448.89859099052</v>
      </c>
    </row>
    <row r="636" spans="1:8" x14ac:dyDescent="0.25">
      <c r="A636" s="6">
        <v>40970</v>
      </c>
      <c r="B636" s="7">
        <v>4306.8</v>
      </c>
      <c r="C636" s="7">
        <v>4318.8</v>
      </c>
      <c r="D636" s="7">
        <v>4248</v>
      </c>
      <c r="E636" s="7">
        <v>4273.1000000000004</v>
      </c>
      <c r="F636" s="8">
        <v>4454000000</v>
      </c>
      <c r="G636" s="8">
        <v>22156100000</v>
      </c>
      <c r="H636">
        <f t="shared" si="9"/>
        <v>141334.25944301143</v>
      </c>
    </row>
    <row r="637" spans="1:8" x14ac:dyDescent="0.25">
      <c r="A637" s="6">
        <v>40977</v>
      </c>
      <c r="B637" s="7">
        <v>4269</v>
      </c>
      <c r="C637" s="7">
        <v>4273.6000000000004</v>
      </c>
      <c r="D637" s="7">
        <v>4143.7</v>
      </c>
      <c r="E637" s="7">
        <v>4212</v>
      </c>
      <c r="F637" s="8">
        <v>4401900000</v>
      </c>
      <c r="G637" s="8">
        <v>22698600000</v>
      </c>
      <c r="H637">
        <f t="shared" si="9"/>
        <v>139313.3558245686</v>
      </c>
    </row>
    <row r="638" spans="1:8" x14ac:dyDescent="0.25">
      <c r="A638" s="6">
        <v>40984</v>
      </c>
      <c r="B638" s="7">
        <v>4215.1000000000004</v>
      </c>
      <c r="C638" s="7">
        <v>4294.8999999999996</v>
      </c>
      <c r="D638" s="7">
        <v>4193.8999999999996</v>
      </c>
      <c r="E638" s="7">
        <v>4276.2</v>
      </c>
      <c r="F638" s="8">
        <v>4942600000</v>
      </c>
      <c r="G638" s="8">
        <v>23888500000</v>
      </c>
      <c r="H638">
        <f t="shared" si="9"/>
        <v>141436.79301448725</v>
      </c>
    </row>
    <row r="639" spans="1:8" x14ac:dyDescent="0.25">
      <c r="A639" s="6">
        <v>40991</v>
      </c>
      <c r="B639" s="7">
        <v>4282.7</v>
      </c>
      <c r="C639" s="7">
        <v>4309</v>
      </c>
      <c r="D639" s="7">
        <v>4238.3999999999996</v>
      </c>
      <c r="E639" s="7">
        <v>4270.3999999999996</v>
      </c>
      <c r="F639" s="8">
        <v>3972500000</v>
      </c>
      <c r="G639" s="8">
        <v>20749300000</v>
      </c>
      <c r="H639">
        <f t="shared" si="9"/>
        <v>141244.95600979053</v>
      </c>
    </row>
    <row r="640" spans="1:8" x14ac:dyDescent="0.25">
      <c r="A640" s="6">
        <v>40998</v>
      </c>
      <c r="B640" s="7">
        <v>4270.3</v>
      </c>
      <c r="C640" s="7">
        <v>4361.1000000000004</v>
      </c>
      <c r="D640" s="7">
        <v>4262.8</v>
      </c>
      <c r="E640" s="7">
        <v>4335.2</v>
      </c>
      <c r="F640" s="8">
        <v>4349500000</v>
      </c>
      <c r="G640" s="8">
        <v>25116500000</v>
      </c>
      <c r="H640">
        <f t="shared" si="9"/>
        <v>143388.23840709162</v>
      </c>
    </row>
    <row r="641" spans="1:8" x14ac:dyDescent="0.25">
      <c r="A641" s="6">
        <v>41004</v>
      </c>
      <c r="B641" s="7">
        <v>4348.8</v>
      </c>
      <c r="C641" s="7">
        <v>4377.5</v>
      </c>
      <c r="D641" s="7">
        <v>4286.3</v>
      </c>
      <c r="E641" s="7">
        <v>4319.8</v>
      </c>
      <c r="F641" s="8">
        <v>3179400000</v>
      </c>
      <c r="G641" s="8">
        <v>16980400000</v>
      </c>
      <c r="H641">
        <f t="shared" si="9"/>
        <v>142878.87808427625</v>
      </c>
    </row>
    <row r="642" spans="1:8" x14ac:dyDescent="0.25">
      <c r="A642" s="6">
        <v>41012</v>
      </c>
      <c r="B642" s="7">
        <v>4308.8999999999996</v>
      </c>
      <c r="C642" s="7">
        <v>4330.5</v>
      </c>
      <c r="D642" s="7">
        <v>4246.1000000000004</v>
      </c>
      <c r="E642" s="7">
        <v>4323.3</v>
      </c>
      <c r="F642" s="8">
        <v>2743400000</v>
      </c>
      <c r="G642" s="8">
        <v>14741100000</v>
      </c>
      <c r="H642">
        <f t="shared" si="9"/>
        <v>142994.64179400701</v>
      </c>
    </row>
    <row r="643" spans="1:8" x14ac:dyDescent="0.25">
      <c r="A643" s="6">
        <v>41019</v>
      </c>
      <c r="B643" s="7">
        <v>4323.3</v>
      </c>
      <c r="C643" s="7">
        <v>4377.1000000000004</v>
      </c>
      <c r="D643" s="7">
        <v>4286.3999999999996</v>
      </c>
      <c r="E643" s="7">
        <v>4366.5</v>
      </c>
      <c r="F643" s="8">
        <v>3427800000</v>
      </c>
      <c r="G643" s="8">
        <v>19156400000</v>
      </c>
      <c r="H643">
        <f t="shared" si="9"/>
        <v>144423.49672554104</v>
      </c>
    </row>
    <row r="644" spans="1:8" x14ac:dyDescent="0.25">
      <c r="A644" s="6">
        <v>41026</v>
      </c>
      <c r="B644" s="7">
        <v>4366.5</v>
      </c>
      <c r="C644" s="7">
        <v>4393.8</v>
      </c>
      <c r="D644" s="7">
        <v>4337.7</v>
      </c>
      <c r="E644" s="7">
        <v>4362.1000000000004</v>
      </c>
      <c r="F644" s="8">
        <v>2857500000</v>
      </c>
      <c r="G644" s="8">
        <v>16593800000</v>
      </c>
      <c r="H644">
        <f t="shared" ref="H644:H707" si="10">H643*(E644/E643)</f>
        <v>144277.96520473668</v>
      </c>
    </row>
    <row r="645" spans="1:8" x14ac:dyDescent="0.25">
      <c r="A645" s="6">
        <v>41033</v>
      </c>
      <c r="B645" s="7">
        <v>4373.1000000000004</v>
      </c>
      <c r="C645" s="7">
        <v>4448.5</v>
      </c>
      <c r="D645" s="7">
        <v>4373</v>
      </c>
      <c r="E645" s="7">
        <v>4396</v>
      </c>
      <c r="F645" s="8">
        <v>3944900000</v>
      </c>
      <c r="G645" s="8">
        <v>20500300000</v>
      </c>
      <c r="H645">
        <f t="shared" si="10"/>
        <v>145399.21942184327</v>
      </c>
    </row>
    <row r="646" spans="1:8" x14ac:dyDescent="0.25">
      <c r="A646" s="6">
        <v>41040</v>
      </c>
      <c r="B646" s="7">
        <v>4396</v>
      </c>
      <c r="C646" s="7">
        <v>4396</v>
      </c>
      <c r="D646" s="7">
        <v>4257.8999999999996</v>
      </c>
      <c r="E646" s="7">
        <v>4285.1000000000004</v>
      </c>
      <c r="F646" s="8">
        <v>4443200000</v>
      </c>
      <c r="G646" s="8">
        <v>23651500000</v>
      </c>
      <c r="H646">
        <f t="shared" si="10"/>
        <v>141731.16359065985</v>
      </c>
    </row>
    <row r="647" spans="1:8" x14ac:dyDescent="0.25">
      <c r="A647" s="6">
        <v>41047</v>
      </c>
      <c r="B647" s="7">
        <v>4285.1000000000004</v>
      </c>
      <c r="C647" s="7">
        <v>4304.3999999999996</v>
      </c>
      <c r="D647" s="7">
        <v>4026.5</v>
      </c>
      <c r="E647" s="7">
        <v>4046.5</v>
      </c>
      <c r="F647" s="8">
        <v>4812100000</v>
      </c>
      <c r="G647" s="8">
        <v>24421200000</v>
      </c>
      <c r="H647">
        <f t="shared" si="10"/>
        <v>133839.38612158527</v>
      </c>
    </row>
    <row r="648" spans="1:8" x14ac:dyDescent="0.25">
      <c r="A648" s="6">
        <v>41054</v>
      </c>
      <c r="B648" s="7">
        <v>4051.7</v>
      </c>
      <c r="C648" s="7">
        <v>4122.6000000000004</v>
      </c>
      <c r="D648" s="7">
        <v>4024.8</v>
      </c>
      <c r="E648" s="7">
        <v>4029.2</v>
      </c>
      <c r="F648" s="8">
        <v>4025200000</v>
      </c>
      <c r="G648" s="8">
        <v>21550900000</v>
      </c>
      <c r="H648">
        <f t="shared" si="10"/>
        <v>133267.18264205891</v>
      </c>
    </row>
    <row r="649" spans="1:8" x14ac:dyDescent="0.25">
      <c r="A649" s="6">
        <v>41061</v>
      </c>
      <c r="B649" s="7">
        <v>4029.2</v>
      </c>
      <c r="C649" s="7">
        <v>4118</v>
      </c>
      <c r="D649" s="7">
        <v>4029.2</v>
      </c>
      <c r="E649" s="7">
        <v>4063.9</v>
      </c>
      <c r="F649" s="8">
        <v>4019400000</v>
      </c>
      <c r="G649" s="8">
        <v>20225300000</v>
      </c>
      <c r="H649">
        <f t="shared" si="10"/>
        <v>134414.89713567539</v>
      </c>
    </row>
    <row r="650" spans="1:8" x14ac:dyDescent="0.25">
      <c r="A650" s="6">
        <v>41068</v>
      </c>
      <c r="B650" s="7">
        <v>4063.9</v>
      </c>
      <c r="C650" s="7">
        <v>4121.3999999999996</v>
      </c>
      <c r="D650" s="7">
        <v>3985</v>
      </c>
      <c r="E650" s="7">
        <v>4063.7</v>
      </c>
      <c r="F650" s="8">
        <v>4424100000</v>
      </c>
      <c r="G650" s="8">
        <v>20795500000</v>
      </c>
      <c r="H650">
        <f t="shared" si="10"/>
        <v>134408.28206654792</v>
      </c>
    </row>
    <row r="651" spans="1:8" x14ac:dyDescent="0.25">
      <c r="A651" s="6">
        <v>41075</v>
      </c>
      <c r="B651" s="7">
        <v>4062.3</v>
      </c>
      <c r="C651" s="7">
        <v>4087.8</v>
      </c>
      <c r="D651" s="7">
        <v>4026.5</v>
      </c>
      <c r="E651" s="7">
        <v>4057.3</v>
      </c>
      <c r="F651" s="8">
        <v>3362700000</v>
      </c>
      <c r="G651" s="8">
        <v>13902200000</v>
      </c>
      <c r="H651">
        <f t="shared" si="10"/>
        <v>134196.5998544688</v>
      </c>
    </row>
    <row r="652" spans="1:8" x14ac:dyDescent="0.25">
      <c r="A652" s="6">
        <v>41082</v>
      </c>
      <c r="B652" s="7">
        <v>4057.3</v>
      </c>
      <c r="C652" s="7">
        <v>4159.3</v>
      </c>
      <c r="D652" s="7">
        <v>4038.6</v>
      </c>
      <c r="E652" s="7">
        <v>4048.2</v>
      </c>
      <c r="F652" s="8">
        <v>4431800000</v>
      </c>
      <c r="G652" s="8">
        <v>21883200000</v>
      </c>
      <c r="H652">
        <f t="shared" si="10"/>
        <v>133895.61420916879</v>
      </c>
    </row>
    <row r="653" spans="1:8" x14ac:dyDescent="0.25">
      <c r="A653" s="6">
        <v>41089</v>
      </c>
      <c r="B653" s="7">
        <v>4048.2</v>
      </c>
      <c r="C653" s="7">
        <v>4117</v>
      </c>
      <c r="D653" s="7">
        <v>3993.8</v>
      </c>
      <c r="E653" s="7">
        <v>4094.6</v>
      </c>
      <c r="F653" s="8">
        <v>4081700000</v>
      </c>
      <c r="G653" s="8">
        <v>20994800000</v>
      </c>
      <c r="H653">
        <f t="shared" si="10"/>
        <v>135430.31024674239</v>
      </c>
    </row>
    <row r="654" spans="1:8" x14ac:dyDescent="0.25">
      <c r="A654" s="6">
        <v>41096</v>
      </c>
      <c r="B654" s="7">
        <v>4098</v>
      </c>
      <c r="C654" s="7">
        <v>4175.8</v>
      </c>
      <c r="D654" s="7">
        <v>4098</v>
      </c>
      <c r="E654" s="7">
        <v>4157.8</v>
      </c>
      <c r="F654" s="8">
        <v>3086800000</v>
      </c>
      <c r="G654" s="8">
        <v>15569300000</v>
      </c>
      <c r="H654">
        <f t="shared" si="10"/>
        <v>137520.67209102365</v>
      </c>
    </row>
    <row r="655" spans="1:8" x14ac:dyDescent="0.25">
      <c r="A655" s="6">
        <v>41103</v>
      </c>
      <c r="B655" s="7">
        <v>4148.3999999999996</v>
      </c>
      <c r="C655" s="7">
        <v>4148.3999999999996</v>
      </c>
      <c r="D655" s="7">
        <v>4062.3</v>
      </c>
      <c r="E655" s="7">
        <v>4082.2</v>
      </c>
      <c r="F655" s="8">
        <v>3119700000</v>
      </c>
      <c r="G655" s="8">
        <v>15882500000</v>
      </c>
      <c r="H655">
        <f t="shared" si="10"/>
        <v>135020.17596083906</v>
      </c>
    </row>
    <row r="656" spans="1:8" x14ac:dyDescent="0.25">
      <c r="A656" s="6">
        <v>41110</v>
      </c>
      <c r="B656" s="7">
        <v>4082.2</v>
      </c>
      <c r="C656" s="7">
        <v>4215.6000000000004</v>
      </c>
      <c r="D656" s="7">
        <v>4082.2</v>
      </c>
      <c r="E656" s="7">
        <v>4199.1000000000004</v>
      </c>
      <c r="F656" s="8">
        <v>3395300000</v>
      </c>
      <c r="G656" s="8">
        <v>17449400000</v>
      </c>
      <c r="H656">
        <f t="shared" si="10"/>
        <v>138886.68386584669</v>
      </c>
    </row>
    <row r="657" spans="1:8" x14ac:dyDescent="0.25">
      <c r="A657" s="6">
        <v>41117</v>
      </c>
      <c r="B657" s="7">
        <v>4199.1000000000004</v>
      </c>
      <c r="C657" s="7">
        <v>4209.8</v>
      </c>
      <c r="D657" s="7">
        <v>4084.4</v>
      </c>
      <c r="E657" s="7">
        <v>4209.8</v>
      </c>
      <c r="F657" s="8">
        <v>3342800000</v>
      </c>
      <c r="G657" s="8">
        <v>18333100000</v>
      </c>
      <c r="H657">
        <f t="shared" si="10"/>
        <v>139240.59006416646</v>
      </c>
    </row>
    <row r="658" spans="1:8" x14ac:dyDescent="0.25">
      <c r="A658" s="6">
        <v>41124</v>
      </c>
      <c r="B658" s="7">
        <v>4219.3999999999996</v>
      </c>
      <c r="C658" s="7">
        <v>4288.1000000000004</v>
      </c>
      <c r="D658" s="7">
        <v>4212.7</v>
      </c>
      <c r="E658" s="7">
        <v>4221.5</v>
      </c>
      <c r="F658" s="8">
        <v>3530300000</v>
      </c>
      <c r="G658" s="8">
        <v>18046100000</v>
      </c>
      <c r="H658">
        <f t="shared" si="10"/>
        <v>139627.57160812357</v>
      </c>
    </row>
    <row r="659" spans="1:8" x14ac:dyDescent="0.25">
      <c r="A659" s="6">
        <v>41131</v>
      </c>
      <c r="B659" s="7">
        <v>4221.5</v>
      </c>
      <c r="C659" s="7">
        <v>4330.3999999999996</v>
      </c>
      <c r="D659" s="7">
        <v>4221.5</v>
      </c>
      <c r="E659" s="7">
        <v>4277.3</v>
      </c>
      <c r="F659" s="8">
        <v>3490200000</v>
      </c>
      <c r="G659" s="8">
        <v>17311100000</v>
      </c>
      <c r="H659">
        <f t="shared" si="10"/>
        <v>141473.17589468838</v>
      </c>
    </row>
    <row r="660" spans="1:8" x14ac:dyDescent="0.25">
      <c r="A660" s="6">
        <v>41138</v>
      </c>
      <c r="B660" s="7">
        <v>4284.3999999999996</v>
      </c>
      <c r="C660" s="7">
        <v>4370.1000000000004</v>
      </c>
      <c r="D660" s="7">
        <v>4267.1000000000004</v>
      </c>
      <c r="E660" s="7">
        <v>4370.1000000000004</v>
      </c>
      <c r="F660" s="8">
        <v>4028100000</v>
      </c>
      <c r="G660" s="8">
        <v>18493000000</v>
      </c>
      <c r="H660">
        <f t="shared" si="10"/>
        <v>144542.5679698356</v>
      </c>
    </row>
    <row r="661" spans="1:8" x14ac:dyDescent="0.25">
      <c r="A661" s="6">
        <v>41145</v>
      </c>
      <c r="B661" s="7">
        <v>4372.5</v>
      </c>
      <c r="C661" s="7">
        <v>4403.8999999999996</v>
      </c>
      <c r="D661" s="7">
        <v>4339.1000000000004</v>
      </c>
      <c r="E661" s="7">
        <v>4349</v>
      </c>
      <c r="F661" s="8">
        <v>3944800000</v>
      </c>
      <c r="G661" s="8">
        <v>20967300000</v>
      </c>
      <c r="H661">
        <f t="shared" si="10"/>
        <v>143844.67817688725</v>
      </c>
    </row>
    <row r="662" spans="1:8" x14ac:dyDescent="0.25">
      <c r="A662" s="6">
        <v>41152</v>
      </c>
      <c r="B662" s="7">
        <v>4351.3999999999996</v>
      </c>
      <c r="C662" s="7">
        <v>4375.8</v>
      </c>
      <c r="D662" s="7">
        <v>4302.5</v>
      </c>
      <c r="E662" s="7">
        <v>4316.1000000000004</v>
      </c>
      <c r="F662" s="8">
        <v>4111600000</v>
      </c>
      <c r="G662" s="8">
        <v>21075000000</v>
      </c>
      <c r="H662">
        <f t="shared" si="10"/>
        <v>142756.49930541805</v>
      </c>
    </row>
    <row r="663" spans="1:8" x14ac:dyDescent="0.25">
      <c r="A663" s="6">
        <v>41159</v>
      </c>
      <c r="B663" s="7">
        <v>4310</v>
      </c>
      <c r="C663" s="7">
        <v>4358.3</v>
      </c>
      <c r="D663" s="7">
        <v>4261.2</v>
      </c>
      <c r="E663" s="7">
        <v>4325.8</v>
      </c>
      <c r="F663" s="8">
        <v>4532900000</v>
      </c>
      <c r="G663" s="8">
        <v>20948200000</v>
      </c>
      <c r="H663">
        <f t="shared" si="10"/>
        <v>143077.33015810046</v>
      </c>
    </row>
    <row r="664" spans="1:8" x14ac:dyDescent="0.25">
      <c r="A664" s="6">
        <v>41166</v>
      </c>
      <c r="B664" s="7">
        <v>4325.8</v>
      </c>
      <c r="C664" s="7">
        <v>4398.3</v>
      </c>
      <c r="D664" s="7">
        <v>4316.7</v>
      </c>
      <c r="E664" s="7">
        <v>4390</v>
      </c>
      <c r="F664" s="8">
        <v>3645900000</v>
      </c>
      <c r="G664" s="8">
        <v>18221900000</v>
      </c>
      <c r="H664">
        <f t="shared" si="10"/>
        <v>145200.76734801909</v>
      </c>
    </row>
    <row r="665" spans="1:8" x14ac:dyDescent="0.25">
      <c r="A665" s="6">
        <v>41173</v>
      </c>
      <c r="B665" s="7">
        <v>4404.2</v>
      </c>
      <c r="C665" s="7">
        <v>4421</v>
      </c>
      <c r="D665" s="7">
        <v>4383.3</v>
      </c>
      <c r="E665" s="7">
        <v>4408.3</v>
      </c>
      <c r="F665" s="8">
        <v>4845500000</v>
      </c>
      <c r="G665" s="8">
        <v>23914500000</v>
      </c>
      <c r="H665">
        <f t="shared" si="10"/>
        <v>145806.04617318281</v>
      </c>
    </row>
    <row r="666" spans="1:8" x14ac:dyDescent="0.25">
      <c r="A666" s="6">
        <v>41180</v>
      </c>
      <c r="B666" s="7">
        <v>4408.3</v>
      </c>
      <c r="C666" s="7">
        <v>4408.3</v>
      </c>
      <c r="D666" s="7">
        <v>4336.8999999999996</v>
      </c>
      <c r="E666" s="7">
        <v>4387</v>
      </c>
      <c r="F666" s="8">
        <v>3500800000</v>
      </c>
      <c r="G666" s="8">
        <v>20707700000</v>
      </c>
      <c r="H666">
        <f t="shared" si="10"/>
        <v>145101.54131110699</v>
      </c>
    </row>
    <row r="667" spans="1:8" x14ac:dyDescent="0.25">
      <c r="A667" s="6">
        <v>41187</v>
      </c>
      <c r="B667" s="7">
        <v>4387</v>
      </c>
      <c r="C667" s="7">
        <v>4495.8</v>
      </c>
      <c r="D667" s="7">
        <v>4375</v>
      </c>
      <c r="E667" s="7">
        <v>4494.3999999999996</v>
      </c>
      <c r="F667" s="8">
        <v>2948500000</v>
      </c>
      <c r="G667" s="8">
        <v>14100800000</v>
      </c>
      <c r="H667">
        <f t="shared" si="10"/>
        <v>148653.83343255968</v>
      </c>
    </row>
    <row r="668" spans="1:8" x14ac:dyDescent="0.25">
      <c r="A668" s="6">
        <v>41194</v>
      </c>
      <c r="B668" s="7">
        <v>4494.3999999999996</v>
      </c>
      <c r="C668" s="7">
        <v>4512.8</v>
      </c>
      <c r="D668" s="7">
        <v>4460.3999999999996</v>
      </c>
      <c r="E668" s="7">
        <v>4486.6000000000004</v>
      </c>
      <c r="F668" s="8">
        <v>3014900000</v>
      </c>
      <c r="G668" s="8">
        <v>14982700000</v>
      </c>
      <c r="H668">
        <f t="shared" si="10"/>
        <v>148395.84573658829</v>
      </c>
    </row>
    <row r="669" spans="1:8" x14ac:dyDescent="0.25">
      <c r="A669" s="6">
        <v>41201</v>
      </c>
      <c r="B669" s="7">
        <v>4486.6000000000004</v>
      </c>
      <c r="C669" s="7">
        <v>4581.8</v>
      </c>
      <c r="D669" s="7">
        <v>4479.2</v>
      </c>
      <c r="E669" s="7">
        <v>4571.1000000000004</v>
      </c>
      <c r="F669" s="8">
        <v>3650500000</v>
      </c>
      <c r="G669" s="8">
        <v>19463600000</v>
      </c>
      <c r="H669">
        <f t="shared" si="10"/>
        <v>151190.71244294537</v>
      </c>
    </row>
    <row r="670" spans="1:8" x14ac:dyDescent="0.25">
      <c r="A670" s="6">
        <v>41208</v>
      </c>
      <c r="B670" s="7">
        <v>4558.5</v>
      </c>
      <c r="C670" s="7">
        <v>4565</v>
      </c>
      <c r="D670" s="7">
        <v>4472.1000000000004</v>
      </c>
      <c r="E670" s="7">
        <v>4472.3999999999996</v>
      </c>
      <c r="F670" s="8">
        <v>3655100000</v>
      </c>
      <c r="G670" s="8">
        <v>20260600000</v>
      </c>
      <c r="H670">
        <f t="shared" si="10"/>
        <v>147926.17582853773</v>
      </c>
    </row>
    <row r="671" spans="1:8" x14ac:dyDescent="0.25">
      <c r="A671" s="6">
        <v>41215</v>
      </c>
      <c r="B671" s="7">
        <v>4475.3999999999996</v>
      </c>
      <c r="C671" s="7">
        <v>4524.8</v>
      </c>
      <c r="D671" s="7">
        <v>4457.3</v>
      </c>
      <c r="E671" s="7">
        <v>4460.1000000000004</v>
      </c>
      <c r="F671" s="8">
        <v>3674300000</v>
      </c>
      <c r="G671" s="8">
        <v>18085700000</v>
      </c>
      <c r="H671">
        <f t="shared" si="10"/>
        <v>147519.34907719819</v>
      </c>
    </row>
    <row r="672" spans="1:8" x14ac:dyDescent="0.25">
      <c r="A672" s="6">
        <v>41222</v>
      </c>
      <c r="B672" s="7">
        <v>4457.3999999999996</v>
      </c>
      <c r="C672" s="7">
        <v>4519.3</v>
      </c>
      <c r="D672" s="7">
        <v>4436.2</v>
      </c>
      <c r="E672" s="7">
        <v>4462</v>
      </c>
      <c r="F672" s="8">
        <v>3130800000</v>
      </c>
      <c r="G672" s="8">
        <v>19048300000</v>
      </c>
      <c r="H672">
        <f t="shared" si="10"/>
        <v>147582.19223390918</v>
      </c>
    </row>
    <row r="673" spans="1:8" x14ac:dyDescent="0.25">
      <c r="A673" s="6">
        <v>41229</v>
      </c>
      <c r="B673" s="7">
        <v>4458.5</v>
      </c>
      <c r="C673" s="7">
        <v>4465.2</v>
      </c>
      <c r="D673" s="7">
        <v>4334.3</v>
      </c>
      <c r="E673" s="7">
        <v>4336.8</v>
      </c>
      <c r="F673" s="8">
        <v>3653600000</v>
      </c>
      <c r="G673" s="8">
        <v>18486700000</v>
      </c>
      <c r="H673">
        <f t="shared" si="10"/>
        <v>143441.15896011147</v>
      </c>
    </row>
    <row r="674" spans="1:8" x14ac:dyDescent="0.25">
      <c r="A674" s="6">
        <v>41236</v>
      </c>
      <c r="B674" s="7">
        <v>4345.1000000000004</v>
      </c>
      <c r="C674" s="7">
        <v>4428.6000000000004</v>
      </c>
      <c r="D674" s="7">
        <v>4340</v>
      </c>
      <c r="E674" s="7">
        <v>4413</v>
      </c>
      <c r="F674" s="8">
        <v>3157200000</v>
      </c>
      <c r="G674" s="8">
        <v>14589800000</v>
      </c>
      <c r="H674">
        <f t="shared" si="10"/>
        <v>145961.50029767843</v>
      </c>
    </row>
    <row r="675" spans="1:8" x14ac:dyDescent="0.25">
      <c r="A675" s="6">
        <v>41243</v>
      </c>
      <c r="B675" s="7">
        <v>4413</v>
      </c>
      <c r="C675" s="7">
        <v>4514.2</v>
      </c>
      <c r="D675" s="7">
        <v>4413</v>
      </c>
      <c r="E675" s="7">
        <v>4506</v>
      </c>
      <c r="F675" s="8">
        <v>4297900000</v>
      </c>
      <c r="G675" s="8">
        <v>20407300000</v>
      </c>
      <c r="H675">
        <f t="shared" si="10"/>
        <v>149037.50744195309</v>
      </c>
    </row>
    <row r="676" spans="1:8" x14ac:dyDescent="0.25">
      <c r="A676" s="6">
        <v>41250</v>
      </c>
      <c r="B676" s="7">
        <v>4506</v>
      </c>
      <c r="C676" s="7">
        <v>4554.1000000000004</v>
      </c>
      <c r="D676" s="7">
        <v>4500.2</v>
      </c>
      <c r="E676" s="7">
        <v>4551.8</v>
      </c>
      <c r="F676" s="8">
        <v>3284600000</v>
      </c>
      <c r="G676" s="8">
        <v>16367200000</v>
      </c>
      <c r="H676">
        <f t="shared" si="10"/>
        <v>150552.35827214428</v>
      </c>
    </row>
    <row r="677" spans="1:8" x14ac:dyDescent="0.25">
      <c r="A677" s="6">
        <v>41257</v>
      </c>
      <c r="B677" s="7">
        <v>4552.2</v>
      </c>
      <c r="C677" s="7">
        <v>4603.5</v>
      </c>
      <c r="D677" s="7">
        <v>4552.2</v>
      </c>
      <c r="E677" s="7">
        <v>4583.1000000000004</v>
      </c>
      <c r="F677" s="8">
        <v>3725500000</v>
      </c>
      <c r="G677" s="8">
        <v>18370300000</v>
      </c>
      <c r="H677">
        <f t="shared" si="10"/>
        <v>151587.61659059371</v>
      </c>
    </row>
    <row r="678" spans="1:8" x14ac:dyDescent="0.25">
      <c r="A678" s="6">
        <v>41264</v>
      </c>
      <c r="B678" s="7">
        <v>4583.1000000000004</v>
      </c>
      <c r="C678" s="7">
        <v>4658.7</v>
      </c>
      <c r="D678" s="7">
        <v>4569.3999999999996</v>
      </c>
      <c r="E678" s="7">
        <v>4623.6000000000004</v>
      </c>
      <c r="F678" s="8">
        <v>4665600000</v>
      </c>
      <c r="G678" s="8">
        <v>25589600000</v>
      </c>
      <c r="H678">
        <f t="shared" si="10"/>
        <v>152927.16808890685</v>
      </c>
    </row>
    <row r="679" spans="1:8" x14ac:dyDescent="0.25">
      <c r="A679" s="6">
        <v>41271</v>
      </c>
      <c r="B679" s="7">
        <v>4625.7</v>
      </c>
      <c r="C679" s="7">
        <v>4688.6000000000004</v>
      </c>
      <c r="D679" s="7">
        <v>4625.7</v>
      </c>
      <c r="E679" s="7">
        <v>4671.3</v>
      </c>
      <c r="F679" s="8">
        <v>663900000</v>
      </c>
      <c r="G679" s="8">
        <v>3378900000</v>
      </c>
      <c r="H679">
        <f t="shared" si="10"/>
        <v>154504.86207580901</v>
      </c>
    </row>
    <row r="680" spans="1:8" x14ac:dyDescent="0.25">
      <c r="A680" s="6">
        <v>41278</v>
      </c>
      <c r="B680" s="7">
        <v>4666</v>
      </c>
      <c r="C680" s="7">
        <v>4743.3999999999996</v>
      </c>
      <c r="D680" s="7">
        <v>4644.8</v>
      </c>
      <c r="E680" s="7">
        <v>4723.8</v>
      </c>
      <c r="F680" s="8">
        <v>1663300000</v>
      </c>
      <c r="G680" s="8">
        <v>8076200000</v>
      </c>
      <c r="H680">
        <f t="shared" si="10"/>
        <v>156241.31772177049</v>
      </c>
    </row>
    <row r="681" spans="1:8" x14ac:dyDescent="0.25">
      <c r="A681" s="6">
        <v>41285</v>
      </c>
      <c r="B681" s="7">
        <v>4726.8</v>
      </c>
      <c r="C681" s="7">
        <v>4750.7</v>
      </c>
      <c r="D681" s="7">
        <v>4689.8</v>
      </c>
      <c r="E681" s="7">
        <v>4709.5</v>
      </c>
      <c r="F681" s="8">
        <v>2846400000</v>
      </c>
      <c r="G681" s="8">
        <v>16229900000</v>
      </c>
      <c r="H681">
        <f t="shared" si="10"/>
        <v>155768.34027915623</v>
      </c>
    </row>
    <row r="682" spans="1:8" x14ac:dyDescent="0.25">
      <c r="A682" s="6">
        <v>41292</v>
      </c>
      <c r="B682" s="7">
        <v>4709.5</v>
      </c>
      <c r="C682" s="7">
        <v>4787.2</v>
      </c>
      <c r="D682" s="7">
        <v>4706.3999999999996</v>
      </c>
      <c r="E682" s="7">
        <v>4771.2</v>
      </c>
      <c r="F682" s="8">
        <v>3174300000</v>
      </c>
      <c r="G682" s="8">
        <v>17212900000</v>
      </c>
      <c r="H682">
        <f t="shared" si="10"/>
        <v>157809.08910498145</v>
      </c>
    </row>
    <row r="683" spans="1:8" x14ac:dyDescent="0.25">
      <c r="A683" s="6">
        <v>41299</v>
      </c>
      <c r="B683" s="7">
        <v>4773.3</v>
      </c>
      <c r="C683" s="7">
        <v>4835.2</v>
      </c>
      <c r="D683" s="7">
        <v>4762.6000000000004</v>
      </c>
      <c r="E683" s="7">
        <v>4835.2</v>
      </c>
      <c r="F683" s="8">
        <v>3219000000</v>
      </c>
      <c r="G683" s="8">
        <v>19899100000</v>
      </c>
      <c r="H683">
        <f t="shared" si="10"/>
        <v>159925.91122577261</v>
      </c>
    </row>
    <row r="684" spans="1:8" x14ac:dyDescent="0.25">
      <c r="A684" s="6">
        <v>41306</v>
      </c>
      <c r="B684" s="7">
        <v>4842.3999999999996</v>
      </c>
      <c r="C684" s="7">
        <v>4922.6000000000004</v>
      </c>
      <c r="D684" s="7">
        <v>4841.6000000000004</v>
      </c>
      <c r="E684" s="7">
        <v>4921.1000000000004</v>
      </c>
      <c r="F684" s="8">
        <v>2864400000</v>
      </c>
      <c r="G684" s="8">
        <v>16443800000</v>
      </c>
      <c r="H684">
        <f t="shared" si="10"/>
        <v>162767.08341602201</v>
      </c>
    </row>
    <row r="685" spans="1:8" x14ac:dyDescent="0.25">
      <c r="A685" s="6">
        <v>41313</v>
      </c>
      <c r="B685" s="7">
        <v>4921.1000000000004</v>
      </c>
      <c r="C685" s="7">
        <v>4971.3</v>
      </c>
      <c r="D685" s="7">
        <v>4869.5</v>
      </c>
      <c r="E685" s="7">
        <v>4971.3</v>
      </c>
      <c r="F685" s="8">
        <v>3379000000</v>
      </c>
      <c r="G685" s="8">
        <v>19482100000</v>
      </c>
      <c r="H685">
        <f t="shared" si="10"/>
        <v>164427.46576701757</v>
      </c>
    </row>
    <row r="686" spans="1:8" x14ac:dyDescent="0.25">
      <c r="A686" s="6">
        <v>41320</v>
      </c>
      <c r="B686" s="7">
        <v>4971.3</v>
      </c>
      <c r="C686" s="7">
        <v>5045.3999999999996</v>
      </c>
      <c r="D686" s="7">
        <v>4959</v>
      </c>
      <c r="E686" s="7">
        <v>5033.8999999999996</v>
      </c>
      <c r="F686" s="8">
        <v>3425900000</v>
      </c>
      <c r="G686" s="8">
        <v>20141200000</v>
      </c>
      <c r="H686">
        <f t="shared" si="10"/>
        <v>166497.98240391642</v>
      </c>
    </row>
    <row r="687" spans="1:8" x14ac:dyDescent="0.25">
      <c r="A687" s="6">
        <v>41327</v>
      </c>
      <c r="B687" s="7">
        <v>5041.2</v>
      </c>
      <c r="C687" s="7">
        <v>5106.6000000000004</v>
      </c>
      <c r="D687" s="7">
        <v>4975.8999999999996</v>
      </c>
      <c r="E687" s="7">
        <v>5018.1000000000004</v>
      </c>
      <c r="F687" s="8">
        <v>4429400000</v>
      </c>
      <c r="G687" s="8">
        <v>31018000000</v>
      </c>
      <c r="H687">
        <f t="shared" si="10"/>
        <v>165975.39194284612</v>
      </c>
    </row>
    <row r="688" spans="1:8" x14ac:dyDescent="0.25">
      <c r="A688" s="6">
        <v>41334</v>
      </c>
      <c r="B688" s="7">
        <v>5016.8</v>
      </c>
      <c r="C688" s="7">
        <v>5112.5</v>
      </c>
      <c r="D688" s="7">
        <v>4978.3999999999996</v>
      </c>
      <c r="E688" s="7">
        <v>5086.1000000000004</v>
      </c>
      <c r="F688" s="8">
        <v>4263600000</v>
      </c>
      <c r="G688" s="8">
        <v>23978200000</v>
      </c>
      <c r="H688">
        <f t="shared" si="10"/>
        <v>168224.51544618676</v>
      </c>
    </row>
    <row r="689" spans="1:8" x14ac:dyDescent="0.25">
      <c r="A689" s="6">
        <v>41341</v>
      </c>
      <c r="B689" s="7">
        <v>5086.1000000000004</v>
      </c>
      <c r="C689" s="7">
        <v>5135.7</v>
      </c>
      <c r="D689" s="7">
        <v>5009.6000000000004</v>
      </c>
      <c r="E689" s="7">
        <v>5123.3999999999996</v>
      </c>
      <c r="F689" s="8">
        <v>3776800000</v>
      </c>
      <c r="G689" s="8">
        <v>23121500000</v>
      </c>
      <c r="H689">
        <f t="shared" si="10"/>
        <v>169458.22583846035</v>
      </c>
    </row>
    <row r="690" spans="1:8" x14ac:dyDescent="0.25">
      <c r="A690" s="6">
        <v>41348</v>
      </c>
      <c r="B690" s="7">
        <v>5120.8</v>
      </c>
      <c r="C690" s="7">
        <v>5163.5</v>
      </c>
      <c r="D690" s="7">
        <v>5032.2</v>
      </c>
      <c r="E690" s="7">
        <v>5120.2</v>
      </c>
      <c r="F690" s="8">
        <v>4155600000</v>
      </c>
      <c r="G690" s="8">
        <v>24195900000</v>
      </c>
      <c r="H690">
        <f t="shared" si="10"/>
        <v>169352.38473242079</v>
      </c>
    </row>
    <row r="691" spans="1:8" x14ac:dyDescent="0.25">
      <c r="A691" s="6">
        <v>41355</v>
      </c>
      <c r="B691" s="7">
        <v>5101.7</v>
      </c>
      <c r="C691" s="7">
        <v>5101.7</v>
      </c>
      <c r="D691" s="7">
        <v>4927.8999999999996</v>
      </c>
      <c r="E691" s="7">
        <v>4967.3</v>
      </c>
      <c r="F691" s="8">
        <v>3874400000</v>
      </c>
      <c r="G691" s="8">
        <v>25138400000</v>
      </c>
      <c r="H691">
        <f t="shared" si="10"/>
        <v>164295.16438446814</v>
      </c>
    </row>
    <row r="692" spans="1:8" x14ac:dyDescent="0.25">
      <c r="A692" s="6">
        <v>41361</v>
      </c>
      <c r="B692" s="7">
        <v>4968.8</v>
      </c>
      <c r="C692" s="7">
        <v>5023.2</v>
      </c>
      <c r="D692" s="7">
        <v>4942.5</v>
      </c>
      <c r="E692" s="7">
        <v>4966.5</v>
      </c>
      <c r="F692" s="8">
        <v>2548300000</v>
      </c>
      <c r="G692" s="8">
        <v>18393200000</v>
      </c>
      <c r="H692">
        <f t="shared" si="10"/>
        <v>164268.70410795824</v>
      </c>
    </row>
    <row r="693" spans="1:8" x14ac:dyDescent="0.25">
      <c r="A693" s="6">
        <v>41369</v>
      </c>
      <c r="B693" s="7">
        <v>4966.5</v>
      </c>
      <c r="C693" s="7">
        <v>5011.8999999999996</v>
      </c>
      <c r="D693" s="7">
        <v>4883.7</v>
      </c>
      <c r="E693" s="7">
        <v>4891.3999999999996</v>
      </c>
      <c r="F693" s="8">
        <v>2815100000</v>
      </c>
      <c r="G693" s="8">
        <v>17068700000</v>
      </c>
      <c r="H693">
        <f t="shared" si="10"/>
        <v>161784.74565059235</v>
      </c>
    </row>
    <row r="694" spans="1:8" x14ac:dyDescent="0.25">
      <c r="A694" s="6">
        <v>41376</v>
      </c>
      <c r="B694" s="7">
        <v>4891.3999999999996</v>
      </c>
      <c r="C694" s="7">
        <v>5023</v>
      </c>
      <c r="D694" s="7">
        <v>4889.6000000000004</v>
      </c>
      <c r="E694" s="7">
        <v>5013.5</v>
      </c>
      <c r="F694" s="8">
        <v>3937400000</v>
      </c>
      <c r="G694" s="8">
        <v>20374400000</v>
      </c>
      <c r="H694">
        <f t="shared" si="10"/>
        <v>165823.24535291424</v>
      </c>
    </row>
    <row r="695" spans="1:8" x14ac:dyDescent="0.25">
      <c r="A695" s="6">
        <v>41383</v>
      </c>
      <c r="B695" s="7">
        <v>5005.3</v>
      </c>
      <c r="C695" s="7">
        <v>5006.1000000000004</v>
      </c>
      <c r="D695" s="7">
        <v>4914</v>
      </c>
      <c r="E695" s="7">
        <v>4931.8999999999996</v>
      </c>
      <c r="F695" s="8">
        <v>4004200000</v>
      </c>
      <c r="G695" s="8">
        <v>21694700000</v>
      </c>
      <c r="H695">
        <f t="shared" si="10"/>
        <v>163124.29714890549</v>
      </c>
    </row>
    <row r="696" spans="1:8" x14ac:dyDescent="0.25">
      <c r="A696" s="6">
        <v>41390</v>
      </c>
      <c r="B696" s="7">
        <v>4931.8999999999996</v>
      </c>
      <c r="C696" s="7">
        <v>5135</v>
      </c>
      <c r="D696" s="7">
        <v>4931.8999999999996</v>
      </c>
      <c r="E696" s="7">
        <v>5097.5</v>
      </c>
      <c r="F696" s="8">
        <v>2742100000</v>
      </c>
      <c r="G696" s="8">
        <v>17828700000</v>
      </c>
      <c r="H696">
        <f t="shared" si="10"/>
        <v>168601.57438645262</v>
      </c>
    </row>
    <row r="697" spans="1:8" x14ac:dyDescent="0.25">
      <c r="A697" s="6">
        <v>41397</v>
      </c>
      <c r="B697" s="7">
        <v>5097.5</v>
      </c>
      <c r="C697" s="7">
        <v>5195.1000000000004</v>
      </c>
      <c r="D697" s="7">
        <v>5097.5</v>
      </c>
      <c r="E697" s="7">
        <v>5129.5</v>
      </c>
      <c r="F697" s="8">
        <v>2713400000</v>
      </c>
      <c r="G697" s="8">
        <v>17174200000</v>
      </c>
      <c r="H697">
        <f t="shared" si="10"/>
        <v>169659.98544684821</v>
      </c>
    </row>
    <row r="698" spans="1:8" x14ac:dyDescent="0.25">
      <c r="A698" s="6">
        <v>41404</v>
      </c>
      <c r="B698" s="7">
        <v>5146.7</v>
      </c>
      <c r="C698" s="7">
        <v>5242.5</v>
      </c>
      <c r="D698" s="7">
        <v>5118.8999999999996</v>
      </c>
      <c r="E698" s="7">
        <v>5206.1000000000004</v>
      </c>
      <c r="F698" s="8">
        <v>3398900000</v>
      </c>
      <c r="G698" s="8">
        <v>21836900000</v>
      </c>
      <c r="H698">
        <f t="shared" si="10"/>
        <v>172193.55692267013</v>
      </c>
    </row>
    <row r="699" spans="1:8" x14ac:dyDescent="0.25">
      <c r="A699" s="6">
        <v>41411</v>
      </c>
      <c r="B699" s="7">
        <v>5203.5</v>
      </c>
      <c r="C699" s="7">
        <v>5249.6</v>
      </c>
      <c r="D699" s="7">
        <v>5156.8</v>
      </c>
      <c r="E699" s="7">
        <v>5180.8</v>
      </c>
      <c r="F699" s="8">
        <v>3470300000</v>
      </c>
      <c r="G699" s="8">
        <v>22071100000</v>
      </c>
      <c r="H699">
        <f t="shared" si="10"/>
        <v>171356.75067804486</v>
      </c>
    </row>
    <row r="700" spans="1:8" x14ac:dyDescent="0.25">
      <c r="A700" s="6">
        <v>41418</v>
      </c>
      <c r="B700" s="7">
        <v>5187.2</v>
      </c>
      <c r="C700" s="7">
        <v>5246.9</v>
      </c>
      <c r="D700" s="7">
        <v>4954.8999999999996</v>
      </c>
      <c r="E700" s="7">
        <v>4983.5</v>
      </c>
      <c r="F700" s="8">
        <v>4605000000</v>
      </c>
      <c r="G700" s="8">
        <v>24408400000</v>
      </c>
      <c r="H700">
        <f t="shared" si="10"/>
        <v>164830.98498379334</v>
      </c>
    </row>
    <row r="701" spans="1:8" x14ac:dyDescent="0.25">
      <c r="A701" s="6">
        <v>41425</v>
      </c>
      <c r="B701" s="7">
        <v>4983.8</v>
      </c>
      <c r="C701" s="7">
        <v>4993.2</v>
      </c>
      <c r="D701" s="7">
        <v>4897.8999999999996</v>
      </c>
      <c r="E701" s="7">
        <v>4926.6000000000004</v>
      </c>
      <c r="F701" s="8">
        <v>4095800000</v>
      </c>
      <c r="G701" s="8">
        <v>26624500000</v>
      </c>
      <c r="H701">
        <f t="shared" si="10"/>
        <v>162948.99781702747</v>
      </c>
    </row>
    <row r="702" spans="1:8" x14ac:dyDescent="0.25">
      <c r="A702" s="6">
        <v>41432</v>
      </c>
      <c r="B702" s="7">
        <v>4926.6000000000004</v>
      </c>
      <c r="C702" s="7">
        <v>4933.3</v>
      </c>
      <c r="D702" s="7">
        <v>4732.3</v>
      </c>
      <c r="E702" s="7">
        <v>4737.7</v>
      </c>
      <c r="F702" s="8">
        <v>3632500000</v>
      </c>
      <c r="G702" s="8">
        <v>21134000000</v>
      </c>
      <c r="H702">
        <f t="shared" si="10"/>
        <v>156701.06502612977</v>
      </c>
    </row>
    <row r="703" spans="1:8" x14ac:dyDescent="0.25">
      <c r="A703" s="6">
        <v>41439</v>
      </c>
      <c r="B703" s="7">
        <v>4737.7</v>
      </c>
      <c r="C703" s="7">
        <v>4792.6000000000004</v>
      </c>
      <c r="D703" s="7">
        <v>4658.6000000000004</v>
      </c>
      <c r="E703" s="7">
        <v>4791.8</v>
      </c>
      <c r="F703" s="8">
        <v>2981300000</v>
      </c>
      <c r="G703" s="8">
        <v>18304900000</v>
      </c>
      <c r="H703">
        <f t="shared" si="10"/>
        <v>158490.44122511108</v>
      </c>
    </row>
    <row r="704" spans="1:8" x14ac:dyDescent="0.25">
      <c r="A704" s="6">
        <v>41446</v>
      </c>
      <c r="B704" s="7">
        <v>4791.8</v>
      </c>
      <c r="C704" s="7">
        <v>4861.3999999999996</v>
      </c>
      <c r="D704" s="7">
        <v>4683.3</v>
      </c>
      <c r="E704" s="7">
        <v>4738.8</v>
      </c>
      <c r="F704" s="8">
        <v>4442800000</v>
      </c>
      <c r="G704" s="8">
        <v>25219500000</v>
      </c>
      <c r="H704">
        <f t="shared" si="10"/>
        <v>156737.4479063309</v>
      </c>
    </row>
    <row r="705" spans="1:8" x14ac:dyDescent="0.25">
      <c r="A705" s="6">
        <v>41453</v>
      </c>
      <c r="B705" s="7">
        <v>4738.8</v>
      </c>
      <c r="C705" s="7">
        <v>4833.3999999999996</v>
      </c>
      <c r="D705" s="7">
        <v>4632.3</v>
      </c>
      <c r="E705" s="7">
        <v>4802.6000000000004</v>
      </c>
      <c r="F705" s="8">
        <v>4122600000</v>
      </c>
      <c r="G705" s="8">
        <v>24905300000</v>
      </c>
      <c r="H705">
        <f t="shared" si="10"/>
        <v>158847.65495799459</v>
      </c>
    </row>
    <row r="706" spans="1:8" x14ac:dyDescent="0.25">
      <c r="A706" s="6">
        <v>41460</v>
      </c>
      <c r="B706" s="7">
        <v>4802.6000000000004</v>
      </c>
      <c r="C706" s="7">
        <v>4853.3999999999996</v>
      </c>
      <c r="D706" s="7">
        <v>4702.7</v>
      </c>
      <c r="E706" s="7">
        <v>4841.7</v>
      </c>
      <c r="F706" s="8">
        <v>3043000000</v>
      </c>
      <c r="G706" s="8">
        <v>17361200000</v>
      </c>
      <c r="H706">
        <f t="shared" si="10"/>
        <v>160140.9009724154</v>
      </c>
    </row>
    <row r="707" spans="1:8" x14ac:dyDescent="0.25">
      <c r="A707" s="6">
        <v>41467</v>
      </c>
      <c r="B707" s="7">
        <v>4841.7</v>
      </c>
      <c r="C707" s="7">
        <v>5012.5</v>
      </c>
      <c r="D707" s="7">
        <v>4786.1000000000004</v>
      </c>
      <c r="E707" s="7">
        <v>4973.8999999999996</v>
      </c>
      <c r="F707" s="8">
        <v>3119800000</v>
      </c>
      <c r="G707" s="8">
        <v>17717000000</v>
      </c>
      <c r="H707">
        <f t="shared" si="10"/>
        <v>164513.46166567464</v>
      </c>
    </row>
    <row r="708" spans="1:8" x14ac:dyDescent="0.25">
      <c r="A708" s="6">
        <v>41474</v>
      </c>
      <c r="B708" s="7">
        <v>4973.8999999999996</v>
      </c>
      <c r="C708" s="7">
        <v>5010.1000000000004</v>
      </c>
      <c r="D708" s="7">
        <v>4960.1000000000004</v>
      </c>
      <c r="E708" s="7">
        <v>4972.1000000000004</v>
      </c>
      <c r="F708" s="8">
        <v>3038800000</v>
      </c>
      <c r="G708" s="8">
        <v>16428700000</v>
      </c>
      <c r="H708">
        <f t="shared" ref="H708:H771" si="11">H707*(E708/E707)</f>
        <v>164453.9260435274</v>
      </c>
    </row>
    <row r="709" spans="1:8" x14ac:dyDescent="0.25">
      <c r="A709" s="6">
        <v>41481</v>
      </c>
      <c r="B709" s="7">
        <v>4974.8999999999996</v>
      </c>
      <c r="C709" s="7">
        <v>5062.6000000000004</v>
      </c>
      <c r="D709" s="7">
        <v>4974.8999999999996</v>
      </c>
      <c r="E709" s="7">
        <v>5042</v>
      </c>
      <c r="F709" s="8">
        <v>3406700000</v>
      </c>
      <c r="G709" s="8">
        <v>20918600000</v>
      </c>
      <c r="H709">
        <f t="shared" si="11"/>
        <v>166765.89270357898</v>
      </c>
    </row>
    <row r="710" spans="1:8" x14ac:dyDescent="0.25">
      <c r="A710" s="6">
        <v>41488</v>
      </c>
      <c r="B710" s="7">
        <v>5042</v>
      </c>
      <c r="C710" s="7">
        <v>5116.8</v>
      </c>
      <c r="D710" s="7">
        <v>5025.6000000000004</v>
      </c>
      <c r="E710" s="7">
        <v>5116.8</v>
      </c>
      <c r="F710" s="8">
        <v>3063100000</v>
      </c>
      <c r="G710" s="8">
        <v>18328900000</v>
      </c>
      <c r="H710">
        <f t="shared" si="11"/>
        <v>169239.92855725365</v>
      </c>
    </row>
    <row r="711" spans="1:8" x14ac:dyDescent="0.25">
      <c r="A711" s="6">
        <v>41495</v>
      </c>
      <c r="B711" s="7">
        <v>5116.8</v>
      </c>
      <c r="C711" s="7">
        <v>5117.7</v>
      </c>
      <c r="D711" s="7">
        <v>5007.8999999999996</v>
      </c>
      <c r="E711" s="7">
        <v>5055.2</v>
      </c>
      <c r="F711" s="8">
        <v>3020900000</v>
      </c>
      <c r="G711" s="8">
        <v>17171600000</v>
      </c>
      <c r="H711">
        <f t="shared" si="11"/>
        <v>167202.48726599215</v>
      </c>
    </row>
    <row r="712" spans="1:8" x14ac:dyDescent="0.25">
      <c r="A712" s="6">
        <v>41502</v>
      </c>
      <c r="B712" s="7">
        <v>5055.2</v>
      </c>
      <c r="C712" s="7">
        <v>5168.2</v>
      </c>
      <c r="D712" s="7">
        <v>5048.1000000000004</v>
      </c>
      <c r="E712" s="7">
        <v>5113.8999999999996</v>
      </c>
      <c r="F712" s="8">
        <v>3402600000</v>
      </c>
      <c r="G712" s="8">
        <v>20946000000</v>
      </c>
      <c r="H712">
        <f t="shared" si="11"/>
        <v>169144.01005490529</v>
      </c>
    </row>
    <row r="713" spans="1:8" x14ac:dyDescent="0.25">
      <c r="A713" s="6">
        <v>41509</v>
      </c>
      <c r="B713" s="7">
        <v>5113.8999999999996</v>
      </c>
      <c r="C713" s="7">
        <v>5142.1000000000004</v>
      </c>
      <c r="D713" s="7">
        <v>5028</v>
      </c>
      <c r="E713" s="7">
        <v>5123.3999999999996</v>
      </c>
      <c r="F713" s="8">
        <v>3625700000</v>
      </c>
      <c r="G713" s="8">
        <v>21670000000</v>
      </c>
      <c r="H713">
        <f t="shared" si="11"/>
        <v>169458.22583846023</v>
      </c>
    </row>
    <row r="714" spans="1:8" x14ac:dyDescent="0.25">
      <c r="A714" s="6">
        <v>41516</v>
      </c>
      <c r="B714" s="7">
        <v>5123.3999999999996</v>
      </c>
      <c r="C714" s="7">
        <v>5157.1000000000004</v>
      </c>
      <c r="D714" s="7">
        <v>5064.1000000000004</v>
      </c>
      <c r="E714" s="7">
        <v>5135</v>
      </c>
      <c r="F714" s="8">
        <v>3594900000</v>
      </c>
      <c r="G714" s="8">
        <v>22450300000</v>
      </c>
      <c r="H714">
        <f t="shared" si="11"/>
        <v>169841.89984785367</v>
      </c>
    </row>
    <row r="715" spans="1:8" x14ac:dyDescent="0.25">
      <c r="A715" s="6">
        <v>41523</v>
      </c>
      <c r="B715" s="7">
        <v>5135</v>
      </c>
      <c r="C715" s="7">
        <v>5207.7</v>
      </c>
      <c r="D715" s="7">
        <v>5115.1000000000004</v>
      </c>
      <c r="E715" s="7">
        <v>5145</v>
      </c>
      <c r="F715" s="8">
        <v>3351600000</v>
      </c>
      <c r="G715" s="8">
        <v>19247100000</v>
      </c>
      <c r="H715">
        <f t="shared" si="11"/>
        <v>170172.65330422728</v>
      </c>
    </row>
    <row r="716" spans="1:8" x14ac:dyDescent="0.25">
      <c r="A716" s="6">
        <v>41530</v>
      </c>
      <c r="B716" s="7">
        <v>5145</v>
      </c>
      <c r="C716" s="7">
        <v>5252.1</v>
      </c>
      <c r="D716" s="7">
        <v>5145</v>
      </c>
      <c r="E716" s="7">
        <v>5219.6000000000004</v>
      </c>
      <c r="F716" s="8">
        <v>3189300000</v>
      </c>
      <c r="G716" s="8">
        <v>19121900000</v>
      </c>
      <c r="H716">
        <f t="shared" si="11"/>
        <v>172640.07408877448</v>
      </c>
    </row>
    <row r="717" spans="1:8" x14ac:dyDescent="0.25">
      <c r="A717" s="6">
        <v>41537</v>
      </c>
      <c r="B717" s="7">
        <v>5219.6000000000004</v>
      </c>
      <c r="C717" s="7">
        <v>5300.1</v>
      </c>
      <c r="D717" s="7">
        <v>5219.6000000000004</v>
      </c>
      <c r="E717" s="7">
        <v>5276.7</v>
      </c>
      <c r="F717" s="8">
        <v>4067400000</v>
      </c>
      <c r="G717" s="8">
        <v>23162300000</v>
      </c>
      <c r="H717">
        <f t="shared" si="11"/>
        <v>174528.67632466782</v>
      </c>
    </row>
    <row r="718" spans="1:8" x14ac:dyDescent="0.25">
      <c r="A718" s="6">
        <v>41544</v>
      </c>
      <c r="B718" s="7">
        <v>5276.7</v>
      </c>
      <c r="C718" s="7">
        <v>5314.3</v>
      </c>
      <c r="D718" s="7">
        <v>5217.8999999999996</v>
      </c>
      <c r="E718" s="7">
        <v>5307.1</v>
      </c>
      <c r="F718" s="8">
        <v>2551600000</v>
      </c>
      <c r="G718" s="8">
        <v>18757900000</v>
      </c>
      <c r="H718">
        <f t="shared" si="11"/>
        <v>175534.16683204364</v>
      </c>
    </row>
    <row r="719" spans="1:8" x14ac:dyDescent="0.25">
      <c r="A719" s="6">
        <v>41551</v>
      </c>
      <c r="B719" s="7">
        <v>5307.1</v>
      </c>
      <c r="C719" s="7">
        <v>5307.1</v>
      </c>
      <c r="D719" s="7">
        <v>5197.7</v>
      </c>
      <c r="E719" s="7">
        <v>5208</v>
      </c>
      <c r="F719" s="8">
        <v>2446600000</v>
      </c>
      <c r="G719" s="8">
        <v>15350900000</v>
      </c>
      <c r="H719">
        <f t="shared" si="11"/>
        <v>172256.40007938107</v>
      </c>
    </row>
    <row r="720" spans="1:8" x14ac:dyDescent="0.25">
      <c r="A720" s="6">
        <v>41558</v>
      </c>
      <c r="B720" s="7">
        <v>5208</v>
      </c>
      <c r="C720" s="7">
        <v>5239.6000000000004</v>
      </c>
      <c r="D720" s="7">
        <v>5118.8999999999996</v>
      </c>
      <c r="E720" s="7">
        <v>5230.8999999999996</v>
      </c>
      <c r="F720" s="8">
        <v>2488800000</v>
      </c>
      <c r="G720" s="8">
        <v>15258300000</v>
      </c>
      <c r="H720">
        <f t="shared" si="11"/>
        <v>173013.82549447665</v>
      </c>
    </row>
    <row r="721" spans="1:8" x14ac:dyDescent="0.25">
      <c r="A721" s="6">
        <v>41565</v>
      </c>
      <c r="B721" s="7">
        <v>5230.8999999999996</v>
      </c>
      <c r="C721" s="7">
        <v>5326.5</v>
      </c>
      <c r="D721" s="7">
        <v>5186.8</v>
      </c>
      <c r="E721" s="7">
        <v>5321.5</v>
      </c>
      <c r="F721" s="8">
        <v>2878300000</v>
      </c>
      <c r="G721" s="8">
        <v>16950100000</v>
      </c>
      <c r="H721">
        <f t="shared" si="11"/>
        <v>176010.45180922167</v>
      </c>
    </row>
    <row r="722" spans="1:8" x14ac:dyDescent="0.25">
      <c r="A722" s="6">
        <v>41572</v>
      </c>
      <c r="B722" s="7">
        <v>5321.5</v>
      </c>
      <c r="C722" s="7">
        <v>5402.4</v>
      </c>
      <c r="D722" s="7">
        <v>5321.5</v>
      </c>
      <c r="E722" s="7">
        <v>5386.3</v>
      </c>
      <c r="F722" s="8">
        <v>3131900000</v>
      </c>
      <c r="G722" s="8">
        <v>19399300000</v>
      </c>
      <c r="H722">
        <f t="shared" si="11"/>
        <v>178153.73420652273</v>
      </c>
    </row>
    <row r="723" spans="1:8" x14ac:dyDescent="0.25">
      <c r="A723" s="6">
        <v>41579</v>
      </c>
      <c r="B723" s="7">
        <v>5386.3</v>
      </c>
      <c r="C723" s="7">
        <v>5457.3</v>
      </c>
      <c r="D723" s="7">
        <v>5386.3</v>
      </c>
      <c r="E723" s="7">
        <v>5411.1</v>
      </c>
      <c r="F723" s="8">
        <v>3162900000</v>
      </c>
      <c r="G723" s="8">
        <v>20934100000</v>
      </c>
      <c r="H723">
        <f t="shared" si="11"/>
        <v>178974.0027783293</v>
      </c>
    </row>
    <row r="724" spans="1:8" x14ac:dyDescent="0.25">
      <c r="A724" s="6">
        <v>41586</v>
      </c>
      <c r="B724" s="7">
        <v>5411.1</v>
      </c>
      <c r="C724" s="7">
        <v>5438.4</v>
      </c>
      <c r="D724" s="7">
        <v>5379.9</v>
      </c>
      <c r="E724" s="7">
        <v>5400.7</v>
      </c>
      <c r="F724" s="8">
        <v>2738000000</v>
      </c>
      <c r="G724" s="8">
        <v>18765100000</v>
      </c>
      <c r="H724">
        <f t="shared" si="11"/>
        <v>178630.01918370073</v>
      </c>
    </row>
    <row r="725" spans="1:8" x14ac:dyDescent="0.25">
      <c r="A725" s="6">
        <v>41593</v>
      </c>
      <c r="B725" s="7">
        <v>5400.7</v>
      </c>
      <c r="C725" s="7">
        <v>5439.2</v>
      </c>
      <c r="D725" s="7">
        <v>5308.5</v>
      </c>
      <c r="E725" s="7">
        <v>5401.7</v>
      </c>
      <c r="F725" s="8">
        <v>3100300000</v>
      </c>
      <c r="G725" s="8">
        <v>18290500000</v>
      </c>
      <c r="H725">
        <f t="shared" si="11"/>
        <v>178663.09452933809</v>
      </c>
    </row>
    <row r="726" spans="1:8" x14ac:dyDescent="0.25">
      <c r="A726" s="6">
        <v>41600</v>
      </c>
      <c r="B726" s="7">
        <v>5401.7</v>
      </c>
      <c r="C726" s="7">
        <v>5404</v>
      </c>
      <c r="D726" s="7">
        <v>5284.9</v>
      </c>
      <c r="E726" s="7">
        <v>5335.9</v>
      </c>
      <c r="F726" s="8">
        <v>2880900000</v>
      </c>
      <c r="G726" s="8">
        <v>16631200000</v>
      </c>
      <c r="H726">
        <f t="shared" si="11"/>
        <v>176486.73678639968</v>
      </c>
    </row>
    <row r="727" spans="1:8" x14ac:dyDescent="0.25">
      <c r="A727" s="6">
        <v>41607</v>
      </c>
      <c r="B727" s="7">
        <v>5335.9</v>
      </c>
      <c r="C727" s="7">
        <v>5375.1</v>
      </c>
      <c r="D727" s="7">
        <v>5308.1</v>
      </c>
      <c r="E727" s="7">
        <v>5320</v>
      </c>
      <c r="F727" s="8">
        <v>3290800000</v>
      </c>
      <c r="G727" s="8">
        <v>21616300000</v>
      </c>
      <c r="H727">
        <f t="shared" si="11"/>
        <v>175960.83879076564</v>
      </c>
    </row>
    <row r="728" spans="1:8" x14ac:dyDescent="0.25">
      <c r="A728" s="6">
        <v>41614</v>
      </c>
      <c r="B728" s="7">
        <v>5320</v>
      </c>
      <c r="C728" s="7">
        <v>5332.7</v>
      </c>
      <c r="D728" s="7">
        <v>5154.6000000000004</v>
      </c>
      <c r="E728" s="7">
        <v>5186</v>
      </c>
      <c r="F728" s="8">
        <v>3396600000</v>
      </c>
      <c r="G728" s="8">
        <v>19361900000</v>
      </c>
      <c r="H728">
        <f t="shared" si="11"/>
        <v>171528.74247535915</v>
      </c>
    </row>
    <row r="729" spans="1:8" x14ac:dyDescent="0.25">
      <c r="A729" s="6">
        <v>41621</v>
      </c>
      <c r="B729" s="7">
        <v>5186</v>
      </c>
      <c r="C729" s="7">
        <v>5207.6000000000004</v>
      </c>
      <c r="D729" s="7">
        <v>5028.2</v>
      </c>
      <c r="E729" s="7">
        <v>5098.3999999999996</v>
      </c>
      <c r="F729" s="8">
        <v>3547500000</v>
      </c>
      <c r="G729" s="8">
        <v>21871300000</v>
      </c>
      <c r="H729">
        <f t="shared" si="11"/>
        <v>168631.34219752625</v>
      </c>
    </row>
    <row r="730" spans="1:8" x14ac:dyDescent="0.25">
      <c r="A730" s="6">
        <v>41628</v>
      </c>
      <c r="B730" s="7">
        <v>5098.3999999999996</v>
      </c>
      <c r="C730" s="7">
        <v>5265.2</v>
      </c>
      <c r="D730" s="7">
        <v>5059.7</v>
      </c>
      <c r="E730" s="7">
        <v>5265.2</v>
      </c>
      <c r="F730" s="8">
        <v>3968300000</v>
      </c>
      <c r="G730" s="8">
        <v>25906300000</v>
      </c>
      <c r="H730">
        <f t="shared" si="11"/>
        <v>174148.30984983823</v>
      </c>
    </row>
    <row r="731" spans="1:8" x14ac:dyDescent="0.25">
      <c r="A731" s="6">
        <v>41635</v>
      </c>
      <c r="B731" s="7">
        <v>5265.2</v>
      </c>
      <c r="C731" s="7">
        <v>5365.3</v>
      </c>
      <c r="D731" s="7">
        <v>5257.4</v>
      </c>
      <c r="E731" s="7">
        <v>5324.1</v>
      </c>
      <c r="F731" s="8">
        <v>956100000</v>
      </c>
      <c r="G731" s="8">
        <v>5817100000</v>
      </c>
      <c r="H731">
        <f t="shared" si="11"/>
        <v>176096.44770787886</v>
      </c>
    </row>
    <row r="732" spans="1:8" x14ac:dyDescent="0.25">
      <c r="A732" s="6">
        <v>41642</v>
      </c>
      <c r="B732" s="7">
        <v>5324.1</v>
      </c>
      <c r="C732" s="7">
        <v>5383.4</v>
      </c>
      <c r="D732" s="7">
        <v>5324.1</v>
      </c>
      <c r="E732" s="7">
        <v>5350.1</v>
      </c>
      <c r="F732" s="8">
        <v>1173000000</v>
      </c>
      <c r="G732" s="8">
        <v>6485400000</v>
      </c>
      <c r="H732">
        <f t="shared" si="11"/>
        <v>176956.4066944503</v>
      </c>
    </row>
    <row r="733" spans="1:8" x14ac:dyDescent="0.25">
      <c r="A733" s="6">
        <v>41649</v>
      </c>
      <c r="B733" s="7">
        <v>5350.1</v>
      </c>
      <c r="C733" s="7">
        <v>5362</v>
      </c>
      <c r="D733" s="7">
        <v>5295.4</v>
      </c>
      <c r="E733" s="7">
        <v>5312.4</v>
      </c>
      <c r="F733" s="8">
        <v>2288700000</v>
      </c>
      <c r="G733" s="8">
        <v>12486400000</v>
      </c>
      <c r="H733">
        <f t="shared" si="11"/>
        <v>175709.46616392172</v>
      </c>
    </row>
    <row r="734" spans="1:8" x14ac:dyDescent="0.25">
      <c r="A734" s="6">
        <v>41656</v>
      </c>
      <c r="B734" s="7">
        <v>5312.4</v>
      </c>
      <c r="C734" s="7">
        <v>5319.3</v>
      </c>
      <c r="D734" s="7">
        <v>5207.5</v>
      </c>
      <c r="E734" s="7">
        <v>5305.9</v>
      </c>
      <c r="F734" s="8">
        <v>2709700000</v>
      </c>
      <c r="G734" s="8">
        <v>16394800000</v>
      </c>
      <c r="H734">
        <f t="shared" si="11"/>
        <v>175494.47641727887</v>
      </c>
    </row>
    <row r="735" spans="1:8" x14ac:dyDescent="0.25">
      <c r="A735" s="6">
        <v>41663</v>
      </c>
      <c r="B735" s="7">
        <v>5305.9</v>
      </c>
      <c r="C735" s="7">
        <v>5331.5</v>
      </c>
      <c r="D735" s="7">
        <v>5240.8999999999996</v>
      </c>
      <c r="E735" s="7">
        <v>5240.8999999999996</v>
      </c>
      <c r="F735" s="8">
        <v>2676100000</v>
      </c>
      <c r="G735" s="8">
        <v>16092200000</v>
      </c>
      <c r="H735">
        <f t="shared" si="11"/>
        <v>173344.57895085035</v>
      </c>
    </row>
    <row r="736" spans="1:8" x14ac:dyDescent="0.25">
      <c r="A736" s="6">
        <v>41670</v>
      </c>
      <c r="B736" s="7">
        <v>5240.8999999999996</v>
      </c>
      <c r="C736" s="7">
        <v>5240.8999999999996</v>
      </c>
      <c r="D736" s="7">
        <v>5158.8999999999996</v>
      </c>
      <c r="E736" s="7">
        <v>5190</v>
      </c>
      <c r="F736" s="8">
        <v>2587500000</v>
      </c>
      <c r="G736" s="8">
        <v>18246200000</v>
      </c>
      <c r="H736">
        <f t="shared" si="11"/>
        <v>171661.04385790863</v>
      </c>
    </row>
    <row r="737" spans="1:8" x14ac:dyDescent="0.25">
      <c r="A737" s="6">
        <v>41677</v>
      </c>
      <c r="B737" s="7">
        <v>5190</v>
      </c>
      <c r="C737" s="7">
        <v>5198.3</v>
      </c>
      <c r="D737" s="7">
        <v>5052.2</v>
      </c>
      <c r="E737" s="7">
        <v>5166.5</v>
      </c>
      <c r="F737" s="8">
        <v>3142000000</v>
      </c>
      <c r="G737" s="8">
        <v>20833000000</v>
      </c>
      <c r="H737">
        <f t="shared" si="11"/>
        <v>170883.77323543062</v>
      </c>
    </row>
    <row r="738" spans="1:8" x14ac:dyDescent="0.25">
      <c r="A738" s="6">
        <v>41684</v>
      </c>
      <c r="B738" s="7">
        <v>5166.5</v>
      </c>
      <c r="C738" s="7">
        <v>5356.3</v>
      </c>
      <c r="D738" s="7">
        <v>5166.5</v>
      </c>
      <c r="E738" s="7">
        <v>5356.3</v>
      </c>
      <c r="F738" s="8">
        <v>2980000000</v>
      </c>
      <c r="G738" s="8">
        <v>19727300000</v>
      </c>
      <c r="H738">
        <f t="shared" si="11"/>
        <v>177161.47383740192</v>
      </c>
    </row>
    <row r="739" spans="1:8" x14ac:dyDescent="0.25">
      <c r="A739" s="6">
        <v>41691</v>
      </c>
      <c r="B739" s="7">
        <v>5359.9</v>
      </c>
      <c r="C739" s="7">
        <v>5452.4</v>
      </c>
      <c r="D739" s="7">
        <v>5355.4</v>
      </c>
      <c r="E739" s="7">
        <v>5438.7</v>
      </c>
      <c r="F739" s="8">
        <v>3722400000</v>
      </c>
      <c r="G739" s="8">
        <v>23922600000</v>
      </c>
      <c r="H739">
        <f t="shared" si="11"/>
        <v>179886.88231792054</v>
      </c>
    </row>
    <row r="740" spans="1:8" x14ac:dyDescent="0.25">
      <c r="A740" s="6">
        <v>41698</v>
      </c>
      <c r="B740" s="7">
        <v>5438.7</v>
      </c>
      <c r="C740" s="7">
        <v>5461.7</v>
      </c>
      <c r="D740" s="7">
        <v>5401.6</v>
      </c>
      <c r="E740" s="7">
        <v>5404.8</v>
      </c>
      <c r="F740" s="8">
        <v>3833600000</v>
      </c>
      <c r="G740" s="8">
        <v>25211600000</v>
      </c>
      <c r="H740">
        <f t="shared" si="11"/>
        <v>178765.62810081398</v>
      </c>
    </row>
    <row r="741" spans="1:8" x14ac:dyDescent="0.25">
      <c r="A741" s="6">
        <v>41705</v>
      </c>
      <c r="B741" s="7">
        <v>5404.8</v>
      </c>
      <c r="C741" s="7">
        <v>5462.3</v>
      </c>
      <c r="D741" s="7">
        <v>5340.3</v>
      </c>
      <c r="E741" s="7">
        <v>5462.3</v>
      </c>
      <c r="F741" s="8">
        <v>3413900000</v>
      </c>
      <c r="G741" s="8">
        <v>20763800000</v>
      </c>
      <c r="H741">
        <f t="shared" si="11"/>
        <v>180667.46047496228</v>
      </c>
    </row>
    <row r="742" spans="1:8" x14ac:dyDescent="0.25">
      <c r="A742" s="6">
        <v>41712</v>
      </c>
      <c r="B742" s="7">
        <v>5462.3</v>
      </c>
      <c r="C742" s="7">
        <v>5462.3</v>
      </c>
      <c r="D742" s="7">
        <v>5329.4</v>
      </c>
      <c r="E742" s="7">
        <v>5329.4</v>
      </c>
      <c r="F742" s="8">
        <v>3370500000</v>
      </c>
      <c r="G742" s="8">
        <v>20196600000</v>
      </c>
      <c r="H742">
        <f t="shared" si="11"/>
        <v>176271.74703975685</v>
      </c>
    </row>
    <row r="743" spans="1:8" x14ac:dyDescent="0.25">
      <c r="A743" s="6">
        <v>41719</v>
      </c>
      <c r="B743" s="7">
        <v>5329.4</v>
      </c>
      <c r="C743" s="7">
        <v>5362.2</v>
      </c>
      <c r="D743" s="7">
        <v>5288.5</v>
      </c>
      <c r="E743" s="7">
        <v>5338.1</v>
      </c>
      <c r="F743" s="8">
        <v>4353200000</v>
      </c>
      <c r="G743" s="8">
        <v>24876700000</v>
      </c>
      <c r="H743">
        <f t="shared" si="11"/>
        <v>176559.5025468019</v>
      </c>
    </row>
    <row r="744" spans="1:8" x14ac:dyDescent="0.25">
      <c r="A744" s="6">
        <v>41726</v>
      </c>
      <c r="B744" s="7">
        <v>5338.1</v>
      </c>
      <c r="C744" s="7">
        <v>5394.2</v>
      </c>
      <c r="D744" s="7">
        <v>5301.4</v>
      </c>
      <c r="E744" s="7">
        <v>5366.9</v>
      </c>
      <c r="F744" s="8">
        <v>3230700000</v>
      </c>
      <c r="G744" s="8">
        <v>21567300000</v>
      </c>
      <c r="H744">
        <f t="shared" si="11"/>
        <v>177512.07250115791</v>
      </c>
    </row>
    <row r="745" spans="1:8" x14ac:dyDescent="0.25">
      <c r="A745" s="6">
        <v>41733</v>
      </c>
      <c r="B745" s="7">
        <v>5366.9</v>
      </c>
      <c r="C745" s="7">
        <v>5422.8</v>
      </c>
      <c r="D745" s="7">
        <v>5350.5</v>
      </c>
      <c r="E745" s="7">
        <v>5422.8</v>
      </c>
      <c r="F745" s="8">
        <v>2858400000</v>
      </c>
      <c r="G745" s="8">
        <v>17295600000</v>
      </c>
      <c r="H745">
        <f t="shared" si="11"/>
        <v>179360.98432228647</v>
      </c>
    </row>
    <row r="746" spans="1:8" x14ac:dyDescent="0.25">
      <c r="A746" s="6">
        <v>41740</v>
      </c>
      <c r="B746" s="7">
        <v>5422.8</v>
      </c>
      <c r="C746" s="7">
        <v>5503.5</v>
      </c>
      <c r="D746" s="7">
        <v>5391.3</v>
      </c>
      <c r="E746" s="7">
        <v>5428.6</v>
      </c>
      <c r="F746" s="8">
        <v>2819200000</v>
      </c>
      <c r="G746" s="8">
        <v>17113200000</v>
      </c>
      <c r="H746">
        <f t="shared" si="11"/>
        <v>179552.82132698316</v>
      </c>
    </row>
    <row r="747" spans="1:8" x14ac:dyDescent="0.25">
      <c r="A747" s="6">
        <v>41746</v>
      </c>
      <c r="B747" s="7">
        <v>5428.6</v>
      </c>
      <c r="C747" s="7">
        <v>5459.4</v>
      </c>
      <c r="D747" s="7">
        <v>5358.9</v>
      </c>
      <c r="E747" s="7">
        <v>5454.2</v>
      </c>
      <c r="F747" s="8">
        <v>2083900000</v>
      </c>
      <c r="G747" s="8">
        <v>12996900000</v>
      </c>
      <c r="H747">
        <f t="shared" si="11"/>
        <v>180399.55017529964</v>
      </c>
    </row>
    <row r="748" spans="1:8" x14ac:dyDescent="0.25">
      <c r="A748" s="6">
        <v>41753</v>
      </c>
      <c r="B748" s="7">
        <v>5454.2</v>
      </c>
      <c r="C748" s="7">
        <v>5537.8</v>
      </c>
      <c r="D748" s="7">
        <v>5452.4</v>
      </c>
      <c r="E748" s="7">
        <v>5531</v>
      </c>
      <c r="F748" s="8">
        <v>1518000000</v>
      </c>
      <c r="G748" s="8">
        <v>12143600000</v>
      </c>
      <c r="H748">
        <f t="shared" si="11"/>
        <v>182939.73672024906</v>
      </c>
    </row>
    <row r="749" spans="1:8" x14ac:dyDescent="0.25">
      <c r="A749" s="6">
        <v>41761</v>
      </c>
      <c r="B749" s="7">
        <v>5531</v>
      </c>
      <c r="C749" s="7">
        <v>5554.5</v>
      </c>
      <c r="D749" s="7">
        <v>5430.4</v>
      </c>
      <c r="E749" s="7">
        <v>5458.1</v>
      </c>
      <c r="F749" s="8">
        <v>2948800000</v>
      </c>
      <c r="G749" s="8">
        <v>19817300000</v>
      </c>
      <c r="H749">
        <f t="shared" si="11"/>
        <v>180528.54402328539</v>
      </c>
    </row>
    <row r="750" spans="1:8" x14ac:dyDescent="0.25">
      <c r="A750" s="6">
        <v>41768</v>
      </c>
      <c r="B750" s="7">
        <v>5464.1</v>
      </c>
      <c r="C750" s="7">
        <v>5493</v>
      </c>
      <c r="D750" s="7">
        <v>5417.4</v>
      </c>
      <c r="E750" s="7">
        <v>5460.8</v>
      </c>
      <c r="F750" s="8">
        <v>2507800000</v>
      </c>
      <c r="G750" s="8">
        <v>15875100000</v>
      </c>
      <c r="H750">
        <f t="shared" si="11"/>
        <v>180617.84745650628</v>
      </c>
    </row>
    <row r="751" spans="1:8" x14ac:dyDescent="0.25">
      <c r="A751" s="6">
        <v>41775</v>
      </c>
      <c r="B751" s="7">
        <v>5460.8</v>
      </c>
      <c r="C751" s="7">
        <v>5510.8</v>
      </c>
      <c r="D751" s="7">
        <v>5432</v>
      </c>
      <c r="E751" s="7">
        <v>5479</v>
      </c>
      <c r="F751" s="8">
        <v>2820200000</v>
      </c>
      <c r="G751" s="8">
        <v>17460700000</v>
      </c>
      <c r="H751">
        <f t="shared" si="11"/>
        <v>181219.81874710627</v>
      </c>
    </row>
    <row r="752" spans="1:8" x14ac:dyDescent="0.25">
      <c r="A752" s="6">
        <v>41782</v>
      </c>
      <c r="B752" s="7">
        <v>5479</v>
      </c>
      <c r="C752" s="7">
        <v>5507.4</v>
      </c>
      <c r="D752" s="7">
        <v>5372.1</v>
      </c>
      <c r="E752" s="7">
        <v>5492.8</v>
      </c>
      <c r="F752" s="8">
        <v>3045800000</v>
      </c>
      <c r="G752" s="8">
        <v>18227500000</v>
      </c>
      <c r="H752">
        <f t="shared" si="11"/>
        <v>181676.25851690187</v>
      </c>
    </row>
    <row r="753" spans="1:8" x14ac:dyDescent="0.25">
      <c r="A753" s="6">
        <v>41789</v>
      </c>
      <c r="B753" s="7">
        <v>5492.8</v>
      </c>
      <c r="C753" s="7">
        <v>5541.7</v>
      </c>
      <c r="D753" s="7">
        <v>5492.5</v>
      </c>
      <c r="E753" s="7">
        <v>5492.5</v>
      </c>
      <c r="F753" s="8">
        <v>2950300000</v>
      </c>
      <c r="G753" s="8">
        <v>18305500000</v>
      </c>
      <c r="H753">
        <f t="shared" si="11"/>
        <v>181666.33591321067</v>
      </c>
    </row>
    <row r="754" spans="1:8" x14ac:dyDescent="0.25">
      <c r="A754" s="6">
        <v>41796</v>
      </c>
      <c r="B754" s="7">
        <v>5484.1</v>
      </c>
      <c r="C754" s="7">
        <v>5526</v>
      </c>
      <c r="D754" s="7">
        <v>5416.8</v>
      </c>
      <c r="E754" s="7">
        <v>5464</v>
      </c>
      <c r="F754" s="8">
        <v>2904700000</v>
      </c>
      <c r="G754" s="8">
        <v>18032100000</v>
      </c>
      <c r="H754">
        <f t="shared" si="11"/>
        <v>180723.68856254584</v>
      </c>
    </row>
    <row r="755" spans="1:8" x14ac:dyDescent="0.25">
      <c r="A755" s="6">
        <v>41803</v>
      </c>
      <c r="B755" s="7">
        <v>5464</v>
      </c>
      <c r="C755" s="7">
        <v>5496.3</v>
      </c>
      <c r="D755" s="7">
        <v>5373.6</v>
      </c>
      <c r="E755" s="7">
        <v>5405.1</v>
      </c>
      <c r="F755" s="8">
        <v>2200800000</v>
      </c>
      <c r="G755" s="8">
        <v>13900500000</v>
      </c>
      <c r="H755">
        <f t="shared" si="11"/>
        <v>178775.55070450524</v>
      </c>
    </row>
    <row r="756" spans="1:8" x14ac:dyDescent="0.25">
      <c r="A756" s="6">
        <v>41810</v>
      </c>
      <c r="B756" s="7">
        <v>5405.1</v>
      </c>
      <c r="C756" s="7">
        <v>5468.2</v>
      </c>
      <c r="D756" s="7">
        <v>5380.3</v>
      </c>
      <c r="E756" s="7">
        <v>5419.5</v>
      </c>
      <c r="F756" s="8">
        <v>3649100000</v>
      </c>
      <c r="G756" s="8">
        <v>23828200000</v>
      </c>
      <c r="H756">
        <f t="shared" si="11"/>
        <v>179251.83568168324</v>
      </c>
    </row>
    <row r="757" spans="1:8" x14ac:dyDescent="0.25">
      <c r="A757" s="6">
        <v>41817</v>
      </c>
      <c r="B757" s="7">
        <v>5419.5</v>
      </c>
      <c r="C757" s="7">
        <v>5480.1</v>
      </c>
      <c r="D757" s="7">
        <v>5378.8</v>
      </c>
      <c r="E757" s="7">
        <v>5445.1</v>
      </c>
      <c r="F757" s="8">
        <v>3146400000</v>
      </c>
      <c r="G757" s="8">
        <v>21717300000</v>
      </c>
      <c r="H757">
        <f t="shared" si="11"/>
        <v>180098.56452999971</v>
      </c>
    </row>
    <row r="758" spans="1:8" x14ac:dyDescent="0.25">
      <c r="A758" s="6">
        <v>41824</v>
      </c>
      <c r="B758" s="7">
        <v>5444.8</v>
      </c>
      <c r="C758" s="7">
        <v>5531.7</v>
      </c>
      <c r="D758" s="7">
        <v>5370.9</v>
      </c>
      <c r="E758" s="7">
        <v>5525</v>
      </c>
      <c r="F758" s="8">
        <v>2832700000</v>
      </c>
      <c r="G758" s="8">
        <v>18136700000</v>
      </c>
      <c r="H758">
        <f t="shared" si="11"/>
        <v>182741.28464642493</v>
      </c>
    </row>
    <row r="759" spans="1:8" x14ac:dyDescent="0.25">
      <c r="A759" s="6">
        <v>41831</v>
      </c>
      <c r="B759" s="7">
        <v>5525</v>
      </c>
      <c r="C759" s="7">
        <v>5535.9</v>
      </c>
      <c r="D759" s="7">
        <v>5439.5</v>
      </c>
      <c r="E759" s="7">
        <v>5486.8</v>
      </c>
      <c r="F759" s="8">
        <v>2398500000</v>
      </c>
      <c r="G759" s="8">
        <v>14911600000</v>
      </c>
      <c r="H759">
        <f t="shared" si="11"/>
        <v>181477.80644307772</v>
      </c>
    </row>
    <row r="760" spans="1:8" x14ac:dyDescent="0.25">
      <c r="A760" s="6">
        <v>41838</v>
      </c>
      <c r="B760" s="7">
        <v>5486.8</v>
      </c>
      <c r="C760" s="7">
        <v>5561.1</v>
      </c>
      <c r="D760" s="7">
        <v>5484.1</v>
      </c>
      <c r="E760" s="7">
        <v>5531.7</v>
      </c>
      <c r="F760" s="8">
        <v>2663000000</v>
      </c>
      <c r="G760" s="8">
        <v>16444900000</v>
      </c>
      <c r="H760">
        <f t="shared" si="11"/>
        <v>182962.88946219525</v>
      </c>
    </row>
    <row r="761" spans="1:8" x14ac:dyDescent="0.25">
      <c r="A761" s="6">
        <v>41845</v>
      </c>
      <c r="B761" s="7">
        <v>5531.7</v>
      </c>
      <c r="C761" s="7">
        <v>5598.2</v>
      </c>
      <c r="D761" s="7">
        <v>5530.1</v>
      </c>
      <c r="E761" s="7">
        <v>5583.5</v>
      </c>
      <c r="F761" s="8">
        <v>2626600000</v>
      </c>
      <c r="G761" s="8">
        <v>18083300000</v>
      </c>
      <c r="H761">
        <f t="shared" si="11"/>
        <v>184676.1923662106</v>
      </c>
    </row>
    <row r="762" spans="1:8" x14ac:dyDescent="0.25">
      <c r="A762" s="6">
        <v>41852</v>
      </c>
      <c r="B762" s="7">
        <v>5583.5</v>
      </c>
      <c r="C762" s="7">
        <v>5644.2</v>
      </c>
      <c r="D762" s="7">
        <v>5544</v>
      </c>
      <c r="E762" s="7">
        <v>5556.4</v>
      </c>
      <c r="F762" s="8">
        <v>2733400000</v>
      </c>
      <c r="G762" s="8">
        <v>17474300000</v>
      </c>
      <c r="H762">
        <f t="shared" si="11"/>
        <v>183779.85049943809</v>
      </c>
    </row>
    <row r="763" spans="1:8" x14ac:dyDescent="0.25">
      <c r="A763" s="6">
        <v>41859</v>
      </c>
      <c r="B763" s="7">
        <v>5556.4</v>
      </c>
      <c r="C763" s="7">
        <v>5556.4</v>
      </c>
      <c r="D763" s="7">
        <v>5425.2</v>
      </c>
      <c r="E763" s="7">
        <v>5435.3</v>
      </c>
      <c r="F763" s="8">
        <v>2760900000</v>
      </c>
      <c r="G763" s="8">
        <v>17906000000</v>
      </c>
      <c r="H763">
        <f t="shared" si="11"/>
        <v>179774.42614275357</v>
      </c>
    </row>
    <row r="764" spans="1:8" x14ac:dyDescent="0.25">
      <c r="A764" s="6">
        <v>41866</v>
      </c>
      <c r="B764" s="7">
        <v>5435.3</v>
      </c>
      <c r="C764" s="7">
        <v>5578.5</v>
      </c>
      <c r="D764" s="7">
        <v>5435.3</v>
      </c>
      <c r="E764" s="7">
        <v>5566.5</v>
      </c>
      <c r="F764" s="8">
        <v>2675800000</v>
      </c>
      <c r="G764" s="8">
        <v>19465500000</v>
      </c>
      <c r="H764">
        <f t="shared" si="11"/>
        <v>184113.91149037544</v>
      </c>
    </row>
    <row r="765" spans="1:8" x14ac:dyDescent="0.25">
      <c r="A765" s="6">
        <v>41873</v>
      </c>
      <c r="B765" s="7">
        <v>5566.5</v>
      </c>
      <c r="C765" s="7">
        <v>5679.5</v>
      </c>
      <c r="D765" s="7">
        <v>5566.5</v>
      </c>
      <c r="E765" s="7">
        <v>5645.6</v>
      </c>
      <c r="F765" s="8">
        <v>2989400000</v>
      </c>
      <c r="G765" s="8">
        <v>21437500000</v>
      </c>
      <c r="H765">
        <f t="shared" si="11"/>
        <v>186730.17133029076</v>
      </c>
    </row>
    <row r="766" spans="1:8" x14ac:dyDescent="0.25">
      <c r="A766" s="6">
        <v>41880</v>
      </c>
      <c r="B766" s="7">
        <v>5645.6</v>
      </c>
      <c r="C766" s="7">
        <v>5652.3</v>
      </c>
      <c r="D766" s="7">
        <v>5614.3</v>
      </c>
      <c r="E766" s="7">
        <v>5625.9</v>
      </c>
      <c r="F766" s="8">
        <v>3599600000</v>
      </c>
      <c r="G766" s="8">
        <v>23522400000</v>
      </c>
      <c r="H766">
        <f t="shared" si="11"/>
        <v>186078.58702123471</v>
      </c>
    </row>
    <row r="767" spans="1:8" x14ac:dyDescent="0.25">
      <c r="A767" s="6">
        <v>41887</v>
      </c>
      <c r="B767" s="7">
        <v>5625.9</v>
      </c>
      <c r="C767" s="7">
        <v>5672.7</v>
      </c>
      <c r="D767" s="7">
        <v>5592.9</v>
      </c>
      <c r="E767" s="7">
        <v>5598.7</v>
      </c>
      <c r="F767" s="8">
        <v>2573900000</v>
      </c>
      <c r="G767" s="8">
        <v>15913800000</v>
      </c>
      <c r="H767">
        <f t="shared" si="11"/>
        <v>185178.93761989847</v>
      </c>
    </row>
    <row r="768" spans="1:8" x14ac:dyDescent="0.25">
      <c r="A768" s="6">
        <v>41894</v>
      </c>
      <c r="B768" s="7">
        <v>5598.7</v>
      </c>
      <c r="C768" s="7">
        <v>5607.9</v>
      </c>
      <c r="D768" s="7">
        <v>5509.8</v>
      </c>
      <c r="E768" s="7">
        <v>5531.1</v>
      </c>
      <c r="F768" s="8">
        <v>2557700000</v>
      </c>
      <c r="G768" s="8">
        <v>17087900000</v>
      </c>
      <c r="H768">
        <f t="shared" si="11"/>
        <v>182943.04425481282</v>
      </c>
    </row>
    <row r="769" spans="1:8" x14ac:dyDescent="0.25">
      <c r="A769" s="6">
        <v>41901</v>
      </c>
      <c r="B769" s="7">
        <v>5531.1</v>
      </c>
      <c r="C769" s="7">
        <v>5531.1</v>
      </c>
      <c r="D769" s="7">
        <v>5373.4</v>
      </c>
      <c r="E769" s="7">
        <v>5433.1</v>
      </c>
      <c r="F769" s="8">
        <v>3769400000</v>
      </c>
      <c r="G769" s="8">
        <v>22942100000</v>
      </c>
      <c r="H769">
        <f t="shared" si="11"/>
        <v>179701.66038235134</v>
      </c>
    </row>
    <row r="770" spans="1:8" x14ac:dyDescent="0.25">
      <c r="A770" s="6">
        <v>41908</v>
      </c>
      <c r="B770" s="7">
        <v>5433.2</v>
      </c>
      <c r="C770" s="7">
        <v>5434</v>
      </c>
      <c r="D770" s="7">
        <v>5309.8</v>
      </c>
      <c r="E770" s="7">
        <v>5313.4</v>
      </c>
      <c r="F770" s="8">
        <v>3019900000</v>
      </c>
      <c r="G770" s="8">
        <v>21373900000</v>
      </c>
      <c r="H770">
        <f t="shared" si="11"/>
        <v>175742.54150955909</v>
      </c>
    </row>
    <row r="771" spans="1:8" x14ac:dyDescent="0.25">
      <c r="A771" s="6">
        <v>41915</v>
      </c>
      <c r="B771" s="7">
        <v>5313.4</v>
      </c>
      <c r="C771" s="7">
        <v>5337.2</v>
      </c>
      <c r="D771" s="7">
        <v>5244</v>
      </c>
      <c r="E771" s="7">
        <v>5318.2</v>
      </c>
      <c r="F771" s="8">
        <v>2871700000</v>
      </c>
      <c r="G771" s="8">
        <v>17521000000</v>
      </c>
      <c r="H771">
        <f t="shared" si="11"/>
        <v>175901.30316861844</v>
      </c>
    </row>
    <row r="772" spans="1:8" x14ac:dyDescent="0.25">
      <c r="A772" s="6">
        <v>41922</v>
      </c>
      <c r="B772" s="7">
        <v>5318.2</v>
      </c>
      <c r="C772" s="7">
        <v>5324.6</v>
      </c>
      <c r="D772" s="7">
        <v>5187.6000000000004</v>
      </c>
      <c r="E772" s="7">
        <v>5188.3</v>
      </c>
      <c r="F772" s="8">
        <v>2933100000</v>
      </c>
      <c r="G772" s="8">
        <v>18618100000</v>
      </c>
      <c r="H772">
        <f t="shared" ref="H772:H835" si="12">H771*(E772/E771)</f>
        <v>171604.81577032513</v>
      </c>
    </row>
    <row r="773" spans="1:8" x14ac:dyDescent="0.25">
      <c r="A773" s="6">
        <v>41929</v>
      </c>
      <c r="B773" s="7">
        <v>5188.3</v>
      </c>
      <c r="C773" s="7">
        <v>5308.5</v>
      </c>
      <c r="D773" s="7">
        <v>5122</v>
      </c>
      <c r="E773" s="7">
        <v>5271.7</v>
      </c>
      <c r="F773" s="8">
        <v>3715900000</v>
      </c>
      <c r="G773" s="8">
        <v>22610600000</v>
      </c>
      <c r="H773">
        <f t="shared" si="12"/>
        <v>174363.29959648111</v>
      </c>
    </row>
    <row r="774" spans="1:8" x14ac:dyDescent="0.25">
      <c r="A774" s="6">
        <v>41936</v>
      </c>
      <c r="B774" s="7">
        <v>5271.7</v>
      </c>
      <c r="C774" s="7">
        <v>5425.7</v>
      </c>
      <c r="D774" s="7">
        <v>5271.7</v>
      </c>
      <c r="E774" s="7">
        <v>5412.2</v>
      </c>
      <c r="F774" s="8">
        <v>3003400000</v>
      </c>
      <c r="G774" s="8">
        <v>17082200000</v>
      </c>
      <c r="H774">
        <f t="shared" si="12"/>
        <v>179010.38565853046</v>
      </c>
    </row>
    <row r="775" spans="1:8" x14ac:dyDescent="0.25">
      <c r="A775" s="6">
        <v>41943</v>
      </c>
      <c r="B775" s="7">
        <v>5412.2</v>
      </c>
      <c r="C775" s="7">
        <v>5526.6</v>
      </c>
      <c r="D775" s="7">
        <v>5412.2</v>
      </c>
      <c r="E775" s="7">
        <v>5526.6</v>
      </c>
      <c r="F775" s="8">
        <v>3279400000</v>
      </c>
      <c r="G775" s="8">
        <v>21962300000</v>
      </c>
      <c r="H775">
        <f t="shared" si="12"/>
        <v>182794.2051994447</v>
      </c>
    </row>
    <row r="776" spans="1:8" x14ac:dyDescent="0.25">
      <c r="A776" s="6">
        <v>41950</v>
      </c>
      <c r="B776" s="7">
        <v>5526.6</v>
      </c>
      <c r="C776" s="7">
        <v>5549.1</v>
      </c>
      <c r="D776" s="7">
        <v>5481</v>
      </c>
      <c r="E776" s="7">
        <v>5549.1</v>
      </c>
      <c r="F776" s="8">
        <v>2907000000</v>
      </c>
      <c r="G776" s="8">
        <v>19280800000</v>
      </c>
      <c r="H776">
        <f t="shared" si="12"/>
        <v>183538.40047628534</v>
      </c>
    </row>
    <row r="777" spans="1:8" x14ac:dyDescent="0.25">
      <c r="A777" s="6">
        <v>41957</v>
      </c>
      <c r="B777" s="7">
        <v>5549.1</v>
      </c>
      <c r="C777" s="7">
        <v>5550.3</v>
      </c>
      <c r="D777" s="7">
        <v>5419.3</v>
      </c>
      <c r="E777" s="7">
        <v>5454.3</v>
      </c>
      <c r="F777" s="8">
        <v>2778700000</v>
      </c>
      <c r="G777" s="8">
        <v>18393500000</v>
      </c>
      <c r="H777">
        <f t="shared" si="12"/>
        <v>180402.85770986343</v>
      </c>
    </row>
    <row r="778" spans="1:8" x14ac:dyDescent="0.25">
      <c r="A778" s="6">
        <v>41964</v>
      </c>
      <c r="B778" s="7">
        <v>5454.3</v>
      </c>
      <c r="C778" s="7">
        <v>5460.3</v>
      </c>
      <c r="D778" s="7">
        <v>5292.9</v>
      </c>
      <c r="E778" s="7">
        <v>5304.3</v>
      </c>
      <c r="F778" s="8">
        <v>2728900000</v>
      </c>
      <c r="G778" s="8">
        <v>16853200000</v>
      </c>
      <c r="H778">
        <f t="shared" si="12"/>
        <v>175441.55586425913</v>
      </c>
    </row>
    <row r="779" spans="1:8" x14ac:dyDescent="0.25">
      <c r="A779" s="6">
        <v>41971</v>
      </c>
      <c r="B779" s="7">
        <v>5304.3</v>
      </c>
      <c r="C779" s="7">
        <v>5411.9</v>
      </c>
      <c r="D779" s="7">
        <v>5296.8</v>
      </c>
      <c r="E779" s="7">
        <v>5313</v>
      </c>
      <c r="F779" s="8">
        <v>3131700000</v>
      </c>
      <c r="G779" s="8">
        <v>20824600000</v>
      </c>
      <c r="H779">
        <f t="shared" si="12"/>
        <v>175729.31137130415</v>
      </c>
    </row>
    <row r="780" spans="1:8" x14ac:dyDescent="0.25">
      <c r="A780" s="6">
        <v>41978</v>
      </c>
      <c r="B780" s="7">
        <v>5313</v>
      </c>
      <c r="C780" s="7">
        <v>5389.4</v>
      </c>
      <c r="D780" s="7">
        <v>5207.7</v>
      </c>
      <c r="E780" s="7">
        <v>5335.3</v>
      </c>
      <c r="F780" s="8">
        <v>3360400000</v>
      </c>
      <c r="G780" s="8">
        <v>20297000000</v>
      </c>
      <c r="H780">
        <f t="shared" si="12"/>
        <v>176466.89157901733</v>
      </c>
    </row>
    <row r="781" spans="1:8" x14ac:dyDescent="0.25">
      <c r="A781" s="6">
        <v>41985</v>
      </c>
      <c r="B781" s="7">
        <v>5335.3</v>
      </c>
      <c r="C781" s="7">
        <v>5404.1</v>
      </c>
      <c r="D781" s="7">
        <v>5188</v>
      </c>
      <c r="E781" s="7">
        <v>5219.6000000000004</v>
      </c>
      <c r="F781" s="8">
        <v>3427700000</v>
      </c>
      <c r="G781" s="8">
        <v>21267800000</v>
      </c>
      <c r="H781">
        <f t="shared" si="12"/>
        <v>172640.07408877456</v>
      </c>
    </row>
    <row r="782" spans="1:8" x14ac:dyDescent="0.25">
      <c r="A782" s="6">
        <v>41992</v>
      </c>
      <c r="B782" s="7">
        <v>5219.6000000000004</v>
      </c>
      <c r="C782" s="7">
        <v>5343.1</v>
      </c>
      <c r="D782" s="7">
        <v>5142.8</v>
      </c>
      <c r="E782" s="7">
        <v>5338.6</v>
      </c>
      <c r="F782" s="8">
        <v>4091200000</v>
      </c>
      <c r="G782" s="8">
        <v>26696500000</v>
      </c>
      <c r="H782">
        <f t="shared" si="12"/>
        <v>176576.04021962063</v>
      </c>
    </row>
    <row r="783" spans="1:8" x14ac:dyDescent="0.25">
      <c r="A783" s="6">
        <v>41997</v>
      </c>
      <c r="B783" s="7">
        <v>5338.6</v>
      </c>
      <c r="C783" s="7">
        <v>5442</v>
      </c>
      <c r="D783" s="7">
        <v>5338.6</v>
      </c>
      <c r="E783" s="7">
        <v>5394.5</v>
      </c>
      <c r="F783" s="8">
        <v>1376600000</v>
      </c>
      <c r="G783" s="8">
        <v>8214300000</v>
      </c>
      <c r="H783">
        <f t="shared" si="12"/>
        <v>178424.95204074914</v>
      </c>
    </row>
    <row r="784" spans="1:8" x14ac:dyDescent="0.25">
      <c r="A784" s="6">
        <v>42006</v>
      </c>
      <c r="B784" s="7">
        <v>5394.5</v>
      </c>
      <c r="C784" s="7">
        <v>5486.7</v>
      </c>
      <c r="D784" s="7">
        <v>5387</v>
      </c>
      <c r="E784" s="7">
        <v>5435.9</v>
      </c>
      <c r="F784" s="8">
        <v>1228700000</v>
      </c>
      <c r="G784" s="8">
        <v>7028199000</v>
      </c>
      <c r="H784">
        <f t="shared" si="12"/>
        <v>179794.27135013591</v>
      </c>
    </row>
    <row r="785" spans="1:8" x14ac:dyDescent="0.25">
      <c r="A785" s="6">
        <v>42013</v>
      </c>
      <c r="B785" s="7">
        <v>5435.9</v>
      </c>
      <c r="C785" s="7">
        <v>5470.4</v>
      </c>
      <c r="D785" s="7">
        <v>5318.7</v>
      </c>
      <c r="E785" s="7">
        <v>5465.6</v>
      </c>
      <c r="F785" s="8">
        <v>2725900000</v>
      </c>
      <c r="G785" s="8">
        <v>16028500000</v>
      </c>
      <c r="H785">
        <f t="shared" si="12"/>
        <v>180776.60911556557</v>
      </c>
    </row>
    <row r="786" spans="1:8" x14ac:dyDescent="0.25">
      <c r="A786" s="6">
        <v>42020</v>
      </c>
      <c r="B786" s="7">
        <v>5465.6</v>
      </c>
      <c r="C786" s="7">
        <v>5465.6</v>
      </c>
      <c r="D786" s="7">
        <v>5267.4</v>
      </c>
      <c r="E786" s="7">
        <v>5299.2</v>
      </c>
      <c r="F786" s="8">
        <v>2819400000</v>
      </c>
      <c r="G786" s="8">
        <v>17768000000</v>
      </c>
      <c r="H786">
        <f t="shared" si="12"/>
        <v>175272.87160150852</v>
      </c>
    </row>
    <row r="787" spans="1:8" x14ac:dyDescent="0.25">
      <c r="A787" s="6">
        <v>42027</v>
      </c>
      <c r="B787" s="7">
        <v>5299.2</v>
      </c>
      <c r="C787" s="7">
        <v>5501.8</v>
      </c>
      <c r="D787" s="7">
        <v>5282.4</v>
      </c>
      <c r="E787" s="7">
        <v>5501.8</v>
      </c>
      <c r="F787" s="8">
        <v>2982200000</v>
      </c>
      <c r="G787" s="8">
        <v>18970800000</v>
      </c>
      <c r="H787">
        <f t="shared" si="12"/>
        <v>181973.93662763809</v>
      </c>
    </row>
    <row r="788" spans="1:8" x14ac:dyDescent="0.25">
      <c r="A788" s="6">
        <v>42034</v>
      </c>
      <c r="B788" s="7">
        <v>5501.8</v>
      </c>
      <c r="C788" s="7">
        <v>5619.5</v>
      </c>
      <c r="D788" s="7">
        <v>5497.3</v>
      </c>
      <c r="E788" s="7">
        <v>5588.3</v>
      </c>
      <c r="F788" s="8">
        <v>2892100000</v>
      </c>
      <c r="G788" s="8">
        <v>20728000000</v>
      </c>
      <c r="H788">
        <f t="shared" si="12"/>
        <v>184834.95402526989</v>
      </c>
    </row>
    <row r="789" spans="1:8" x14ac:dyDescent="0.25">
      <c r="A789" s="6">
        <v>42041</v>
      </c>
      <c r="B789" s="7">
        <v>5588.3</v>
      </c>
      <c r="C789" s="7">
        <v>5850.9</v>
      </c>
      <c r="D789" s="7">
        <v>5588.3</v>
      </c>
      <c r="E789" s="7">
        <v>5820.2</v>
      </c>
      <c r="F789" s="8">
        <v>3548500000</v>
      </c>
      <c r="G789" s="8">
        <v>23546600000</v>
      </c>
      <c r="H789">
        <f t="shared" si="12"/>
        <v>192505.12667857413</v>
      </c>
    </row>
    <row r="790" spans="1:8" x14ac:dyDescent="0.25">
      <c r="A790" s="6">
        <v>42048</v>
      </c>
      <c r="B790" s="7">
        <v>5820.2</v>
      </c>
      <c r="C790" s="7">
        <v>5893.5</v>
      </c>
      <c r="D790" s="7">
        <v>5739.8</v>
      </c>
      <c r="E790" s="7">
        <v>5877.5</v>
      </c>
      <c r="F790" s="8">
        <v>3632100000</v>
      </c>
      <c r="G790" s="8">
        <v>23373900000</v>
      </c>
      <c r="H790">
        <f t="shared" si="12"/>
        <v>194400.343983595</v>
      </c>
    </row>
    <row r="791" spans="1:8" x14ac:dyDescent="0.25">
      <c r="A791" s="6">
        <v>42055</v>
      </c>
      <c r="B791" s="7">
        <v>5877.5</v>
      </c>
      <c r="C791" s="7">
        <v>5946.8</v>
      </c>
      <c r="D791" s="7">
        <v>5841.9</v>
      </c>
      <c r="E791" s="7">
        <v>5881.5</v>
      </c>
      <c r="F791" s="8">
        <v>3298000000</v>
      </c>
      <c r="G791" s="8">
        <v>22603700000</v>
      </c>
      <c r="H791">
        <f t="shared" si="12"/>
        <v>194532.64536614442</v>
      </c>
    </row>
    <row r="792" spans="1:8" x14ac:dyDescent="0.25">
      <c r="A792" s="6">
        <v>42062</v>
      </c>
      <c r="B792" s="7">
        <v>5881.5</v>
      </c>
      <c r="C792" s="7">
        <v>5955.5</v>
      </c>
      <c r="D792" s="7">
        <v>5869.2</v>
      </c>
      <c r="E792" s="7">
        <v>5928.8</v>
      </c>
      <c r="F792" s="8">
        <v>4054900000</v>
      </c>
      <c r="G792" s="8">
        <v>27356100000</v>
      </c>
      <c r="H792">
        <f t="shared" si="12"/>
        <v>196097.10921479165</v>
      </c>
    </row>
    <row r="793" spans="1:8" x14ac:dyDescent="0.25">
      <c r="A793" s="6">
        <v>42069</v>
      </c>
      <c r="B793" s="7">
        <v>5928.8</v>
      </c>
      <c r="C793" s="7">
        <v>5996.9</v>
      </c>
      <c r="D793" s="7">
        <v>5869.2</v>
      </c>
      <c r="E793" s="7">
        <v>5898.9</v>
      </c>
      <c r="F793" s="8">
        <v>3263000000</v>
      </c>
      <c r="G793" s="8">
        <v>22823000000</v>
      </c>
      <c r="H793">
        <f t="shared" si="12"/>
        <v>195108.15638023452</v>
      </c>
    </row>
    <row r="794" spans="1:8" x14ac:dyDescent="0.25">
      <c r="A794" s="6">
        <v>42076</v>
      </c>
      <c r="B794" s="7">
        <v>5898.9</v>
      </c>
      <c r="C794" s="7">
        <v>5898.9</v>
      </c>
      <c r="D794" s="7">
        <v>5748.7</v>
      </c>
      <c r="E794" s="7">
        <v>5814.5</v>
      </c>
      <c r="F794" s="8">
        <v>3222200000</v>
      </c>
      <c r="G794" s="8">
        <v>19859600000</v>
      </c>
      <c r="H794">
        <f t="shared" si="12"/>
        <v>192316.59720844118</v>
      </c>
    </row>
    <row r="795" spans="1:8" x14ac:dyDescent="0.25">
      <c r="A795" s="6">
        <v>42083</v>
      </c>
      <c r="B795" s="7">
        <v>5814.5</v>
      </c>
      <c r="C795" s="7">
        <v>5979.8</v>
      </c>
      <c r="D795" s="7">
        <v>5761.6</v>
      </c>
      <c r="E795" s="7">
        <v>5975.5</v>
      </c>
      <c r="F795" s="8">
        <v>4278405000</v>
      </c>
      <c r="G795" s="8">
        <v>25815400000</v>
      </c>
      <c r="H795">
        <f t="shared" si="12"/>
        <v>197641.72785605644</v>
      </c>
    </row>
    <row r="796" spans="1:8" x14ac:dyDescent="0.25">
      <c r="A796" s="6">
        <v>42090</v>
      </c>
      <c r="B796" s="7">
        <v>5975.5</v>
      </c>
      <c r="C796" s="7">
        <v>5995</v>
      </c>
      <c r="D796" s="7">
        <v>5877.1</v>
      </c>
      <c r="E796" s="7">
        <v>5919.9</v>
      </c>
      <c r="F796" s="8">
        <v>2853280000</v>
      </c>
      <c r="G796" s="8">
        <v>22217450000</v>
      </c>
      <c r="H796">
        <f t="shared" si="12"/>
        <v>195802.73863861911</v>
      </c>
    </row>
    <row r="797" spans="1:8" x14ac:dyDescent="0.25">
      <c r="A797" s="6">
        <v>42096</v>
      </c>
      <c r="B797" s="7">
        <v>5919.9</v>
      </c>
      <c r="C797" s="7">
        <v>5931.5</v>
      </c>
      <c r="D797" s="7">
        <v>5828.1</v>
      </c>
      <c r="E797" s="7">
        <v>5898.6</v>
      </c>
      <c r="F797" s="8">
        <v>2656092000</v>
      </c>
      <c r="G797" s="8">
        <v>23090620000</v>
      </c>
      <c r="H797">
        <f t="shared" si="12"/>
        <v>195098.23377654332</v>
      </c>
    </row>
    <row r="798" spans="1:8" x14ac:dyDescent="0.25">
      <c r="A798" s="6">
        <v>42104</v>
      </c>
      <c r="B798" s="7">
        <v>5898.6</v>
      </c>
      <c r="C798" s="7">
        <v>5981.7</v>
      </c>
      <c r="D798" s="7">
        <v>5898.6</v>
      </c>
      <c r="E798" s="7">
        <v>5968.4</v>
      </c>
      <c r="F798" s="8">
        <v>1942460000</v>
      </c>
      <c r="G798" s="8">
        <v>14788490000</v>
      </c>
      <c r="H798">
        <f t="shared" si="12"/>
        <v>197406.89290203116</v>
      </c>
    </row>
    <row r="799" spans="1:8" x14ac:dyDescent="0.25">
      <c r="A799" s="6">
        <v>42111</v>
      </c>
      <c r="B799" s="7">
        <v>5968.4</v>
      </c>
      <c r="C799" s="7">
        <v>5996.4</v>
      </c>
      <c r="D799" s="7">
        <v>5869.5</v>
      </c>
      <c r="E799" s="7">
        <v>5877.9</v>
      </c>
      <c r="F799" s="8">
        <v>2684244000</v>
      </c>
      <c r="G799" s="8">
        <v>19445630000</v>
      </c>
      <c r="H799">
        <f t="shared" si="12"/>
        <v>194413.5741218499</v>
      </c>
    </row>
    <row r="800" spans="1:8" x14ac:dyDescent="0.25">
      <c r="A800" s="6">
        <v>42118</v>
      </c>
      <c r="B800" s="7">
        <v>5877.9</v>
      </c>
      <c r="C800" s="7">
        <v>5935</v>
      </c>
      <c r="D800" s="7">
        <v>5807.8</v>
      </c>
      <c r="E800" s="7">
        <v>5933.3</v>
      </c>
      <c r="F800" s="8">
        <v>2844536000</v>
      </c>
      <c r="G800" s="8">
        <v>21457770000</v>
      </c>
      <c r="H800">
        <f t="shared" si="12"/>
        <v>196245.94827015977</v>
      </c>
    </row>
    <row r="801" spans="1:8" x14ac:dyDescent="0.25">
      <c r="A801" s="6">
        <v>42125</v>
      </c>
      <c r="B801" s="7">
        <v>5933.3</v>
      </c>
      <c r="C801" s="7">
        <v>5985.6</v>
      </c>
      <c r="D801" s="7">
        <v>5749.9</v>
      </c>
      <c r="E801" s="7">
        <v>5814.4</v>
      </c>
      <c r="F801" s="8">
        <v>3009897000</v>
      </c>
      <c r="G801" s="8">
        <v>23225660000</v>
      </c>
      <c r="H801">
        <f t="shared" si="12"/>
        <v>192313.28967387741</v>
      </c>
    </row>
    <row r="802" spans="1:8" x14ac:dyDescent="0.25">
      <c r="A802" s="6">
        <v>42132</v>
      </c>
      <c r="B802" s="7">
        <v>5814.4</v>
      </c>
      <c r="C802" s="7">
        <v>5901.8</v>
      </c>
      <c r="D802" s="7">
        <v>5606.7</v>
      </c>
      <c r="E802" s="7">
        <v>5634.6</v>
      </c>
      <c r="F802" s="8">
        <v>3126331000</v>
      </c>
      <c r="G802" s="8">
        <v>25243850000</v>
      </c>
      <c r="H802">
        <f t="shared" si="12"/>
        <v>186366.34252827975</v>
      </c>
    </row>
    <row r="803" spans="1:8" x14ac:dyDescent="0.25">
      <c r="A803" s="6">
        <v>42139</v>
      </c>
      <c r="B803" s="7">
        <v>5634.6</v>
      </c>
      <c r="C803" s="7">
        <v>5747</v>
      </c>
      <c r="D803" s="7">
        <v>5616</v>
      </c>
      <c r="E803" s="7">
        <v>5735.5</v>
      </c>
      <c r="F803" s="8">
        <v>3251495000</v>
      </c>
      <c r="G803" s="8">
        <v>24159530000</v>
      </c>
      <c r="H803">
        <f t="shared" si="12"/>
        <v>189703.64490308959</v>
      </c>
    </row>
    <row r="804" spans="1:8" x14ac:dyDescent="0.25">
      <c r="A804" s="6">
        <v>42146</v>
      </c>
      <c r="B804" s="7">
        <v>5735.5</v>
      </c>
      <c r="C804" s="7">
        <v>5735.5</v>
      </c>
      <c r="D804" s="7">
        <v>5574.6</v>
      </c>
      <c r="E804" s="7">
        <v>5664.7</v>
      </c>
      <c r="F804" s="8">
        <v>3376377000</v>
      </c>
      <c r="G804" s="8">
        <v>23117180000</v>
      </c>
      <c r="H804">
        <f t="shared" si="12"/>
        <v>187361.91043196435</v>
      </c>
    </row>
    <row r="805" spans="1:8" x14ac:dyDescent="0.25">
      <c r="A805" s="6">
        <v>42153</v>
      </c>
      <c r="B805" s="7">
        <v>5664.7</v>
      </c>
      <c r="C805" s="7">
        <v>5803</v>
      </c>
      <c r="D805" s="7">
        <v>5664.7</v>
      </c>
      <c r="E805" s="7">
        <v>5777.2</v>
      </c>
      <c r="F805" s="8">
        <v>3310058000</v>
      </c>
      <c r="G805" s="8">
        <v>24422390000</v>
      </c>
      <c r="H805">
        <f t="shared" si="12"/>
        <v>191082.88681616756</v>
      </c>
    </row>
    <row r="806" spans="1:8" x14ac:dyDescent="0.25">
      <c r="A806" s="6">
        <v>42160</v>
      </c>
      <c r="B806" s="7">
        <v>5777.2</v>
      </c>
      <c r="C806" s="7">
        <v>5777.2</v>
      </c>
      <c r="D806" s="7">
        <v>5470</v>
      </c>
      <c r="E806" s="7">
        <v>5498.5</v>
      </c>
      <c r="F806" s="8">
        <v>2984498000</v>
      </c>
      <c r="G806" s="8">
        <v>21324940000</v>
      </c>
      <c r="H806">
        <f t="shared" si="12"/>
        <v>181864.7879870348</v>
      </c>
    </row>
    <row r="807" spans="1:8" x14ac:dyDescent="0.25">
      <c r="A807" s="6">
        <v>42167</v>
      </c>
      <c r="B807" s="7">
        <v>5498.5</v>
      </c>
      <c r="C807" s="7">
        <v>5556.7</v>
      </c>
      <c r="D807" s="7">
        <v>5453.1</v>
      </c>
      <c r="E807" s="7">
        <v>5545.3</v>
      </c>
      <c r="F807" s="8">
        <v>2260442000</v>
      </c>
      <c r="G807" s="8">
        <v>14955940000</v>
      </c>
      <c r="H807">
        <f t="shared" si="12"/>
        <v>183412.71416286335</v>
      </c>
    </row>
    <row r="808" spans="1:8" x14ac:dyDescent="0.25">
      <c r="A808" s="6">
        <v>42174</v>
      </c>
      <c r="B808" s="7">
        <v>5545.3</v>
      </c>
      <c r="C808" s="7">
        <v>5612.2</v>
      </c>
      <c r="D808" s="7">
        <v>5492.1</v>
      </c>
      <c r="E808" s="7">
        <v>5597</v>
      </c>
      <c r="F808" s="8">
        <v>4002037000</v>
      </c>
      <c r="G808" s="8">
        <v>26140280000</v>
      </c>
      <c r="H808">
        <f t="shared" si="12"/>
        <v>185122.70953231497</v>
      </c>
    </row>
    <row r="809" spans="1:8" x14ac:dyDescent="0.25">
      <c r="A809" s="6">
        <v>42181</v>
      </c>
      <c r="B809" s="7">
        <v>5597</v>
      </c>
      <c r="C809" s="7">
        <v>5705.8</v>
      </c>
      <c r="D809" s="7">
        <v>5524.1</v>
      </c>
      <c r="E809" s="7">
        <v>5545.9</v>
      </c>
      <c r="F809" s="8">
        <v>3288528000</v>
      </c>
      <c r="G809" s="8">
        <v>23981460000</v>
      </c>
      <c r="H809">
        <f t="shared" si="12"/>
        <v>183432.55937024576</v>
      </c>
    </row>
    <row r="810" spans="1:8" x14ac:dyDescent="0.25">
      <c r="A810" s="6">
        <v>42188</v>
      </c>
      <c r="B810" s="7">
        <v>5545.9</v>
      </c>
      <c r="C810" s="7">
        <v>5609.9</v>
      </c>
      <c r="D810" s="7">
        <v>5390.5</v>
      </c>
      <c r="E810" s="7">
        <v>5538.3</v>
      </c>
      <c r="F810" s="8">
        <v>3399940000</v>
      </c>
      <c r="G810" s="8">
        <v>21705090000</v>
      </c>
      <c r="H810">
        <f t="shared" si="12"/>
        <v>183181.18674340181</v>
      </c>
    </row>
    <row r="811" spans="1:8" x14ac:dyDescent="0.25">
      <c r="A811" s="6">
        <v>42195</v>
      </c>
      <c r="B811" s="7">
        <v>5538.3</v>
      </c>
      <c r="C811" s="7">
        <v>5586.2</v>
      </c>
      <c r="D811" s="7">
        <v>5383.7</v>
      </c>
      <c r="E811" s="7">
        <v>5492</v>
      </c>
      <c r="F811" s="8">
        <v>2915049000</v>
      </c>
      <c r="G811" s="8">
        <v>19897660000</v>
      </c>
      <c r="H811">
        <f t="shared" si="12"/>
        <v>181649.79824039195</v>
      </c>
    </row>
    <row r="812" spans="1:8" x14ac:dyDescent="0.25">
      <c r="A812" s="6">
        <v>42202</v>
      </c>
      <c r="B812" s="7">
        <v>5492</v>
      </c>
      <c r="C812" s="7">
        <v>5691.2</v>
      </c>
      <c r="D812" s="7">
        <v>5451.1</v>
      </c>
      <c r="E812" s="7">
        <v>5670.1</v>
      </c>
      <c r="F812" s="8">
        <v>2596439000</v>
      </c>
      <c r="G812" s="8">
        <v>17602810000</v>
      </c>
      <c r="H812">
        <f t="shared" si="12"/>
        <v>187540.51729840614</v>
      </c>
    </row>
    <row r="813" spans="1:8" x14ac:dyDescent="0.25">
      <c r="A813" s="6">
        <v>42209</v>
      </c>
      <c r="B813" s="7">
        <v>5670.1</v>
      </c>
      <c r="C813" s="7">
        <v>5718.9</v>
      </c>
      <c r="D813" s="7">
        <v>5548</v>
      </c>
      <c r="E813" s="7">
        <v>5566.1</v>
      </c>
      <c r="F813" s="8">
        <v>2593404000</v>
      </c>
      <c r="G813" s="8">
        <v>17512910000</v>
      </c>
      <c r="H813">
        <f t="shared" si="12"/>
        <v>184100.6813521205</v>
      </c>
    </row>
    <row r="814" spans="1:8" x14ac:dyDescent="0.25">
      <c r="A814" s="6">
        <v>42216</v>
      </c>
      <c r="B814" s="7">
        <v>5565.9</v>
      </c>
      <c r="C814" s="7">
        <v>5699.5</v>
      </c>
      <c r="D814" s="7">
        <v>5530.9</v>
      </c>
      <c r="E814" s="7">
        <v>5699.2</v>
      </c>
      <c r="F814" s="8">
        <v>2884478000</v>
      </c>
      <c r="G814" s="8">
        <v>20920350000</v>
      </c>
      <c r="H814">
        <f t="shared" si="12"/>
        <v>188503.00985645334</v>
      </c>
    </row>
    <row r="815" spans="1:8" x14ac:dyDescent="0.25">
      <c r="A815" s="6">
        <v>42223</v>
      </c>
      <c r="B815" s="7">
        <v>5699.2</v>
      </c>
      <c r="C815" s="7">
        <v>5727.7</v>
      </c>
      <c r="D815" s="7">
        <v>5474.8</v>
      </c>
      <c r="E815" s="7">
        <v>5474.8</v>
      </c>
      <c r="F815" s="8">
        <v>2799559000</v>
      </c>
      <c r="G815" s="8">
        <v>19853080000</v>
      </c>
      <c r="H815">
        <f t="shared" si="12"/>
        <v>181080.90229542932</v>
      </c>
    </row>
    <row r="816" spans="1:8" x14ac:dyDescent="0.25">
      <c r="A816" s="6">
        <v>42230</v>
      </c>
      <c r="B816" s="7">
        <v>5474.8</v>
      </c>
      <c r="C816" s="7">
        <v>5543.2</v>
      </c>
      <c r="D816" s="7">
        <v>5351.5</v>
      </c>
      <c r="E816" s="7">
        <v>5356.5</v>
      </c>
      <c r="F816" s="8">
        <v>3074173000</v>
      </c>
      <c r="G816" s="8">
        <v>21542660000</v>
      </c>
      <c r="H816">
        <f t="shared" si="12"/>
        <v>177168.08890652939</v>
      </c>
    </row>
    <row r="817" spans="1:8" x14ac:dyDescent="0.25">
      <c r="A817" s="6">
        <v>42237</v>
      </c>
      <c r="B817" s="7">
        <v>5356.5</v>
      </c>
      <c r="C817" s="7">
        <v>5397</v>
      </c>
      <c r="D817" s="7">
        <v>5171.5</v>
      </c>
      <c r="E817" s="7">
        <v>5214.6000000000004</v>
      </c>
      <c r="F817" s="8">
        <v>3530497000</v>
      </c>
      <c r="G817" s="8">
        <v>26654030000</v>
      </c>
      <c r="H817">
        <f t="shared" si="12"/>
        <v>172474.69736058774</v>
      </c>
    </row>
    <row r="818" spans="1:8" x14ac:dyDescent="0.25">
      <c r="A818" s="6">
        <v>42244</v>
      </c>
      <c r="B818" s="7">
        <v>5207.6000000000004</v>
      </c>
      <c r="C818" s="7">
        <v>5305</v>
      </c>
      <c r="D818" s="7">
        <v>4928.3</v>
      </c>
      <c r="E818" s="7">
        <v>5263.6</v>
      </c>
      <c r="F818" s="8">
        <v>5153021000</v>
      </c>
      <c r="G818" s="8">
        <v>35264520000</v>
      </c>
      <c r="H818">
        <f t="shared" si="12"/>
        <v>174095.38929681847</v>
      </c>
    </row>
    <row r="819" spans="1:8" x14ac:dyDescent="0.25">
      <c r="A819" s="6">
        <v>42251</v>
      </c>
      <c r="B819" s="7">
        <v>5263.6</v>
      </c>
      <c r="C819" s="7">
        <v>5263.6</v>
      </c>
      <c r="D819" s="7">
        <v>4995.6000000000004</v>
      </c>
      <c r="E819" s="7">
        <v>5040.6000000000004</v>
      </c>
      <c r="F819" s="8">
        <v>4134574000</v>
      </c>
      <c r="G819" s="8">
        <v>25682070000</v>
      </c>
      <c r="H819">
        <f t="shared" si="12"/>
        <v>166719.58721968674</v>
      </c>
    </row>
    <row r="820" spans="1:8" x14ac:dyDescent="0.25">
      <c r="A820" s="6">
        <v>42258</v>
      </c>
      <c r="B820" s="7">
        <v>5040.6000000000004</v>
      </c>
      <c r="C820" s="7">
        <v>5221.1000000000004</v>
      </c>
      <c r="D820" s="7">
        <v>4973.3999999999996</v>
      </c>
      <c r="E820" s="7">
        <v>5071.1000000000004</v>
      </c>
      <c r="F820" s="8">
        <v>3619583000</v>
      </c>
      <c r="G820" s="8">
        <v>23291290000</v>
      </c>
      <c r="H820">
        <f t="shared" si="12"/>
        <v>167728.3852616263</v>
      </c>
    </row>
    <row r="821" spans="1:8" x14ac:dyDescent="0.25">
      <c r="A821" s="6">
        <v>42265</v>
      </c>
      <c r="B821" s="7">
        <v>5071.1000000000004</v>
      </c>
      <c r="C821" s="7">
        <v>5195</v>
      </c>
      <c r="D821" s="7">
        <v>5017.8</v>
      </c>
      <c r="E821" s="7">
        <v>5170.5</v>
      </c>
      <c r="F821" s="8">
        <v>3993982000</v>
      </c>
      <c r="G821" s="8">
        <v>24971320000</v>
      </c>
      <c r="H821">
        <f t="shared" si="12"/>
        <v>171016.07461798008</v>
      </c>
    </row>
    <row r="822" spans="1:8" x14ac:dyDescent="0.25">
      <c r="A822" s="6">
        <v>42272</v>
      </c>
      <c r="B822" s="7">
        <v>5170.5</v>
      </c>
      <c r="C822" s="7">
        <v>5170.5</v>
      </c>
      <c r="D822" s="7">
        <v>4988.8</v>
      </c>
      <c r="E822" s="7">
        <v>5042.1000000000004</v>
      </c>
      <c r="F822" s="8">
        <v>3110852000</v>
      </c>
      <c r="G822" s="8">
        <v>21608820000</v>
      </c>
      <c r="H822">
        <f t="shared" si="12"/>
        <v>166769.2002381428</v>
      </c>
    </row>
    <row r="823" spans="1:8" x14ac:dyDescent="0.25">
      <c r="A823" s="6">
        <v>42279</v>
      </c>
      <c r="B823" s="7">
        <v>5042.1000000000004</v>
      </c>
      <c r="C823" s="7">
        <v>5119.2</v>
      </c>
      <c r="D823" s="7">
        <v>4918.3999999999996</v>
      </c>
      <c r="E823" s="7">
        <v>5052</v>
      </c>
      <c r="F823" s="8">
        <v>3245816000</v>
      </c>
      <c r="G823" s="8">
        <v>21220890000</v>
      </c>
      <c r="H823">
        <f t="shared" si="12"/>
        <v>167096.64615995265</v>
      </c>
    </row>
    <row r="824" spans="1:8" x14ac:dyDescent="0.25">
      <c r="A824" s="6">
        <v>42286</v>
      </c>
      <c r="B824" s="7">
        <v>5052</v>
      </c>
      <c r="C824" s="7">
        <v>5284</v>
      </c>
      <c r="D824" s="7">
        <v>5052</v>
      </c>
      <c r="E824" s="7">
        <v>5279.7</v>
      </c>
      <c r="F824" s="8">
        <v>2846176000</v>
      </c>
      <c r="G824" s="8">
        <v>19634390000</v>
      </c>
      <c r="H824">
        <f t="shared" si="12"/>
        <v>174627.90236157997</v>
      </c>
    </row>
    <row r="825" spans="1:8" x14ac:dyDescent="0.25">
      <c r="A825" s="6">
        <v>42293</v>
      </c>
      <c r="B825" s="7">
        <v>5279.7</v>
      </c>
      <c r="C825" s="7">
        <v>5294.3</v>
      </c>
      <c r="D825" s="7">
        <v>5164.2</v>
      </c>
      <c r="E825" s="7">
        <v>5268.2</v>
      </c>
      <c r="F825" s="8">
        <v>3072248000</v>
      </c>
      <c r="G825" s="8">
        <v>19887090000</v>
      </c>
      <c r="H825">
        <f t="shared" si="12"/>
        <v>174247.53588675029</v>
      </c>
    </row>
    <row r="826" spans="1:8" x14ac:dyDescent="0.25">
      <c r="A826" s="6">
        <v>42300</v>
      </c>
      <c r="B826" s="7">
        <v>5268.2</v>
      </c>
      <c r="C826" s="7">
        <v>5374.5</v>
      </c>
      <c r="D826" s="7">
        <v>5195.3999999999996</v>
      </c>
      <c r="E826" s="7">
        <v>5351.6</v>
      </c>
      <c r="F826" s="8">
        <v>2879281000</v>
      </c>
      <c r="G826" s="8">
        <v>18837890000</v>
      </c>
      <c r="H826">
        <f t="shared" si="12"/>
        <v>177006.0197129063</v>
      </c>
    </row>
    <row r="827" spans="1:8" x14ac:dyDescent="0.25">
      <c r="A827" s="6">
        <v>42307</v>
      </c>
      <c r="B827" s="7">
        <v>5351.6</v>
      </c>
      <c r="C827" s="7">
        <v>5384.8</v>
      </c>
      <c r="D827" s="7">
        <v>5204</v>
      </c>
      <c r="E827" s="7">
        <v>5239.3999999999996</v>
      </c>
      <c r="F827" s="8">
        <v>3044601000</v>
      </c>
      <c r="G827" s="8">
        <v>22687240000</v>
      </c>
      <c r="H827">
        <f t="shared" si="12"/>
        <v>173294.96593239426</v>
      </c>
    </row>
    <row r="828" spans="1:8" x14ac:dyDescent="0.25">
      <c r="A828" s="6">
        <v>42314</v>
      </c>
      <c r="B828" s="7">
        <v>5239.3999999999996</v>
      </c>
      <c r="C828" s="7">
        <v>5313.7</v>
      </c>
      <c r="D828" s="7">
        <v>5152.8</v>
      </c>
      <c r="E828" s="7">
        <v>5215</v>
      </c>
      <c r="F828" s="8">
        <v>2758206000</v>
      </c>
      <c r="G828" s="8">
        <v>20532660000</v>
      </c>
      <c r="H828">
        <f t="shared" si="12"/>
        <v>172487.92749884265</v>
      </c>
    </row>
    <row r="829" spans="1:8" x14ac:dyDescent="0.25">
      <c r="A829" s="6">
        <v>42321</v>
      </c>
      <c r="B829" s="7">
        <v>5215</v>
      </c>
      <c r="C829" s="7">
        <v>5215</v>
      </c>
      <c r="D829" s="7">
        <v>5010.3999999999996</v>
      </c>
      <c r="E829" s="7">
        <v>5051.3</v>
      </c>
      <c r="F829" s="8">
        <v>3164264000</v>
      </c>
      <c r="G829" s="8">
        <v>22125480000</v>
      </c>
      <c r="H829">
        <f t="shared" si="12"/>
        <v>167073.49341800652</v>
      </c>
    </row>
    <row r="830" spans="1:8" x14ac:dyDescent="0.25">
      <c r="A830" s="6">
        <v>42328</v>
      </c>
      <c r="B830" s="7">
        <v>5051.3</v>
      </c>
      <c r="C830" s="7">
        <v>5272</v>
      </c>
      <c r="D830" s="7">
        <v>4979.2</v>
      </c>
      <c r="E830" s="7">
        <v>5256.1</v>
      </c>
      <c r="F830" s="8">
        <v>3061880000</v>
      </c>
      <c r="G830" s="8">
        <v>20542100000</v>
      </c>
      <c r="H830">
        <f t="shared" si="12"/>
        <v>173847.32420453828</v>
      </c>
    </row>
    <row r="831" spans="1:8" x14ac:dyDescent="0.25">
      <c r="A831" s="6">
        <v>42335</v>
      </c>
      <c r="B831" s="7">
        <v>5256.1</v>
      </c>
      <c r="C831" s="7">
        <v>5285.5</v>
      </c>
      <c r="D831" s="7">
        <v>5185.8</v>
      </c>
      <c r="E831" s="7">
        <v>5202.6000000000004</v>
      </c>
      <c r="F831" s="8">
        <v>3436125000</v>
      </c>
      <c r="G831" s="8">
        <v>20595240000</v>
      </c>
      <c r="H831">
        <f t="shared" si="12"/>
        <v>172077.7932129394</v>
      </c>
    </row>
    <row r="832" spans="1:8" x14ac:dyDescent="0.25">
      <c r="A832" s="6">
        <v>42342</v>
      </c>
      <c r="B832" s="7">
        <v>5202.6000000000004</v>
      </c>
      <c r="C832" s="7">
        <v>5279.3</v>
      </c>
      <c r="D832" s="7">
        <v>5117.6000000000004</v>
      </c>
      <c r="E832" s="7">
        <v>5151.6000000000004</v>
      </c>
      <c r="F832" s="8">
        <v>4347590000</v>
      </c>
      <c r="G832" s="8">
        <v>25699150000</v>
      </c>
      <c r="H832">
        <f t="shared" si="12"/>
        <v>170390.95058543392</v>
      </c>
    </row>
    <row r="833" spans="1:8" x14ac:dyDescent="0.25">
      <c r="A833" s="6">
        <v>42349</v>
      </c>
      <c r="B833" s="7">
        <v>5151.6000000000004</v>
      </c>
      <c r="C833" s="7">
        <v>5229.8999999999996</v>
      </c>
      <c r="D833" s="7">
        <v>4995.6000000000004</v>
      </c>
      <c r="E833" s="7">
        <v>5029.3999999999996</v>
      </c>
      <c r="F833" s="8">
        <v>3636746000</v>
      </c>
      <c r="G833" s="8">
        <v>20812930000</v>
      </c>
      <c r="H833">
        <f t="shared" si="12"/>
        <v>166349.14334854827</v>
      </c>
    </row>
    <row r="834" spans="1:8" x14ac:dyDescent="0.25">
      <c r="A834" s="6">
        <v>42356</v>
      </c>
      <c r="B834" s="7">
        <v>5029.5</v>
      </c>
      <c r="C834" s="7">
        <v>5129.1000000000004</v>
      </c>
      <c r="D834" s="7">
        <v>4909.6000000000004</v>
      </c>
      <c r="E834" s="7">
        <v>5106.7</v>
      </c>
      <c r="F834" s="8">
        <v>4342177000</v>
      </c>
      <c r="G834" s="8">
        <v>28115090000</v>
      </c>
      <c r="H834">
        <f t="shared" si="12"/>
        <v>168905.86756631636</v>
      </c>
    </row>
    <row r="835" spans="1:8" x14ac:dyDescent="0.25">
      <c r="A835" s="6">
        <v>42362</v>
      </c>
      <c r="B835" s="7">
        <v>5106.7</v>
      </c>
      <c r="C835" s="7">
        <v>5211.5</v>
      </c>
      <c r="D835" s="7">
        <v>5075.2</v>
      </c>
      <c r="E835" s="7">
        <v>5207.6000000000004</v>
      </c>
      <c r="F835" s="8">
        <v>1566529000</v>
      </c>
      <c r="G835" s="8">
        <v>10391490000</v>
      </c>
      <c r="H835">
        <f t="shared" si="12"/>
        <v>172243.16994112619</v>
      </c>
    </row>
    <row r="836" spans="1:8" x14ac:dyDescent="0.25">
      <c r="A836" s="6">
        <v>42369</v>
      </c>
      <c r="B836" s="7">
        <v>5207.6000000000004</v>
      </c>
      <c r="C836" s="7">
        <v>5325.8</v>
      </c>
      <c r="D836" s="7">
        <v>5189.1000000000004</v>
      </c>
      <c r="E836" s="7">
        <v>5295.9</v>
      </c>
      <c r="F836" s="8">
        <v>961458200</v>
      </c>
      <c r="G836" s="8">
        <v>7191158000</v>
      </c>
      <c r="H836">
        <f t="shared" ref="H836:H899" si="13">H835*(E836/E835)</f>
        <v>175163.72296090526</v>
      </c>
    </row>
    <row r="837" spans="1:8" x14ac:dyDescent="0.25">
      <c r="A837" s="6">
        <v>42377</v>
      </c>
      <c r="B837" s="7">
        <v>5295.9</v>
      </c>
      <c r="C837" s="7">
        <v>5331.4</v>
      </c>
      <c r="D837" s="7">
        <v>4940.3</v>
      </c>
      <c r="E837" s="7">
        <v>4990.8</v>
      </c>
      <c r="F837" s="8">
        <v>2622828000</v>
      </c>
      <c r="G837" s="8">
        <v>17930010000</v>
      </c>
      <c r="H837">
        <f t="shared" si="13"/>
        <v>165072.43500694612</v>
      </c>
    </row>
    <row r="838" spans="1:8" x14ac:dyDescent="0.25">
      <c r="A838" s="6">
        <v>42384</v>
      </c>
      <c r="B838" s="7">
        <v>4990.8</v>
      </c>
      <c r="C838" s="7">
        <v>4997.1000000000004</v>
      </c>
      <c r="D838" s="7">
        <v>4865</v>
      </c>
      <c r="E838" s="7">
        <v>4892.8</v>
      </c>
      <c r="F838" s="8">
        <v>2974969000</v>
      </c>
      <c r="G838" s="8">
        <v>18948490000</v>
      </c>
      <c r="H838">
        <f t="shared" si="13"/>
        <v>161831.05113448465</v>
      </c>
    </row>
    <row r="839" spans="1:8" x14ac:dyDescent="0.25">
      <c r="A839" s="6">
        <v>42391</v>
      </c>
      <c r="B839" s="7">
        <v>4892.8</v>
      </c>
      <c r="C839" s="7">
        <v>4932.1000000000004</v>
      </c>
      <c r="D839" s="7">
        <v>4803.8999999999996</v>
      </c>
      <c r="E839" s="7">
        <v>4916</v>
      </c>
      <c r="F839" s="8">
        <v>3117732000</v>
      </c>
      <c r="G839" s="8">
        <v>20800140000</v>
      </c>
      <c r="H839">
        <f t="shared" si="13"/>
        <v>162598.39915327143</v>
      </c>
    </row>
    <row r="840" spans="1:8" x14ac:dyDescent="0.25">
      <c r="A840" s="6">
        <v>42398</v>
      </c>
      <c r="B840" s="7">
        <v>4916</v>
      </c>
      <c r="C840" s="7">
        <v>5009.5</v>
      </c>
      <c r="D840" s="7">
        <v>4909.3999999999996</v>
      </c>
      <c r="E840" s="7">
        <v>5005.5</v>
      </c>
      <c r="F840" s="8">
        <v>2672769000</v>
      </c>
      <c r="G840" s="8">
        <v>17955070000</v>
      </c>
      <c r="H840">
        <f t="shared" si="13"/>
        <v>165558.64258781532</v>
      </c>
    </row>
    <row r="841" spans="1:8" x14ac:dyDescent="0.25">
      <c r="A841" s="6">
        <v>42405</v>
      </c>
      <c r="B841" s="7">
        <v>5005.5</v>
      </c>
      <c r="C841" s="7">
        <v>5073</v>
      </c>
      <c r="D841" s="7">
        <v>4873.6000000000004</v>
      </c>
      <c r="E841" s="7">
        <v>4976.2</v>
      </c>
      <c r="F841" s="8">
        <v>3362587000</v>
      </c>
      <c r="G841" s="8">
        <v>21715060000</v>
      </c>
      <c r="H841">
        <f t="shared" si="13"/>
        <v>164589.53496064059</v>
      </c>
    </row>
    <row r="842" spans="1:8" x14ac:dyDescent="0.25">
      <c r="A842" s="6">
        <v>42412</v>
      </c>
      <c r="B842" s="7">
        <v>4976.2</v>
      </c>
      <c r="C842" s="7">
        <v>4980</v>
      </c>
      <c r="D842" s="7">
        <v>4706.7</v>
      </c>
      <c r="E842" s="7">
        <v>4765.3</v>
      </c>
      <c r="F842" s="8">
        <v>3491737000</v>
      </c>
      <c r="G842" s="8">
        <v>23644500000</v>
      </c>
      <c r="H842">
        <f t="shared" si="13"/>
        <v>157613.94456572097</v>
      </c>
    </row>
    <row r="843" spans="1:8" x14ac:dyDescent="0.25">
      <c r="A843" s="6">
        <v>42419</v>
      </c>
      <c r="B843" s="7">
        <v>4765.3</v>
      </c>
      <c r="C843" s="7">
        <v>4992.6000000000004</v>
      </c>
      <c r="D843" s="7">
        <v>4765.3</v>
      </c>
      <c r="E843" s="7">
        <v>4952.8</v>
      </c>
      <c r="F843" s="8">
        <v>3728049000</v>
      </c>
      <c r="G843" s="8">
        <v>23782230000</v>
      </c>
      <c r="H843">
        <f t="shared" si="13"/>
        <v>163815.57187272632</v>
      </c>
    </row>
    <row r="844" spans="1:8" x14ac:dyDescent="0.25">
      <c r="A844" s="6">
        <v>42426</v>
      </c>
      <c r="B844" s="7">
        <v>4952.8</v>
      </c>
      <c r="C844" s="7">
        <v>5035.6000000000004</v>
      </c>
      <c r="D844" s="7">
        <v>4838.3</v>
      </c>
      <c r="E844" s="7">
        <v>4880</v>
      </c>
      <c r="F844" s="8">
        <v>3615045000</v>
      </c>
      <c r="G844" s="8">
        <v>24828630000</v>
      </c>
      <c r="H844">
        <f t="shared" si="13"/>
        <v>161407.68671032635</v>
      </c>
    </row>
    <row r="845" spans="1:8" x14ac:dyDescent="0.25">
      <c r="A845" s="6">
        <v>42433</v>
      </c>
      <c r="B845" s="7">
        <v>4880</v>
      </c>
      <c r="C845" s="7">
        <v>5105</v>
      </c>
      <c r="D845" s="7">
        <v>4868.1000000000004</v>
      </c>
      <c r="E845" s="7">
        <v>5090</v>
      </c>
      <c r="F845" s="8">
        <v>4076148000</v>
      </c>
      <c r="G845" s="8">
        <v>26372020000</v>
      </c>
      <c r="H845">
        <f t="shared" si="13"/>
        <v>168353.50929417234</v>
      </c>
    </row>
    <row r="846" spans="1:8" x14ac:dyDescent="0.25">
      <c r="A846" s="6">
        <v>42440</v>
      </c>
      <c r="B846" s="7">
        <v>5090</v>
      </c>
      <c r="C846" s="7">
        <v>5182.5</v>
      </c>
      <c r="D846" s="7">
        <v>5081.8999999999996</v>
      </c>
      <c r="E846" s="7">
        <v>5166.3999999999996</v>
      </c>
      <c r="F846" s="8">
        <v>3634562000</v>
      </c>
      <c r="G846" s="8">
        <v>22615610000</v>
      </c>
      <c r="H846">
        <f t="shared" si="13"/>
        <v>170880.4657008668</v>
      </c>
    </row>
    <row r="847" spans="1:8" x14ac:dyDescent="0.25">
      <c r="A847" s="6">
        <v>42447</v>
      </c>
      <c r="B847" s="7">
        <v>5166.3999999999996</v>
      </c>
      <c r="C847" s="7">
        <v>5216.2</v>
      </c>
      <c r="D847" s="7">
        <v>5088.2</v>
      </c>
      <c r="E847" s="7">
        <v>5183.1000000000004</v>
      </c>
      <c r="F847" s="8">
        <v>3911298000</v>
      </c>
      <c r="G847" s="8">
        <v>24717220000</v>
      </c>
      <c r="H847">
        <f t="shared" si="13"/>
        <v>171432.82397301079</v>
      </c>
    </row>
    <row r="848" spans="1:8" x14ac:dyDescent="0.25">
      <c r="A848" s="6">
        <v>42453</v>
      </c>
      <c r="B848" s="7">
        <v>5183.1000000000004</v>
      </c>
      <c r="C848" s="7">
        <v>5195.7</v>
      </c>
      <c r="D848" s="7">
        <v>5069.2</v>
      </c>
      <c r="E848" s="7">
        <v>5084.2</v>
      </c>
      <c r="F848" s="8">
        <v>2217786000</v>
      </c>
      <c r="G848" s="8">
        <v>17047970000</v>
      </c>
      <c r="H848">
        <f t="shared" si="13"/>
        <v>168161.67228947565</v>
      </c>
    </row>
    <row r="849" spans="1:8" x14ac:dyDescent="0.25">
      <c r="A849" s="6">
        <v>42461</v>
      </c>
      <c r="B849" s="7">
        <v>5084.2</v>
      </c>
      <c r="C849" s="7">
        <v>5098.2</v>
      </c>
      <c r="D849" s="7">
        <v>4976.3</v>
      </c>
      <c r="E849" s="7">
        <v>4999.3999999999996</v>
      </c>
      <c r="F849" s="8">
        <v>2209478000</v>
      </c>
      <c r="G849" s="8">
        <v>16089920000</v>
      </c>
      <c r="H849">
        <f t="shared" si="13"/>
        <v>165356.88297942735</v>
      </c>
    </row>
    <row r="850" spans="1:8" x14ac:dyDescent="0.25">
      <c r="A850" s="6">
        <v>42468</v>
      </c>
      <c r="B850" s="7">
        <v>4999.3999999999996</v>
      </c>
      <c r="C850" s="7">
        <v>5046.3</v>
      </c>
      <c r="D850" s="7">
        <v>4893.5</v>
      </c>
      <c r="E850" s="7">
        <v>4937.6000000000004</v>
      </c>
      <c r="F850" s="8">
        <v>2496564000</v>
      </c>
      <c r="G850" s="8">
        <v>17359850000</v>
      </c>
      <c r="H850">
        <f t="shared" si="13"/>
        <v>163312.82661903839</v>
      </c>
    </row>
    <row r="851" spans="1:8" x14ac:dyDescent="0.25">
      <c r="A851" s="6">
        <v>42475</v>
      </c>
      <c r="B851" s="7">
        <v>4937.6000000000004</v>
      </c>
      <c r="C851" s="7">
        <v>5157.5</v>
      </c>
      <c r="D851" s="7">
        <v>4910.8</v>
      </c>
      <c r="E851" s="7">
        <v>5157.5</v>
      </c>
      <c r="F851" s="8">
        <v>2706320000</v>
      </c>
      <c r="G851" s="8">
        <v>19472440000</v>
      </c>
      <c r="H851">
        <f t="shared" si="13"/>
        <v>170586.09512469426</v>
      </c>
    </row>
    <row r="852" spans="1:8" x14ac:dyDescent="0.25">
      <c r="A852" s="6">
        <v>42482</v>
      </c>
      <c r="B852" s="7">
        <v>5157.5</v>
      </c>
      <c r="C852" s="7">
        <v>5279.9</v>
      </c>
      <c r="D852" s="7">
        <v>5118.5</v>
      </c>
      <c r="E852" s="7">
        <v>5236.3999999999996</v>
      </c>
      <c r="F852" s="8">
        <v>3209001000</v>
      </c>
      <c r="G852" s="8">
        <v>22609270000</v>
      </c>
      <c r="H852">
        <f t="shared" si="13"/>
        <v>173195.73989548211</v>
      </c>
    </row>
    <row r="853" spans="1:8" x14ac:dyDescent="0.25">
      <c r="A853" s="6">
        <v>42489</v>
      </c>
      <c r="B853" s="7">
        <v>5236.3999999999996</v>
      </c>
      <c r="C853" s="7">
        <v>5281.6</v>
      </c>
      <c r="D853" s="7">
        <v>5179.5</v>
      </c>
      <c r="E853" s="7">
        <v>5252.2</v>
      </c>
      <c r="F853" s="8">
        <v>2630550000</v>
      </c>
      <c r="G853" s="8">
        <v>18905020000</v>
      </c>
      <c r="H853">
        <f t="shared" si="13"/>
        <v>173718.33035655244</v>
      </c>
    </row>
    <row r="854" spans="1:8" x14ac:dyDescent="0.25">
      <c r="A854" s="6">
        <v>42496</v>
      </c>
      <c r="B854" s="7">
        <v>5252.2</v>
      </c>
      <c r="C854" s="7">
        <v>5357</v>
      </c>
      <c r="D854" s="7">
        <v>5182.2</v>
      </c>
      <c r="E854" s="7">
        <v>5292</v>
      </c>
      <c r="F854" s="8">
        <v>3299945000</v>
      </c>
      <c r="G854" s="8">
        <v>24492880000</v>
      </c>
      <c r="H854">
        <f t="shared" si="13"/>
        <v>175034.72911291945</v>
      </c>
    </row>
    <row r="855" spans="1:8" x14ac:dyDescent="0.25">
      <c r="A855" s="6">
        <v>42503</v>
      </c>
      <c r="B855" s="7">
        <v>5292</v>
      </c>
      <c r="C855" s="7">
        <v>5425.2</v>
      </c>
      <c r="D855" s="7">
        <v>5264.4</v>
      </c>
      <c r="E855" s="7">
        <v>5329</v>
      </c>
      <c r="F855" s="8">
        <v>3201835000</v>
      </c>
      <c r="G855" s="8">
        <v>24592100000</v>
      </c>
      <c r="H855">
        <f t="shared" si="13"/>
        <v>176258.51690150183</v>
      </c>
    </row>
    <row r="856" spans="1:8" x14ac:dyDescent="0.25">
      <c r="A856" s="6">
        <v>42510</v>
      </c>
      <c r="B856" s="7">
        <v>5329</v>
      </c>
      <c r="C856" s="7">
        <v>5395.9</v>
      </c>
      <c r="D856" s="7">
        <v>5303.1</v>
      </c>
      <c r="E856" s="7">
        <v>5351.3</v>
      </c>
      <c r="F856" s="8">
        <v>2989193000</v>
      </c>
      <c r="G856" s="8">
        <v>21411420000</v>
      </c>
      <c r="H856">
        <f t="shared" si="13"/>
        <v>176996.09710921501</v>
      </c>
    </row>
    <row r="857" spans="1:8" x14ac:dyDescent="0.25">
      <c r="A857" s="6">
        <v>42517</v>
      </c>
      <c r="B857" s="7">
        <v>5351.3</v>
      </c>
      <c r="C857" s="7">
        <v>5427.7</v>
      </c>
      <c r="D857" s="7">
        <v>5295.6</v>
      </c>
      <c r="E857" s="7">
        <v>5405.9</v>
      </c>
      <c r="F857" s="8">
        <v>2897865000</v>
      </c>
      <c r="G857" s="8">
        <v>22106340000</v>
      </c>
      <c r="H857">
        <f t="shared" si="13"/>
        <v>178802.01098101496</v>
      </c>
    </row>
    <row r="858" spans="1:8" x14ac:dyDescent="0.25">
      <c r="A858" s="6">
        <v>42524</v>
      </c>
      <c r="B858" s="7">
        <v>5405.9</v>
      </c>
      <c r="C858" s="7">
        <v>5415</v>
      </c>
      <c r="D858" s="7">
        <v>5270.9</v>
      </c>
      <c r="E858" s="7">
        <v>5318.9</v>
      </c>
      <c r="F858" s="8">
        <v>3050592000</v>
      </c>
      <c r="G858" s="8">
        <v>21796100000</v>
      </c>
      <c r="H858">
        <f t="shared" si="13"/>
        <v>175924.45591056446</v>
      </c>
    </row>
    <row r="859" spans="1:8" x14ac:dyDescent="0.25">
      <c r="A859" s="6">
        <v>42531</v>
      </c>
      <c r="B859" s="7">
        <v>5318.9</v>
      </c>
      <c r="C859" s="7">
        <v>5392.5</v>
      </c>
      <c r="D859" s="7">
        <v>5294.2</v>
      </c>
      <c r="E859" s="7">
        <v>5312.6</v>
      </c>
      <c r="F859" s="8">
        <v>2783590000</v>
      </c>
      <c r="G859" s="8">
        <v>19498670000</v>
      </c>
      <c r="H859">
        <f t="shared" si="13"/>
        <v>175716.0812330491</v>
      </c>
    </row>
    <row r="860" spans="1:8" x14ac:dyDescent="0.25">
      <c r="A860" s="6">
        <v>42538</v>
      </c>
      <c r="B860" s="7">
        <v>5312.6</v>
      </c>
      <c r="C860" s="7">
        <v>5312.6</v>
      </c>
      <c r="D860" s="7">
        <v>5141</v>
      </c>
      <c r="E860" s="7">
        <v>5162.7</v>
      </c>
      <c r="F860" s="8">
        <v>3219285000</v>
      </c>
      <c r="G860" s="8">
        <v>20965730000</v>
      </c>
      <c r="H860">
        <f t="shared" si="13"/>
        <v>170758.08692200852</v>
      </c>
    </row>
    <row r="861" spans="1:8" x14ac:dyDescent="0.25">
      <c r="A861" s="6">
        <v>42545</v>
      </c>
      <c r="B861" s="7">
        <v>5162.7</v>
      </c>
      <c r="C861" s="7">
        <v>5325.4</v>
      </c>
      <c r="D861" s="7">
        <v>5080</v>
      </c>
      <c r="E861" s="7">
        <v>5113.2</v>
      </c>
      <c r="F861" s="8">
        <v>3224904000</v>
      </c>
      <c r="G861" s="8">
        <v>24221240000</v>
      </c>
      <c r="H861">
        <f t="shared" si="13"/>
        <v>169120.85731295909</v>
      </c>
    </row>
    <row r="862" spans="1:8" x14ac:dyDescent="0.25">
      <c r="A862" s="6">
        <v>42552</v>
      </c>
      <c r="B862" s="7">
        <v>5113.2</v>
      </c>
      <c r="C862" s="7">
        <v>5278.9</v>
      </c>
      <c r="D862" s="7">
        <v>5051</v>
      </c>
      <c r="E862" s="7">
        <v>5246.6</v>
      </c>
      <c r="F862" s="8">
        <v>3553670000</v>
      </c>
      <c r="G862" s="8">
        <v>25265770000</v>
      </c>
      <c r="H862">
        <f t="shared" si="13"/>
        <v>173533.10842098319</v>
      </c>
    </row>
    <row r="863" spans="1:8" x14ac:dyDescent="0.25">
      <c r="A863" s="6">
        <v>42559</v>
      </c>
      <c r="B863" s="7">
        <v>5246.6</v>
      </c>
      <c r="C863" s="7">
        <v>5282.3</v>
      </c>
      <c r="D863" s="7">
        <v>5148.7</v>
      </c>
      <c r="E863" s="7">
        <v>5230.5</v>
      </c>
      <c r="F863" s="8">
        <v>2646530000</v>
      </c>
      <c r="G863" s="8">
        <v>18999500000</v>
      </c>
      <c r="H863">
        <f t="shared" si="13"/>
        <v>173000.59535622166</v>
      </c>
    </row>
    <row r="864" spans="1:8" x14ac:dyDescent="0.25">
      <c r="A864" s="6">
        <v>42566</v>
      </c>
      <c r="B864" s="7">
        <v>5230.5</v>
      </c>
      <c r="C864" s="7">
        <v>5452.7</v>
      </c>
      <c r="D864" s="7">
        <v>5230.5</v>
      </c>
      <c r="E864" s="7">
        <v>5429.6</v>
      </c>
      <c r="F864" s="8">
        <v>2651613000</v>
      </c>
      <c r="G864" s="8">
        <v>18973370000</v>
      </c>
      <c r="H864">
        <f t="shared" si="13"/>
        <v>179585.89667262044</v>
      </c>
    </row>
    <row r="865" spans="1:8" x14ac:dyDescent="0.25">
      <c r="A865" s="6">
        <v>42573</v>
      </c>
      <c r="B865" s="7">
        <v>5429.6</v>
      </c>
      <c r="C865" s="7">
        <v>5531.9</v>
      </c>
      <c r="D865" s="7">
        <v>5428.9</v>
      </c>
      <c r="E865" s="7">
        <v>5498.2</v>
      </c>
      <c r="F865" s="8">
        <v>2723110000</v>
      </c>
      <c r="G865" s="8">
        <v>19421550000</v>
      </c>
      <c r="H865">
        <f t="shared" si="13"/>
        <v>181854.86538334345</v>
      </c>
    </row>
    <row r="866" spans="1:8" x14ac:dyDescent="0.25">
      <c r="A866" s="6">
        <v>42580</v>
      </c>
      <c r="B866" s="7">
        <v>5498.2</v>
      </c>
      <c r="C866" s="7">
        <v>5570.4</v>
      </c>
      <c r="D866" s="7">
        <v>5498.2</v>
      </c>
      <c r="E866" s="7">
        <v>5562.4</v>
      </c>
      <c r="F866" s="8">
        <v>2859549000</v>
      </c>
      <c r="G866" s="8">
        <v>22806790000</v>
      </c>
      <c r="H866">
        <f t="shared" si="13"/>
        <v>183978.30257326207</v>
      </c>
    </row>
    <row r="867" spans="1:8" x14ac:dyDescent="0.25">
      <c r="A867" s="6">
        <v>42587</v>
      </c>
      <c r="B867" s="7">
        <v>5562.4</v>
      </c>
      <c r="C867" s="7">
        <v>5611.2</v>
      </c>
      <c r="D867" s="7">
        <v>5465.7</v>
      </c>
      <c r="E867" s="7">
        <v>5497.4</v>
      </c>
      <c r="F867" s="8">
        <v>2760118000</v>
      </c>
      <c r="G867" s="8">
        <v>19919490000</v>
      </c>
      <c r="H867">
        <f t="shared" si="13"/>
        <v>181828.40510683355</v>
      </c>
    </row>
    <row r="868" spans="1:8" x14ac:dyDescent="0.25">
      <c r="A868" s="6">
        <v>42594</v>
      </c>
      <c r="B868" s="7">
        <v>5497.4</v>
      </c>
      <c r="C868" s="7">
        <v>5553.8</v>
      </c>
      <c r="D868" s="7">
        <v>5483.7</v>
      </c>
      <c r="E868" s="7">
        <v>5530.9</v>
      </c>
      <c r="F868" s="8">
        <v>2701534000</v>
      </c>
      <c r="G868" s="8">
        <v>21612380000</v>
      </c>
      <c r="H868">
        <f t="shared" si="13"/>
        <v>182936.42918568518</v>
      </c>
    </row>
    <row r="869" spans="1:8" x14ac:dyDescent="0.25">
      <c r="A869" s="6">
        <v>42601</v>
      </c>
      <c r="B869" s="7">
        <v>5530.9</v>
      </c>
      <c r="C869" s="7">
        <v>5549.8</v>
      </c>
      <c r="D869" s="7">
        <v>5498.7</v>
      </c>
      <c r="E869" s="7">
        <v>5526.7</v>
      </c>
      <c r="F869" s="8">
        <v>2814840000</v>
      </c>
      <c r="G869" s="8">
        <v>21593190000</v>
      </c>
      <c r="H869">
        <f t="shared" si="13"/>
        <v>182797.51273400825</v>
      </c>
    </row>
    <row r="870" spans="1:8" x14ac:dyDescent="0.25">
      <c r="A870" s="6">
        <v>42608</v>
      </c>
      <c r="B870" s="7">
        <v>5526.7</v>
      </c>
      <c r="C870" s="7">
        <v>5574</v>
      </c>
      <c r="D870" s="7">
        <v>5508.7</v>
      </c>
      <c r="E870" s="7">
        <v>5515.5</v>
      </c>
      <c r="F870" s="8">
        <v>3046142000</v>
      </c>
      <c r="G870" s="8">
        <v>22566670000</v>
      </c>
      <c r="H870">
        <f t="shared" si="13"/>
        <v>182427.06886286978</v>
      </c>
    </row>
    <row r="871" spans="1:8" x14ac:dyDescent="0.25">
      <c r="A871" s="6">
        <v>42615</v>
      </c>
      <c r="B871" s="7">
        <v>5515.5</v>
      </c>
      <c r="C871" s="7">
        <v>5516.7</v>
      </c>
      <c r="D871" s="7">
        <v>5361.7</v>
      </c>
      <c r="E871" s="7">
        <v>5372.8</v>
      </c>
      <c r="F871" s="8">
        <v>3082719000</v>
      </c>
      <c r="G871" s="8">
        <v>22520240000</v>
      </c>
      <c r="H871">
        <f t="shared" si="13"/>
        <v>177707.21704041824</v>
      </c>
    </row>
    <row r="872" spans="1:8" x14ac:dyDescent="0.25">
      <c r="A872" s="6">
        <v>42622</v>
      </c>
      <c r="B872" s="7">
        <v>5372.8</v>
      </c>
      <c r="C872" s="7">
        <v>5440.2</v>
      </c>
      <c r="D872" s="7">
        <v>5332.4</v>
      </c>
      <c r="E872" s="7">
        <v>5339.2</v>
      </c>
      <c r="F872" s="8">
        <v>3110912000</v>
      </c>
      <c r="G872" s="8">
        <v>21703350000</v>
      </c>
      <c r="H872">
        <f t="shared" si="13"/>
        <v>176595.88542700288</v>
      </c>
    </row>
    <row r="873" spans="1:8" x14ac:dyDescent="0.25">
      <c r="A873" s="6">
        <v>42629</v>
      </c>
      <c r="B873" s="7">
        <v>5339.2</v>
      </c>
      <c r="C873" s="7">
        <v>5339.2</v>
      </c>
      <c r="D873" s="7">
        <v>5192.2</v>
      </c>
      <c r="E873" s="7">
        <v>5296.7</v>
      </c>
      <c r="F873" s="8">
        <v>3818024000</v>
      </c>
      <c r="G873" s="8">
        <v>27310800000</v>
      </c>
      <c r="H873">
        <f t="shared" si="13"/>
        <v>175190.18323741501</v>
      </c>
    </row>
    <row r="874" spans="1:8" x14ac:dyDescent="0.25">
      <c r="A874" s="6">
        <v>42636</v>
      </c>
      <c r="B874" s="7">
        <v>5296.7</v>
      </c>
      <c r="C874" s="7">
        <v>5434.3</v>
      </c>
      <c r="D874" s="7">
        <v>5273</v>
      </c>
      <c r="E874" s="7">
        <v>5431.3</v>
      </c>
      <c r="F874" s="8">
        <v>2809475000</v>
      </c>
      <c r="G874" s="8">
        <v>19889620000</v>
      </c>
      <c r="H874">
        <f t="shared" si="13"/>
        <v>179642.12476020394</v>
      </c>
    </row>
    <row r="875" spans="1:8" x14ac:dyDescent="0.25">
      <c r="A875" s="6">
        <v>42643</v>
      </c>
      <c r="B875" s="7">
        <v>5431.3</v>
      </c>
      <c r="C875" s="7">
        <v>5473.3</v>
      </c>
      <c r="D875" s="7">
        <v>5372.3</v>
      </c>
      <c r="E875" s="7">
        <v>5435.9</v>
      </c>
      <c r="F875" s="8">
        <v>2929663000</v>
      </c>
      <c r="G875" s="8">
        <v>22145960000</v>
      </c>
      <c r="H875">
        <f t="shared" si="13"/>
        <v>179794.27135013579</v>
      </c>
    </row>
    <row r="876" spans="1:8" x14ac:dyDescent="0.25">
      <c r="A876" s="6">
        <v>42650</v>
      </c>
      <c r="B876" s="7">
        <v>5435.9</v>
      </c>
      <c r="C876" s="7">
        <v>5493.1</v>
      </c>
      <c r="D876" s="7">
        <v>5435.9</v>
      </c>
      <c r="E876" s="7">
        <v>5467.4</v>
      </c>
      <c r="F876" s="8">
        <v>2797313000</v>
      </c>
      <c r="G876" s="8">
        <v>18852450000</v>
      </c>
      <c r="H876">
        <f t="shared" si="13"/>
        <v>180836.14473771269</v>
      </c>
    </row>
    <row r="877" spans="1:8" x14ac:dyDescent="0.25">
      <c r="A877" s="6">
        <v>42657</v>
      </c>
      <c r="B877" s="7">
        <v>5467.4</v>
      </c>
      <c r="C877" s="7">
        <v>5498</v>
      </c>
      <c r="D877" s="7">
        <v>5420.8</v>
      </c>
      <c r="E877" s="7">
        <v>5434</v>
      </c>
      <c r="F877" s="8">
        <v>2838691000</v>
      </c>
      <c r="G877" s="8">
        <v>19379210000</v>
      </c>
      <c r="H877">
        <f t="shared" si="13"/>
        <v>179731.42819342483</v>
      </c>
    </row>
    <row r="878" spans="1:8" x14ac:dyDescent="0.25">
      <c r="A878" s="6">
        <v>42664</v>
      </c>
      <c r="B878" s="7">
        <v>5434</v>
      </c>
      <c r="C878" s="7">
        <v>5457.9</v>
      </c>
      <c r="D878" s="7">
        <v>5386.1</v>
      </c>
      <c r="E878" s="7">
        <v>5430.3</v>
      </c>
      <c r="F878" s="8">
        <v>2884131000</v>
      </c>
      <c r="G878" s="8">
        <v>19905800000</v>
      </c>
      <c r="H878">
        <f t="shared" si="13"/>
        <v>179609.0494145666</v>
      </c>
    </row>
    <row r="879" spans="1:8" x14ac:dyDescent="0.25">
      <c r="A879" s="6">
        <v>42671</v>
      </c>
      <c r="B879" s="7">
        <v>5430.3</v>
      </c>
      <c r="C879" s="7">
        <v>5455.7</v>
      </c>
      <c r="D879" s="7">
        <v>5261.4</v>
      </c>
      <c r="E879" s="7">
        <v>5283.8</v>
      </c>
      <c r="F879" s="8">
        <v>3171519000</v>
      </c>
      <c r="G879" s="8">
        <v>23298180000</v>
      </c>
      <c r="H879">
        <f t="shared" si="13"/>
        <v>174763.51127869307</v>
      </c>
    </row>
    <row r="880" spans="1:8" x14ac:dyDescent="0.25">
      <c r="A880" s="6">
        <v>42678</v>
      </c>
      <c r="B880" s="7">
        <v>5283.8</v>
      </c>
      <c r="C880" s="7">
        <v>5329.1</v>
      </c>
      <c r="D880" s="7">
        <v>5178</v>
      </c>
      <c r="E880" s="7">
        <v>5180.8</v>
      </c>
      <c r="F880" s="8">
        <v>2906541000</v>
      </c>
      <c r="G880" s="8">
        <v>19429650000</v>
      </c>
      <c r="H880">
        <f t="shared" si="13"/>
        <v>171356.7506780448</v>
      </c>
    </row>
    <row r="881" spans="1:8" x14ac:dyDescent="0.25">
      <c r="A881" s="6">
        <v>42685</v>
      </c>
      <c r="B881" s="7">
        <v>5180.8</v>
      </c>
      <c r="C881" s="7">
        <v>5370.7</v>
      </c>
      <c r="D881" s="7">
        <v>5052.1000000000004</v>
      </c>
      <c r="E881" s="7">
        <v>5370.7</v>
      </c>
      <c r="F881" s="8">
        <v>3936488000</v>
      </c>
      <c r="G881" s="8">
        <v>29062120000</v>
      </c>
      <c r="H881">
        <f t="shared" si="13"/>
        <v>177637.75881457981</v>
      </c>
    </row>
    <row r="882" spans="1:8" x14ac:dyDescent="0.25">
      <c r="A882" s="6">
        <v>42692</v>
      </c>
      <c r="B882" s="7">
        <v>5370.7</v>
      </c>
      <c r="C882" s="7">
        <v>5370.7</v>
      </c>
      <c r="D882" s="7">
        <v>5286.2</v>
      </c>
      <c r="E882" s="7">
        <v>5359.4</v>
      </c>
      <c r="F882" s="8">
        <v>3444248000</v>
      </c>
      <c r="G882" s="8">
        <v>24182970000</v>
      </c>
      <c r="H882">
        <f t="shared" si="13"/>
        <v>177264.00740887763</v>
      </c>
    </row>
    <row r="883" spans="1:8" x14ac:dyDescent="0.25">
      <c r="A883" s="6">
        <v>42699</v>
      </c>
      <c r="B883" s="7">
        <v>5359.4</v>
      </c>
      <c r="C883" s="7">
        <v>5520.9</v>
      </c>
      <c r="D883" s="7">
        <v>5334.9</v>
      </c>
      <c r="E883" s="7">
        <v>5507.8</v>
      </c>
      <c r="F883" s="8">
        <v>3200018000</v>
      </c>
      <c r="G883" s="8">
        <v>23077150000</v>
      </c>
      <c r="H883">
        <f t="shared" si="13"/>
        <v>182172.38870146216</v>
      </c>
    </row>
    <row r="884" spans="1:8" x14ac:dyDescent="0.25">
      <c r="A884" s="6">
        <v>42706</v>
      </c>
      <c r="B884" s="7">
        <v>5507.8</v>
      </c>
      <c r="C884" s="7">
        <v>5507.8</v>
      </c>
      <c r="D884" s="7">
        <v>5423.2</v>
      </c>
      <c r="E884" s="7">
        <v>5444</v>
      </c>
      <c r="F884" s="8">
        <v>3799215000</v>
      </c>
      <c r="G884" s="8">
        <v>27045170000</v>
      </c>
      <c r="H884">
        <f t="shared" si="13"/>
        <v>180062.18164979844</v>
      </c>
    </row>
    <row r="885" spans="1:8" x14ac:dyDescent="0.25">
      <c r="A885" s="6">
        <v>42713</v>
      </c>
      <c r="B885" s="7">
        <v>5444</v>
      </c>
      <c r="C885" s="7">
        <v>5566.1</v>
      </c>
      <c r="D885" s="7">
        <v>5383.8</v>
      </c>
      <c r="E885" s="7">
        <v>5560.6</v>
      </c>
      <c r="F885" s="8">
        <v>3253220000</v>
      </c>
      <c r="G885" s="8">
        <v>23268200000</v>
      </c>
      <c r="H885">
        <f t="shared" si="13"/>
        <v>183918.76695111487</v>
      </c>
    </row>
    <row r="886" spans="1:8" x14ac:dyDescent="0.25">
      <c r="A886" s="6">
        <v>42720</v>
      </c>
      <c r="B886" s="7">
        <v>5560.6</v>
      </c>
      <c r="C886" s="7">
        <v>5595.7</v>
      </c>
      <c r="D886" s="7">
        <v>5510</v>
      </c>
      <c r="E886" s="7">
        <v>5532.9</v>
      </c>
      <c r="F886" s="8">
        <v>3937451000</v>
      </c>
      <c r="G886" s="8">
        <v>26800400000</v>
      </c>
      <c r="H886">
        <f t="shared" si="13"/>
        <v>183002.57987695991</v>
      </c>
    </row>
    <row r="887" spans="1:8" x14ac:dyDescent="0.25">
      <c r="A887" s="6">
        <v>42727</v>
      </c>
      <c r="B887" s="7">
        <v>5532.9</v>
      </c>
      <c r="C887" s="7">
        <v>5649.8</v>
      </c>
      <c r="D887" s="7">
        <v>5530.9</v>
      </c>
      <c r="E887" s="7">
        <v>5627.9</v>
      </c>
      <c r="F887" s="8">
        <v>2704509000</v>
      </c>
      <c r="G887" s="8">
        <v>20512900000</v>
      </c>
      <c r="H887">
        <f t="shared" si="13"/>
        <v>186144.73771250932</v>
      </c>
    </row>
    <row r="888" spans="1:8" x14ac:dyDescent="0.25">
      <c r="A888" s="6">
        <v>42734</v>
      </c>
      <c r="B888" s="7">
        <v>5627.9</v>
      </c>
      <c r="C888" s="7">
        <v>5699.1</v>
      </c>
      <c r="D888" s="7">
        <v>5627.9</v>
      </c>
      <c r="E888" s="7">
        <v>5665.8</v>
      </c>
      <c r="F888" s="8">
        <v>996214500</v>
      </c>
      <c r="G888" s="8">
        <v>7206827000</v>
      </c>
      <c r="H888">
        <f t="shared" si="13"/>
        <v>187398.29331216536</v>
      </c>
    </row>
    <row r="889" spans="1:8" x14ac:dyDescent="0.25">
      <c r="A889" s="6">
        <v>42741</v>
      </c>
      <c r="B889" s="7">
        <v>5667.4</v>
      </c>
      <c r="C889" s="7">
        <v>5765.2</v>
      </c>
      <c r="D889" s="7">
        <v>5667.4</v>
      </c>
      <c r="E889" s="7">
        <v>5755.6</v>
      </c>
      <c r="F889" s="8">
        <v>1691182000</v>
      </c>
      <c r="G889" s="8">
        <v>12224610000</v>
      </c>
      <c r="H889">
        <f t="shared" si="13"/>
        <v>190368.45935040046</v>
      </c>
    </row>
    <row r="890" spans="1:8" x14ac:dyDescent="0.25">
      <c r="A890" s="6">
        <v>42748</v>
      </c>
      <c r="B890" s="7">
        <v>5755.6</v>
      </c>
      <c r="C890" s="7">
        <v>5827.5</v>
      </c>
      <c r="D890" s="7">
        <v>5710</v>
      </c>
      <c r="E890" s="7">
        <v>5721.1</v>
      </c>
      <c r="F890" s="8">
        <v>2762164000</v>
      </c>
      <c r="G890" s="8">
        <v>19863590000</v>
      </c>
      <c r="H890">
        <f t="shared" si="13"/>
        <v>189227.35992591147</v>
      </c>
    </row>
    <row r="891" spans="1:8" x14ac:dyDescent="0.25">
      <c r="A891" s="6">
        <v>42755</v>
      </c>
      <c r="B891" s="7">
        <v>5721.1</v>
      </c>
      <c r="C891" s="7">
        <v>5763.4</v>
      </c>
      <c r="D891" s="7">
        <v>5646.6</v>
      </c>
      <c r="E891" s="7">
        <v>5654.8</v>
      </c>
      <c r="F891" s="8">
        <v>2671620000</v>
      </c>
      <c r="G891" s="8">
        <v>19033840000</v>
      </c>
      <c r="H891">
        <f t="shared" si="13"/>
        <v>187034.46451015436</v>
      </c>
    </row>
    <row r="892" spans="1:8" x14ac:dyDescent="0.25">
      <c r="A892" s="6">
        <v>42762</v>
      </c>
      <c r="B892" s="7">
        <v>5654.8</v>
      </c>
      <c r="C892" s="7">
        <v>5714.2</v>
      </c>
      <c r="D892" s="7">
        <v>5604.3</v>
      </c>
      <c r="E892" s="7">
        <v>5714</v>
      </c>
      <c r="F892" s="8">
        <v>2345757000</v>
      </c>
      <c r="G892" s="8">
        <v>18754950000</v>
      </c>
      <c r="H892">
        <f t="shared" si="13"/>
        <v>188992.52497188616</v>
      </c>
    </row>
    <row r="893" spans="1:8" x14ac:dyDescent="0.25">
      <c r="A893" s="6">
        <v>42769</v>
      </c>
      <c r="B893" s="7">
        <v>5714</v>
      </c>
      <c r="C893" s="7">
        <v>5714</v>
      </c>
      <c r="D893" s="7">
        <v>5606.2</v>
      </c>
      <c r="E893" s="7">
        <v>5621.6</v>
      </c>
      <c r="F893" s="8">
        <v>2930653000</v>
      </c>
      <c r="G893" s="8">
        <v>20677290000</v>
      </c>
      <c r="H893">
        <f t="shared" si="13"/>
        <v>185936.36303499393</v>
      </c>
    </row>
    <row r="894" spans="1:8" x14ac:dyDescent="0.25">
      <c r="A894" s="6">
        <v>42776</v>
      </c>
      <c r="B894" s="7">
        <v>5621.6</v>
      </c>
      <c r="C894" s="7">
        <v>5721.4</v>
      </c>
      <c r="D894" s="7">
        <v>5582.7</v>
      </c>
      <c r="E894" s="7">
        <v>5720.6</v>
      </c>
      <c r="F894" s="8">
        <v>2924031000</v>
      </c>
      <c r="G894" s="8">
        <v>21080270000</v>
      </c>
      <c r="H894">
        <f t="shared" si="13"/>
        <v>189210.82225309275</v>
      </c>
    </row>
    <row r="895" spans="1:8" x14ac:dyDescent="0.25">
      <c r="A895" s="6">
        <v>42783</v>
      </c>
      <c r="B895" s="7">
        <v>5720.6</v>
      </c>
      <c r="C895" s="7">
        <v>5833.2</v>
      </c>
      <c r="D895" s="7">
        <v>5720.6</v>
      </c>
      <c r="E895" s="7">
        <v>5805.8</v>
      </c>
      <c r="F895" s="8">
        <v>3247702000</v>
      </c>
      <c r="G895" s="8">
        <v>24968180000</v>
      </c>
      <c r="H895">
        <f t="shared" si="13"/>
        <v>192028.84170139596</v>
      </c>
    </row>
    <row r="896" spans="1:8" x14ac:dyDescent="0.25">
      <c r="A896" s="6">
        <v>42790</v>
      </c>
      <c r="B896" s="7">
        <v>5805.8</v>
      </c>
      <c r="C896" s="7">
        <v>5810.1</v>
      </c>
      <c r="D896" s="7">
        <v>5729.9</v>
      </c>
      <c r="E896" s="7">
        <v>5739</v>
      </c>
      <c r="F896" s="8">
        <v>3617232000</v>
      </c>
      <c r="G896" s="8">
        <v>27866860000</v>
      </c>
      <c r="H896">
        <f t="shared" si="13"/>
        <v>189819.40861282017</v>
      </c>
    </row>
    <row r="897" spans="1:8" x14ac:dyDescent="0.25">
      <c r="A897" s="6">
        <v>42797</v>
      </c>
      <c r="B897" s="7">
        <v>5739</v>
      </c>
      <c r="C897" s="7">
        <v>5776.6</v>
      </c>
      <c r="D897" s="7">
        <v>5675</v>
      </c>
      <c r="E897" s="7">
        <v>5729.6</v>
      </c>
      <c r="F897" s="8">
        <v>3834069000</v>
      </c>
      <c r="G897" s="8">
        <v>26222250000</v>
      </c>
      <c r="H897">
        <f t="shared" si="13"/>
        <v>189508.50036382896</v>
      </c>
    </row>
    <row r="898" spans="1:8" x14ac:dyDescent="0.25">
      <c r="A898" s="6">
        <v>42804</v>
      </c>
      <c r="B898" s="7">
        <v>5729.6</v>
      </c>
      <c r="C898" s="7">
        <v>5781.2</v>
      </c>
      <c r="D898" s="7">
        <v>5715.5</v>
      </c>
      <c r="E898" s="7">
        <v>5775.6</v>
      </c>
      <c r="F898" s="8">
        <v>3105478000</v>
      </c>
      <c r="G898" s="8">
        <v>20538980000</v>
      </c>
      <c r="H898">
        <f t="shared" si="13"/>
        <v>191029.96626314762</v>
      </c>
    </row>
    <row r="899" spans="1:8" x14ac:dyDescent="0.25">
      <c r="A899" s="6">
        <v>42811</v>
      </c>
      <c r="B899" s="7">
        <v>5775.6</v>
      </c>
      <c r="C899" s="7">
        <v>5815</v>
      </c>
      <c r="D899" s="7">
        <v>5727.7</v>
      </c>
      <c r="E899" s="7">
        <v>5799.6</v>
      </c>
      <c r="F899" s="8">
        <v>3745836000</v>
      </c>
      <c r="G899" s="8">
        <v>26937720000</v>
      </c>
      <c r="H899">
        <f t="shared" si="13"/>
        <v>191823.77455844433</v>
      </c>
    </row>
    <row r="900" spans="1:8" x14ac:dyDescent="0.25">
      <c r="A900" s="6">
        <v>42818</v>
      </c>
      <c r="B900" s="7">
        <v>5799.6</v>
      </c>
      <c r="C900" s="7">
        <v>5799.6</v>
      </c>
      <c r="D900" s="7">
        <v>5681</v>
      </c>
      <c r="E900" s="7">
        <v>5753.5</v>
      </c>
      <c r="F900" s="8">
        <v>3148801000</v>
      </c>
      <c r="G900" s="8">
        <v>20689980000</v>
      </c>
      <c r="H900">
        <f t="shared" ref="H900:H963" si="14">H899*(E900/E899)</f>
        <v>190299.00112456194</v>
      </c>
    </row>
    <row r="901" spans="1:8" x14ac:dyDescent="0.25">
      <c r="A901" s="6">
        <v>42825</v>
      </c>
      <c r="B901" s="7">
        <v>5753.5</v>
      </c>
      <c r="C901" s="7">
        <v>5901.5</v>
      </c>
      <c r="D901" s="7">
        <v>5698.1</v>
      </c>
      <c r="E901" s="7">
        <v>5864.9</v>
      </c>
      <c r="F901" s="8">
        <v>3207492000</v>
      </c>
      <c r="G901" s="8">
        <v>23916030000</v>
      </c>
      <c r="H901">
        <f t="shared" si="14"/>
        <v>193983.59462856405</v>
      </c>
    </row>
    <row r="902" spans="1:8" x14ac:dyDescent="0.25">
      <c r="A902" s="6">
        <v>42832</v>
      </c>
      <c r="B902" s="7">
        <v>5864.9</v>
      </c>
      <c r="C902" s="7">
        <v>5888.6</v>
      </c>
      <c r="D902" s="7">
        <v>5833</v>
      </c>
      <c r="E902" s="7">
        <v>5862.5</v>
      </c>
      <c r="F902" s="8">
        <v>2810702000</v>
      </c>
      <c r="G902" s="8">
        <v>19397150000</v>
      </c>
      <c r="H902">
        <f t="shared" si="14"/>
        <v>193904.21379903439</v>
      </c>
    </row>
    <row r="903" spans="1:8" x14ac:dyDescent="0.25">
      <c r="A903" s="6">
        <v>42838</v>
      </c>
      <c r="B903" s="7">
        <v>5862.5</v>
      </c>
      <c r="C903" s="7">
        <v>5950.1</v>
      </c>
      <c r="D903" s="7">
        <v>5862.5</v>
      </c>
      <c r="E903" s="7">
        <v>5890</v>
      </c>
      <c r="F903" s="8">
        <v>2531033000</v>
      </c>
      <c r="G903" s="8">
        <v>18126450000</v>
      </c>
      <c r="H903">
        <f t="shared" si="14"/>
        <v>194813.78580406186</v>
      </c>
    </row>
    <row r="904" spans="1:8" x14ac:dyDescent="0.25">
      <c r="A904" s="6">
        <v>42846</v>
      </c>
      <c r="B904" s="7">
        <v>5889.9</v>
      </c>
      <c r="C904" s="7">
        <v>5889.9</v>
      </c>
      <c r="D904" s="7">
        <v>5790.6</v>
      </c>
      <c r="E904" s="7">
        <v>5854.1</v>
      </c>
      <c r="F904" s="8">
        <v>2747206000</v>
      </c>
      <c r="G904" s="8">
        <v>19172700000</v>
      </c>
      <c r="H904">
        <f t="shared" si="14"/>
        <v>193626.38089568057</v>
      </c>
    </row>
    <row r="905" spans="1:8" x14ac:dyDescent="0.25">
      <c r="A905" s="6">
        <v>42853</v>
      </c>
      <c r="B905" s="7">
        <v>5854.1</v>
      </c>
      <c r="C905" s="7">
        <v>5924.2</v>
      </c>
      <c r="D905" s="7">
        <v>5853.8</v>
      </c>
      <c r="E905" s="7">
        <v>5924.1</v>
      </c>
      <c r="F905" s="8">
        <v>2452967000</v>
      </c>
      <c r="G905" s="8">
        <v>19224710000</v>
      </c>
      <c r="H905">
        <f t="shared" si="14"/>
        <v>195941.65509029588</v>
      </c>
    </row>
    <row r="906" spans="1:8" x14ac:dyDescent="0.25">
      <c r="A906" s="6">
        <v>42860</v>
      </c>
      <c r="B906" s="7">
        <v>5924.1</v>
      </c>
      <c r="C906" s="7">
        <v>5956.5</v>
      </c>
      <c r="D906" s="7">
        <v>5827.2</v>
      </c>
      <c r="E906" s="7">
        <v>5836.6</v>
      </c>
      <c r="F906" s="8">
        <v>3542467000</v>
      </c>
      <c r="G906" s="8">
        <v>26468320000</v>
      </c>
      <c r="H906">
        <f t="shared" si="14"/>
        <v>193047.56234702672</v>
      </c>
    </row>
    <row r="907" spans="1:8" x14ac:dyDescent="0.25">
      <c r="A907" s="6">
        <v>42867</v>
      </c>
      <c r="B907" s="7">
        <v>5836.6</v>
      </c>
      <c r="C907" s="7">
        <v>5922.5</v>
      </c>
      <c r="D907" s="7">
        <v>5815.6</v>
      </c>
      <c r="E907" s="7">
        <v>5836.9</v>
      </c>
      <c r="F907" s="8">
        <v>3510308000</v>
      </c>
      <c r="G907" s="8">
        <v>27564320000</v>
      </c>
      <c r="H907">
        <f t="shared" si="14"/>
        <v>193057.48495071789</v>
      </c>
    </row>
    <row r="908" spans="1:8" x14ac:dyDescent="0.25">
      <c r="A908" s="6">
        <v>42874</v>
      </c>
      <c r="B908" s="7">
        <v>5836.9</v>
      </c>
      <c r="C908" s="7">
        <v>5871.6</v>
      </c>
      <c r="D908" s="7">
        <v>5697.6</v>
      </c>
      <c r="E908" s="7">
        <v>5727.4</v>
      </c>
      <c r="F908" s="8">
        <v>3264656000</v>
      </c>
      <c r="G908" s="8">
        <v>24216230000</v>
      </c>
      <c r="H908">
        <f t="shared" si="14"/>
        <v>189435.73460342674</v>
      </c>
    </row>
    <row r="909" spans="1:8" x14ac:dyDescent="0.25">
      <c r="A909" s="6">
        <v>42881</v>
      </c>
      <c r="B909" s="7">
        <v>5727.4</v>
      </c>
      <c r="C909" s="7">
        <v>5795.7</v>
      </c>
      <c r="D909" s="7">
        <v>5727.4</v>
      </c>
      <c r="E909" s="7">
        <v>5751.7</v>
      </c>
      <c r="F909" s="8">
        <v>3031933000</v>
      </c>
      <c r="G909" s="8">
        <v>23127210000</v>
      </c>
      <c r="H909">
        <f t="shared" si="14"/>
        <v>190239.46550241465</v>
      </c>
    </row>
    <row r="910" spans="1:8" x14ac:dyDescent="0.25">
      <c r="A910" s="6">
        <v>42888</v>
      </c>
      <c r="B910" s="7">
        <v>5751.2</v>
      </c>
      <c r="C910" s="7">
        <v>5793.7</v>
      </c>
      <c r="D910" s="7">
        <v>5679.8</v>
      </c>
      <c r="E910" s="7">
        <v>5788.1</v>
      </c>
      <c r="F910" s="8">
        <v>3138476000</v>
      </c>
      <c r="G910" s="8">
        <v>24694480000</v>
      </c>
      <c r="H910">
        <f t="shared" si="14"/>
        <v>191443.40808361463</v>
      </c>
    </row>
    <row r="911" spans="1:8" x14ac:dyDescent="0.25">
      <c r="A911" s="6">
        <v>42895</v>
      </c>
      <c r="B911" s="7">
        <v>5788.1</v>
      </c>
      <c r="C911" s="7">
        <v>5788.1</v>
      </c>
      <c r="D911" s="7">
        <v>5629.8</v>
      </c>
      <c r="E911" s="7">
        <v>5677.8</v>
      </c>
      <c r="F911" s="8">
        <v>3123952000</v>
      </c>
      <c r="G911" s="8">
        <v>23411640000</v>
      </c>
      <c r="H911">
        <f t="shared" si="14"/>
        <v>187795.19745981361</v>
      </c>
    </row>
    <row r="912" spans="1:8" x14ac:dyDescent="0.25">
      <c r="A912" s="6">
        <v>42902</v>
      </c>
      <c r="B912" s="7">
        <v>5677.8</v>
      </c>
      <c r="C912" s="7">
        <v>5836.4</v>
      </c>
      <c r="D912" s="7">
        <v>5677.8</v>
      </c>
      <c r="E912" s="7">
        <v>5774</v>
      </c>
      <c r="F912" s="8">
        <v>3985856000</v>
      </c>
      <c r="G912" s="8">
        <v>30291540000</v>
      </c>
      <c r="H912">
        <f t="shared" si="14"/>
        <v>190977.04571012783</v>
      </c>
    </row>
    <row r="913" spans="1:8" x14ac:dyDescent="0.25">
      <c r="A913" s="6">
        <v>42909</v>
      </c>
      <c r="B913" s="7">
        <v>5774</v>
      </c>
      <c r="C913" s="7">
        <v>5809.3</v>
      </c>
      <c r="D913" s="7">
        <v>5665.3</v>
      </c>
      <c r="E913" s="7">
        <v>5715.9</v>
      </c>
      <c r="F913" s="8">
        <v>3036077000</v>
      </c>
      <c r="G913" s="8">
        <v>22779970000</v>
      </c>
      <c r="H913">
        <f t="shared" si="14"/>
        <v>189055.3681285971</v>
      </c>
    </row>
    <row r="914" spans="1:8" x14ac:dyDescent="0.25">
      <c r="A914" s="6">
        <v>42916</v>
      </c>
      <c r="B914" s="7">
        <v>5715.9</v>
      </c>
      <c r="C914" s="7">
        <v>5819.7</v>
      </c>
      <c r="D914" s="7">
        <v>5685.2</v>
      </c>
      <c r="E914" s="7">
        <v>5721.5</v>
      </c>
      <c r="F914" s="8">
        <v>3356918000</v>
      </c>
      <c r="G914" s="8">
        <v>25778130000</v>
      </c>
      <c r="H914">
        <f t="shared" si="14"/>
        <v>189240.59006416632</v>
      </c>
    </row>
    <row r="915" spans="1:8" x14ac:dyDescent="0.25">
      <c r="A915" s="6">
        <v>42923</v>
      </c>
      <c r="B915" s="7">
        <v>5721.5</v>
      </c>
      <c r="C915" s="7">
        <v>5792</v>
      </c>
      <c r="D915" s="7">
        <v>5676</v>
      </c>
      <c r="E915" s="7">
        <v>5703.6</v>
      </c>
      <c r="F915" s="8">
        <v>2882244000</v>
      </c>
      <c r="G915" s="8">
        <v>21589130000</v>
      </c>
      <c r="H915">
        <f t="shared" si="14"/>
        <v>188648.54137725756</v>
      </c>
    </row>
    <row r="916" spans="1:8" x14ac:dyDescent="0.25">
      <c r="A916" s="6">
        <v>42930</v>
      </c>
      <c r="B916" s="7">
        <v>5703.6</v>
      </c>
      <c r="C916" s="7">
        <v>5778.8</v>
      </c>
      <c r="D916" s="7">
        <v>5665.6</v>
      </c>
      <c r="E916" s="7">
        <v>5765.1</v>
      </c>
      <c r="F916" s="8">
        <v>2771025000</v>
      </c>
      <c r="G916" s="8">
        <v>20985480000</v>
      </c>
      <c r="H916">
        <f t="shared" si="14"/>
        <v>190682.67513395532</v>
      </c>
    </row>
    <row r="917" spans="1:8" x14ac:dyDescent="0.25">
      <c r="A917" s="6">
        <v>42937</v>
      </c>
      <c r="B917" s="7">
        <v>5765.1</v>
      </c>
      <c r="C917" s="7">
        <v>5773.7</v>
      </c>
      <c r="D917" s="7">
        <v>5678.7</v>
      </c>
      <c r="E917" s="7">
        <v>5722.8</v>
      </c>
      <c r="F917" s="8">
        <v>2799117000</v>
      </c>
      <c r="G917" s="8">
        <v>21466670000</v>
      </c>
      <c r="H917">
        <f t="shared" si="14"/>
        <v>189283.58801349491</v>
      </c>
    </row>
    <row r="918" spans="1:8" x14ac:dyDescent="0.25">
      <c r="A918" s="6">
        <v>42944</v>
      </c>
      <c r="B918" s="7">
        <v>5722.8</v>
      </c>
      <c r="C918" s="7">
        <v>5799.6</v>
      </c>
      <c r="D918" s="7">
        <v>5653.3</v>
      </c>
      <c r="E918" s="7">
        <v>5702.8</v>
      </c>
      <c r="F918" s="8">
        <v>2791129000</v>
      </c>
      <c r="G918" s="8">
        <v>20642260000</v>
      </c>
      <c r="H918">
        <f t="shared" si="14"/>
        <v>188622.08110074769</v>
      </c>
    </row>
    <row r="919" spans="1:8" x14ac:dyDescent="0.25">
      <c r="A919" s="6">
        <v>42951</v>
      </c>
      <c r="B919" s="7">
        <v>5702.8</v>
      </c>
      <c r="C919" s="7">
        <v>5779.6</v>
      </c>
      <c r="D919" s="7">
        <v>5701.8</v>
      </c>
      <c r="E919" s="7">
        <v>5720.6</v>
      </c>
      <c r="F919" s="8">
        <v>2855582000</v>
      </c>
      <c r="G919" s="8">
        <v>21164450000</v>
      </c>
      <c r="H919">
        <f t="shared" si="14"/>
        <v>189210.82225309275</v>
      </c>
    </row>
    <row r="920" spans="1:8" x14ac:dyDescent="0.25">
      <c r="A920" s="6">
        <v>42958</v>
      </c>
      <c r="B920" s="7">
        <v>5720.6</v>
      </c>
      <c r="C920" s="7">
        <v>5795.5</v>
      </c>
      <c r="D920" s="7">
        <v>5674</v>
      </c>
      <c r="E920" s="7">
        <v>5693.1</v>
      </c>
      <c r="F920" s="8">
        <v>2553893000</v>
      </c>
      <c r="G920" s="8">
        <v>19684930000</v>
      </c>
      <c r="H920">
        <f t="shared" si="14"/>
        <v>188301.25024806528</v>
      </c>
    </row>
    <row r="921" spans="1:8" x14ac:dyDescent="0.25">
      <c r="A921" s="6">
        <v>42965</v>
      </c>
      <c r="B921" s="7">
        <v>5693.1</v>
      </c>
      <c r="C921" s="7">
        <v>5806.3</v>
      </c>
      <c r="D921" s="7">
        <v>5693.1</v>
      </c>
      <c r="E921" s="7">
        <v>5747.1</v>
      </c>
      <c r="F921" s="8">
        <v>2922916000</v>
      </c>
      <c r="G921" s="8">
        <v>22850730000</v>
      </c>
      <c r="H921">
        <f t="shared" si="14"/>
        <v>190087.31891248279</v>
      </c>
    </row>
    <row r="922" spans="1:8" x14ac:dyDescent="0.25">
      <c r="A922" s="6">
        <v>42972</v>
      </c>
      <c r="B922" s="7">
        <v>5747.1</v>
      </c>
      <c r="C922" s="7">
        <v>5781.4</v>
      </c>
      <c r="D922" s="7">
        <v>5699</v>
      </c>
      <c r="E922" s="7">
        <v>5743.9</v>
      </c>
      <c r="F922" s="8">
        <v>3447908000</v>
      </c>
      <c r="G922" s="8">
        <v>25258050000</v>
      </c>
      <c r="H922">
        <f t="shared" si="14"/>
        <v>189981.4778064432</v>
      </c>
    </row>
    <row r="923" spans="1:8" x14ac:dyDescent="0.25">
      <c r="A923" s="6">
        <v>42979</v>
      </c>
      <c r="B923" s="7">
        <v>5743.9</v>
      </c>
      <c r="C923" s="7">
        <v>5746.3</v>
      </c>
      <c r="D923" s="7">
        <v>5645.8</v>
      </c>
      <c r="E923" s="7">
        <v>5724.6</v>
      </c>
      <c r="F923" s="8">
        <v>3247003000</v>
      </c>
      <c r="G923" s="8">
        <v>23274110000</v>
      </c>
      <c r="H923">
        <f t="shared" si="14"/>
        <v>189343.12363564214</v>
      </c>
    </row>
    <row r="924" spans="1:8" x14ac:dyDescent="0.25">
      <c r="A924" s="6">
        <v>42986</v>
      </c>
      <c r="B924" s="7">
        <v>5724.6</v>
      </c>
      <c r="C924" s="7">
        <v>5724.6</v>
      </c>
      <c r="D924" s="7">
        <v>5661.4</v>
      </c>
      <c r="E924" s="7">
        <v>5672.6</v>
      </c>
      <c r="F924" s="8">
        <v>2532235000</v>
      </c>
      <c r="G924" s="8">
        <v>19065860000</v>
      </c>
      <c r="H924">
        <f t="shared" si="14"/>
        <v>187623.20566249933</v>
      </c>
    </row>
    <row r="925" spans="1:8" x14ac:dyDescent="0.25">
      <c r="A925" s="6">
        <v>42993</v>
      </c>
      <c r="B925" s="7">
        <v>5672.8</v>
      </c>
      <c r="C925" s="7">
        <v>5777.7</v>
      </c>
      <c r="D925" s="7">
        <v>5669.8</v>
      </c>
      <c r="E925" s="7">
        <v>5695</v>
      </c>
      <c r="F925" s="8">
        <v>2771038000</v>
      </c>
      <c r="G925" s="8">
        <v>20892580000</v>
      </c>
      <c r="H925">
        <f t="shared" si="14"/>
        <v>188364.09340477624</v>
      </c>
    </row>
    <row r="926" spans="1:8" x14ac:dyDescent="0.25">
      <c r="A926" s="6">
        <v>43000</v>
      </c>
      <c r="B926" s="7">
        <v>5695</v>
      </c>
      <c r="C926" s="7">
        <v>5742.2</v>
      </c>
      <c r="D926" s="7">
        <v>5639.4</v>
      </c>
      <c r="E926" s="7">
        <v>5682.1</v>
      </c>
      <c r="F926" s="8">
        <v>2633790000</v>
      </c>
      <c r="G926" s="8">
        <v>19902060000</v>
      </c>
      <c r="H926">
        <f t="shared" si="14"/>
        <v>187937.4214460543</v>
      </c>
    </row>
    <row r="927" spans="1:8" x14ac:dyDescent="0.25">
      <c r="A927" s="6">
        <v>43007</v>
      </c>
      <c r="B927" s="7">
        <v>5682.1</v>
      </c>
      <c r="C927" s="7">
        <v>5710.4</v>
      </c>
      <c r="D927" s="7">
        <v>5649.1</v>
      </c>
      <c r="E927" s="7">
        <v>5681.6</v>
      </c>
      <c r="F927" s="8">
        <v>2589911000</v>
      </c>
      <c r="G927" s="8">
        <v>20858500000</v>
      </c>
      <c r="H927">
        <f t="shared" si="14"/>
        <v>187920.8837732356</v>
      </c>
    </row>
    <row r="928" spans="1:8" x14ac:dyDescent="0.25">
      <c r="A928" s="6">
        <v>43014</v>
      </c>
      <c r="B928" s="7">
        <v>5681.6</v>
      </c>
      <c r="C928" s="7">
        <v>5751</v>
      </c>
      <c r="D928" s="7">
        <v>5650.9</v>
      </c>
      <c r="E928" s="7">
        <v>5710.7</v>
      </c>
      <c r="F928" s="8">
        <v>2289661000</v>
      </c>
      <c r="G928" s="8">
        <v>16596690000</v>
      </c>
      <c r="H928">
        <f t="shared" si="14"/>
        <v>188883.37633128281</v>
      </c>
    </row>
    <row r="929" spans="1:8" x14ac:dyDescent="0.25">
      <c r="A929" s="6">
        <v>43021</v>
      </c>
      <c r="B929" s="7">
        <v>5710.8</v>
      </c>
      <c r="C929" s="7">
        <v>5825.2</v>
      </c>
      <c r="D929" s="7">
        <v>5710.8</v>
      </c>
      <c r="E929" s="7">
        <v>5814.2</v>
      </c>
      <c r="F929" s="8">
        <v>2323485000</v>
      </c>
      <c r="G929" s="8">
        <v>17493850000</v>
      </c>
      <c r="H929">
        <f t="shared" si="14"/>
        <v>192306.6746047498</v>
      </c>
    </row>
    <row r="930" spans="1:8" x14ac:dyDescent="0.25">
      <c r="A930" s="6">
        <v>43028</v>
      </c>
      <c r="B930" s="7">
        <v>5814.2</v>
      </c>
      <c r="C930" s="7">
        <v>5924.9</v>
      </c>
      <c r="D930" s="7">
        <v>5814.2</v>
      </c>
      <c r="E930" s="7">
        <v>5907</v>
      </c>
      <c r="F930" s="8">
        <v>2625644000</v>
      </c>
      <c r="G930" s="8">
        <v>20044340000</v>
      </c>
      <c r="H930">
        <f t="shared" si="14"/>
        <v>195376.06667989696</v>
      </c>
    </row>
    <row r="931" spans="1:8" x14ac:dyDescent="0.25">
      <c r="A931" s="6">
        <v>43035</v>
      </c>
      <c r="B931" s="7">
        <v>5907</v>
      </c>
      <c r="C931" s="7">
        <v>5938.1</v>
      </c>
      <c r="D931" s="7">
        <v>5859.2</v>
      </c>
      <c r="E931" s="7">
        <v>5903.2</v>
      </c>
      <c r="F931" s="8">
        <v>2662808000</v>
      </c>
      <c r="G931" s="8">
        <v>20567970000</v>
      </c>
      <c r="H931">
        <f t="shared" si="14"/>
        <v>195250.38036647497</v>
      </c>
    </row>
    <row r="932" spans="1:8" x14ac:dyDescent="0.25">
      <c r="A932" s="6">
        <v>43042</v>
      </c>
      <c r="B932" s="7">
        <v>5903.6</v>
      </c>
      <c r="C932" s="7">
        <v>5968.2</v>
      </c>
      <c r="D932" s="7">
        <v>5903.6</v>
      </c>
      <c r="E932" s="7">
        <v>5959.9</v>
      </c>
      <c r="F932" s="8">
        <v>2618860000</v>
      </c>
      <c r="G932" s="8">
        <v>20583660000</v>
      </c>
      <c r="H932">
        <f t="shared" si="14"/>
        <v>197125.75246411341</v>
      </c>
    </row>
    <row r="933" spans="1:8" x14ac:dyDescent="0.25">
      <c r="A933" s="6">
        <v>43049</v>
      </c>
      <c r="B933" s="7">
        <v>5959.9</v>
      </c>
      <c r="C933" s="7">
        <v>6052.1</v>
      </c>
      <c r="D933" s="7">
        <v>5945.7</v>
      </c>
      <c r="E933" s="7">
        <v>6029.4</v>
      </c>
      <c r="F933" s="8">
        <v>2438894000</v>
      </c>
      <c r="G933" s="8">
        <v>20760670000</v>
      </c>
      <c r="H933">
        <f t="shared" si="14"/>
        <v>199424.48898591008</v>
      </c>
    </row>
    <row r="934" spans="1:8" x14ac:dyDescent="0.25">
      <c r="A934" s="6">
        <v>43056</v>
      </c>
      <c r="B934" s="7">
        <v>6029.4</v>
      </c>
      <c r="C934" s="7">
        <v>6029.4</v>
      </c>
      <c r="D934" s="7">
        <v>5916.1</v>
      </c>
      <c r="E934" s="7">
        <v>5957.3</v>
      </c>
      <c r="F934" s="8">
        <v>2703910000</v>
      </c>
      <c r="G934" s="8">
        <v>23422550000</v>
      </c>
      <c r="H934">
        <f t="shared" si="14"/>
        <v>197039.75656545631</v>
      </c>
    </row>
    <row r="935" spans="1:8" x14ac:dyDescent="0.25">
      <c r="A935" s="6">
        <v>43063</v>
      </c>
      <c r="B935" s="7">
        <v>5957.3</v>
      </c>
      <c r="C935" s="7">
        <v>5998.1</v>
      </c>
      <c r="D935" s="7">
        <v>5922.6</v>
      </c>
      <c r="E935" s="7">
        <v>5982.6</v>
      </c>
      <c r="F935" s="8">
        <v>2428465000</v>
      </c>
      <c r="G935" s="8">
        <v>21157480000</v>
      </c>
      <c r="H935">
        <f t="shared" si="14"/>
        <v>197876.56281008158</v>
      </c>
    </row>
    <row r="936" spans="1:8" x14ac:dyDescent="0.25">
      <c r="A936" s="6">
        <v>43070</v>
      </c>
      <c r="B936" s="7">
        <v>5982.6</v>
      </c>
      <c r="C936" s="7">
        <v>6031.4</v>
      </c>
      <c r="D936" s="7">
        <v>5949.2</v>
      </c>
      <c r="E936" s="7">
        <v>5989.8</v>
      </c>
      <c r="F936" s="8">
        <v>3028120000</v>
      </c>
      <c r="G936" s="8">
        <v>25275720000</v>
      </c>
      <c r="H936">
        <f t="shared" si="14"/>
        <v>198114.70529867057</v>
      </c>
    </row>
    <row r="937" spans="1:8" x14ac:dyDescent="0.25">
      <c r="A937" s="6">
        <v>43077</v>
      </c>
      <c r="B937" s="7">
        <v>5989.8</v>
      </c>
      <c r="C937" s="7">
        <v>6012</v>
      </c>
      <c r="D937" s="7">
        <v>5938.7</v>
      </c>
      <c r="E937" s="7">
        <v>5994.4</v>
      </c>
      <c r="F937" s="8">
        <v>2747216000</v>
      </c>
      <c r="G937" s="8">
        <v>21635440000</v>
      </c>
      <c r="H937">
        <f t="shared" si="14"/>
        <v>198266.8518886024</v>
      </c>
    </row>
    <row r="938" spans="1:8" x14ac:dyDescent="0.25">
      <c r="A938" s="6">
        <v>43084</v>
      </c>
      <c r="B938" s="7">
        <v>5994.4</v>
      </c>
      <c r="C938" s="7">
        <v>6043.4</v>
      </c>
      <c r="D938" s="7">
        <v>5989.8</v>
      </c>
      <c r="E938" s="7">
        <v>5997</v>
      </c>
      <c r="F938" s="8">
        <v>3345833000</v>
      </c>
      <c r="G938" s="8">
        <v>24857330000</v>
      </c>
      <c r="H938">
        <f t="shared" si="14"/>
        <v>198352.84778725952</v>
      </c>
    </row>
    <row r="939" spans="1:8" x14ac:dyDescent="0.25">
      <c r="A939" s="6">
        <v>43091</v>
      </c>
      <c r="B939" s="7">
        <v>5997</v>
      </c>
      <c r="C939" s="7">
        <v>6087.2</v>
      </c>
      <c r="D939" s="7">
        <v>5997</v>
      </c>
      <c r="E939" s="7">
        <v>6069.7</v>
      </c>
      <c r="F939" s="8">
        <v>3077338000</v>
      </c>
      <c r="G939" s="8">
        <v>25497750000</v>
      </c>
      <c r="H939">
        <f t="shared" si="14"/>
        <v>200757.42541509573</v>
      </c>
    </row>
    <row r="940" spans="1:8" x14ac:dyDescent="0.25">
      <c r="A940" s="6">
        <v>43098</v>
      </c>
      <c r="B940" s="7">
        <v>6069.7</v>
      </c>
      <c r="C940" s="7">
        <v>6092.8</v>
      </c>
      <c r="D940" s="7">
        <v>6051.6</v>
      </c>
      <c r="E940" s="7">
        <v>6065.1</v>
      </c>
      <c r="F940" s="8">
        <v>847752400</v>
      </c>
      <c r="G940" s="8">
        <v>6613778000</v>
      </c>
      <c r="H940">
        <f t="shared" si="14"/>
        <v>200605.2788251639</v>
      </c>
    </row>
    <row r="941" spans="1:8" x14ac:dyDescent="0.25">
      <c r="A941" s="6">
        <v>43105</v>
      </c>
      <c r="B941" s="7">
        <v>6065.1</v>
      </c>
      <c r="C941" s="7">
        <v>6124.8</v>
      </c>
      <c r="D941" s="7">
        <v>6035.8</v>
      </c>
      <c r="E941" s="7">
        <v>6122.3</v>
      </c>
      <c r="F941" s="8">
        <v>1401107000</v>
      </c>
      <c r="G941" s="8">
        <v>11050380000</v>
      </c>
      <c r="H941">
        <f t="shared" si="14"/>
        <v>202497.188595621</v>
      </c>
    </row>
    <row r="942" spans="1:8" x14ac:dyDescent="0.25">
      <c r="A942" s="6">
        <v>43112</v>
      </c>
      <c r="B942" s="7">
        <v>6122.3</v>
      </c>
      <c r="C942" s="7">
        <v>6150</v>
      </c>
      <c r="D942" s="7">
        <v>6053.9</v>
      </c>
      <c r="E942" s="7">
        <v>6070.1</v>
      </c>
      <c r="F942" s="8">
        <v>2318966000</v>
      </c>
      <c r="G942" s="8">
        <v>18442470000</v>
      </c>
      <c r="H942">
        <f t="shared" si="14"/>
        <v>200770.65555335069</v>
      </c>
    </row>
    <row r="943" spans="1:8" x14ac:dyDescent="0.25">
      <c r="A943" s="6">
        <v>43119</v>
      </c>
      <c r="B943" s="7">
        <v>6070.1</v>
      </c>
      <c r="C943" s="7">
        <v>6103.6</v>
      </c>
      <c r="D943" s="7">
        <v>6002.2</v>
      </c>
      <c r="E943" s="7">
        <v>6005.8</v>
      </c>
      <c r="F943" s="8">
        <v>2454795000</v>
      </c>
      <c r="G943" s="8">
        <v>18387000000</v>
      </c>
      <c r="H943">
        <f t="shared" si="14"/>
        <v>198643.91082886831</v>
      </c>
    </row>
    <row r="944" spans="1:8" x14ac:dyDescent="0.25">
      <c r="A944" s="6">
        <v>43125</v>
      </c>
      <c r="B944" s="7">
        <v>6005.8</v>
      </c>
      <c r="C944" s="7">
        <v>6066.3</v>
      </c>
      <c r="D944" s="7">
        <v>5991.9</v>
      </c>
      <c r="E944" s="7">
        <v>6050</v>
      </c>
      <c r="F944" s="8">
        <v>1957722000</v>
      </c>
      <c r="G944" s="8">
        <v>16041480000</v>
      </c>
      <c r="H944">
        <f t="shared" si="14"/>
        <v>200105.8411060397</v>
      </c>
    </row>
    <row r="945" spans="1:8" x14ac:dyDescent="0.25">
      <c r="A945" s="6">
        <v>43133</v>
      </c>
      <c r="B945" s="7">
        <v>6050</v>
      </c>
      <c r="C945" s="7">
        <v>6121.4</v>
      </c>
      <c r="D945" s="7">
        <v>5993.6</v>
      </c>
      <c r="E945" s="7">
        <v>6121.4</v>
      </c>
      <c r="F945" s="8">
        <v>2818948000</v>
      </c>
      <c r="G945" s="8">
        <v>22530210000</v>
      </c>
      <c r="H945">
        <f t="shared" si="14"/>
        <v>202467.42078454734</v>
      </c>
    </row>
    <row r="946" spans="1:8" x14ac:dyDescent="0.25">
      <c r="A946" s="6">
        <v>43140</v>
      </c>
      <c r="B946" s="7">
        <v>6121.4</v>
      </c>
      <c r="C946" s="7">
        <v>6121.4</v>
      </c>
      <c r="D946" s="7">
        <v>5786.8</v>
      </c>
      <c r="E946" s="7">
        <v>5838</v>
      </c>
      <c r="F946" s="8">
        <v>3558862000</v>
      </c>
      <c r="G946" s="8">
        <v>28971580000</v>
      </c>
      <c r="H946">
        <f t="shared" si="14"/>
        <v>193093.86783091899</v>
      </c>
    </row>
    <row r="947" spans="1:8" x14ac:dyDescent="0.25">
      <c r="A947" s="6">
        <v>43147</v>
      </c>
      <c r="B947" s="7">
        <v>5838</v>
      </c>
      <c r="C947" s="7">
        <v>5938.1</v>
      </c>
      <c r="D947" s="7">
        <v>5791.3</v>
      </c>
      <c r="E947" s="7">
        <v>5904</v>
      </c>
      <c r="F947" s="8">
        <v>2988575000</v>
      </c>
      <c r="G947" s="8">
        <v>22915190000</v>
      </c>
      <c r="H947">
        <f t="shared" si="14"/>
        <v>195276.84064298487</v>
      </c>
    </row>
    <row r="948" spans="1:8" x14ac:dyDescent="0.25">
      <c r="A948" s="6">
        <v>43154</v>
      </c>
      <c r="B948" s="7">
        <v>5904.4</v>
      </c>
      <c r="C948" s="7">
        <v>6003.4</v>
      </c>
      <c r="D948" s="7">
        <v>5890.2</v>
      </c>
      <c r="E948" s="7">
        <v>5999.8</v>
      </c>
      <c r="F948" s="8">
        <v>3199269000</v>
      </c>
      <c r="G948" s="8">
        <v>25757920000</v>
      </c>
      <c r="H948">
        <f t="shared" si="14"/>
        <v>198445.45875504415</v>
      </c>
    </row>
    <row r="949" spans="1:8" x14ac:dyDescent="0.25">
      <c r="A949" s="6">
        <v>43161</v>
      </c>
      <c r="B949" s="7">
        <v>5999.8</v>
      </c>
      <c r="C949" s="7">
        <v>6083</v>
      </c>
      <c r="D949" s="7">
        <v>5902.2</v>
      </c>
      <c r="E949" s="7">
        <v>5928.9</v>
      </c>
      <c r="F949" s="8">
        <v>3316271000</v>
      </c>
      <c r="G949" s="8">
        <v>26715230000</v>
      </c>
      <c r="H949">
        <f t="shared" si="14"/>
        <v>196100.41674935518</v>
      </c>
    </row>
    <row r="950" spans="1:8" x14ac:dyDescent="0.25">
      <c r="A950" s="6">
        <v>43168</v>
      </c>
      <c r="B950" s="7">
        <v>5928.9</v>
      </c>
      <c r="C950" s="7">
        <v>5979.5</v>
      </c>
      <c r="D950" s="7">
        <v>5886.5</v>
      </c>
      <c r="E950" s="7">
        <v>5963.2</v>
      </c>
      <c r="F950" s="8">
        <v>2802410000</v>
      </c>
      <c r="G950" s="8">
        <v>21874230000</v>
      </c>
      <c r="H950">
        <f t="shared" si="14"/>
        <v>197234.9011047167</v>
      </c>
    </row>
    <row r="951" spans="1:8" x14ac:dyDescent="0.25">
      <c r="A951" s="6">
        <v>43175</v>
      </c>
      <c r="B951" s="7">
        <v>5971.3</v>
      </c>
      <c r="C951" s="7">
        <v>6026.1</v>
      </c>
      <c r="D951" s="7">
        <v>5906.1</v>
      </c>
      <c r="E951" s="7">
        <v>5949.4</v>
      </c>
      <c r="F951" s="8">
        <v>3333648000</v>
      </c>
      <c r="G951" s="8">
        <v>26002790000</v>
      </c>
      <c r="H951">
        <f t="shared" si="14"/>
        <v>196778.4613349211</v>
      </c>
    </row>
    <row r="952" spans="1:8" x14ac:dyDescent="0.25">
      <c r="A952" s="6">
        <v>43182</v>
      </c>
      <c r="B952" s="7">
        <v>5949.4</v>
      </c>
      <c r="C952" s="7">
        <v>5982.5</v>
      </c>
      <c r="D952" s="7">
        <v>5808.1</v>
      </c>
      <c r="E952" s="7">
        <v>5820.7</v>
      </c>
      <c r="F952" s="8">
        <v>2742764000</v>
      </c>
      <c r="G952" s="8">
        <v>21074370000</v>
      </c>
      <c r="H952">
        <f t="shared" si="14"/>
        <v>192521.66435139262</v>
      </c>
    </row>
    <row r="953" spans="1:8" x14ac:dyDescent="0.25">
      <c r="A953" s="6">
        <v>43188</v>
      </c>
      <c r="B953" s="7">
        <v>5820.7</v>
      </c>
      <c r="C953" s="7">
        <v>5837.5</v>
      </c>
      <c r="D953" s="7">
        <v>5752.7</v>
      </c>
      <c r="E953" s="7">
        <v>5759.4</v>
      </c>
      <c r="F953" s="8">
        <v>2336686000</v>
      </c>
      <c r="G953" s="8">
        <v>19863050000</v>
      </c>
      <c r="H953">
        <f t="shared" si="14"/>
        <v>190494.14566382233</v>
      </c>
    </row>
    <row r="954" spans="1:8" x14ac:dyDescent="0.25">
      <c r="A954" s="6">
        <v>43196</v>
      </c>
      <c r="B954" s="7">
        <v>5759.4</v>
      </c>
      <c r="C954" s="7">
        <v>5806</v>
      </c>
      <c r="D954" s="7">
        <v>5724.8</v>
      </c>
      <c r="E954" s="7">
        <v>5788.7</v>
      </c>
      <c r="F954" s="8">
        <v>2006425000</v>
      </c>
      <c r="G954" s="8">
        <v>16233210000</v>
      </c>
      <c r="H954">
        <f t="shared" si="14"/>
        <v>191463.25329099706</v>
      </c>
    </row>
    <row r="955" spans="1:8" x14ac:dyDescent="0.25">
      <c r="A955" s="6">
        <v>43203</v>
      </c>
      <c r="B955" s="7">
        <v>5788.7</v>
      </c>
      <c r="C955" s="7">
        <v>5864</v>
      </c>
      <c r="D955" s="7">
        <v>5771.1</v>
      </c>
      <c r="E955" s="7">
        <v>5829.1</v>
      </c>
      <c r="F955" s="8">
        <v>2378918000</v>
      </c>
      <c r="G955" s="8">
        <v>18230470000</v>
      </c>
      <c r="H955">
        <f t="shared" si="14"/>
        <v>192799.4972547465</v>
      </c>
    </row>
    <row r="956" spans="1:8" x14ac:dyDescent="0.25">
      <c r="A956" s="6">
        <v>43210</v>
      </c>
      <c r="B956" s="7">
        <v>5829.1</v>
      </c>
      <c r="C956" s="7">
        <v>5902.9</v>
      </c>
      <c r="D956" s="7">
        <v>5829.1</v>
      </c>
      <c r="E956" s="7">
        <v>5868.8</v>
      </c>
      <c r="F956" s="8">
        <v>2492938000</v>
      </c>
      <c r="G956" s="8">
        <v>18736470000</v>
      </c>
      <c r="H956">
        <f t="shared" si="14"/>
        <v>194112.58847654978</v>
      </c>
    </row>
    <row r="957" spans="1:8" x14ac:dyDescent="0.25">
      <c r="A957" s="6">
        <v>43217</v>
      </c>
      <c r="B957" s="7">
        <v>5868.8</v>
      </c>
      <c r="C957" s="7">
        <v>5953.6</v>
      </c>
      <c r="D957" s="7">
        <v>5868.8</v>
      </c>
      <c r="E957" s="7">
        <v>5953.6</v>
      </c>
      <c r="F957" s="8">
        <v>2499638000</v>
      </c>
      <c r="G957" s="8">
        <v>20763680000</v>
      </c>
      <c r="H957">
        <f t="shared" si="14"/>
        <v>196917.37778659805</v>
      </c>
    </row>
    <row r="958" spans="1:8" x14ac:dyDescent="0.25">
      <c r="A958" s="6">
        <v>43224</v>
      </c>
      <c r="B958" s="7">
        <v>5953.6</v>
      </c>
      <c r="C958" s="7">
        <v>6109.7</v>
      </c>
      <c r="D958" s="7">
        <v>5945.6</v>
      </c>
      <c r="E958" s="7">
        <v>6062.9</v>
      </c>
      <c r="F958" s="8">
        <v>3116735000</v>
      </c>
      <c r="G958" s="8">
        <v>24670210000</v>
      </c>
      <c r="H958">
        <f t="shared" si="14"/>
        <v>200532.5130647617</v>
      </c>
    </row>
    <row r="959" spans="1:8" x14ac:dyDescent="0.25">
      <c r="A959" s="6">
        <v>43231</v>
      </c>
      <c r="B959" s="7">
        <v>6063.2</v>
      </c>
      <c r="C959" s="7">
        <v>6145.2</v>
      </c>
      <c r="D959" s="7">
        <v>6063.2</v>
      </c>
      <c r="E959" s="7">
        <v>6116.2</v>
      </c>
      <c r="F959" s="8">
        <v>2634829000</v>
      </c>
      <c r="G959" s="8">
        <v>23143450000</v>
      </c>
      <c r="H959">
        <f t="shared" si="14"/>
        <v>202295.42898723308</v>
      </c>
    </row>
    <row r="960" spans="1:8" x14ac:dyDescent="0.25">
      <c r="A960" s="6">
        <v>43238</v>
      </c>
      <c r="B960" s="7">
        <v>6116.2</v>
      </c>
      <c r="C960" s="7">
        <v>6146.8</v>
      </c>
      <c r="D960" s="7">
        <v>6077.6</v>
      </c>
      <c r="E960" s="7">
        <v>6087.4</v>
      </c>
      <c r="F960" s="8">
        <v>2966533000</v>
      </c>
      <c r="G960" s="8">
        <v>25259290000</v>
      </c>
      <c r="H960">
        <f t="shared" si="14"/>
        <v>201342.85903287705</v>
      </c>
    </row>
    <row r="961" spans="1:8" x14ac:dyDescent="0.25">
      <c r="A961" s="6">
        <v>43245</v>
      </c>
      <c r="B961" s="7">
        <v>6087.4</v>
      </c>
      <c r="C961" s="7">
        <v>6094.9</v>
      </c>
      <c r="D961" s="7">
        <v>6011.9</v>
      </c>
      <c r="E961" s="7">
        <v>6032.8</v>
      </c>
      <c r="F961" s="8">
        <v>2608796000</v>
      </c>
      <c r="G961" s="8">
        <v>22210670000</v>
      </c>
      <c r="H961">
        <f t="shared" si="14"/>
        <v>199536.94516107711</v>
      </c>
    </row>
    <row r="962" spans="1:8" x14ac:dyDescent="0.25">
      <c r="A962" s="6">
        <v>43252</v>
      </c>
      <c r="B962" s="7">
        <v>6032.8</v>
      </c>
      <c r="C962" s="7">
        <v>6032.8</v>
      </c>
      <c r="D962" s="7">
        <v>5964.1</v>
      </c>
      <c r="E962" s="7">
        <v>5990.4</v>
      </c>
      <c r="F962" s="8">
        <v>3117594000</v>
      </c>
      <c r="G962" s="8">
        <v>25731030000</v>
      </c>
      <c r="H962">
        <f t="shared" si="14"/>
        <v>198134.55050605294</v>
      </c>
    </row>
    <row r="963" spans="1:8" x14ac:dyDescent="0.25">
      <c r="A963" s="6">
        <v>43259</v>
      </c>
      <c r="B963" s="7">
        <v>5990.4</v>
      </c>
      <c r="C963" s="7">
        <v>6070.7</v>
      </c>
      <c r="D963" s="7">
        <v>5982.2</v>
      </c>
      <c r="E963" s="7">
        <v>6045.2</v>
      </c>
      <c r="F963" s="8">
        <v>2707246000</v>
      </c>
      <c r="G963" s="8">
        <v>21174560000</v>
      </c>
      <c r="H963">
        <f t="shared" si="14"/>
        <v>199947.07944698038</v>
      </c>
    </row>
    <row r="964" spans="1:8" x14ac:dyDescent="0.25">
      <c r="A964" s="6">
        <v>43266</v>
      </c>
      <c r="B964" s="7">
        <v>6045.2</v>
      </c>
      <c r="C964" s="7">
        <v>6100.1</v>
      </c>
      <c r="D964" s="7">
        <v>6007.5</v>
      </c>
      <c r="E964" s="7">
        <v>6094</v>
      </c>
      <c r="F964" s="8">
        <v>2866714000</v>
      </c>
      <c r="G964" s="8">
        <v>23243040000</v>
      </c>
      <c r="H964">
        <f t="shared" ref="H964:H1027" si="15">H963*(E964/E963)</f>
        <v>201561.15631408364</v>
      </c>
    </row>
    <row r="965" spans="1:8" x14ac:dyDescent="0.25">
      <c r="A965" s="6">
        <v>43273</v>
      </c>
      <c r="B965" s="7">
        <v>6094</v>
      </c>
      <c r="C965" s="7">
        <v>6249.3</v>
      </c>
      <c r="D965" s="7">
        <v>6085.2</v>
      </c>
      <c r="E965" s="7">
        <v>6225.2</v>
      </c>
      <c r="F965" s="8">
        <v>3201329000</v>
      </c>
      <c r="G965" s="8">
        <v>27927380000</v>
      </c>
      <c r="H965">
        <f t="shared" si="15"/>
        <v>205900.64166170554</v>
      </c>
    </row>
    <row r="966" spans="1:8" x14ac:dyDescent="0.25">
      <c r="A966" s="6">
        <v>43280</v>
      </c>
      <c r="B966" s="7">
        <v>6225.7</v>
      </c>
      <c r="C966" s="7">
        <v>6250.8</v>
      </c>
      <c r="D966" s="7">
        <v>6161.1</v>
      </c>
      <c r="E966" s="7">
        <v>6194.6</v>
      </c>
      <c r="F966" s="8">
        <v>3027047000</v>
      </c>
      <c r="G966" s="8">
        <v>26408400000</v>
      </c>
      <c r="H966">
        <f t="shared" si="15"/>
        <v>204888.53608520227</v>
      </c>
    </row>
    <row r="967" spans="1:8" x14ac:dyDescent="0.25">
      <c r="A967" s="6">
        <v>43287</v>
      </c>
      <c r="B967" s="7">
        <v>6194.6</v>
      </c>
      <c r="C967" s="7">
        <v>6273.5</v>
      </c>
      <c r="D967" s="7">
        <v>6174.4</v>
      </c>
      <c r="E967" s="7">
        <v>6272.3</v>
      </c>
      <c r="F967" s="8">
        <v>2562525000</v>
      </c>
      <c r="G967" s="8">
        <v>21294730000</v>
      </c>
      <c r="H967">
        <f t="shared" si="15"/>
        <v>207458.49044122529</v>
      </c>
    </row>
    <row r="968" spans="1:8" x14ac:dyDescent="0.25">
      <c r="A968" s="6">
        <v>43294</v>
      </c>
      <c r="B968" s="7">
        <v>6272.3</v>
      </c>
      <c r="C968" s="7">
        <v>6306.1</v>
      </c>
      <c r="D968" s="7">
        <v>6209.6</v>
      </c>
      <c r="E968" s="7">
        <v>6268.4</v>
      </c>
      <c r="F968" s="8">
        <v>2404457000</v>
      </c>
      <c r="G968" s="8">
        <v>21487760000</v>
      </c>
      <c r="H968">
        <f t="shared" si="15"/>
        <v>207329.49659323957</v>
      </c>
    </row>
    <row r="969" spans="1:8" x14ac:dyDescent="0.25">
      <c r="A969" s="6">
        <v>43301</v>
      </c>
      <c r="B969" s="7">
        <v>6267.6</v>
      </c>
      <c r="C969" s="7">
        <v>6297.9</v>
      </c>
      <c r="D969" s="7">
        <v>6199.9</v>
      </c>
      <c r="E969" s="7">
        <v>6285.9</v>
      </c>
      <c r="F969" s="8">
        <v>2346526000</v>
      </c>
      <c r="G969" s="8">
        <v>19424570000</v>
      </c>
      <c r="H969">
        <f t="shared" si="15"/>
        <v>207908.3151418934</v>
      </c>
    </row>
    <row r="970" spans="1:8" x14ac:dyDescent="0.25">
      <c r="A970" s="6">
        <v>43308</v>
      </c>
      <c r="B970" s="7">
        <v>6285.9</v>
      </c>
      <c r="C970" s="7">
        <v>6302.3</v>
      </c>
      <c r="D970" s="7">
        <v>6214.5</v>
      </c>
      <c r="E970" s="7">
        <v>6300.2</v>
      </c>
      <c r="F970" s="8">
        <v>2861114000</v>
      </c>
      <c r="G970" s="8">
        <v>23087060000</v>
      </c>
      <c r="H970">
        <f t="shared" si="15"/>
        <v>208381.29258450767</v>
      </c>
    </row>
    <row r="971" spans="1:8" x14ac:dyDescent="0.25">
      <c r="A971" s="6">
        <v>43315</v>
      </c>
      <c r="B971" s="7">
        <v>6297</v>
      </c>
      <c r="C971" s="7">
        <v>6300.2</v>
      </c>
      <c r="D971" s="7">
        <v>6231.2</v>
      </c>
      <c r="E971" s="7">
        <v>6234.8</v>
      </c>
      <c r="F971" s="8">
        <v>2491210000</v>
      </c>
      <c r="G971" s="8">
        <v>21126760000</v>
      </c>
      <c r="H971">
        <f t="shared" si="15"/>
        <v>206218.16497982421</v>
      </c>
    </row>
    <row r="972" spans="1:8" x14ac:dyDescent="0.25">
      <c r="A972" s="6">
        <v>43322</v>
      </c>
      <c r="B972" s="7">
        <v>6234.8</v>
      </c>
      <c r="C972" s="7">
        <v>6313.6</v>
      </c>
      <c r="D972" s="7">
        <v>6234.8</v>
      </c>
      <c r="E972" s="7">
        <v>6278.4</v>
      </c>
      <c r="F972" s="8">
        <v>2497179000</v>
      </c>
      <c r="G972" s="8">
        <v>21423740000</v>
      </c>
      <c r="H972">
        <f t="shared" si="15"/>
        <v>207660.25004961318</v>
      </c>
    </row>
    <row r="973" spans="1:8" x14ac:dyDescent="0.25">
      <c r="A973" s="6">
        <v>43329</v>
      </c>
      <c r="B973" s="7">
        <v>6278.1</v>
      </c>
      <c r="C973" s="7">
        <v>6348.1</v>
      </c>
      <c r="D973" s="7">
        <v>6239.6</v>
      </c>
      <c r="E973" s="7">
        <v>6339.2</v>
      </c>
      <c r="F973" s="8">
        <v>2893839000</v>
      </c>
      <c r="G973" s="8">
        <v>26652850000</v>
      </c>
      <c r="H973">
        <f t="shared" si="15"/>
        <v>209671.23106436481</v>
      </c>
    </row>
    <row r="974" spans="1:8" x14ac:dyDescent="0.25">
      <c r="A974" s="6">
        <v>43336</v>
      </c>
      <c r="B974" s="7">
        <v>6338.4</v>
      </c>
      <c r="C974" s="7">
        <v>6358</v>
      </c>
      <c r="D974" s="7">
        <v>6238</v>
      </c>
      <c r="E974" s="7">
        <v>6247.3</v>
      </c>
      <c r="F974" s="8">
        <v>3528387000</v>
      </c>
      <c r="G974" s="8">
        <v>28794440000</v>
      </c>
      <c r="H974">
        <f t="shared" si="15"/>
        <v>206631.60680029125</v>
      </c>
    </row>
    <row r="975" spans="1:8" x14ac:dyDescent="0.25">
      <c r="A975" s="6">
        <v>43343</v>
      </c>
      <c r="B975" s="7">
        <v>6247.5</v>
      </c>
      <c r="C975" s="7">
        <v>6373.5</v>
      </c>
      <c r="D975" s="7">
        <v>6230.9</v>
      </c>
      <c r="E975" s="7">
        <v>6319.5</v>
      </c>
      <c r="F975" s="8">
        <v>3484883000</v>
      </c>
      <c r="G975" s="8">
        <v>29821700000</v>
      </c>
      <c r="H975">
        <f t="shared" si="15"/>
        <v>209019.64675530876</v>
      </c>
    </row>
    <row r="976" spans="1:8" x14ac:dyDescent="0.25">
      <c r="A976" s="6">
        <v>43350</v>
      </c>
      <c r="B976" s="7">
        <v>6319.5</v>
      </c>
      <c r="C976" s="7">
        <v>6333.7</v>
      </c>
      <c r="D976" s="7">
        <v>6102</v>
      </c>
      <c r="E976" s="7">
        <v>6143.8</v>
      </c>
      <c r="F976" s="8">
        <v>2811572000</v>
      </c>
      <c r="G976" s="8">
        <v>22920200000</v>
      </c>
      <c r="H976">
        <f t="shared" si="15"/>
        <v>203208.30852682426</v>
      </c>
    </row>
    <row r="977" spans="1:8" x14ac:dyDescent="0.25">
      <c r="A977" s="6">
        <v>43357</v>
      </c>
      <c r="B977" s="7">
        <v>6143.8</v>
      </c>
      <c r="C977" s="7">
        <v>6181.5</v>
      </c>
      <c r="D977" s="7">
        <v>6123.8</v>
      </c>
      <c r="E977" s="7">
        <v>6165.3</v>
      </c>
      <c r="F977" s="8">
        <v>2662308000</v>
      </c>
      <c r="G977" s="8">
        <v>21953540000</v>
      </c>
      <c r="H977">
        <f t="shared" si="15"/>
        <v>203919.42845802754</v>
      </c>
    </row>
    <row r="978" spans="1:8" x14ac:dyDescent="0.25">
      <c r="A978" s="6">
        <v>43364</v>
      </c>
      <c r="B978" s="7">
        <v>6165.3</v>
      </c>
      <c r="C978" s="7">
        <v>6209.6</v>
      </c>
      <c r="D978" s="7">
        <v>6142.3</v>
      </c>
      <c r="E978" s="7">
        <v>6194.6</v>
      </c>
      <c r="F978" s="8">
        <v>3690516000</v>
      </c>
      <c r="G978" s="8">
        <v>29171230000</v>
      </c>
      <c r="H978">
        <f t="shared" si="15"/>
        <v>204888.53608520224</v>
      </c>
    </row>
    <row r="979" spans="1:8" x14ac:dyDescent="0.25">
      <c r="A979" s="6">
        <v>43371</v>
      </c>
      <c r="B979" s="7">
        <v>6194.6</v>
      </c>
      <c r="C979" s="7">
        <v>6234.4</v>
      </c>
      <c r="D979" s="7">
        <v>6166.8</v>
      </c>
      <c r="E979" s="7">
        <v>6207.6</v>
      </c>
      <c r="F979" s="8">
        <v>2915688000</v>
      </c>
      <c r="G979" s="8">
        <v>25591460000</v>
      </c>
      <c r="H979">
        <f t="shared" si="15"/>
        <v>205318.51557848798</v>
      </c>
    </row>
    <row r="980" spans="1:8" x14ac:dyDescent="0.25">
      <c r="A980" s="6">
        <v>43378</v>
      </c>
      <c r="B980" s="7">
        <v>6207.6</v>
      </c>
      <c r="C980" s="7">
        <v>6207.6</v>
      </c>
      <c r="D980" s="7">
        <v>6118.4</v>
      </c>
      <c r="E980" s="7">
        <v>6185.5</v>
      </c>
      <c r="F980" s="8">
        <v>2448748000</v>
      </c>
      <c r="G980" s="8">
        <v>20064740000</v>
      </c>
      <c r="H980">
        <f t="shared" si="15"/>
        <v>204587.55043990226</v>
      </c>
    </row>
    <row r="981" spans="1:8" x14ac:dyDescent="0.25">
      <c r="A981" s="6">
        <v>43385</v>
      </c>
      <c r="B981" s="7">
        <v>6177.4</v>
      </c>
      <c r="C981" s="7">
        <v>6177.4</v>
      </c>
      <c r="D981" s="7">
        <v>5846.7</v>
      </c>
      <c r="E981" s="7">
        <v>5895.7</v>
      </c>
      <c r="F981" s="8">
        <v>3284928000</v>
      </c>
      <c r="G981" s="8">
        <v>27023670000</v>
      </c>
      <c r="H981">
        <f t="shared" si="15"/>
        <v>195002.31527419476</v>
      </c>
    </row>
    <row r="982" spans="1:8" x14ac:dyDescent="0.25">
      <c r="A982" s="6">
        <v>43392</v>
      </c>
      <c r="B982" s="7">
        <v>5895.7</v>
      </c>
      <c r="C982" s="7">
        <v>5942.8</v>
      </c>
      <c r="D982" s="7">
        <v>5796</v>
      </c>
      <c r="E982" s="7">
        <v>5939.5</v>
      </c>
      <c r="F982" s="8">
        <v>2863586000</v>
      </c>
      <c r="G982" s="8">
        <v>22220840000</v>
      </c>
      <c r="H982">
        <f t="shared" si="15"/>
        <v>196451.01541311122</v>
      </c>
    </row>
    <row r="983" spans="1:8" x14ac:dyDescent="0.25">
      <c r="A983" s="6">
        <v>43399</v>
      </c>
      <c r="B983" s="7">
        <v>5939.5</v>
      </c>
      <c r="C983" s="7">
        <v>5939.5</v>
      </c>
      <c r="D983" s="7">
        <v>5624.6</v>
      </c>
      <c r="E983" s="7">
        <v>5665.2</v>
      </c>
      <c r="F983" s="8">
        <v>3443419000</v>
      </c>
      <c r="G983" s="8">
        <v>26977840000</v>
      </c>
      <c r="H983">
        <f t="shared" si="15"/>
        <v>187378.44810478284</v>
      </c>
    </row>
    <row r="984" spans="1:8" x14ac:dyDescent="0.25">
      <c r="A984" s="6">
        <v>43406</v>
      </c>
      <c r="B984" s="7">
        <v>5665.2</v>
      </c>
      <c r="C984" s="7">
        <v>5877.2</v>
      </c>
      <c r="D984" s="7">
        <v>5665.2</v>
      </c>
      <c r="E984" s="7">
        <v>5849.2</v>
      </c>
      <c r="F984" s="8">
        <v>3320405000</v>
      </c>
      <c r="G984" s="8">
        <v>26025540000</v>
      </c>
      <c r="H984">
        <f t="shared" si="15"/>
        <v>193464.31170205746</v>
      </c>
    </row>
    <row r="985" spans="1:8" x14ac:dyDescent="0.25">
      <c r="A985" s="6">
        <v>43413</v>
      </c>
      <c r="B985" s="7">
        <v>5849.2</v>
      </c>
      <c r="C985" s="7">
        <v>5935.5</v>
      </c>
      <c r="D985" s="7">
        <v>5817.7</v>
      </c>
      <c r="E985" s="7">
        <v>5921.8</v>
      </c>
      <c r="F985" s="8">
        <v>2564024000</v>
      </c>
      <c r="G985" s="8">
        <v>21799680000</v>
      </c>
      <c r="H985">
        <f t="shared" si="15"/>
        <v>195865.58179532996</v>
      </c>
    </row>
    <row r="986" spans="1:8" x14ac:dyDescent="0.25">
      <c r="A986" s="6">
        <v>43420</v>
      </c>
      <c r="B986" s="7">
        <v>5921.8</v>
      </c>
      <c r="C986" s="7">
        <v>5941.3</v>
      </c>
      <c r="D986" s="7">
        <v>5686.8</v>
      </c>
      <c r="E986" s="7">
        <v>5730.6</v>
      </c>
      <c r="F986" s="8">
        <v>3119025000</v>
      </c>
      <c r="G986" s="8">
        <v>25523330000</v>
      </c>
      <c r="H986">
        <f t="shared" si="15"/>
        <v>189541.57570946636</v>
      </c>
    </row>
    <row r="987" spans="1:8" x14ac:dyDescent="0.25">
      <c r="A987" s="6">
        <v>43427</v>
      </c>
      <c r="B987" s="7">
        <v>5730.6</v>
      </c>
      <c r="C987" s="7">
        <v>5731.3</v>
      </c>
      <c r="D987" s="7">
        <v>5594</v>
      </c>
      <c r="E987" s="7">
        <v>5716.2</v>
      </c>
      <c r="F987" s="8">
        <v>2997880000</v>
      </c>
      <c r="G987" s="8">
        <v>23083300000</v>
      </c>
      <c r="H987">
        <f t="shared" si="15"/>
        <v>189065.29073228833</v>
      </c>
    </row>
    <row r="988" spans="1:8" x14ac:dyDescent="0.25">
      <c r="A988" s="6">
        <v>43434</v>
      </c>
      <c r="B988" s="7">
        <v>5716.2</v>
      </c>
      <c r="C988" s="7">
        <v>5778.7</v>
      </c>
      <c r="D988" s="7">
        <v>5655.6</v>
      </c>
      <c r="E988" s="7">
        <v>5667.2</v>
      </c>
      <c r="F988" s="8">
        <v>3818630000</v>
      </c>
      <c r="G988" s="8">
        <v>31170610000</v>
      </c>
      <c r="H988">
        <f t="shared" si="15"/>
        <v>187444.59879605757</v>
      </c>
    </row>
    <row r="989" spans="1:8" x14ac:dyDescent="0.25">
      <c r="A989" s="6">
        <v>43441</v>
      </c>
      <c r="B989" s="7">
        <v>5667.2</v>
      </c>
      <c r="C989" s="7">
        <v>5771.2</v>
      </c>
      <c r="D989" s="7">
        <v>5610</v>
      </c>
      <c r="E989" s="7">
        <v>5681.5</v>
      </c>
      <c r="F989" s="8">
        <v>3167176000</v>
      </c>
      <c r="G989" s="8">
        <v>24621880000</v>
      </c>
      <c r="H989">
        <f t="shared" si="15"/>
        <v>187917.57623867184</v>
      </c>
    </row>
    <row r="990" spans="1:8" x14ac:dyDescent="0.25">
      <c r="A990" s="6">
        <v>43448</v>
      </c>
      <c r="B990" s="7">
        <v>5681.5</v>
      </c>
      <c r="C990" s="7">
        <v>5682.1</v>
      </c>
      <c r="D990" s="7">
        <v>5549.3</v>
      </c>
      <c r="E990" s="7">
        <v>5602</v>
      </c>
      <c r="F990" s="8">
        <v>3460482000</v>
      </c>
      <c r="G990" s="8">
        <v>26404810000</v>
      </c>
      <c r="H990">
        <f t="shared" si="15"/>
        <v>185288.08626050156</v>
      </c>
    </row>
    <row r="991" spans="1:8" x14ac:dyDescent="0.25">
      <c r="A991" s="6">
        <v>43455</v>
      </c>
      <c r="B991" s="7">
        <v>5602</v>
      </c>
      <c r="C991" s="7">
        <v>5665.6</v>
      </c>
      <c r="D991" s="7">
        <v>5426.6</v>
      </c>
      <c r="E991" s="7">
        <v>5467.6</v>
      </c>
      <c r="F991" s="8">
        <v>4479512000</v>
      </c>
      <c r="G991" s="8">
        <v>37053510000</v>
      </c>
      <c r="H991">
        <f t="shared" si="15"/>
        <v>180842.75980684013</v>
      </c>
    </row>
    <row r="992" spans="1:8" x14ac:dyDescent="0.25">
      <c r="A992" s="6">
        <v>43462</v>
      </c>
      <c r="B992" s="7">
        <v>5467.6</v>
      </c>
      <c r="C992" s="7">
        <v>5654.3</v>
      </c>
      <c r="D992" s="7">
        <v>5410.2</v>
      </c>
      <c r="E992" s="7">
        <v>5654.3</v>
      </c>
      <c r="F992" s="8">
        <v>1082852000</v>
      </c>
      <c r="G992" s="8">
        <v>9276226000</v>
      </c>
      <c r="H992">
        <f t="shared" si="15"/>
        <v>187017.9268373356</v>
      </c>
    </row>
    <row r="993" spans="1:8" x14ac:dyDescent="0.25">
      <c r="A993" s="6">
        <v>43469</v>
      </c>
      <c r="B993" s="7">
        <v>5654.3</v>
      </c>
      <c r="C993" s="7">
        <v>5700.6</v>
      </c>
      <c r="D993" s="7">
        <v>5552</v>
      </c>
      <c r="E993" s="7">
        <v>5619.4</v>
      </c>
      <c r="F993" s="8">
        <v>1537469000</v>
      </c>
      <c r="G993" s="8">
        <v>12558780000</v>
      </c>
      <c r="H993">
        <f t="shared" si="15"/>
        <v>185863.59727459165</v>
      </c>
    </row>
    <row r="994" spans="1:8" x14ac:dyDescent="0.25">
      <c r="A994" s="6">
        <v>43476</v>
      </c>
      <c r="B994" s="7">
        <v>5619.4</v>
      </c>
      <c r="C994" s="7">
        <v>5808.6</v>
      </c>
      <c r="D994" s="7">
        <v>5619.4</v>
      </c>
      <c r="E994" s="7">
        <v>5774.6</v>
      </c>
      <c r="F994" s="8">
        <v>2469413000</v>
      </c>
      <c r="G994" s="8">
        <v>19153610000</v>
      </c>
      <c r="H994">
        <f t="shared" si="15"/>
        <v>190996.89091751026</v>
      </c>
    </row>
    <row r="995" spans="1:8" x14ac:dyDescent="0.25">
      <c r="A995" s="6">
        <v>43483</v>
      </c>
      <c r="B995" s="7">
        <v>5774.6</v>
      </c>
      <c r="C995" s="7">
        <v>5888.1</v>
      </c>
      <c r="D995" s="7">
        <v>5756.9</v>
      </c>
      <c r="E995" s="7">
        <v>5879.6</v>
      </c>
      <c r="F995" s="8">
        <v>2295388000</v>
      </c>
      <c r="G995" s="8">
        <v>17736040000</v>
      </c>
      <c r="H995">
        <f t="shared" si="15"/>
        <v>194469.80220943328</v>
      </c>
    </row>
    <row r="996" spans="1:8" x14ac:dyDescent="0.25">
      <c r="A996" s="6">
        <v>43490</v>
      </c>
      <c r="B996" s="7">
        <v>5879.6</v>
      </c>
      <c r="C996" s="7">
        <v>5915.2</v>
      </c>
      <c r="D996" s="7">
        <v>5831.4</v>
      </c>
      <c r="E996" s="7">
        <v>5905.6</v>
      </c>
      <c r="F996" s="8">
        <v>2454720000</v>
      </c>
      <c r="G996" s="8">
        <v>20118670000</v>
      </c>
      <c r="H996">
        <f t="shared" si="15"/>
        <v>195329.76119600469</v>
      </c>
    </row>
    <row r="997" spans="1:8" x14ac:dyDescent="0.25">
      <c r="A997" s="6">
        <v>43497</v>
      </c>
      <c r="B997" s="7">
        <v>5905.6</v>
      </c>
      <c r="C997" s="7">
        <v>5912.6</v>
      </c>
      <c r="D997" s="7">
        <v>5857.4</v>
      </c>
      <c r="E997" s="7">
        <v>5862.8</v>
      </c>
      <c r="F997" s="8">
        <v>3066243000</v>
      </c>
      <c r="G997" s="8">
        <v>23756800000</v>
      </c>
      <c r="H997">
        <f t="shared" si="15"/>
        <v>193914.13640272559</v>
      </c>
    </row>
    <row r="998" spans="1:8" x14ac:dyDescent="0.25">
      <c r="A998" s="6">
        <v>43504</v>
      </c>
      <c r="B998" s="7">
        <v>5862.8</v>
      </c>
      <c r="C998" s="7">
        <v>6105.9</v>
      </c>
      <c r="D998" s="7">
        <v>5848.9</v>
      </c>
      <c r="E998" s="7">
        <v>6071.5</v>
      </c>
      <c r="F998" s="8">
        <v>3178371000</v>
      </c>
      <c r="G998" s="8">
        <v>26683150000</v>
      </c>
      <c r="H998">
        <f t="shared" si="15"/>
        <v>200816.96103724305</v>
      </c>
    </row>
    <row r="999" spans="1:8" x14ac:dyDescent="0.25">
      <c r="A999" s="6">
        <v>43511</v>
      </c>
      <c r="B999" s="7">
        <v>6071.5</v>
      </c>
      <c r="C999" s="7">
        <v>6094</v>
      </c>
      <c r="D999" s="7">
        <v>6028.6</v>
      </c>
      <c r="E999" s="7">
        <v>6066.1</v>
      </c>
      <c r="F999" s="8">
        <v>3248995000</v>
      </c>
      <c r="G999" s="8">
        <v>26092050000</v>
      </c>
      <c r="H999">
        <f t="shared" si="15"/>
        <v>200638.35417080129</v>
      </c>
    </row>
    <row r="1000" spans="1:8" x14ac:dyDescent="0.25">
      <c r="A1000" s="6">
        <v>43518</v>
      </c>
      <c r="B1000" s="7">
        <v>6066.1</v>
      </c>
      <c r="C1000" s="7">
        <v>6176.2</v>
      </c>
      <c r="D1000" s="7">
        <v>6066.1</v>
      </c>
      <c r="E1000" s="7">
        <v>6167.3</v>
      </c>
      <c r="F1000" s="8">
        <v>3569670000</v>
      </c>
      <c r="G1000" s="8">
        <v>30164720000</v>
      </c>
      <c r="H1000">
        <f t="shared" si="15"/>
        <v>203985.57914930233</v>
      </c>
    </row>
    <row r="1001" spans="1:8" x14ac:dyDescent="0.25">
      <c r="A1001" s="6">
        <v>43525</v>
      </c>
      <c r="B1001" s="7">
        <v>6167.3</v>
      </c>
      <c r="C1001" s="7">
        <v>6209.9</v>
      </c>
      <c r="D1001" s="7">
        <v>6106</v>
      </c>
      <c r="E1001" s="7">
        <v>6192.7</v>
      </c>
      <c r="F1001" s="8">
        <v>3703121000</v>
      </c>
      <c r="G1001" s="8">
        <v>29879780000</v>
      </c>
      <c r="H1001">
        <f t="shared" si="15"/>
        <v>204825.69292849131</v>
      </c>
    </row>
    <row r="1002" spans="1:8" x14ac:dyDescent="0.25">
      <c r="A1002" s="6">
        <v>43532</v>
      </c>
      <c r="B1002" s="7">
        <v>6192.7</v>
      </c>
      <c r="C1002" s="7">
        <v>6270.9</v>
      </c>
      <c r="D1002" s="7">
        <v>6175.7</v>
      </c>
      <c r="E1002" s="7">
        <v>6203.8</v>
      </c>
      <c r="F1002" s="8">
        <v>3558536000</v>
      </c>
      <c r="G1002" s="8">
        <v>28868510000</v>
      </c>
      <c r="H1002">
        <f t="shared" si="15"/>
        <v>205192.82926506602</v>
      </c>
    </row>
    <row r="1003" spans="1:8" x14ac:dyDescent="0.25">
      <c r="A1003" s="6">
        <v>43539</v>
      </c>
      <c r="B1003" s="7">
        <v>6203.8</v>
      </c>
      <c r="C1003" s="7">
        <v>6222.9</v>
      </c>
      <c r="D1003" s="7">
        <v>6127.3</v>
      </c>
      <c r="E1003" s="7">
        <v>6175.2</v>
      </c>
      <c r="F1003" s="8">
        <v>3556582000</v>
      </c>
      <c r="G1003" s="8">
        <v>28531590000</v>
      </c>
      <c r="H1003">
        <f t="shared" si="15"/>
        <v>204246.87437983745</v>
      </c>
    </row>
    <row r="1004" spans="1:8" x14ac:dyDescent="0.25">
      <c r="A1004" s="6">
        <v>43546</v>
      </c>
      <c r="B1004" s="7">
        <v>6175.2</v>
      </c>
      <c r="C1004" s="7">
        <v>6227.1</v>
      </c>
      <c r="D1004" s="7">
        <v>6134</v>
      </c>
      <c r="E1004" s="7">
        <v>6195.2</v>
      </c>
      <c r="F1004" s="8">
        <v>3248666000</v>
      </c>
      <c r="G1004" s="8">
        <v>25515960000</v>
      </c>
      <c r="H1004">
        <f t="shared" si="15"/>
        <v>204908.38129258467</v>
      </c>
    </row>
    <row r="1005" spans="1:8" x14ac:dyDescent="0.25">
      <c r="A1005" s="6">
        <v>43553</v>
      </c>
      <c r="B1005" s="7">
        <v>6195.2</v>
      </c>
      <c r="C1005" s="7">
        <v>6213.4</v>
      </c>
      <c r="D1005" s="7">
        <v>6096.8</v>
      </c>
      <c r="E1005" s="7">
        <v>6180.7</v>
      </c>
      <c r="F1005" s="8">
        <v>3345787000</v>
      </c>
      <c r="G1005" s="8">
        <v>27212140000</v>
      </c>
      <c r="H1005">
        <f t="shared" si="15"/>
        <v>204428.78878084294</v>
      </c>
    </row>
    <row r="1006" spans="1:8" x14ac:dyDescent="0.25">
      <c r="A1006" s="6">
        <v>43560</v>
      </c>
      <c r="B1006" s="7">
        <v>6180.7</v>
      </c>
      <c r="C1006" s="7">
        <v>6287.9</v>
      </c>
      <c r="D1006" s="7">
        <v>6169.8</v>
      </c>
      <c r="E1006" s="7">
        <v>6181.3</v>
      </c>
      <c r="F1006" s="8">
        <v>2985600000</v>
      </c>
      <c r="G1006" s="8">
        <v>23805210000</v>
      </c>
      <c r="H1006">
        <f t="shared" si="15"/>
        <v>204448.63398822537</v>
      </c>
    </row>
    <row r="1007" spans="1:8" x14ac:dyDescent="0.25">
      <c r="A1007" s="6">
        <v>43567</v>
      </c>
      <c r="B1007" s="7">
        <v>6181.3</v>
      </c>
      <c r="C1007" s="7">
        <v>6251.3</v>
      </c>
      <c r="D1007" s="7">
        <v>6181.3</v>
      </c>
      <c r="E1007" s="7">
        <v>6251.3</v>
      </c>
      <c r="F1007" s="8">
        <v>2512905000</v>
      </c>
      <c r="G1007" s="8">
        <v>20412960000</v>
      </c>
      <c r="H1007">
        <f t="shared" si="15"/>
        <v>206763.90818284068</v>
      </c>
    </row>
    <row r="1008" spans="1:8" x14ac:dyDescent="0.25">
      <c r="A1008" s="6">
        <v>43573</v>
      </c>
      <c r="B1008" s="7">
        <v>6251.3</v>
      </c>
      <c r="C1008" s="7">
        <v>6286</v>
      </c>
      <c r="D1008" s="7">
        <v>6237.6</v>
      </c>
      <c r="E1008" s="7">
        <v>6259.8</v>
      </c>
      <c r="F1008" s="8">
        <v>2139600000</v>
      </c>
      <c r="G1008" s="8">
        <v>17542510000</v>
      </c>
      <c r="H1008">
        <f t="shared" si="15"/>
        <v>207045.04862075826</v>
      </c>
    </row>
    <row r="1009" spans="1:8" x14ac:dyDescent="0.25">
      <c r="A1009" s="6">
        <v>43581</v>
      </c>
      <c r="B1009" s="7">
        <v>6259.8</v>
      </c>
      <c r="C1009" s="7">
        <v>6390.5</v>
      </c>
      <c r="D1009" s="7">
        <v>6259.8</v>
      </c>
      <c r="E1009" s="7">
        <v>6385.6</v>
      </c>
      <c r="F1009" s="8">
        <v>1753445000</v>
      </c>
      <c r="G1009" s="8">
        <v>16594340000</v>
      </c>
      <c r="H1009">
        <f t="shared" si="15"/>
        <v>211205.9271019384</v>
      </c>
    </row>
    <row r="1010" spans="1:8" x14ac:dyDescent="0.25">
      <c r="A1010" s="6">
        <v>43588</v>
      </c>
      <c r="B1010" s="7">
        <v>6385.6</v>
      </c>
      <c r="C1010" s="7">
        <v>6385.6</v>
      </c>
      <c r="D1010" s="7">
        <v>6316.3</v>
      </c>
      <c r="E1010" s="7">
        <v>6335.8</v>
      </c>
      <c r="F1010" s="8">
        <v>2841526000</v>
      </c>
      <c r="G1010" s="8">
        <v>22249080000</v>
      </c>
      <c r="H1010">
        <f t="shared" si="15"/>
        <v>209558.77488919778</v>
      </c>
    </row>
    <row r="1011" spans="1:8" x14ac:dyDescent="0.25">
      <c r="A1011" s="6">
        <v>43595</v>
      </c>
      <c r="B1011" s="7">
        <v>6335.8</v>
      </c>
      <c r="C1011" s="7">
        <v>6341.9</v>
      </c>
      <c r="D1011" s="7">
        <v>6241.5</v>
      </c>
      <c r="E1011" s="7">
        <v>6310.9</v>
      </c>
      <c r="F1011" s="8">
        <v>2696804000</v>
      </c>
      <c r="G1011" s="8">
        <v>22875080000</v>
      </c>
      <c r="H1011">
        <f t="shared" si="15"/>
        <v>208735.19878282744</v>
      </c>
    </row>
    <row r="1012" spans="1:8" x14ac:dyDescent="0.25">
      <c r="A1012" s="6">
        <v>43602</v>
      </c>
      <c r="B1012" s="7">
        <v>6310.9</v>
      </c>
      <c r="C1012" s="7">
        <v>6398.3</v>
      </c>
      <c r="D1012" s="7">
        <v>6203.1</v>
      </c>
      <c r="E1012" s="7">
        <v>6365.3</v>
      </c>
      <c r="F1012" s="8">
        <v>2986235000</v>
      </c>
      <c r="G1012" s="8">
        <v>25298180000</v>
      </c>
      <c r="H1012">
        <f t="shared" si="15"/>
        <v>210534.49758549995</v>
      </c>
    </row>
    <row r="1013" spans="1:8" x14ac:dyDescent="0.25">
      <c r="A1013" s="6">
        <v>43609</v>
      </c>
      <c r="B1013" s="7">
        <v>6365.3</v>
      </c>
      <c r="C1013" s="7">
        <v>6510.9</v>
      </c>
      <c r="D1013" s="7">
        <v>6365.3</v>
      </c>
      <c r="E1013" s="7">
        <v>6456</v>
      </c>
      <c r="F1013" s="8">
        <v>3181239000</v>
      </c>
      <c r="G1013" s="8">
        <v>29263370000</v>
      </c>
      <c r="H1013">
        <f t="shared" si="15"/>
        <v>213534.43143480868</v>
      </c>
    </row>
    <row r="1014" spans="1:8" x14ac:dyDescent="0.25">
      <c r="A1014" s="6">
        <v>43616</v>
      </c>
      <c r="B1014" s="7">
        <v>6455.8</v>
      </c>
      <c r="C1014" s="7">
        <v>6491.7</v>
      </c>
      <c r="D1014" s="7">
        <v>6362.2</v>
      </c>
      <c r="E1014" s="7">
        <v>6396.9</v>
      </c>
      <c r="F1014" s="8">
        <v>3253973000</v>
      </c>
      <c r="G1014" s="8">
        <v>29263090000</v>
      </c>
      <c r="H1014">
        <f t="shared" si="15"/>
        <v>211579.67850764058</v>
      </c>
    </row>
    <row r="1015" spans="1:8" x14ac:dyDescent="0.25">
      <c r="A1015" s="6">
        <v>43623</v>
      </c>
      <c r="B1015" s="7">
        <v>6396.9</v>
      </c>
      <c r="C1015" s="7">
        <v>6443.9</v>
      </c>
      <c r="D1015" s="7">
        <v>6315.6</v>
      </c>
      <c r="E1015" s="7">
        <v>6443.9</v>
      </c>
      <c r="F1015" s="8">
        <v>3212106000</v>
      </c>
      <c r="G1015" s="8">
        <v>27641820000</v>
      </c>
      <c r="H1015">
        <f t="shared" si="15"/>
        <v>213134.2197525966</v>
      </c>
    </row>
    <row r="1016" spans="1:8" x14ac:dyDescent="0.25">
      <c r="A1016" s="6">
        <v>43630</v>
      </c>
      <c r="B1016" s="7">
        <v>6443.9</v>
      </c>
      <c r="C1016" s="7">
        <v>6587.3</v>
      </c>
      <c r="D1016" s="7">
        <v>6443.9</v>
      </c>
      <c r="E1016" s="7">
        <v>6554</v>
      </c>
      <c r="F1016" s="8">
        <v>2632582000</v>
      </c>
      <c r="G1016" s="8">
        <v>22360390000</v>
      </c>
      <c r="H1016">
        <f t="shared" si="15"/>
        <v>216775.81530727015</v>
      </c>
    </row>
    <row r="1017" spans="1:8" x14ac:dyDescent="0.25">
      <c r="A1017" s="6">
        <v>43637</v>
      </c>
      <c r="B1017" s="7">
        <v>6554</v>
      </c>
      <c r="C1017" s="7">
        <v>6691.5</v>
      </c>
      <c r="D1017" s="7">
        <v>6527</v>
      </c>
      <c r="E1017" s="7">
        <v>6650.8</v>
      </c>
      <c r="F1017" s="8">
        <v>4339040000</v>
      </c>
      <c r="G1017" s="8">
        <v>35676560000</v>
      </c>
      <c r="H1017">
        <f t="shared" si="15"/>
        <v>219977.5087649668</v>
      </c>
    </row>
    <row r="1018" spans="1:8" x14ac:dyDescent="0.25">
      <c r="A1018" s="6">
        <v>43644</v>
      </c>
      <c r="B1018" s="7">
        <v>6650.8</v>
      </c>
      <c r="C1018" s="7">
        <v>6680.3</v>
      </c>
      <c r="D1018" s="7">
        <v>6606.3</v>
      </c>
      <c r="E1018" s="7">
        <v>6618.8</v>
      </c>
      <c r="F1018" s="8">
        <v>3400891000</v>
      </c>
      <c r="G1018" s="8">
        <v>28475480000</v>
      </c>
      <c r="H1018">
        <f t="shared" si="15"/>
        <v>218919.09770457121</v>
      </c>
    </row>
    <row r="1019" spans="1:8" x14ac:dyDescent="0.25">
      <c r="A1019" s="6">
        <v>43651</v>
      </c>
      <c r="B1019" s="7">
        <v>6618.8</v>
      </c>
      <c r="C1019" s="7">
        <v>6769.6</v>
      </c>
      <c r="D1019" s="7">
        <v>6618.8</v>
      </c>
      <c r="E1019" s="7">
        <v>6751.3</v>
      </c>
      <c r="F1019" s="8">
        <v>2944302000</v>
      </c>
      <c r="G1019" s="8">
        <v>24238920000</v>
      </c>
      <c r="H1019">
        <f t="shared" si="15"/>
        <v>223301.58100152167</v>
      </c>
    </row>
    <row r="1020" spans="1:8" x14ac:dyDescent="0.25">
      <c r="A1020" s="6">
        <v>43658</v>
      </c>
      <c r="B1020" s="7">
        <v>6740</v>
      </c>
      <c r="C1020" s="7">
        <v>6751.3</v>
      </c>
      <c r="D1020" s="7">
        <v>6641.4</v>
      </c>
      <c r="E1020" s="7">
        <v>6696.5</v>
      </c>
      <c r="F1020" s="8">
        <v>2850533000</v>
      </c>
      <c r="G1020" s="8">
        <v>23388000000</v>
      </c>
      <c r="H1020">
        <f t="shared" si="15"/>
        <v>221489.05206059423</v>
      </c>
    </row>
    <row r="1021" spans="1:8" x14ac:dyDescent="0.25">
      <c r="A1021" s="6">
        <v>43665</v>
      </c>
      <c r="B1021" s="7">
        <v>6694.9</v>
      </c>
      <c r="C1021" s="7">
        <v>6705.4</v>
      </c>
      <c r="D1021" s="7">
        <v>6626.6</v>
      </c>
      <c r="E1021" s="7">
        <v>6700.3</v>
      </c>
      <c r="F1021" s="8">
        <v>2550978000</v>
      </c>
      <c r="G1021" s="8">
        <v>20350290000</v>
      </c>
      <c r="H1021">
        <f t="shared" si="15"/>
        <v>221614.73837401622</v>
      </c>
    </row>
    <row r="1022" spans="1:8" x14ac:dyDescent="0.25">
      <c r="A1022" s="6">
        <v>43672</v>
      </c>
      <c r="B1022" s="7">
        <v>6700.3</v>
      </c>
      <c r="C1022" s="7">
        <v>6818</v>
      </c>
      <c r="D1022" s="7">
        <v>6673.2</v>
      </c>
      <c r="E1022" s="7">
        <v>6793.4</v>
      </c>
      <c r="F1022" s="8">
        <v>3099395000</v>
      </c>
      <c r="G1022" s="8">
        <v>28688080000</v>
      </c>
      <c r="H1022">
        <f t="shared" si="15"/>
        <v>224694.05305285461</v>
      </c>
    </row>
    <row r="1023" spans="1:8" x14ac:dyDescent="0.25">
      <c r="A1023" s="6">
        <v>43679</v>
      </c>
      <c r="B1023" s="7">
        <v>6793.4</v>
      </c>
      <c r="C1023" s="7">
        <v>6875.5</v>
      </c>
      <c r="D1023" s="7">
        <v>6747.8</v>
      </c>
      <c r="E1023" s="7">
        <v>6768.6</v>
      </c>
      <c r="F1023" s="8">
        <v>3087725000</v>
      </c>
      <c r="G1023" s="8">
        <v>27588980000</v>
      </c>
      <c r="H1023">
        <f t="shared" si="15"/>
        <v>223873.78448104803</v>
      </c>
    </row>
    <row r="1024" spans="1:8" x14ac:dyDescent="0.25">
      <c r="A1024" s="6">
        <v>43686</v>
      </c>
      <c r="B1024" s="7">
        <v>6768.6</v>
      </c>
      <c r="C1024" s="7">
        <v>6768.6</v>
      </c>
      <c r="D1024" s="7">
        <v>6444.4</v>
      </c>
      <c r="E1024" s="7">
        <v>6584.4</v>
      </c>
      <c r="F1024" s="8">
        <v>3476405000</v>
      </c>
      <c r="G1024" s="8">
        <v>30123930000</v>
      </c>
      <c r="H1024">
        <f t="shared" si="15"/>
        <v>217781.30581464595</v>
      </c>
    </row>
    <row r="1025" spans="1:8" x14ac:dyDescent="0.25">
      <c r="A1025" s="6">
        <v>43693</v>
      </c>
      <c r="B1025" s="7">
        <v>6584.4</v>
      </c>
      <c r="C1025" s="7">
        <v>6600.7</v>
      </c>
      <c r="D1025" s="7">
        <v>6396</v>
      </c>
      <c r="E1025" s="7">
        <v>6405.5</v>
      </c>
      <c r="F1025" s="8">
        <v>3594935000</v>
      </c>
      <c r="G1025" s="8">
        <v>29509730000</v>
      </c>
      <c r="H1025">
        <f t="shared" si="15"/>
        <v>211864.12648012192</v>
      </c>
    </row>
    <row r="1026" spans="1:8" x14ac:dyDescent="0.25">
      <c r="A1026" s="6">
        <v>43700</v>
      </c>
      <c r="B1026" s="7">
        <v>6405.5</v>
      </c>
      <c r="C1026" s="7">
        <v>6545</v>
      </c>
      <c r="D1026" s="7">
        <v>6405.5</v>
      </c>
      <c r="E1026" s="7">
        <v>6523.1</v>
      </c>
      <c r="F1026" s="8">
        <v>3253257000</v>
      </c>
      <c r="G1026" s="8">
        <v>27178400000</v>
      </c>
      <c r="H1026">
        <f t="shared" si="15"/>
        <v>215753.78712707569</v>
      </c>
    </row>
    <row r="1027" spans="1:8" x14ac:dyDescent="0.25">
      <c r="A1027" s="6">
        <v>43707</v>
      </c>
      <c r="B1027" s="7">
        <v>6523.1</v>
      </c>
      <c r="C1027" s="7">
        <v>6612.1</v>
      </c>
      <c r="D1027" s="7">
        <v>6409.8</v>
      </c>
      <c r="E1027" s="7">
        <v>6604.2</v>
      </c>
      <c r="F1027" s="8">
        <v>3959812000</v>
      </c>
      <c r="G1027" s="8">
        <v>32544000000</v>
      </c>
      <c r="H1027">
        <f t="shared" si="15"/>
        <v>218436.19765826574</v>
      </c>
    </row>
    <row r="1028" spans="1:8" x14ac:dyDescent="0.25">
      <c r="A1028" s="6">
        <v>43714</v>
      </c>
      <c r="B1028" s="7">
        <v>6604.2</v>
      </c>
      <c r="C1028" s="7">
        <v>6656.1</v>
      </c>
      <c r="D1028" s="7">
        <v>6503.9</v>
      </c>
      <c r="E1028" s="7">
        <v>6647.3</v>
      </c>
      <c r="F1028" s="8">
        <v>3199280000</v>
      </c>
      <c r="G1028" s="8">
        <v>24423360000</v>
      </c>
      <c r="H1028">
        <f t="shared" ref="H1028:H1091" si="16">H1027*(E1028/E1027)</f>
        <v>219861.74505523604</v>
      </c>
    </row>
    <row r="1029" spans="1:8" x14ac:dyDescent="0.25">
      <c r="A1029" s="6">
        <v>43721</v>
      </c>
      <c r="B1029" s="7">
        <v>6647.3</v>
      </c>
      <c r="C1029" s="7">
        <v>6687.4</v>
      </c>
      <c r="D1029" s="7">
        <v>6595.7</v>
      </c>
      <c r="E1029" s="7">
        <v>6669.2</v>
      </c>
      <c r="F1029" s="8">
        <v>3437230000</v>
      </c>
      <c r="G1029" s="8">
        <v>28279310000</v>
      </c>
      <c r="H1029">
        <f t="shared" si="16"/>
        <v>220586.09512469423</v>
      </c>
    </row>
    <row r="1030" spans="1:8" x14ac:dyDescent="0.25">
      <c r="A1030" s="6">
        <v>43728</v>
      </c>
      <c r="B1030" s="7">
        <v>6669.2</v>
      </c>
      <c r="C1030" s="7">
        <v>6775.6</v>
      </c>
      <c r="D1030" s="7">
        <v>6646.6</v>
      </c>
      <c r="E1030" s="7">
        <v>6730.8</v>
      </c>
      <c r="F1030" s="8">
        <v>4501365000</v>
      </c>
      <c r="G1030" s="8">
        <v>40856180000</v>
      </c>
      <c r="H1030">
        <f t="shared" si="16"/>
        <v>222623.53641595572</v>
      </c>
    </row>
    <row r="1031" spans="1:8" x14ac:dyDescent="0.25">
      <c r="A1031" s="6">
        <v>43735</v>
      </c>
      <c r="B1031" s="7">
        <v>6730.8</v>
      </c>
      <c r="C1031" s="7">
        <v>6770</v>
      </c>
      <c r="D1031" s="7">
        <v>6667.1</v>
      </c>
      <c r="E1031" s="7">
        <v>6716.1</v>
      </c>
      <c r="F1031" s="8">
        <v>2955242000</v>
      </c>
      <c r="G1031" s="8">
        <v>27133710000</v>
      </c>
      <c r="H1031">
        <f t="shared" si="16"/>
        <v>222137.32883508649</v>
      </c>
    </row>
    <row r="1032" spans="1:8" x14ac:dyDescent="0.25">
      <c r="A1032" s="6">
        <v>43742</v>
      </c>
      <c r="B1032" s="7">
        <v>6715.9</v>
      </c>
      <c r="C1032" s="7">
        <v>6743.7</v>
      </c>
      <c r="D1032" s="7">
        <v>6475.4</v>
      </c>
      <c r="E1032" s="7">
        <v>6517.1</v>
      </c>
      <c r="F1032" s="8">
        <v>3018939000</v>
      </c>
      <c r="G1032" s="8">
        <v>25825140000</v>
      </c>
      <c r="H1032">
        <f t="shared" si="16"/>
        <v>215555.33505325145</v>
      </c>
    </row>
    <row r="1033" spans="1:8" x14ac:dyDescent="0.25">
      <c r="A1033" s="6">
        <v>43749</v>
      </c>
      <c r="B1033" s="7">
        <v>6517.1</v>
      </c>
      <c r="C1033" s="7">
        <v>6614.6</v>
      </c>
      <c r="D1033" s="7">
        <v>6517.1</v>
      </c>
      <c r="E1033" s="7">
        <v>6606.8</v>
      </c>
      <c r="F1033" s="8">
        <v>2329895000</v>
      </c>
      <c r="G1033" s="8">
        <v>19364770000</v>
      </c>
      <c r="H1033">
        <f t="shared" si="16"/>
        <v>218522.19355692281</v>
      </c>
    </row>
    <row r="1034" spans="1:8" x14ac:dyDescent="0.25">
      <c r="A1034" s="6">
        <v>43756</v>
      </c>
      <c r="B1034" s="7">
        <v>6606.8</v>
      </c>
      <c r="C1034" s="7">
        <v>6737.8</v>
      </c>
      <c r="D1034" s="7">
        <v>6606.8</v>
      </c>
      <c r="E1034" s="7">
        <v>6649.7</v>
      </c>
      <c r="F1034" s="8">
        <v>3175113000</v>
      </c>
      <c r="G1034" s="8">
        <v>25846970000</v>
      </c>
      <c r="H1034">
        <f t="shared" si="16"/>
        <v>219941.12588476561</v>
      </c>
    </row>
    <row r="1035" spans="1:8" x14ac:dyDescent="0.25">
      <c r="A1035" s="6">
        <v>43763</v>
      </c>
      <c r="B1035" s="7">
        <v>6649.7</v>
      </c>
      <c r="C1035" s="7">
        <v>6741.5</v>
      </c>
      <c r="D1035" s="7">
        <v>6612.4</v>
      </c>
      <c r="E1035" s="7">
        <v>6739.2</v>
      </c>
      <c r="F1035" s="8">
        <v>2827750000</v>
      </c>
      <c r="G1035" s="8">
        <v>23030040000</v>
      </c>
      <c r="H1035">
        <f t="shared" si="16"/>
        <v>222901.36931930948</v>
      </c>
    </row>
    <row r="1036" spans="1:8" x14ac:dyDescent="0.25">
      <c r="A1036" s="6">
        <v>43770</v>
      </c>
      <c r="B1036" s="7">
        <v>6739.9</v>
      </c>
      <c r="C1036" s="7">
        <v>6766.2</v>
      </c>
      <c r="D1036" s="7">
        <v>6634.7</v>
      </c>
      <c r="E1036" s="7">
        <v>6669.1</v>
      </c>
      <c r="F1036" s="8">
        <v>2857761000</v>
      </c>
      <c r="G1036" s="8">
        <v>23336150000</v>
      </c>
      <c r="H1036">
        <f t="shared" si="16"/>
        <v>220582.78759013044</v>
      </c>
    </row>
    <row r="1037" spans="1:8" x14ac:dyDescent="0.25">
      <c r="A1037" s="6">
        <v>43777</v>
      </c>
      <c r="B1037" s="7">
        <v>6669.1</v>
      </c>
      <c r="C1037" s="7">
        <v>6742.2</v>
      </c>
      <c r="D1037" s="7">
        <v>6658.2</v>
      </c>
      <c r="E1037" s="7">
        <v>6724.1</v>
      </c>
      <c r="F1037" s="8">
        <v>2918432000</v>
      </c>
      <c r="G1037" s="8">
        <v>26830230000</v>
      </c>
      <c r="H1037">
        <f t="shared" si="16"/>
        <v>222401.93160018534</v>
      </c>
    </row>
    <row r="1038" spans="1:8" x14ac:dyDescent="0.25">
      <c r="A1038" s="6">
        <v>43784</v>
      </c>
      <c r="B1038" s="7">
        <v>6724.1</v>
      </c>
      <c r="C1038" s="7">
        <v>6798.7</v>
      </c>
      <c r="D1038" s="7">
        <v>6687.7</v>
      </c>
      <c r="E1038" s="7">
        <v>6793.7</v>
      </c>
      <c r="F1038" s="8">
        <v>3023791000</v>
      </c>
      <c r="G1038" s="8">
        <v>27201500000</v>
      </c>
      <c r="H1038">
        <f t="shared" si="16"/>
        <v>224703.97565654572</v>
      </c>
    </row>
    <row r="1039" spans="1:8" x14ac:dyDescent="0.25">
      <c r="A1039" s="6">
        <v>43791</v>
      </c>
      <c r="B1039" s="7">
        <v>6793.7</v>
      </c>
      <c r="C1039" s="7">
        <v>6814.2</v>
      </c>
      <c r="D1039" s="7">
        <v>6637.3</v>
      </c>
      <c r="E1039" s="7">
        <v>6709.8</v>
      </c>
      <c r="F1039" s="8">
        <v>2899644000</v>
      </c>
      <c r="G1039" s="8">
        <v>25831130000</v>
      </c>
      <c r="H1039">
        <f t="shared" si="16"/>
        <v>221928.95415757105</v>
      </c>
    </row>
    <row r="1040" spans="1:8" x14ac:dyDescent="0.25">
      <c r="A1040" s="6">
        <v>43798</v>
      </c>
      <c r="B1040" s="7">
        <v>6712</v>
      </c>
      <c r="C1040" s="7">
        <v>6893.7</v>
      </c>
      <c r="D1040" s="7">
        <v>6712</v>
      </c>
      <c r="E1040" s="7">
        <v>6846</v>
      </c>
      <c r="F1040" s="8">
        <v>3269527000</v>
      </c>
      <c r="G1040" s="8">
        <v>30168250000</v>
      </c>
      <c r="H1040">
        <f t="shared" si="16"/>
        <v>226433.81623337971</v>
      </c>
    </row>
    <row r="1041" spans="1:8" x14ac:dyDescent="0.25">
      <c r="A1041" s="6">
        <v>43805</v>
      </c>
      <c r="B1041" s="7">
        <v>6846</v>
      </c>
      <c r="C1041" s="7">
        <v>6890</v>
      </c>
      <c r="D1041" s="7">
        <v>6590.1</v>
      </c>
      <c r="E1041" s="7">
        <v>6707</v>
      </c>
      <c r="F1041" s="8">
        <v>3025099000</v>
      </c>
      <c r="G1041" s="8">
        <v>27360100000</v>
      </c>
      <c r="H1041">
        <f t="shared" si="16"/>
        <v>221836.34318978642</v>
      </c>
    </row>
    <row r="1042" spans="1:8" x14ac:dyDescent="0.25">
      <c r="A1042" s="6">
        <v>43812</v>
      </c>
      <c r="B1042" s="7">
        <v>6707</v>
      </c>
      <c r="C1042" s="7">
        <v>6753.1</v>
      </c>
      <c r="D1042" s="7">
        <v>6701.2</v>
      </c>
      <c r="E1042" s="7">
        <v>6739.7</v>
      </c>
      <c r="F1042" s="8">
        <v>2893419000</v>
      </c>
      <c r="G1042" s="8">
        <v>24365900000</v>
      </c>
      <c r="H1042">
        <f t="shared" si="16"/>
        <v>222917.90699212815</v>
      </c>
    </row>
    <row r="1043" spans="1:8" x14ac:dyDescent="0.25">
      <c r="A1043" s="6">
        <v>43819</v>
      </c>
      <c r="B1043" s="7">
        <v>6741.6</v>
      </c>
      <c r="C1043" s="7">
        <v>6872.8</v>
      </c>
      <c r="D1043" s="7">
        <v>6741.6</v>
      </c>
      <c r="E1043" s="7">
        <v>6816.3</v>
      </c>
      <c r="F1043" s="8">
        <v>3705434000</v>
      </c>
      <c r="G1043" s="8">
        <v>34089380000</v>
      </c>
      <c r="H1043">
        <f t="shared" si="16"/>
        <v>225451.4784679501</v>
      </c>
    </row>
    <row r="1044" spans="1:8" x14ac:dyDescent="0.25">
      <c r="A1044" s="6">
        <v>43826</v>
      </c>
      <c r="B1044" s="7">
        <v>6816.3</v>
      </c>
      <c r="C1044" s="7">
        <v>6822.1</v>
      </c>
      <c r="D1044" s="7">
        <v>6776.2</v>
      </c>
      <c r="E1044" s="7">
        <v>6821.7</v>
      </c>
      <c r="F1044" s="8">
        <v>856616100</v>
      </c>
      <c r="G1044" s="8">
        <v>6985754000</v>
      </c>
      <c r="H1044">
        <f t="shared" si="16"/>
        <v>225630.08533439183</v>
      </c>
    </row>
    <row r="1045" spans="1:8" x14ac:dyDescent="0.25">
      <c r="A1045" s="6">
        <v>43833</v>
      </c>
      <c r="B1045" s="7">
        <v>6821.7</v>
      </c>
      <c r="C1045" s="7">
        <v>6824.7</v>
      </c>
      <c r="D1045" s="7">
        <v>6669.2</v>
      </c>
      <c r="E1045" s="7">
        <v>6733.5</v>
      </c>
      <c r="F1045" s="8">
        <v>1279047000</v>
      </c>
      <c r="G1045" s="8">
        <v>10493730000</v>
      </c>
      <c r="H1045">
        <f t="shared" si="16"/>
        <v>222712.8398491765</v>
      </c>
    </row>
    <row r="1046" spans="1:8" x14ac:dyDescent="0.25">
      <c r="A1046" s="6">
        <v>43840</v>
      </c>
      <c r="B1046" s="7">
        <v>6733.1</v>
      </c>
      <c r="C1046" s="7">
        <v>6933.2</v>
      </c>
      <c r="D1046" s="7">
        <v>6671.7</v>
      </c>
      <c r="E1046" s="7">
        <v>6929</v>
      </c>
      <c r="F1046" s="8">
        <v>2505965000</v>
      </c>
      <c r="G1046" s="8">
        <v>21149860000</v>
      </c>
      <c r="H1046">
        <f t="shared" si="16"/>
        <v>229179.06992128075</v>
      </c>
    </row>
    <row r="1047" spans="1:8" x14ac:dyDescent="0.25">
      <c r="A1047" s="6">
        <v>43847</v>
      </c>
      <c r="B1047" s="7">
        <v>6929</v>
      </c>
      <c r="C1047" s="7">
        <v>7088.1</v>
      </c>
      <c r="D1047" s="7">
        <v>6880.7</v>
      </c>
      <c r="E1047" s="7">
        <v>7064.1</v>
      </c>
      <c r="F1047" s="8">
        <v>2529704000</v>
      </c>
      <c r="G1047" s="8">
        <v>21251080000</v>
      </c>
      <c r="H1047">
        <f t="shared" si="16"/>
        <v>233647.54911688835</v>
      </c>
    </row>
    <row r="1048" spans="1:8" x14ac:dyDescent="0.25">
      <c r="A1048" s="6">
        <v>43854</v>
      </c>
      <c r="B1048" s="7">
        <v>7064.1</v>
      </c>
      <c r="C1048" s="7">
        <v>7144.9</v>
      </c>
      <c r="D1048" s="7">
        <v>7040.7</v>
      </c>
      <c r="E1048" s="7">
        <v>7090.5</v>
      </c>
      <c r="F1048" s="8">
        <v>2523519000</v>
      </c>
      <c r="G1048" s="8">
        <v>23986080000</v>
      </c>
      <c r="H1048">
        <f t="shared" si="16"/>
        <v>234520.73824171466</v>
      </c>
    </row>
    <row r="1049" spans="1:8" x14ac:dyDescent="0.25">
      <c r="A1049" s="6">
        <v>43861</v>
      </c>
      <c r="B1049" s="7">
        <v>7051.2</v>
      </c>
      <c r="C1049" s="7">
        <v>7090.5</v>
      </c>
      <c r="D1049" s="7">
        <v>6964.7</v>
      </c>
      <c r="E1049" s="7">
        <v>7017.2</v>
      </c>
      <c r="F1049" s="8">
        <v>2651992000</v>
      </c>
      <c r="G1049" s="8">
        <v>24942240000</v>
      </c>
      <c r="H1049">
        <f t="shared" si="16"/>
        <v>232096.31540649603</v>
      </c>
    </row>
    <row r="1050" spans="1:8" x14ac:dyDescent="0.25">
      <c r="A1050" s="6">
        <v>43868</v>
      </c>
      <c r="B1050" s="7">
        <v>7017.2</v>
      </c>
      <c r="C1050" s="7">
        <v>7051.6</v>
      </c>
      <c r="D1050" s="7">
        <v>6897</v>
      </c>
      <c r="E1050" s="7">
        <v>7022.6</v>
      </c>
      <c r="F1050" s="8">
        <v>3198891000</v>
      </c>
      <c r="G1050" s="8">
        <v>28144550000</v>
      </c>
      <c r="H1050">
        <f t="shared" si="16"/>
        <v>232274.92227293781</v>
      </c>
    </row>
    <row r="1051" spans="1:8" x14ac:dyDescent="0.25">
      <c r="A1051" s="6">
        <v>43875</v>
      </c>
      <c r="B1051" s="7">
        <v>7022.6</v>
      </c>
      <c r="C1051" s="7">
        <v>7145.8</v>
      </c>
      <c r="D1051" s="7">
        <v>6982.6</v>
      </c>
      <c r="E1051" s="7">
        <v>7130.2</v>
      </c>
      <c r="F1051" s="8">
        <v>3329474000</v>
      </c>
      <c r="G1051" s="8">
        <v>30040250000</v>
      </c>
      <c r="H1051">
        <f t="shared" si="16"/>
        <v>235833.82946351793</v>
      </c>
    </row>
    <row r="1052" spans="1:8" x14ac:dyDescent="0.25">
      <c r="A1052" s="6">
        <v>43882</v>
      </c>
      <c r="B1052" s="7">
        <v>7130.2</v>
      </c>
      <c r="C1052" s="7">
        <v>7197.2</v>
      </c>
      <c r="D1052" s="7">
        <v>7096.8</v>
      </c>
      <c r="E1052" s="7">
        <v>7139</v>
      </c>
      <c r="F1052" s="8">
        <v>3901446000</v>
      </c>
      <c r="G1052" s="8">
        <v>31727680000</v>
      </c>
      <c r="H1052">
        <f t="shared" si="16"/>
        <v>236124.89250512671</v>
      </c>
    </row>
    <row r="1053" spans="1:8" x14ac:dyDescent="0.25">
      <c r="A1053" s="6">
        <v>43889</v>
      </c>
      <c r="B1053" s="7">
        <v>7139</v>
      </c>
      <c r="C1053" s="7">
        <v>7139</v>
      </c>
      <c r="D1053" s="7">
        <v>6426.8</v>
      </c>
      <c r="E1053" s="7">
        <v>6441.2</v>
      </c>
      <c r="F1053" s="8">
        <v>5404887000</v>
      </c>
      <c r="G1053" s="8">
        <v>45398040000</v>
      </c>
      <c r="H1053">
        <f t="shared" si="16"/>
        <v>213044.91631937557</v>
      </c>
    </row>
    <row r="1054" spans="1:8" x14ac:dyDescent="0.25">
      <c r="A1054" s="6">
        <v>43896</v>
      </c>
      <c r="B1054" s="7">
        <v>6438.9</v>
      </c>
      <c r="C1054" s="7">
        <v>6524.3</v>
      </c>
      <c r="D1054" s="7">
        <v>6216.2</v>
      </c>
      <c r="E1054" s="7">
        <v>6216.2</v>
      </c>
      <c r="F1054" s="8">
        <v>5204254000</v>
      </c>
      <c r="G1054" s="8">
        <v>42150240000</v>
      </c>
      <c r="H1054">
        <f t="shared" si="16"/>
        <v>205602.96355096914</v>
      </c>
    </row>
    <row r="1055" spans="1:8" x14ac:dyDescent="0.25">
      <c r="A1055" s="6">
        <v>43903</v>
      </c>
      <c r="B1055" s="7">
        <v>6216.2</v>
      </c>
      <c r="C1055" s="7">
        <v>6216.2</v>
      </c>
      <c r="D1055" s="7">
        <v>4873.7</v>
      </c>
      <c r="E1055" s="7">
        <v>5539.3</v>
      </c>
      <c r="F1055" s="8">
        <v>8733643000</v>
      </c>
      <c r="G1055" s="8">
        <v>63388360000</v>
      </c>
      <c r="H1055">
        <f t="shared" si="16"/>
        <v>183214.26208903888</v>
      </c>
    </row>
    <row r="1056" spans="1:8" x14ac:dyDescent="0.25">
      <c r="A1056" s="6">
        <v>43910</v>
      </c>
      <c r="B1056" s="7">
        <v>5539.3</v>
      </c>
      <c r="C1056" s="7">
        <v>5539.3</v>
      </c>
      <c r="D1056" s="7">
        <v>4741</v>
      </c>
      <c r="E1056" s="7">
        <v>4816.6000000000004</v>
      </c>
      <c r="F1056" s="8">
        <v>9160127000</v>
      </c>
      <c r="G1056" s="8">
        <v>62409660000</v>
      </c>
      <c r="H1056">
        <f t="shared" si="16"/>
        <v>159310.70979691742</v>
      </c>
    </row>
    <row r="1057" spans="1:8" x14ac:dyDescent="0.25">
      <c r="A1057" s="6">
        <v>43917</v>
      </c>
      <c r="B1057" s="7">
        <v>4816.6000000000004</v>
      </c>
      <c r="C1057" s="7">
        <v>5236.7</v>
      </c>
      <c r="D1057" s="7">
        <v>4402.5</v>
      </c>
      <c r="E1057" s="7">
        <v>4842.3999999999996</v>
      </c>
      <c r="F1057" s="8">
        <v>6918853000</v>
      </c>
      <c r="G1057" s="8">
        <v>47220110000</v>
      </c>
      <c r="H1057">
        <f t="shared" si="16"/>
        <v>160164.05371436133</v>
      </c>
    </row>
    <row r="1058" spans="1:8" x14ac:dyDescent="0.25">
      <c r="A1058" s="6">
        <v>43924</v>
      </c>
      <c r="B1058" s="7">
        <v>4842.3999999999996</v>
      </c>
      <c r="C1058" s="7">
        <v>5366.4</v>
      </c>
      <c r="D1058" s="7">
        <v>4833.1000000000004</v>
      </c>
      <c r="E1058" s="7">
        <v>5067.5</v>
      </c>
      <c r="F1058" s="8">
        <v>5713155000</v>
      </c>
      <c r="G1058" s="8">
        <v>40613830000</v>
      </c>
      <c r="H1058">
        <f t="shared" si="16"/>
        <v>167609.31401733152</v>
      </c>
    </row>
    <row r="1059" spans="1:8" x14ac:dyDescent="0.25">
      <c r="A1059" s="6">
        <v>43930</v>
      </c>
      <c r="B1059" s="7">
        <v>5067.5</v>
      </c>
      <c r="C1059" s="7">
        <v>5423.1</v>
      </c>
      <c r="D1059" s="7">
        <v>5067.5</v>
      </c>
      <c r="E1059" s="7">
        <v>5387.3</v>
      </c>
      <c r="F1059" s="8">
        <v>4098575000</v>
      </c>
      <c r="G1059" s="8">
        <v>27940750000</v>
      </c>
      <c r="H1059">
        <f t="shared" si="16"/>
        <v>178186.80955215986</v>
      </c>
    </row>
    <row r="1060" spans="1:8" x14ac:dyDescent="0.25">
      <c r="A1060" s="6">
        <v>43938</v>
      </c>
      <c r="B1060" s="7">
        <v>5387.3</v>
      </c>
      <c r="C1060" s="7">
        <v>5563.6</v>
      </c>
      <c r="D1060" s="7">
        <v>5345</v>
      </c>
      <c r="E1060" s="7">
        <v>5487.5</v>
      </c>
      <c r="F1060" s="8">
        <v>4415913000</v>
      </c>
      <c r="G1060" s="8">
        <v>28861960000</v>
      </c>
      <c r="H1060">
        <f t="shared" si="16"/>
        <v>181500.9591850235</v>
      </c>
    </row>
    <row r="1061" spans="1:8" x14ac:dyDescent="0.25">
      <c r="A1061" s="6">
        <v>43945</v>
      </c>
      <c r="B1061" s="7">
        <v>5486.3</v>
      </c>
      <c r="C1061" s="7">
        <v>5490.6</v>
      </c>
      <c r="D1061" s="7">
        <v>5100.7</v>
      </c>
      <c r="E1061" s="7">
        <v>5242.6000000000004</v>
      </c>
      <c r="F1061" s="8">
        <v>4463600000</v>
      </c>
      <c r="G1061" s="8">
        <v>29497730000</v>
      </c>
      <c r="H1061">
        <f t="shared" si="16"/>
        <v>173400.80703843359</v>
      </c>
    </row>
    <row r="1062" spans="1:8" x14ac:dyDescent="0.25">
      <c r="A1062" s="6">
        <v>43952</v>
      </c>
      <c r="B1062" s="7">
        <v>5242.6000000000004</v>
      </c>
      <c r="C1062" s="7">
        <v>5549.1</v>
      </c>
      <c r="D1062" s="7">
        <v>5214.8</v>
      </c>
      <c r="E1062" s="7">
        <v>5245.9</v>
      </c>
      <c r="F1062" s="8">
        <v>4631251000</v>
      </c>
      <c r="G1062" s="8">
        <v>32634180000</v>
      </c>
      <c r="H1062">
        <f t="shared" si="16"/>
        <v>173509.95567903685</v>
      </c>
    </row>
    <row r="1063" spans="1:8" x14ac:dyDescent="0.25">
      <c r="A1063" s="6">
        <v>43959</v>
      </c>
      <c r="B1063" s="7">
        <v>5245.9</v>
      </c>
      <c r="C1063" s="7">
        <v>5428</v>
      </c>
      <c r="D1063" s="7">
        <v>5169.6000000000004</v>
      </c>
      <c r="E1063" s="7">
        <v>5391.1</v>
      </c>
      <c r="F1063" s="8">
        <v>3901394000</v>
      </c>
      <c r="G1063" s="8">
        <v>27533440000</v>
      </c>
      <c r="H1063">
        <f t="shared" si="16"/>
        <v>178312.49586558182</v>
      </c>
    </row>
    <row r="1064" spans="1:8" x14ac:dyDescent="0.25">
      <c r="A1064" s="6">
        <v>43966</v>
      </c>
      <c r="B1064" s="7">
        <v>5391.1</v>
      </c>
      <c r="C1064" s="7">
        <v>5489.5</v>
      </c>
      <c r="D1064" s="7">
        <v>5301.9</v>
      </c>
      <c r="E1064" s="7">
        <v>5404.8</v>
      </c>
      <c r="F1064" s="8">
        <v>4137562000</v>
      </c>
      <c r="G1064" s="8">
        <v>26527700000</v>
      </c>
      <c r="H1064">
        <f t="shared" si="16"/>
        <v>178765.62810081369</v>
      </c>
    </row>
    <row r="1065" spans="1:8" x14ac:dyDescent="0.25">
      <c r="A1065" s="6">
        <v>43973</v>
      </c>
      <c r="B1065" s="7">
        <v>5404.8</v>
      </c>
      <c r="C1065" s="7">
        <v>5610.8</v>
      </c>
      <c r="D1065" s="7">
        <v>5404.8</v>
      </c>
      <c r="E1065" s="7">
        <v>5497</v>
      </c>
      <c r="F1065" s="8">
        <v>4086961000</v>
      </c>
      <c r="G1065" s="8">
        <v>27286670000</v>
      </c>
      <c r="H1065">
        <f t="shared" si="16"/>
        <v>181815.17496857847</v>
      </c>
    </row>
    <row r="1066" spans="1:8" x14ac:dyDescent="0.25">
      <c r="A1066" s="6">
        <v>43980</v>
      </c>
      <c r="B1066" s="7">
        <v>5497</v>
      </c>
      <c r="C1066" s="7">
        <v>5922</v>
      </c>
      <c r="D1066" s="7">
        <v>5497</v>
      </c>
      <c r="E1066" s="7">
        <v>5755.7</v>
      </c>
      <c r="F1066" s="8">
        <v>6721227000</v>
      </c>
      <c r="G1066" s="8">
        <v>47494800000</v>
      </c>
      <c r="H1066">
        <f t="shared" si="16"/>
        <v>190371.76688496399</v>
      </c>
    </row>
    <row r="1067" spans="1:8" x14ac:dyDescent="0.25">
      <c r="A1067" s="6">
        <v>43987</v>
      </c>
      <c r="B1067" s="7">
        <v>5755.7</v>
      </c>
      <c r="C1067" s="7">
        <v>6040.2</v>
      </c>
      <c r="D1067" s="7">
        <v>5705.4</v>
      </c>
      <c r="E1067" s="7">
        <v>5998.7</v>
      </c>
      <c r="F1067" s="8">
        <v>5106819000</v>
      </c>
      <c r="G1067" s="8">
        <v>34662790000</v>
      </c>
      <c r="H1067">
        <f t="shared" si="16"/>
        <v>198409.07587484294</v>
      </c>
    </row>
    <row r="1068" spans="1:8" x14ac:dyDescent="0.25">
      <c r="A1068" s="6">
        <v>43994</v>
      </c>
      <c r="B1068" s="7">
        <v>5998.7</v>
      </c>
      <c r="C1068" s="7">
        <v>6198.6</v>
      </c>
      <c r="D1068" s="7">
        <v>5756.5</v>
      </c>
      <c r="E1068" s="7">
        <v>5847.8</v>
      </c>
      <c r="F1068" s="8">
        <v>4907468000</v>
      </c>
      <c r="G1068" s="8">
        <v>34150190000</v>
      </c>
      <c r="H1068">
        <f t="shared" si="16"/>
        <v>193418.00621816504</v>
      </c>
    </row>
    <row r="1069" spans="1:8" x14ac:dyDescent="0.25">
      <c r="A1069" s="6">
        <v>44001</v>
      </c>
      <c r="B1069" s="7">
        <v>5847.8</v>
      </c>
      <c r="C1069" s="7">
        <v>6006.3</v>
      </c>
      <c r="D1069" s="7">
        <v>5719.8</v>
      </c>
      <c r="E1069" s="7">
        <v>5942.6</v>
      </c>
      <c r="F1069" s="8">
        <v>6196036000</v>
      </c>
      <c r="G1069" s="8">
        <v>44016050000</v>
      </c>
      <c r="H1069">
        <f t="shared" si="16"/>
        <v>196553.54898458693</v>
      </c>
    </row>
    <row r="1070" spans="1:8" x14ac:dyDescent="0.25">
      <c r="A1070" s="6">
        <v>44008</v>
      </c>
      <c r="B1070" s="7">
        <v>5942.6</v>
      </c>
      <c r="C1070" s="7">
        <v>5999.2</v>
      </c>
      <c r="D1070" s="7">
        <v>5817.7</v>
      </c>
      <c r="E1070" s="7">
        <v>5904.1</v>
      </c>
      <c r="F1070" s="8">
        <v>4279813000</v>
      </c>
      <c r="G1070" s="8">
        <v>30242130000</v>
      </c>
      <c r="H1070">
        <f t="shared" si="16"/>
        <v>195280.14817754849</v>
      </c>
    </row>
    <row r="1071" spans="1:8" x14ac:dyDescent="0.25">
      <c r="A1071" s="6">
        <v>44015</v>
      </c>
      <c r="B1071" s="7">
        <v>5904.1</v>
      </c>
      <c r="C1071" s="7">
        <v>6101.4</v>
      </c>
      <c r="D1071" s="7">
        <v>5773.2</v>
      </c>
      <c r="E1071" s="7">
        <v>6057.9</v>
      </c>
      <c r="F1071" s="8">
        <v>3926256000</v>
      </c>
      <c r="G1071" s="8">
        <v>27971250000</v>
      </c>
      <c r="H1071">
        <f t="shared" si="16"/>
        <v>200367.13633657471</v>
      </c>
    </row>
    <row r="1072" spans="1:8" x14ac:dyDescent="0.25">
      <c r="A1072" s="6">
        <v>44022</v>
      </c>
      <c r="B1072" s="7">
        <v>6057.9</v>
      </c>
      <c r="C1072" s="7">
        <v>6078.3</v>
      </c>
      <c r="D1072" s="7">
        <v>5899.5</v>
      </c>
      <c r="E1072" s="7">
        <v>5919.2</v>
      </c>
      <c r="F1072" s="8">
        <v>3365418000</v>
      </c>
      <c r="G1072" s="8">
        <v>25473130000</v>
      </c>
      <c r="H1072">
        <f t="shared" si="16"/>
        <v>195779.58589667262</v>
      </c>
    </row>
    <row r="1073" spans="1:8" x14ac:dyDescent="0.25">
      <c r="A1073" s="6">
        <v>44029</v>
      </c>
      <c r="B1073" s="7">
        <v>5998.4</v>
      </c>
      <c r="C1073" s="7">
        <v>6078</v>
      </c>
      <c r="D1073" s="7">
        <v>5918.8</v>
      </c>
      <c r="E1073" s="7">
        <v>6033.6</v>
      </c>
      <c r="F1073" s="8">
        <v>3235487000</v>
      </c>
      <c r="G1073" s="8">
        <v>25742140000</v>
      </c>
      <c r="H1073">
        <f t="shared" si="16"/>
        <v>199563.40543758686</v>
      </c>
    </row>
    <row r="1074" spans="1:8" x14ac:dyDescent="0.25">
      <c r="A1074" s="6">
        <v>44036</v>
      </c>
      <c r="B1074" s="7">
        <v>6033.6</v>
      </c>
      <c r="C1074" s="7">
        <v>6160.6</v>
      </c>
      <c r="D1074" s="7">
        <v>5991.9</v>
      </c>
      <c r="E1074" s="7">
        <v>6024</v>
      </c>
      <c r="F1074" s="8">
        <v>2962388000</v>
      </c>
      <c r="G1074" s="8">
        <v>22028310000</v>
      </c>
      <c r="H1074">
        <f t="shared" si="16"/>
        <v>199245.88211946818</v>
      </c>
    </row>
    <row r="1075" spans="1:8" x14ac:dyDescent="0.25">
      <c r="A1075" s="6">
        <v>44043</v>
      </c>
      <c r="B1075" s="7">
        <v>6024</v>
      </c>
      <c r="C1075" s="7">
        <v>6113.8</v>
      </c>
      <c r="D1075" s="7">
        <v>5893.2</v>
      </c>
      <c r="E1075" s="7">
        <v>5927.8</v>
      </c>
      <c r="F1075" s="8">
        <v>3533026000</v>
      </c>
      <c r="G1075" s="8">
        <v>26986360000</v>
      </c>
      <c r="H1075">
        <f t="shared" si="16"/>
        <v>196064.03386915397</v>
      </c>
    </row>
    <row r="1076" spans="1:8" x14ac:dyDescent="0.25">
      <c r="A1076" s="6">
        <v>44050</v>
      </c>
      <c r="B1076" s="7">
        <v>5927.8</v>
      </c>
      <c r="C1076" s="7">
        <v>6059.5</v>
      </c>
      <c r="D1076" s="7">
        <v>5860.7</v>
      </c>
      <c r="E1076" s="7">
        <v>6004.8</v>
      </c>
      <c r="F1076" s="8">
        <v>3414718000</v>
      </c>
      <c r="G1076" s="8">
        <v>26238120000</v>
      </c>
      <c r="H1076">
        <f t="shared" si="16"/>
        <v>198610.83548323083</v>
      </c>
    </row>
    <row r="1077" spans="1:8" x14ac:dyDescent="0.25">
      <c r="A1077" s="6">
        <v>44057</v>
      </c>
      <c r="B1077" s="7">
        <v>6004.8</v>
      </c>
      <c r="C1077" s="7">
        <v>6186.1</v>
      </c>
      <c r="D1077" s="7">
        <v>6004.8</v>
      </c>
      <c r="E1077" s="7">
        <v>6126.2</v>
      </c>
      <c r="F1077" s="8">
        <v>3752733000</v>
      </c>
      <c r="G1077" s="8">
        <v>29347880000</v>
      </c>
      <c r="H1077">
        <f t="shared" si="16"/>
        <v>202626.18244360658</v>
      </c>
    </row>
    <row r="1078" spans="1:8" x14ac:dyDescent="0.25">
      <c r="A1078" s="6">
        <v>44064</v>
      </c>
      <c r="B1078" s="7">
        <v>6126.2</v>
      </c>
      <c r="C1078" s="7">
        <v>6196.6</v>
      </c>
      <c r="D1078" s="7">
        <v>6059.3</v>
      </c>
      <c r="E1078" s="7">
        <v>6111.2</v>
      </c>
      <c r="F1078" s="8">
        <v>4090026000</v>
      </c>
      <c r="G1078" s="8">
        <v>31908790000</v>
      </c>
      <c r="H1078">
        <f t="shared" si="16"/>
        <v>202130.05225904615</v>
      </c>
    </row>
    <row r="1079" spans="1:8" x14ac:dyDescent="0.25">
      <c r="A1079" s="6">
        <v>44071</v>
      </c>
      <c r="B1079" s="7">
        <v>6111.2</v>
      </c>
      <c r="C1079" s="7">
        <v>6199.2</v>
      </c>
      <c r="D1079" s="7">
        <v>6056</v>
      </c>
      <c r="E1079" s="7">
        <v>6073.8</v>
      </c>
      <c r="F1079" s="8">
        <v>4236599000</v>
      </c>
      <c r="G1079" s="8">
        <v>31701440000</v>
      </c>
      <c r="H1079">
        <f t="shared" si="16"/>
        <v>200893.03433220883</v>
      </c>
    </row>
    <row r="1080" spans="1:8" x14ac:dyDescent="0.25">
      <c r="A1080" s="6">
        <v>44078</v>
      </c>
      <c r="B1080" s="7">
        <v>6073.8</v>
      </c>
      <c r="C1080" s="7">
        <v>6130.8</v>
      </c>
      <c r="D1080" s="7">
        <v>5908.9</v>
      </c>
      <c r="E1080" s="7">
        <v>5925.5</v>
      </c>
      <c r="F1080" s="8">
        <v>3998766000</v>
      </c>
      <c r="G1080" s="8">
        <v>30826940000</v>
      </c>
      <c r="H1080">
        <f t="shared" si="16"/>
        <v>195987.96057418804</v>
      </c>
    </row>
    <row r="1081" spans="1:8" x14ac:dyDescent="0.25">
      <c r="A1081" s="6">
        <v>44085</v>
      </c>
      <c r="B1081" s="7">
        <v>5925.5</v>
      </c>
      <c r="C1081" s="7">
        <v>6025.5</v>
      </c>
      <c r="D1081" s="7">
        <v>5836.2</v>
      </c>
      <c r="E1081" s="7">
        <v>5859.4</v>
      </c>
      <c r="F1081" s="8">
        <v>3390567000</v>
      </c>
      <c r="G1081" s="8">
        <v>24661500000</v>
      </c>
      <c r="H1081">
        <f t="shared" si="16"/>
        <v>193801.68022755839</v>
      </c>
    </row>
    <row r="1082" spans="1:8" x14ac:dyDescent="0.25">
      <c r="A1082" s="6">
        <v>44092</v>
      </c>
      <c r="B1082" s="7">
        <v>5859.4</v>
      </c>
      <c r="C1082" s="7">
        <v>5958.5</v>
      </c>
      <c r="D1082" s="7">
        <v>5859.4</v>
      </c>
      <c r="E1082" s="7">
        <v>5864.5</v>
      </c>
      <c r="F1082" s="8">
        <v>4691381000</v>
      </c>
      <c r="G1082" s="8">
        <v>35864300000</v>
      </c>
      <c r="H1082">
        <f t="shared" si="16"/>
        <v>193970.36449030894</v>
      </c>
    </row>
    <row r="1083" spans="1:8" x14ac:dyDescent="0.25">
      <c r="A1083" s="6">
        <v>44099</v>
      </c>
      <c r="B1083" s="7">
        <v>5864.5</v>
      </c>
      <c r="C1083" s="7">
        <v>5973.7</v>
      </c>
      <c r="D1083" s="7">
        <v>5763.2</v>
      </c>
      <c r="E1083" s="7">
        <v>5964.9</v>
      </c>
      <c r="F1083" s="8">
        <v>3701911000</v>
      </c>
      <c r="G1083" s="8">
        <v>28117470000</v>
      </c>
      <c r="H1083">
        <f t="shared" si="16"/>
        <v>197291.12919230005</v>
      </c>
    </row>
    <row r="1084" spans="1:8" x14ac:dyDescent="0.25">
      <c r="A1084" s="6">
        <v>44106</v>
      </c>
      <c r="B1084" s="7">
        <v>5964.9</v>
      </c>
      <c r="C1084" s="7">
        <v>5995.4</v>
      </c>
      <c r="D1084" s="7">
        <v>5779.6</v>
      </c>
      <c r="E1084" s="7">
        <v>5791.5</v>
      </c>
      <c r="F1084" s="8">
        <v>3524037000</v>
      </c>
      <c r="G1084" s="8">
        <v>26000540000</v>
      </c>
      <c r="H1084">
        <f t="shared" si="16"/>
        <v>191555.86425878151</v>
      </c>
    </row>
    <row r="1085" spans="1:8" x14ac:dyDescent="0.25">
      <c r="A1085" s="6">
        <v>44113</v>
      </c>
      <c r="B1085" s="7">
        <v>5791.5</v>
      </c>
      <c r="C1085" s="7">
        <v>6127.4</v>
      </c>
      <c r="D1085" s="7">
        <v>5791.5</v>
      </c>
      <c r="E1085" s="7">
        <v>6102.2</v>
      </c>
      <c r="F1085" s="8">
        <v>2884426000</v>
      </c>
      <c r="G1085" s="8">
        <v>22339420000</v>
      </c>
      <c r="H1085">
        <f t="shared" si="16"/>
        <v>201832.37414830987</v>
      </c>
    </row>
    <row r="1086" spans="1:8" x14ac:dyDescent="0.25">
      <c r="A1086" s="6">
        <v>44120</v>
      </c>
      <c r="B1086" s="7">
        <v>6102.2</v>
      </c>
      <c r="C1086" s="7">
        <v>6233.4</v>
      </c>
      <c r="D1086" s="7">
        <v>6093.1</v>
      </c>
      <c r="E1086" s="7">
        <v>6176.8</v>
      </c>
      <c r="F1086" s="8">
        <v>3091978000</v>
      </c>
      <c r="G1086" s="8">
        <v>25742590000</v>
      </c>
      <c r="H1086">
        <f t="shared" si="16"/>
        <v>204299.7949328571</v>
      </c>
    </row>
    <row r="1087" spans="1:8" x14ac:dyDescent="0.25">
      <c r="A1087" s="6">
        <v>44127</v>
      </c>
      <c r="B1087" s="7">
        <v>6176.8</v>
      </c>
      <c r="C1087" s="7">
        <v>6248.3</v>
      </c>
      <c r="D1087" s="7">
        <v>6100.6</v>
      </c>
      <c r="E1087" s="7">
        <v>6167</v>
      </c>
      <c r="F1087" s="8">
        <v>2982376000</v>
      </c>
      <c r="G1087" s="8">
        <v>23834210000</v>
      </c>
      <c r="H1087">
        <f t="shared" si="16"/>
        <v>203975.65654561092</v>
      </c>
    </row>
    <row r="1088" spans="1:8" x14ac:dyDescent="0.25">
      <c r="A1088" s="6">
        <v>44134</v>
      </c>
      <c r="B1088" s="7">
        <v>6167</v>
      </c>
      <c r="C1088" s="7">
        <v>6206.5</v>
      </c>
      <c r="D1088" s="7">
        <v>5927.6</v>
      </c>
      <c r="E1088" s="7">
        <v>5927.6</v>
      </c>
      <c r="F1088" s="8">
        <v>3522298000</v>
      </c>
      <c r="G1088" s="8">
        <v>26596860000</v>
      </c>
      <c r="H1088">
        <f t="shared" si="16"/>
        <v>196057.4188000265</v>
      </c>
    </row>
    <row r="1089" spans="1:8" x14ac:dyDescent="0.25">
      <c r="A1089" s="6">
        <v>44141</v>
      </c>
      <c r="B1089" s="7">
        <v>5927.6</v>
      </c>
      <c r="C1089" s="7">
        <v>6202.3</v>
      </c>
      <c r="D1089" s="7">
        <v>5904.1</v>
      </c>
      <c r="E1089" s="7">
        <v>6190.2</v>
      </c>
      <c r="F1089" s="8">
        <v>3251000000</v>
      </c>
      <c r="G1089" s="8">
        <v>26306740000</v>
      </c>
      <c r="H1089">
        <f t="shared" si="16"/>
        <v>204743.00456439771</v>
      </c>
    </row>
    <row r="1090" spans="1:8" x14ac:dyDescent="0.25">
      <c r="A1090" s="6">
        <v>44148</v>
      </c>
      <c r="B1090" s="7">
        <v>6190.2</v>
      </c>
      <c r="C1090" s="7">
        <v>6470.9</v>
      </c>
      <c r="D1090" s="7">
        <v>6190.2</v>
      </c>
      <c r="E1090" s="7">
        <v>6405.2</v>
      </c>
      <c r="F1090" s="8">
        <v>4404154000</v>
      </c>
      <c r="G1090" s="8">
        <v>37319670000</v>
      </c>
      <c r="H1090">
        <f t="shared" si="16"/>
        <v>211854.20387643052</v>
      </c>
    </row>
    <row r="1091" spans="1:8" x14ac:dyDescent="0.25">
      <c r="A1091" s="6">
        <v>44155</v>
      </c>
      <c r="B1091" s="7">
        <v>6405.2</v>
      </c>
      <c r="C1091" s="7">
        <v>6562.1</v>
      </c>
      <c r="D1091" s="7">
        <v>6405.2</v>
      </c>
      <c r="E1091" s="7">
        <v>6539.2</v>
      </c>
      <c r="F1091" s="8">
        <v>3187019000</v>
      </c>
      <c r="G1091" s="8">
        <v>28728260000</v>
      </c>
      <c r="H1091">
        <f t="shared" si="16"/>
        <v>216286.30019183701</v>
      </c>
    </row>
    <row r="1092" spans="1:8" x14ac:dyDescent="0.25">
      <c r="A1092" s="6">
        <v>44162</v>
      </c>
      <c r="B1092" s="7">
        <v>6539.2</v>
      </c>
      <c r="C1092" s="7">
        <v>6713.3</v>
      </c>
      <c r="D1092" s="7">
        <v>6539.2</v>
      </c>
      <c r="E1092" s="7">
        <v>6601.1</v>
      </c>
      <c r="F1092" s="8">
        <v>3448874000</v>
      </c>
      <c r="G1092" s="8">
        <v>29857570000</v>
      </c>
      <c r="H1092">
        <f t="shared" ref="H1092:H1155" si="17">H1091*(E1092/E1091)</f>
        <v>218333.66408678974</v>
      </c>
    </row>
    <row r="1093" spans="1:8" x14ac:dyDescent="0.25">
      <c r="A1093" s="6">
        <v>44169</v>
      </c>
      <c r="B1093" s="7">
        <v>6601.1</v>
      </c>
      <c r="C1093" s="7">
        <v>6650.1</v>
      </c>
      <c r="D1093" s="7">
        <v>6511.4</v>
      </c>
      <c r="E1093" s="7">
        <v>6634.1</v>
      </c>
      <c r="F1093" s="8">
        <v>3881940000</v>
      </c>
      <c r="G1093" s="8">
        <v>36288610000</v>
      </c>
      <c r="H1093">
        <f t="shared" si="17"/>
        <v>219425.15049282269</v>
      </c>
    </row>
    <row r="1094" spans="1:8" x14ac:dyDescent="0.25">
      <c r="A1094" s="6">
        <v>44176</v>
      </c>
      <c r="B1094" s="7">
        <v>6634.3</v>
      </c>
      <c r="C1094" s="7">
        <v>6745.3</v>
      </c>
      <c r="D1094" s="7">
        <v>6632.3</v>
      </c>
      <c r="E1094" s="7">
        <v>6642.6</v>
      </c>
      <c r="F1094" s="8">
        <v>3233633000</v>
      </c>
      <c r="G1094" s="8">
        <v>29662580000</v>
      </c>
      <c r="H1094">
        <f t="shared" si="17"/>
        <v>219706.29093074027</v>
      </c>
    </row>
    <row r="1095" spans="1:8" x14ac:dyDescent="0.25">
      <c r="A1095" s="6">
        <v>44183</v>
      </c>
      <c r="B1095" s="7">
        <v>6642.6</v>
      </c>
      <c r="C1095" s="7">
        <v>6765.7</v>
      </c>
      <c r="D1095" s="7">
        <v>6625.7</v>
      </c>
      <c r="E1095" s="7">
        <v>6675.5</v>
      </c>
      <c r="F1095" s="8">
        <v>4092623000</v>
      </c>
      <c r="G1095" s="8">
        <v>37190230000</v>
      </c>
      <c r="H1095">
        <f t="shared" si="17"/>
        <v>220794.46980220947</v>
      </c>
    </row>
    <row r="1096" spans="1:8" x14ac:dyDescent="0.25">
      <c r="A1096" s="6">
        <v>44189</v>
      </c>
      <c r="B1096" s="7">
        <v>6675.5</v>
      </c>
      <c r="C1096" s="7">
        <v>6704.9</v>
      </c>
      <c r="D1096" s="7">
        <v>6585</v>
      </c>
      <c r="E1096" s="7">
        <v>6664.8</v>
      </c>
      <c r="F1096" s="8">
        <v>1800196000</v>
      </c>
      <c r="G1096" s="8">
        <v>15704750000</v>
      </c>
      <c r="H1096">
        <f t="shared" si="17"/>
        <v>220440.56360388969</v>
      </c>
    </row>
    <row r="1097" spans="1:8" x14ac:dyDescent="0.25">
      <c r="A1097" s="6">
        <v>44196</v>
      </c>
      <c r="B1097" s="7">
        <v>6664.8</v>
      </c>
      <c r="C1097" s="7">
        <v>6725.1</v>
      </c>
      <c r="D1097" s="7">
        <v>6587.1</v>
      </c>
      <c r="E1097" s="7">
        <v>6587.1</v>
      </c>
      <c r="F1097" s="8">
        <v>957437200</v>
      </c>
      <c r="G1097" s="8">
        <v>7779717000</v>
      </c>
      <c r="H1097">
        <f t="shared" si="17"/>
        <v>217870.6092478667</v>
      </c>
    </row>
    <row r="1098" spans="1:8" x14ac:dyDescent="0.25">
      <c r="A1098" s="6">
        <v>44204</v>
      </c>
      <c r="B1098" s="7">
        <v>6587.1</v>
      </c>
      <c r="C1098" s="7">
        <v>6757.9</v>
      </c>
      <c r="D1098" s="7">
        <v>6587.1</v>
      </c>
      <c r="E1098" s="7">
        <v>6757.9</v>
      </c>
      <c r="F1098" s="8">
        <v>2552646000</v>
      </c>
      <c r="G1098" s="8">
        <v>23025020000</v>
      </c>
      <c r="H1098">
        <f t="shared" si="17"/>
        <v>223519.87828272808</v>
      </c>
    </row>
    <row r="1099" spans="1:8" x14ac:dyDescent="0.25">
      <c r="A1099" s="6">
        <v>44211</v>
      </c>
      <c r="B1099" s="7">
        <v>6757.9</v>
      </c>
      <c r="C1099" s="7">
        <v>6761</v>
      </c>
      <c r="D1099" s="7">
        <v>6657.1</v>
      </c>
      <c r="E1099" s="7">
        <v>6715.4</v>
      </c>
      <c r="F1099" s="8">
        <v>2711402000</v>
      </c>
      <c r="G1099" s="8">
        <v>23449510000</v>
      </c>
      <c r="H1099">
        <f t="shared" si="17"/>
        <v>222114.17609314018</v>
      </c>
    </row>
    <row r="1100" spans="1:8" x14ac:dyDescent="0.25">
      <c r="A1100" s="6">
        <v>44218</v>
      </c>
      <c r="B1100" s="7">
        <v>6715.4</v>
      </c>
      <c r="C1100" s="7">
        <v>6829.3</v>
      </c>
      <c r="D1100" s="7">
        <v>6651.6</v>
      </c>
      <c r="E1100" s="7">
        <v>6800.4</v>
      </c>
      <c r="F1100" s="8">
        <v>2741573000</v>
      </c>
      <c r="G1100" s="8">
        <v>25866830000</v>
      </c>
      <c r="H1100">
        <f t="shared" si="17"/>
        <v>224925.58047231592</v>
      </c>
    </row>
    <row r="1101" spans="1:8" x14ac:dyDescent="0.25">
      <c r="A1101" s="6">
        <v>44225</v>
      </c>
      <c r="B1101" s="7">
        <v>6800.4</v>
      </c>
      <c r="C1101" s="7">
        <v>6832.6</v>
      </c>
      <c r="D1101" s="7">
        <v>6585.3</v>
      </c>
      <c r="E1101" s="7">
        <v>6607.4</v>
      </c>
      <c r="F1101" s="8">
        <v>2484589000</v>
      </c>
      <c r="G1101" s="8">
        <v>23394740000</v>
      </c>
      <c r="H1101">
        <f t="shared" si="17"/>
        <v>218542.03876430506</v>
      </c>
    </row>
    <row r="1102" spans="1:8" x14ac:dyDescent="0.25">
      <c r="A1102" s="6">
        <v>44232</v>
      </c>
      <c r="B1102" s="7">
        <v>6607.4</v>
      </c>
      <c r="C1102" s="7">
        <v>6852.9</v>
      </c>
      <c r="D1102" s="7">
        <v>6517.2</v>
      </c>
      <c r="E1102" s="7">
        <v>6840.5</v>
      </c>
      <c r="F1102" s="8">
        <v>3059102000</v>
      </c>
      <c r="G1102" s="8">
        <v>26822880000</v>
      </c>
      <c r="H1102">
        <f t="shared" si="17"/>
        <v>226251.90183237413</v>
      </c>
    </row>
    <row r="1103" spans="1:8" x14ac:dyDescent="0.25">
      <c r="A1103" s="6">
        <v>44239</v>
      </c>
      <c r="B1103" s="7">
        <v>6840.5</v>
      </c>
      <c r="C1103" s="7">
        <v>6901</v>
      </c>
      <c r="D1103" s="7">
        <v>6802.4</v>
      </c>
      <c r="E1103" s="7">
        <v>6806.7</v>
      </c>
      <c r="F1103" s="8">
        <v>2547057000</v>
      </c>
      <c r="G1103" s="8">
        <v>23410380000</v>
      </c>
      <c r="H1103">
        <f t="shared" si="17"/>
        <v>225133.95514983131</v>
      </c>
    </row>
    <row r="1104" spans="1:8" x14ac:dyDescent="0.25">
      <c r="A1104" s="6">
        <v>44246</v>
      </c>
      <c r="B1104" s="7">
        <v>6806.7</v>
      </c>
      <c r="C1104" s="7">
        <v>6938</v>
      </c>
      <c r="D1104" s="7">
        <v>6769.9</v>
      </c>
      <c r="E1104" s="7">
        <v>6793.8</v>
      </c>
      <c r="F1104" s="8">
        <v>3345438000</v>
      </c>
      <c r="G1104" s="8">
        <v>32677980000</v>
      </c>
      <c r="H1104">
        <f t="shared" si="17"/>
        <v>224707.28319110934</v>
      </c>
    </row>
    <row r="1105" spans="1:8" x14ac:dyDescent="0.25">
      <c r="A1105" s="6">
        <v>44253</v>
      </c>
      <c r="B1105" s="7">
        <v>6793.8</v>
      </c>
      <c r="C1105" s="7">
        <v>6857.3</v>
      </c>
      <c r="D1105" s="7">
        <v>6658.9</v>
      </c>
      <c r="E1105" s="7">
        <v>6673.3</v>
      </c>
      <c r="F1105" s="8">
        <v>3976485000</v>
      </c>
      <c r="G1105" s="8">
        <v>35106750000</v>
      </c>
      <c r="H1105">
        <f t="shared" si="17"/>
        <v>220721.70404180721</v>
      </c>
    </row>
    <row r="1106" spans="1:8" x14ac:dyDescent="0.25">
      <c r="A1106" s="6">
        <v>44260</v>
      </c>
      <c r="B1106" s="7">
        <v>6673.3</v>
      </c>
      <c r="C1106" s="7">
        <v>6860.7</v>
      </c>
      <c r="D1106" s="7">
        <v>6660.5</v>
      </c>
      <c r="E1106" s="7">
        <v>6710.8</v>
      </c>
      <c r="F1106" s="8">
        <v>3504848000</v>
      </c>
      <c r="G1106" s="8">
        <v>31997490000</v>
      </c>
      <c r="H1106">
        <f t="shared" si="17"/>
        <v>221962.02950320826</v>
      </c>
    </row>
    <row r="1107" spans="1:8" x14ac:dyDescent="0.25">
      <c r="A1107" s="6">
        <v>44267</v>
      </c>
      <c r="B1107" s="7">
        <v>6710.8</v>
      </c>
      <c r="C1107" s="7">
        <v>6835.6</v>
      </c>
      <c r="D1107" s="7">
        <v>6648.6</v>
      </c>
      <c r="E1107" s="7">
        <v>6766.8</v>
      </c>
      <c r="F1107" s="8">
        <v>3097216000</v>
      </c>
      <c r="G1107" s="8">
        <v>28890570000</v>
      </c>
      <c r="H1107">
        <f t="shared" si="17"/>
        <v>223814.24885890051</v>
      </c>
    </row>
    <row r="1108" spans="1:8" x14ac:dyDescent="0.25">
      <c r="A1108" s="6">
        <v>44274</v>
      </c>
      <c r="B1108" s="7">
        <v>6766.8</v>
      </c>
      <c r="C1108" s="7">
        <v>6858.9</v>
      </c>
      <c r="D1108" s="7">
        <v>6673.7</v>
      </c>
      <c r="E1108" s="7">
        <v>6708.2</v>
      </c>
      <c r="F1108" s="8">
        <v>3636702000</v>
      </c>
      <c r="G1108" s="8">
        <v>33965640000</v>
      </c>
      <c r="H1108">
        <f t="shared" si="17"/>
        <v>221876.03360455108</v>
      </c>
    </row>
    <row r="1109" spans="1:8" x14ac:dyDescent="0.25">
      <c r="A1109" s="6">
        <v>44281</v>
      </c>
      <c r="B1109" s="7">
        <v>6708.2</v>
      </c>
      <c r="C1109" s="7">
        <v>6835</v>
      </c>
      <c r="D1109" s="7">
        <v>6688.2</v>
      </c>
      <c r="E1109" s="7">
        <v>6824.2</v>
      </c>
      <c r="F1109" s="8">
        <v>2624186000</v>
      </c>
      <c r="G1109" s="8">
        <v>22639340000</v>
      </c>
      <c r="H1109">
        <f t="shared" si="17"/>
        <v>225712.77369848508</v>
      </c>
    </row>
    <row r="1110" spans="1:8" x14ac:dyDescent="0.25">
      <c r="A1110" s="6">
        <v>44287</v>
      </c>
      <c r="B1110" s="7">
        <v>6824.2</v>
      </c>
      <c r="C1110" s="7">
        <v>6862.6</v>
      </c>
      <c r="D1110" s="7">
        <v>6738.4</v>
      </c>
      <c r="E1110" s="7">
        <v>6828.7</v>
      </c>
      <c r="F1110" s="8">
        <v>2206701000</v>
      </c>
      <c r="G1110" s="8">
        <v>19269230000</v>
      </c>
      <c r="H1110">
        <f t="shared" si="17"/>
        <v>225861.61275385323</v>
      </c>
    </row>
    <row r="1111" spans="1:8" x14ac:dyDescent="0.25">
      <c r="A1111" s="6">
        <v>44295</v>
      </c>
      <c r="B1111" s="7">
        <v>6828.7</v>
      </c>
      <c r="C1111" s="7">
        <v>7012.4</v>
      </c>
      <c r="D1111" s="7">
        <v>6828.7</v>
      </c>
      <c r="E1111" s="7">
        <v>6995.2</v>
      </c>
      <c r="F1111" s="8">
        <v>2101078000</v>
      </c>
      <c r="G1111" s="8">
        <v>18802710000</v>
      </c>
      <c r="H1111">
        <f t="shared" si="17"/>
        <v>231368.65780247399</v>
      </c>
    </row>
    <row r="1112" spans="1:8" x14ac:dyDescent="0.25">
      <c r="A1112" s="6">
        <v>44302</v>
      </c>
      <c r="B1112" s="7">
        <v>6996.7</v>
      </c>
      <c r="C1112" s="7">
        <v>7071.5</v>
      </c>
      <c r="D1112" s="7">
        <v>6957.4</v>
      </c>
      <c r="E1112" s="7">
        <v>7063.5</v>
      </c>
      <c r="F1112" s="8">
        <v>2802662000</v>
      </c>
      <c r="G1112" s="8">
        <v>24620630000</v>
      </c>
      <c r="H1112">
        <f t="shared" si="17"/>
        <v>233627.70390950583</v>
      </c>
    </row>
    <row r="1113" spans="1:8" x14ac:dyDescent="0.25">
      <c r="A1113" s="6">
        <v>44309</v>
      </c>
      <c r="B1113" s="7">
        <v>7063.5</v>
      </c>
      <c r="C1113" s="7">
        <v>7094.8</v>
      </c>
      <c r="D1113" s="7">
        <v>6905.4</v>
      </c>
      <c r="E1113" s="7">
        <v>7060.7</v>
      </c>
      <c r="F1113" s="8">
        <v>2866637000</v>
      </c>
      <c r="G1113" s="8">
        <v>23838550000</v>
      </c>
      <c r="H1113">
        <f t="shared" si="17"/>
        <v>233535.0929417212</v>
      </c>
    </row>
    <row r="1114" spans="1:8" x14ac:dyDescent="0.25">
      <c r="A1114" s="6">
        <v>44316</v>
      </c>
      <c r="B1114" s="7">
        <v>7060.7</v>
      </c>
      <c r="C1114" s="7">
        <v>7096.9</v>
      </c>
      <c r="D1114" s="7">
        <v>7005.9</v>
      </c>
      <c r="E1114" s="7">
        <v>7025.8</v>
      </c>
      <c r="F1114" s="8">
        <v>2894940000</v>
      </c>
      <c r="G1114" s="8">
        <v>24476850000</v>
      </c>
      <c r="H1114">
        <f t="shared" si="17"/>
        <v>232380.76337897728</v>
      </c>
    </row>
    <row r="1115" spans="1:8" x14ac:dyDescent="0.25">
      <c r="A1115" s="6">
        <v>44323</v>
      </c>
      <c r="B1115" s="7">
        <v>7025.8</v>
      </c>
      <c r="C1115" s="7">
        <v>7122</v>
      </c>
      <c r="D1115" s="7">
        <v>7022</v>
      </c>
      <c r="E1115" s="7">
        <v>7080.8</v>
      </c>
      <c r="F1115" s="8">
        <v>2620289000</v>
      </c>
      <c r="G1115" s="8">
        <v>24528910000</v>
      </c>
      <c r="H1115">
        <f t="shared" si="17"/>
        <v>234199.90738903219</v>
      </c>
    </row>
    <row r="1116" spans="1:8" x14ac:dyDescent="0.25">
      <c r="A1116" s="6">
        <v>44330</v>
      </c>
      <c r="B1116" s="7">
        <v>7080.8</v>
      </c>
      <c r="C1116" s="7">
        <v>7172.8</v>
      </c>
      <c r="D1116" s="7">
        <v>6966.5</v>
      </c>
      <c r="E1116" s="7">
        <v>7014.2</v>
      </c>
      <c r="F1116" s="8">
        <v>2930089000</v>
      </c>
      <c r="G1116" s="8">
        <v>26472200000</v>
      </c>
      <c r="H1116">
        <f t="shared" si="17"/>
        <v>231997.08936958387</v>
      </c>
    </row>
    <row r="1117" spans="1:8" x14ac:dyDescent="0.25">
      <c r="A1117" s="6">
        <v>44337</v>
      </c>
      <c r="B1117" s="7">
        <v>7014.2</v>
      </c>
      <c r="C1117" s="7">
        <v>7083.6</v>
      </c>
      <c r="D1117" s="7">
        <v>6917.3</v>
      </c>
      <c r="E1117" s="7">
        <v>7030.3</v>
      </c>
      <c r="F1117" s="8">
        <v>2934607000</v>
      </c>
      <c r="G1117" s="8">
        <v>26290030000</v>
      </c>
      <c r="H1117">
        <f t="shared" si="17"/>
        <v>232529.60243434543</v>
      </c>
    </row>
    <row r="1118" spans="1:8" x14ac:dyDescent="0.25">
      <c r="A1118" s="6">
        <v>44344</v>
      </c>
      <c r="B1118" s="7">
        <v>7030.3</v>
      </c>
      <c r="C1118" s="7">
        <v>7186.8</v>
      </c>
      <c r="D1118" s="7">
        <v>7015.5</v>
      </c>
      <c r="E1118" s="7">
        <v>7179.5</v>
      </c>
      <c r="F1118" s="8">
        <v>3459779000</v>
      </c>
      <c r="G1118" s="8">
        <v>30290560000</v>
      </c>
      <c r="H1118">
        <f t="shared" si="17"/>
        <v>237464.4440034398</v>
      </c>
    </row>
    <row r="1119" spans="1:8" x14ac:dyDescent="0.25">
      <c r="A1119" s="6">
        <v>44351</v>
      </c>
      <c r="B1119" s="7">
        <v>7179.5</v>
      </c>
      <c r="C1119" s="7">
        <v>7300.5</v>
      </c>
      <c r="D1119" s="7">
        <v>7117.5</v>
      </c>
      <c r="E1119" s="7">
        <v>7295.4</v>
      </c>
      <c r="F1119" s="8">
        <v>2727909000</v>
      </c>
      <c r="G1119" s="8">
        <v>23510300000</v>
      </c>
      <c r="H1119">
        <f t="shared" si="17"/>
        <v>241297.87656281004</v>
      </c>
    </row>
    <row r="1120" spans="1:8" x14ac:dyDescent="0.25">
      <c r="A1120" s="6">
        <v>44358</v>
      </c>
      <c r="B1120" s="7">
        <v>7295.4</v>
      </c>
      <c r="C1120" s="7">
        <v>7334.9</v>
      </c>
      <c r="D1120" s="7">
        <v>7265.6</v>
      </c>
      <c r="E1120" s="7">
        <v>7312.3</v>
      </c>
      <c r="F1120" s="8">
        <v>2730603000</v>
      </c>
      <c r="G1120" s="8">
        <v>23500440000</v>
      </c>
      <c r="H1120">
        <f t="shared" si="17"/>
        <v>241856.84990408146</v>
      </c>
    </row>
    <row r="1121" spans="1:8" x14ac:dyDescent="0.25">
      <c r="A1121" s="6">
        <v>44365</v>
      </c>
      <c r="B1121" s="7">
        <v>7312.3</v>
      </c>
      <c r="C1121" s="7">
        <v>7406.2</v>
      </c>
      <c r="D1121" s="7">
        <v>7312.3</v>
      </c>
      <c r="E1121" s="7">
        <v>7368.9</v>
      </c>
      <c r="F1121" s="8">
        <v>3273882000</v>
      </c>
      <c r="G1121" s="8">
        <v>30534820000</v>
      </c>
      <c r="H1121">
        <f t="shared" si="17"/>
        <v>243728.91446715614</v>
      </c>
    </row>
    <row r="1122" spans="1:8" x14ac:dyDescent="0.25">
      <c r="A1122" s="6">
        <v>44372</v>
      </c>
      <c r="B1122" s="7">
        <v>7368.9</v>
      </c>
      <c r="C1122" s="7">
        <v>7368.9</v>
      </c>
      <c r="D1122" s="7">
        <v>7216.6</v>
      </c>
      <c r="E1122" s="7">
        <v>7308</v>
      </c>
      <c r="F1122" s="8">
        <v>3129485000</v>
      </c>
      <c r="G1122" s="8">
        <v>28329640000</v>
      </c>
      <c r="H1122">
        <f t="shared" si="17"/>
        <v>241714.62591784081</v>
      </c>
    </row>
    <row r="1123" spans="1:8" x14ac:dyDescent="0.25">
      <c r="A1123" s="6">
        <v>44379</v>
      </c>
      <c r="B1123" s="7">
        <v>7308</v>
      </c>
      <c r="C1123" s="7">
        <v>7370.1</v>
      </c>
      <c r="D1123" s="7">
        <v>7241.5</v>
      </c>
      <c r="E1123" s="7">
        <v>7308.6</v>
      </c>
      <c r="F1123" s="8">
        <v>2779872000</v>
      </c>
      <c r="G1123" s="8">
        <v>24011350000</v>
      </c>
      <c r="H1123">
        <f t="shared" si="17"/>
        <v>241734.47112522324</v>
      </c>
    </row>
    <row r="1124" spans="1:8" x14ac:dyDescent="0.25">
      <c r="A1124" s="6">
        <v>44386</v>
      </c>
      <c r="B1124" s="7">
        <v>7308.6</v>
      </c>
      <c r="C1124" s="7">
        <v>7381.9</v>
      </c>
      <c r="D1124" s="7">
        <v>7226</v>
      </c>
      <c r="E1124" s="7">
        <v>7273.3</v>
      </c>
      <c r="F1124" s="8">
        <v>3003712000</v>
      </c>
      <c r="G1124" s="8">
        <v>26469790000</v>
      </c>
      <c r="H1124">
        <f t="shared" si="17"/>
        <v>240566.91142422435</v>
      </c>
    </row>
    <row r="1125" spans="1:8" x14ac:dyDescent="0.25">
      <c r="A1125" s="6">
        <v>44393</v>
      </c>
      <c r="B1125" s="7">
        <v>7273.3</v>
      </c>
      <c r="C1125" s="7">
        <v>7382.2</v>
      </c>
      <c r="D1125" s="7">
        <v>7273.3</v>
      </c>
      <c r="E1125" s="7">
        <v>7348.1</v>
      </c>
      <c r="F1125" s="8">
        <v>2885482000</v>
      </c>
      <c r="G1125" s="8">
        <v>26842780000</v>
      </c>
      <c r="H1125">
        <f t="shared" si="17"/>
        <v>243040.94727789905</v>
      </c>
    </row>
    <row r="1126" spans="1:8" x14ac:dyDescent="0.25">
      <c r="A1126" s="6">
        <v>44400</v>
      </c>
      <c r="B1126" s="7">
        <v>7348.1</v>
      </c>
      <c r="C1126" s="7">
        <v>7398.7</v>
      </c>
      <c r="D1126" s="7">
        <v>7205</v>
      </c>
      <c r="E1126" s="7">
        <v>7394.4</v>
      </c>
      <c r="F1126" s="8">
        <v>2775577000</v>
      </c>
      <c r="G1126" s="8">
        <v>24211550000</v>
      </c>
      <c r="H1126">
        <f t="shared" si="17"/>
        <v>244572.33578090888</v>
      </c>
    </row>
    <row r="1127" spans="1:8" x14ac:dyDescent="0.25">
      <c r="A1127" s="6">
        <v>44407</v>
      </c>
      <c r="B1127" s="7">
        <v>7394.4</v>
      </c>
      <c r="C1127" s="7">
        <v>7447.9</v>
      </c>
      <c r="D1127" s="7">
        <v>7368.3</v>
      </c>
      <c r="E1127" s="7">
        <v>7392.6</v>
      </c>
      <c r="F1127" s="8">
        <v>2841126000</v>
      </c>
      <c r="G1127" s="8">
        <v>25315560000</v>
      </c>
      <c r="H1127">
        <f t="shared" si="17"/>
        <v>244512.80015876165</v>
      </c>
    </row>
    <row r="1128" spans="1:8" x14ac:dyDescent="0.25">
      <c r="A1128" s="6">
        <v>44414</v>
      </c>
      <c r="B1128" s="7">
        <v>7415.9</v>
      </c>
      <c r="C1128" s="7">
        <v>7538.4</v>
      </c>
      <c r="D1128" s="7">
        <v>7414.9</v>
      </c>
      <c r="E1128" s="7">
        <v>7538.4</v>
      </c>
      <c r="F1128" s="8">
        <v>2748956000</v>
      </c>
      <c r="G1128" s="8">
        <v>28084510000</v>
      </c>
      <c r="H1128">
        <f t="shared" si="17"/>
        <v>249335.18555268901</v>
      </c>
    </row>
    <row r="1129" spans="1:8" x14ac:dyDescent="0.25">
      <c r="A1129" s="6">
        <v>44421</v>
      </c>
      <c r="B1129" s="7">
        <v>7538.4</v>
      </c>
      <c r="C1129" s="7">
        <v>7632.8</v>
      </c>
      <c r="D1129" s="7">
        <v>7532.8</v>
      </c>
      <c r="E1129" s="7">
        <v>7628.9</v>
      </c>
      <c r="F1129" s="8">
        <v>2928004000</v>
      </c>
      <c r="G1129" s="8">
        <v>27472220000</v>
      </c>
      <c r="H1129">
        <f t="shared" si="17"/>
        <v>252328.50433287027</v>
      </c>
    </row>
    <row r="1130" spans="1:8" x14ac:dyDescent="0.25">
      <c r="A1130" s="6">
        <v>44428</v>
      </c>
      <c r="B1130" s="7">
        <v>7628.9</v>
      </c>
      <c r="C1130" s="7">
        <v>7629</v>
      </c>
      <c r="D1130" s="7">
        <v>7429.2</v>
      </c>
      <c r="E1130" s="7">
        <v>7460.9</v>
      </c>
      <c r="F1130" s="8">
        <v>3319998000</v>
      </c>
      <c r="G1130" s="8">
        <v>34605880000</v>
      </c>
      <c r="H1130">
        <f t="shared" si="17"/>
        <v>246771.84626579346</v>
      </c>
    </row>
    <row r="1131" spans="1:8" x14ac:dyDescent="0.25">
      <c r="A1131" s="6">
        <v>44435</v>
      </c>
      <c r="B1131" s="7">
        <v>7460.9</v>
      </c>
      <c r="C1131" s="7">
        <v>7542.4</v>
      </c>
      <c r="D1131" s="7">
        <v>7460.9</v>
      </c>
      <c r="E1131" s="7">
        <v>7488.3</v>
      </c>
      <c r="F1131" s="8">
        <v>3548741000</v>
      </c>
      <c r="G1131" s="8">
        <v>31679820000</v>
      </c>
      <c r="H1131">
        <f t="shared" si="17"/>
        <v>247678.11073625722</v>
      </c>
    </row>
    <row r="1132" spans="1:8" x14ac:dyDescent="0.25">
      <c r="A1132" s="6">
        <v>44442</v>
      </c>
      <c r="B1132" s="7">
        <v>7488.3</v>
      </c>
      <c r="C1132" s="7">
        <v>7555.9</v>
      </c>
      <c r="D1132" s="7">
        <v>7437.2</v>
      </c>
      <c r="E1132" s="7">
        <v>7522.9</v>
      </c>
      <c r="F1132" s="8">
        <v>3291160000</v>
      </c>
      <c r="G1132" s="8">
        <v>30884410000</v>
      </c>
      <c r="H1132">
        <f t="shared" si="17"/>
        <v>248822.51769530994</v>
      </c>
    </row>
    <row r="1133" spans="1:8" x14ac:dyDescent="0.25">
      <c r="A1133" s="6">
        <v>44449</v>
      </c>
      <c r="B1133" s="7">
        <v>7522.9</v>
      </c>
      <c r="C1133" s="7">
        <v>7536.9</v>
      </c>
      <c r="D1133" s="7">
        <v>7344.3</v>
      </c>
      <c r="E1133" s="7">
        <v>7406.6</v>
      </c>
      <c r="F1133" s="8">
        <v>3427717000</v>
      </c>
      <c r="G1133" s="8">
        <v>29443010000</v>
      </c>
      <c r="H1133">
        <f t="shared" si="17"/>
        <v>244975.85499768477</v>
      </c>
    </row>
    <row r="1134" spans="1:8" x14ac:dyDescent="0.25">
      <c r="A1134" s="6">
        <v>44456</v>
      </c>
      <c r="B1134" s="7">
        <v>7406.6</v>
      </c>
      <c r="C1134" s="7">
        <v>7487.6</v>
      </c>
      <c r="D1134" s="7">
        <v>7376.1</v>
      </c>
      <c r="E1134" s="7">
        <v>7403.7</v>
      </c>
      <c r="F1134" s="8">
        <v>4705844000</v>
      </c>
      <c r="G1134" s="8">
        <v>40237640000</v>
      </c>
      <c r="H1134">
        <f t="shared" si="17"/>
        <v>244879.93649533641</v>
      </c>
    </row>
    <row r="1135" spans="1:8" x14ac:dyDescent="0.25">
      <c r="A1135" s="6">
        <v>44463</v>
      </c>
      <c r="B1135" s="7">
        <v>7390.4</v>
      </c>
      <c r="C1135" s="7">
        <v>7390.4</v>
      </c>
      <c r="D1135" s="7">
        <v>7191.7</v>
      </c>
      <c r="E1135" s="7">
        <v>7342.6</v>
      </c>
      <c r="F1135" s="8">
        <v>3488233000</v>
      </c>
      <c r="G1135" s="8">
        <v>30745360000</v>
      </c>
      <c r="H1135">
        <f t="shared" si="17"/>
        <v>242859.03287689362</v>
      </c>
    </row>
    <row r="1136" spans="1:8" x14ac:dyDescent="0.25">
      <c r="A1136" s="6">
        <v>44470</v>
      </c>
      <c r="B1136" s="7">
        <v>7342.6</v>
      </c>
      <c r="C1136" s="7">
        <v>7416.4</v>
      </c>
      <c r="D1136" s="7">
        <v>7145.7</v>
      </c>
      <c r="E1136" s="7">
        <v>7185.5</v>
      </c>
      <c r="F1136" s="8">
        <v>3822158000</v>
      </c>
      <c r="G1136" s="8">
        <v>34739400000</v>
      </c>
      <c r="H1136">
        <f t="shared" si="17"/>
        <v>237662.89607726404</v>
      </c>
    </row>
    <row r="1137" spans="1:8" x14ac:dyDescent="0.25">
      <c r="A1137" s="6">
        <v>44477</v>
      </c>
      <c r="B1137" s="7">
        <v>7185.5</v>
      </c>
      <c r="C1137" s="7">
        <v>7322</v>
      </c>
      <c r="D1137" s="7">
        <v>7183.5</v>
      </c>
      <c r="E1137" s="7">
        <v>7320.1</v>
      </c>
      <c r="F1137" s="8">
        <v>3276190000</v>
      </c>
      <c r="G1137" s="8">
        <v>30425330000</v>
      </c>
      <c r="H1137">
        <f t="shared" si="17"/>
        <v>242114.83760005297</v>
      </c>
    </row>
    <row r="1138" spans="1:8" x14ac:dyDescent="0.25">
      <c r="A1138" s="6">
        <v>44484</v>
      </c>
      <c r="B1138" s="7">
        <v>7320.1</v>
      </c>
      <c r="C1138" s="7">
        <v>7373.2</v>
      </c>
      <c r="D1138" s="7">
        <v>7250</v>
      </c>
      <c r="E1138" s="7">
        <v>7362</v>
      </c>
      <c r="F1138" s="8">
        <v>3085840000</v>
      </c>
      <c r="G1138" s="8">
        <v>27791700000</v>
      </c>
      <c r="H1138">
        <f t="shared" si="17"/>
        <v>243500.69458225841</v>
      </c>
    </row>
    <row r="1139" spans="1:8" x14ac:dyDescent="0.25">
      <c r="A1139" s="6">
        <v>44491</v>
      </c>
      <c r="B1139" s="7">
        <v>7362</v>
      </c>
      <c r="C1139" s="7">
        <v>7449.5</v>
      </c>
      <c r="D1139" s="7">
        <v>7354.1</v>
      </c>
      <c r="E1139" s="7">
        <v>7415.5</v>
      </c>
      <c r="F1139" s="8">
        <v>3282618000</v>
      </c>
      <c r="G1139" s="8">
        <v>31315650000</v>
      </c>
      <c r="H1139">
        <f t="shared" si="17"/>
        <v>245270.22557385729</v>
      </c>
    </row>
    <row r="1140" spans="1:8" x14ac:dyDescent="0.25">
      <c r="A1140" s="6">
        <v>44498</v>
      </c>
      <c r="B1140" s="7">
        <v>7415.5</v>
      </c>
      <c r="C1140" s="7">
        <v>7473.9</v>
      </c>
      <c r="D1140" s="7">
        <v>7318.8</v>
      </c>
      <c r="E1140" s="7">
        <v>7323.7</v>
      </c>
      <c r="F1140" s="8">
        <v>2852675000</v>
      </c>
      <c r="G1140" s="8">
        <v>26811240000</v>
      </c>
      <c r="H1140">
        <f t="shared" si="17"/>
        <v>242233.90884434746</v>
      </c>
    </row>
    <row r="1141" spans="1:8" x14ac:dyDescent="0.25">
      <c r="A1141" s="6">
        <v>44505</v>
      </c>
      <c r="B1141" s="7">
        <v>7323.7</v>
      </c>
      <c r="C1141" s="7">
        <v>7477.2</v>
      </c>
      <c r="D1141" s="7">
        <v>7311.6</v>
      </c>
      <c r="E1141" s="7">
        <v>7456.9</v>
      </c>
      <c r="F1141" s="8">
        <v>2917453000</v>
      </c>
      <c r="G1141" s="8">
        <v>28435520000</v>
      </c>
      <c r="H1141">
        <f t="shared" si="17"/>
        <v>246639.54488324406</v>
      </c>
    </row>
    <row r="1142" spans="1:8" x14ac:dyDescent="0.25">
      <c r="A1142" s="6">
        <v>44512</v>
      </c>
      <c r="B1142" s="7">
        <v>7456.9</v>
      </c>
      <c r="C1142" s="7">
        <v>7474.3</v>
      </c>
      <c r="D1142" s="7">
        <v>7329.5</v>
      </c>
      <c r="E1142" s="7">
        <v>7443</v>
      </c>
      <c r="F1142" s="8">
        <v>2913619000</v>
      </c>
      <c r="G1142" s="8">
        <v>27677910000</v>
      </c>
      <c r="H1142">
        <f t="shared" si="17"/>
        <v>246179.79757888475</v>
      </c>
    </row>
    <row r="1143" spans="1:8" x14ac:dyDescent="0.25">
      <c r="A1143" s="6">
        <v>44519</v>
      </c>
      <c r="B1143" s="7">
        <v>7443</v>
      </c>
      <c r="C1143" s="7">
        <v>7479.1</v>
      </c>
      <c r="D1143" s="7">
        <v>7342.9</v>
      </c>
      <c r="E1143" s="7">
        <v>7396.5</v>
      </c>
      <c r="F1143" s="8">
        <v>2911138000</v>
      </c>
      <c r="G1143" s="8">
        <v>29106510000</v>
      </c>
      <c r="H1143">
        <f t="shared" si="17"/>
        <v>244641.79400674743</v>
      </c>
    </row>
    <row r="1144" spans="1:8" x14ac:dyDescent="0.25">
      <c r="A1144" s="6">
        <v>44526</v>
      </c>
      <c r="B1144" s="7">
        <v>7396.5</v>
      </c>
      <c r="C1144" s="7">
        <v>7425</v>
      </c>
      <c r="D1144" s="7">
        <v>7260.3</v>
      </c>
      <c r="E1144" s="7">
        <v>7279.3</v>
      </c>
      <c r="F1144" s="8">
        <v>2862824000</v>
      </c>
      <c r="G1144" s="8">
        <v>26498180000</v>
      </c>
      <c r="H1144">
        <f t="shared" si="17"/>
        <v>240765.36349804862</v>
      </c>
    </row>
    <row r="1145" spans="1:8" x14ac:dyDescent="0.25">
      <c r="A1145" s="6">
        <v>44533</v>
      </c>
      <c r="B1145" s="7">
        <v>7279.3</v>
      </c>
      <c r="C1145" s="7">
        <v>7332.6</v>
      </c>
      <c r="D1145" s="7">
        <v>7168.9</v>
      </c>
      <c r="E1145" s="7">
        <v>7241.2</v>
      </c>
      <c r="F1145" s="8">
        <v>3875334000</v>
      </c>
      <c r="G1145" s="8">
        <v>36787460000</v>
      </c>
      <c r="H1145">
        <f t="shared" si="17"/>
        <v>239505.19282926511</v>
      </c>
    </row>
    <row r="1146" spans="1:8" x14ac:dyDescent="0.25">
      <c r="A1146" s="6">
        <v>44540</v>
      </c>
      <c r="B1146" s="7">
        <v>7241.2</v>
      </c>
      <c r="C1146" s="7">
        <v>7443.4</v>
      </c>
      <c r="D1146" s="7">
        <v>7207.8</v>
      </c>
      <c r="E1146" s="7">
        <v>7353.5</v>
      </c>
      <c r="F1146" s="8">
        <v>3072701000</v>
      </c>
      <c r="G1146" s="8">
        <v>28043740000</v>
      </c>
      <c r="H1146">
        <f t="shared" si="17"/>
        <v>243219.55414434089</v>
      </c>
    </row>
    <row r="1147" spans="1:8" x14ac:dyDescent="0.25">
      <c r="A1147" s="6">
        <v>44547</v>
      </c>
      <c r="B1147" s="7">
        <v>7353.5</v>
      </c>
      <c r="C1147" s="7">
        <v>7417.7</v>
      </c>
      <c r="D1147" s="7">
        <v>7277.1</v>
      </c>
      <c r="E1147" s="7">
        <v>7304</v>
      </c>
      <c r="F1147" s="8">
        <v>3556214000</v>
      </c>
      <c r="G1147" s="8">
        <v>36242490000</v>
      </c>
      <c r="H1147">
        <f t="shared" si="17"/>
        <v>241582.32453529147</v>
      </c>
    </row>
    <row r="1148" spans="1:8" x14ac:dyDescent="0.25">
      <c r="A1148" s="6">
        <v>44554</v>
      </c>
      <c r="B1148" s="7">
        <v>7304</v>
      </c>
      <c r="C1148" s="7">
        <v>7435.9</v>
      </c>
      <c r="D1148" s="7">
        <v>7257.8</v>
      </c>
      <c r="E1148" s="7">
        <v>7420.3</v>
      </c>
      <c r="F1148" s="8">
        <v>2274899000</v>
      </c>
      <c r="G1148" s="8">
        <v>21748020000</v>
      </c>
      <c r="H1148">
        <f t="shared" si="17"/>
        <v>245428.98723291664</v>
      </c>
    </row>
    <row r="1149" spans="1:8" x14ac:dyDescent="0.25">
      <c r="A1149" s="6">
        <v>44561</v>
      </c>
      <c r="B1149" s="7">
        <v>7420.3</v>
      </c>
      <c r="C1149" s="7">
        <v>7520.6</v>
      </c>
      <c r="D1149" s="7">
        <v>7420.3</v>
      </c>
      <c r="E1149" s="7">
        <v>7444.6</v>
      </c>
      <c r="F1149" s="8">
        <v>1066360000</v>
      </c>
      <c r="G1149" s="8">
        <v>8996238000</v>
      </c>
      <c r="H1149">
        <f t="shared" si="17"/>
        <v>246232.71813190452</v>
      </c>
    </row>
    <row r="1150" spans="1:8" x14ac:dyDescent="0.25">
      <c r="A1150" s="6">
        <v>44568</v>
      </c>
      <c r="B1150" s="7">
        <v>7444.6</v>
      </c>
      <c r="C1150" s="7">
        <v>7620.2</v>
      </c>
      <c r="D1150" s="7">
        <v>7340.4</v>
      </c>
      <c r="E1150" s="7">
        <v>7453.3</v>
      </c>
      <c r="F1150" s="8">
        <v>2069232000</v>
      </c>
      <c r="G1150" s="8">
        <v>19377690000</v>
      </c>
      <c r="H1150">
        <f t="shared" si="17"/>
        <v>246520.47363894957</v>
      </c>
    </row>
    <row r="1151" spans="1:8" x14ac:dyDescent="0.25">
      <c r="A1151" s="6">
        <v>44575</v>
      </c>
      <c r="B1151" s="7">
        <v>7453.3</v>
      </c>
      <c r="C1151" s="7">
        <v>7487.3</v>
      </c>
      <c r="D1151" s="7">
        <v>7376.8</v>
      </c>
      <c r="E1151" s="7">
        <v>7393.9</v>
      </c>
      <c r="F1151" s="8">
        <v>2754333000</v>
      </c>
      <c r="G1151" s="8">
        <v>27923820000</v>
      </c>
      <c r="H1151">
        <f t="shared" si="17"/>
        <v>244555.79810809027</v>
      </c>
    </row>
    <row r="1152" spans="1:8" x14ac:dyDescent="0.25">
      <c r="A1152" s="6">
        <v>44582</v>
      </c>
      <c r="B1152" s="7">
        <v>7393.9</v>
      </c>
      <c r="C1152" s="7">
        <v>7445.1</v>
      </c>
      <c r="D1152" s="7">
        <v>7153.3</v>
      </c>
      <c r="E1152" s="7">
        <v>7175.8</v>
      </c>
      <c r="F1152" s="8">
        <v>3315308000</v>
      </c>
      <c r="G1152" s="8">
        <v>34742150000</v>
      </c>
      <c r="H1152">
        <f t="shared" si="17"/>
        <v>237342.06522458166</v>
      </c>
    </row>
    <row r="1153" spans="1:8" x14ac:dyDescent="0.25">
      <c r="A1153" s="6">
        <v>44589</v>
      </c>
      <c r="B1153" s="7">
        <v>7173.7</v>
      </c>
      <c r="C1153" s="7">
        <v>7173.7</v>
      </c>
      <c r="D1153" s="7">
        <v>6758.2</v>
      </c>
      <c r="E1153" s="7">
        <v>6988.1</v>
      </c>
      <c r="F1153" s="8">
        <v>5131653000</v>
      </c>
      <c r="G1153" s="8">
        <v>61388340000</v>
      </c>
      <c r="H1153">
        <f t="shared" si="17"/>
        <v>231133.82284844885</v>
      </c>
    </row>
    <row r="1154" spans="1:8" x14ac:dyDescent="0.25">
      <c r="A1154" s="6">
        <v>44596</v>
      </c>
      <c r="B1154" s="7">
        <v>6988.1</v>
      </c>
      <c r="C1154" s="7">
        <v>7120.2</v>
      </c>
      <c r="D1154" s="7">
        <v>6932.7</v>
      </c>
      <c r="E1154" s="7">
        <v>7120.2</v>
      </c>
      <c r="F1154" s="8">
        <v>3550980000</v>
      </c>
      <c r="G1154" s="8">
        <v>35905830000</v>
      </c>
      <c r="H1154">
        <f t="shared" si="17"/>
        <v>235503.07600714432</v>
      </c>
    </row>
    <row r="1155" spans="1:8" x14ac:dyDescent="0.25">
      <c r="A1155" s="6">
        <v>44603</v>
      </c>
      <c r="B1155" s="7">
        <v>7120.2</v>
      </c>
      <c r="C1155" s="7">
        <v>7336.6</v>
      </c>
      <c r="D1155" s="7">
        <v>7046.5</v>
      </c>
      <c r="E1155" s="7">
        <v>7217.3</v>
      </c>
      <c r="F1155" s="8">
        <v>3883726000</v>
      </c>
      <c r="G1155" s="8">
        <v>41663350000</v>
      </c>
      <c r="H1155">
        <f t="shared" si="17"/>
        <v>238714.69206853217</v>
      </c>
    </row>
    <row r="1156" spans="1:8" x14ac:dyDescent="0.25">
      <c r="A1156" s="6">
        <v>44610</v>
      </c>
      <c r="B1156" s="7">
        <v>7217.3</v>
      </c>
      <c r="C1156" s="7">
        <v>7356.8</v>
      </c>
      <c r="D1156" s="7">
        <v>7181.7</v>
      </c>
      <c r="E1156" s="7">
        <v>7221.7</v>
      </c>
      <c r="F1156" s="8">
        <v>3886255000</v>
      </c>
      <c r="G1156" s="8">
        <v>38954480000</v>
      </c>
      <c r="H1156">
        <f t="shared" ref="H1156:H1219" si="18">H1155*(E1156/E1155)</f>
        <v>238860.22358933656</v>
      </c>
    </row>
    <row r="1157" spans="1:8" x14ac:dyDescent="0.25">
      <c r="A1157" s="6">
        <v>44617</v>
      </c>
      <c r="B1157" s="7">
        <v>7220.4</v>
      </c>
      <c r="C1157" s="7">
        <v>7248.8</v>
      </c>
      <c r="D1157" s="7">
        <v>6959.3</v>
      </c>
      <c r="E1157" s="7">
        <v>6997.8</v>
      </c>
      <c r="F1157" s="8">
        <v>4362401000</v>
      </c>
      <c r="G1157" s="8">
        <v>37769290000</v>
      </c>
      <c r="H1157">
        <f t="shared" si="18"/>
        <v>231454.65370113123</v>
      </c>
    </row>
    <row r="1158" spans="1:8" x14ac:dyDescent="0.25">
      <c r="A1158" s="6">
        <v>44624</v>
      </c>
      <c r="B1158" s="7">
        <v>6997.8</v>
      </c>
      <c r="C1158" s="7">
        <v>7198.1</v>
      </c>
      <c r="D1158" s="7">
        <v>6979.4</v>
      </c>
      <c r="E1158" s="7">
        <v>7110.8</v>
      </c>
      <c r="F1158" s="8">
        <v>4590142000</v>
      </c>
      <c r="G1158" s="8">
        <v>43103770000</v>
      </c>
      <c r="H1158">
        <f t="shared" si="18"/>
        <v>235192.16775815311</v>
      </c>
    </row>
    <row r="1159" spans="1:8" x14ac:dyDescent="0.25">
      <c r="A1159" s="6">
        <v>44631</v>
      </c>
      <c r="B1159" s="7">
        <v>7110.8</v>
      </c>
      <c r="C1159" s="7">
        <v>7161</v>
      </c>
      <c r="D1159" s="7">
        <v>6968.9</v>
      </c>
      <c r="E1159" s="7">
        <v>7063.6</v>
      </c>
      <c r="F1159" s="8">
        <v>4862151000</v>
      </c>
      <c r="G1159" s="8">
        <v>40277050000</v>
      </c>
      <c r="H1159">
        <f t="shared" si="18"/>
        <v>233631.01144406962</v>
      </c>
    </row>
    <row r="1160" spans="1:8" x14ac:dyDescent="0.25">
      <c r="A1160" s="6">
        <v>44638</v>
      </c>
      <c r="B1160" s="7">
        <v>7063.6</v>
      </c>
      <c r="C1160" s="7">
        <v>7296.8</v>
      </c>
      <c r="D1160" s="7">
        <v>7063.6</v>
      </c>
      <c r="E1160" s="7">
        <v>7294.4</v>
      </c>
      <c r="F1160" s="8">
        <v>4488579000</v>
      </c>
      <c r="G1160" s="8">
        <v>40782710000</v>
      </c>
      <c r="H1160">
        <f t="shared" si="18"/>
        <v>241264.80121717273</v>
      </c>
    </row>
    <row r="1161" spans="1:8" x14ac:dyDescent="0.25">
      <c r="A1161" s="6">
        <v>44645</v>
      </c>
      <c r="B1161" s="7">
        <v>7294.4</v>
      </c>
      <c r="C1161" s="7">
        <v>7431.3</v>
      </c>
      <c r="D1161" s="7">
        <v>7278.5</v>
      </c>
      <c r="E1161" s="7">
        <v>7406.2</v>
      </c>
      <c r="F1161" s="8">
        <v>3132639000</v>
      </c>
      <c r="G1161" s="8">
        <v>26746990000</v>
      </c>
      <c r="H1161">
        <f t="shared" si="18"/>
        <v>244962.62485942978</v>
      </c>
    </row>
    <row r="1162" spans="1:8" x14ac:dyDescent="0.25">
      <c r="A1162" s="6">
        <v>44652</v>
      </c>
      <c r="B1162" s="7">
        <v>7406.2</v>
      </c>
      <c r="C1162" s="7">
        <v>7556.6</v>
      </c>
      <c r="D1162" s="7">
        <v>7406.2</v>
      </c>
      <c r="E1162" s="7">
        <v>7493.8</v>
      </c>
      <c r="F1162" s="8">
        <v>3411024000</v>
      </c>
      <c r="G1162" s="8">
        <v>31213450000</v>
      </c>
      <c r="H1162">
        <f t="shared" si="18"/>
        <v>247860.02513726268</v>
      </c>
    </row>
    <row r="1163" spans="1:8" x14ac:dyDescent="0.25">
      <c r="A1163" s="6">
        <v>44659</v>
      </c>
      <c r="B1163" s="7">
        <v>7493.8</v>
      </c>
      <c r="C1163" s="7">
        <v>7573.4</v>
      </c>
      <c r="D1163" s="7">
        <v>7437.5</v>
      </c>
      <c r="E1163" s="7">
        <v>7478</v>
      </c>
      <c r="F1163" s="8">
        <v>3175003000</v>
      </c>
      <c r="G1163" s="8">
        <v>27005720000</v>
      </c>
      <c r="H1163">
        <f t="shared" si="18"/>
        <v>247337.43467619235</v>
      </c>
    </row>
    <row r="1164" spans="1:8" x14ac:dyDescent="0.25">
      <c r="A1164" s="6">
        <v>44665</v>
      </c>
      <c r="B1164" s="7">
        <v>7478</v>
      </c>
      <c r="C1164" s="7">
        <v>7529.2</v>
      </c>
      <c r="D1164" s="7">
        <v>7430.8</v>
      </c>
      <c r="E1164" s="7">
        <v>7523.4</v>
      </c>
      <c r="F1164" s="8">
        <v>2462082000</v>
      </c>
      <c r="G1164" s="8">
        <v>19736170000</v>
      </c>
      <c r="H1164">
        <f t="shared" si="18"/>
        <v>248839.05536812858</v>
      </c>
    </row>
    <row r="1165" spans="1:8" x14ac:dyDescent="0.25">
      <c r="A1165" s="6">
        <v>44673</v>
      </c>
      <c r="B1165" s="7">
        <v>7523.5</v>
      </c>
      <c r="C1165" s="7">
        <v>7624.8</v>
      </c>
      <c r="D1165" s="7">
        <v>7455</v>
      </c>
      <c r="E1165" s="7">
        <v>7473.3</v>
      </c>
      <c r="F1165" s="8">
        <v>2587969000</v>
      </c>
      <c r="G1165" s="8">
        <v>25131720000</v>
      </c>
      <c r="H1165">
        <f t="shared" si="18"/>
        <v>247181.98055169676</v>
      </c>
    </row>
    <row r="1166" spans="1:8" x14ac:dyDescent="0.25">
      <c r="A1166" s="6">
        <v>44680</v>
      </c>
      <c r="B1166" s="7">
        <v>7473.3</v>
      </c>
      <c r="C1166" s="7">
        <v>7473.3</v>
      </c>
      <c r="D1166" s="7">
        <v>7233.3</v>
      </c>
      <c r="E1166" s="7">
        <v>7435</v>
      </c>
      <c r="F1166" s="8">
        <v>3152068000</v>
      </c>
      <c r="G1166" s="8">
        <v>26800490000</v>
      </c>
      <c r="H1166">
        <f t="shared" si="18"/>
        <v>245915.19481378578</v>
      </c>
    </row>
    <row r="1167" spans="1:8" x14ac:dyDescent="0.25">
      <c r="A1167" s="6">
        <v>44687</v>
      </c>
      <c r="B1167" s="7">
        <v>7435</v>
      </c>
      <c r="C1167" s="7">
        <v>7435</v>
      </c>
      <c r="D1167" s="7">
        <v>7161.4</v>
      </c>
      <c r="E1167" s="7">
        <v>7205.6</v>
      </c>
      <c r="F1167" s="8">
        <v>3541493000</v>
      </c>
      <c r="G1167" s="8">
        <v>28886740000</v>
      </c>
      <c r="H1167">
        <f t="shared" si="18"/>
        <v>238327.71052457497</v>
      </c>
    </row>
    <row r="1168" spans="1:8" x14ac:dyDescent="0.25">
      <c r="A1168" s="6">
        <v>44694</v>
      </c>
      <c r="B1168" s="7">
        <v>7205.6</v>
      </c>
      <c r="C1168" s="7">
        <v>7205.6</v>
      </c>
      <c r="D1168" s="7">
        <v>6930.2</v>
      </c>
      <c r="E1168" s="7">
        <v>7075.1</v>
      </c>
      <c r="F1168" s="8">
        <v>3860966000</v>
      </c>
      <c r="G1168" s="8">
        <v>33675000000</v>
      </c>
      <c r="H1168">
        <f t="shared" si="18"/>
        <v>234011.37791889923</v>
      </c>
    </row>
    <row r="1169" spans="1:8" x14ac:dyDescent="0.25">
      <c r="A1169" s="6">
        <v>44701</v>
      </c>
      <c r="B1169" s="7">
        <v>7075.1</v>
      </c>
      <c r="C1169" s="7">
        <v>7199</v>
      </c>
      <c r="D1169" s="7">
        <v>7037.6</v>
      </c>
      <c r="E1169" s="7">
        <v>7145.6</v>
      </c>
      <c r="F1169" s="8">
        <v>3341418000</v>
      </c>
      <c r="G1169" s="8">
        <v>30987990000</v>
      </c>
      <c r="H1169">
        <f t="shared" si="18"/>
        <v>236343.18978633321</v>
      </c>
    </row>
    <row r="1170" spans="1:8" x14ac:dyDescent="0.25">
      <c r="A1170" s="6">
        <v>44708</v>
      </c>
      <c r="B1170" s="7">
        <v>7145.6</v>
      </c>
      <c r="C1170" s="7">
        <v>7218.6</v>
      </c>
      <c r="D1170" s="7">
        <v>7105.9</v>
      </c>
      <c r="E1170" s="7">
        <v>7182.7</v>
      </c>
      <c r="F1170" s="8">
        <v>3300388000</v>
      </c>
      <c r="G1170" s="8">
        <v>26825260000</v>
      </c>
      <c r="H1170">
        <f t="shared" si="18"/>
        <v>237570.28510947933</v>
      </c>
    </row>
    <row r="1171" spans="1:8" x14ac:dyDescent="0.25">
      <c r="A1171" s="6">
        <v>44715</v>
      </c>
      <c r="B1171" s="7">
        <v>7182.7</v>
      </c>
      <c r="C1171" s="7">
        <v>7288.4</v>
      </c>
      <c r="D1171" s="7">
        <v>7150.5</v>
      </c>
      <c r="E1171" s="7">
        <v>7238.8</v>
      </c>
      <c r="F1171" s="8">
        <v>4156920000</v>
      </c>
      <c r="G1171" s="8">
        <v>38188070000</v>
      </c>
      <c r="H1171">
        <f t="shared" si="18"/>
        <v>239425.81199973536</v>
      </c>
    </row>
    <row r="1172" spans="1:8" x14ac:dyDescent="0.25">
      <c r="A1172" s="6">
        <v>44722</v>
      </c>
      <c r="B1172" s="7">
        <v>7238.8</v>
      </c>
      <c r="C1172" s="7">
        <v>7238.8</v>
      </c>
      <c r="D1172" s="7">
        <v>6926.9</v>
      </c>
      <c r="E1172" s="7">
        <v>6932</v>
      </c>
      <c r="F1172" s="8">
        <v>3383475000</v>
      </c>
      <c r="G1172" s="8">
        <v>30952070000</v>
      </c>
      <c r="H1172">
        <f t="shared" si="18"/>
        <v>229278.29595819273</v>
      </c>
    </row>
    <row r="1173" spans="1:8" x14ac:dyDescent="0.25">
      <c r="A1173" s="6">
        <v>44729</v>
      </c>
      <c r="B1173" s="7">
        <v>6932</v>
      </c>
      <c r="C1173" s="7">
        <v>6932</v>
      </c>
      <c r="D1173" s="7">
        <v>6410.4</v>
      </c>
      <c r="E1173" s="7">
        <v>6474.8</v>
      </c>
      <c r="F1173" s="8">
        <v>4904579000</v>
      </c>
      <c r="G1173" s="8">
        <v>42217800000</v>
      </c>
      <c r="H1173">
        <f t="shared" si="18"/>
        <v>214156.24793279087</v>
      </c>
    </row>
    <row r="1174" spans="1:8" x14ac:dyDescent="0.25">
      <c r="A1174" s="6">
        <v>44736</v>
      </c>
      <c r="B1174" s="7">
        <v>6474.8</v>
      </c>
      <c r="C1174" s="7">
        <v>6585.1</v>
      </c>
      <c r="D1174" s="7">
        <v>6407</v>
      </c>
      <c r="E1174" s="7">
        <v>6578.7</v>
      </c>
      <c r="F1174" s="8">
        <v>4392835000</v>
      </c>
      <c r="G1174" s="8">
        <v>29177590000</v>
      </c>
      <c r="H1174">
        <f t="shared" si="18"/>
        <v>217592.77634451276</v>
      </c>
    </row>
    <row r="1175" spans="1:8" x14ac:dyDescent="0.25">
      <c r="A1175" s="6">
        <v>44743</v>
      </c>
      <c r="B1175" s="7">
        <v>6578.7</v>
      </c>
      <c r="C1175" s="7">
        <v>6763.6</v>
      </c>
      <c r="D1175" s="7">
        <v>6539.9</v>
      </c>
      <c r="E1175" s="7">
        <v>6539.9</v>
      </c>
      <c r="F1175" s="8">
        <v>3960433000</v>
      </c>
      <c r="G1175" s="8">
        <v>28744920000</v>
      </c>
      <c r="H1175">
        <f t="shared" si="18"/>
        <v>216309.45293378312</v>
      </c>
    </row>
    <row r="1176" spans="1:8" x14ac:dyDescent="0.25">
      <c r="A1176" s="6">
        <v>44750</v>
      </c>
      <c r="B1176" s="7">
        <v>6539.9</v>
      </c>
      <c r="C1176" s="7">
        <v>6715</v>
      </c>
      <c r="D1176" s="7">
        <v>6539.9</v>
      </c>
      <c r="E1176" s="7">
        <v>6678</v>
      </c>
      <c r="F1176" s="8">
        <v>3146683000</v>
      </c>
      <c r="G1176" s="8">
        <v>24992670000</v>
      </c>
      <c r="H1176">
        <f t="shared" si="18"/>
        <v>220877.1581663028</v>
      </c>
    </row>
    <row r="1177" spans="1:8" x14ac:dyDescent="0.25">
      <c r="A1177" s="6">
        <v>44757</v>
      </c>
      <c r="B1177" s="7">
        <v>6678</v>
      </c>
      <c r="C1177" s="7">
        <v>6678</v>
      </c>
      <c r="D1177" s="7">
        <v>6537.2</v>
      </c>
      <c r="E1177" s="7">
        <v>6605.6</v>
      </c>
      <c r="F1177" s="8">
        <v>3209454000</v>
      </c>
      <c r="G1177" s="8">
        <v>25208520000</v>
      </c>
      <c r="H1177">
        <f t="shared" si="18"/>
        <v>218482.5031421578</v>
      </c>
    </row>
    <row r="1178" spans="1:8" x14ac:dyDescent="0.25">
      <c r="A1178" s="6">
        <v>44764</v>
      </c>
      <c r="B1178" s="7">
        <v>6605.6</v>
      </c>
      <c r="C1178" s="7">
        <v>6816.1</v>
      </c>
      <c r="D1178" s="7">
        <v>6605.6</v>
      </c>
      <c r="E1178" s="7">
        <v>6791.5</v>
      </c>
      <c r="F1178" s="8">
        <v>3590223000</v>
      </c>
      <c r="G1178" s="8">
        <v>27162730000</v>
      </c>
      <c r="H1178">
        <f t="shared" si="18"/>
        <v>224631.20989614338</v>
      </c>
    </row>
    <row r="1179" spans="1:8" x14ac:dyDescent="0.25">
      <c r="A1179" s="6">
        <v>44771</v>
      </c>
      <c r="B1179" s="7">
        <v>6791.5</v>
      </c>
      <c r="C1179" s="7">
        <v>6973.6</v>
      </c>
      <c r="D1179" s="7">
        <v>6775.7</v>
      </c>
      <c r="E1179" s="7">
        <v>6945.2</v>
      </c>
      <c r="F1179" s="8">
        <v>3479533000</v>
      </c>
      <c r="G1179" s="8">
        <v>26021420000</v>
      </c>
      <c r="H1179">
        <f t="shared" si="18"/>
        <v>229714.8905206059</v>
      </c>
    </row>
    <row r="1180" spans="1:8" x14ac:dyDescent="0.25">
      <c r="A1180" s="6">
        <v>44778</v>
      </c>
      <c r="B1180" s="7">
        <v>6945.2</v>
      </c>
      <c r="C1180" s="7">
        <v>7021.1</v>
      </c>
      <c r="D1180" s="7">
        <v>6918.2</v>
      </c>
      <c r="E1180" s="7">
        <v>7015.6</v>
      </c>
      <c r="F1180" s="8">
        <v>3260179000</v>
      </c>
      <c r="G1180" s="8">
        <v>24617150000</v>
      </c>
      <c r="H1180">
        <f t="shared" si="18"/>
        <v>232043.3948534762</v>
      </c>
    </row>
    <row r="1181" spans="1:8" x14ac:dyDescent="0.25">
      <c r="A1181" s="6">
        <v>44785</v>
      </c>
      <c r="B1181" s="7">
        <v>7015.6</v>
      </c>
      <c r="C1181" s="7">
        <v>7077.1</v>
      </c>
      <c r="D1181" s="7">
        <v>6985.7</v>
      </c>
      <c r="E1181" s="7">
        <v>7032.5</v>
      </c>
      <c r="F1181" s="8">
        <v>3567774000</v>
      </c>
      <c r="G1181" s="8">
        <v>25652750000</v>
      </c>
      <c r="H1181">
        <f t="shared" si="18"/>
        <v>232602.36819474763</v>
      </c>
    </row>
    <row r="1182" spans="1:8" x14ac:dyDescent="0.25">
      <c r="A1182" s="6">
        <v>44792</v>
      </c>
      <c r="B1182" s="7">
        <v>7032.5</v>
      </c>
      <c r="C1182" s="7">
        <v>7137.5</v>
      </c>
      <c r="D1182" s="7">
        <v>7032.5</v>
      </c>
      <c r="E1182" s="7">
        <v>7114.5</v>
      </c>
      <c r="F1182" s="8">
        <v>3444227000</v>
      </c>
      <c r="G1182" s="8">
        <v>28290370000</v>
      </c>
      <c r="H1182">
        <f t="shared" si="18"/>
        <v>235314.54653701128</v>
      </c>
    </row>
    <row r="1183" spans="1:8" x14ac:dyDescent="0.25">
      <c r="A1183" s="6">
        <v>44799</v>
      </c>
      <c r="B1183" s="7">
        <v>7114.5</v>
      </c>
      <c r="C1183" s="7">
        <v>7130</v>
      </c>
      <c r="D1183" s="7">
        <v>6961.8</v>
      </c>
      <c r="E1183" s="7">
        <v>7104.1</v>
      </c>
      <c r="F1183" s="8">
        <v>3574700000</v>
      </c>
      <c r="G1183" s="8">
        <v>28442130000</v>
      </c>
      <c r="H1183">
        <f t="shared" si="18"/>
        <v>234970.56294238273</v>
      </c>
    </row>
    <row r="1184" spans="1:8" x14ac:dyDescent="0.25">
      <c r="A1184" s="6">
        <v>44806</v>
      </c>
      <c r="B1184" s="7">
        <v>7104.1</v>
      </c>
      <c r="C1184" s="7">
        <v>7104.1</v>
      </c>
      <c r="D1184" s="7">
        <v>6820.5</v>
      </c>
      <c r="E1184" s="7">
        <v>6828.7</v>
      </c>
      <c r="F1184" s="8">
        <v>3844035000</v>
      </c>
      <c r="G1184" s="8">
        <v>31749650000</v>
      </c>
      <c r="H1184">
        <f t="shared" si="18"/>
        <v>225861.61275385323</v>
      </c>
    </row>
    <row r="1185" spans="1:8" x14ac:dyDescent="0.25">
      <c r="A1185" s="6">
        <v>44813</v>
      </c>
      <c r="B1185" s="7">
        <v>6828.7</v>
      </c>
      <c r="C1185" s="7">
        <v>6898.5</v>
      </c>
      <c r="D1185" s="7">
        <v>6719.6</v>
      </c>
      <c r="E1185" s="7">
        <v>6894.2</v>
      </c>
      <c r="F1185" s="8">
        <v>3721787000</v>
      </c>
      <c r="G1185" s="8">
        <v>28765950000</v>
      </c>
      <c r="H1185">
        <f t="shared" si="18"/>
        <v>228028.04789310045</v>
      </c>
    </row>
    <row r="1186" spans="1:8" x14ac:dyDescent="0.25">
      <c r="A1186" s="6">
        <v>44820</v>
      </c>
      <c r="B1186" s="7">
        <v>6894.2</v>
      </c>
      <c r="C1186" s="7">
        <v>7015.2</v>
      </c>
      <c r="D1186" s="7">
        <v>6736.3</v>
      </c>
      <c r="E1186" s="7">
        <v>6739.1</v>
      </c>
      <c r="F1186" s="8">
        <v>4849587000</v>
      </c>
      <c r="G1186" s="8">
        <v>36477230000</v>
      </c>
      <c r="H1186">
        <f t="shared" si="18"/>
        <v>222898.06178474563</v>
      </c>
    </row>
    <row r="1187" spans="1:8" x14ac:dyDescent="0.25">
      <c r="A1187" s="6">
        <v>44827</v>
      </c>
      <c r="B1187" s="7">
        <v>6739.1</v>
      </c>
      <c r="C1187" s="7">
        <v>6808.3</v>
      </c>
      <c r="D1187" s="7">
        <v>6544.9</v>
      </c>
      <c r="E1187" s="7">
        <v>6574.7</v>
      </c>
      <c r="F1187" s="8">
        <v>3175678000</v>
      </c>
      <c r="G1187" s="8">
        <v>20812950000</v>
      </c>
      <c r="H1187">
        <f t="shared" si="18"/>
        <v>217460.47496196331</v>
      </c>
    </row>
    <row r="1188" spans="1:8" x14ac:dyDescent="0.25">
      <c r="A1188" s="6">
        <v>44834</v>
      </c>
      <c r="B1188" s="7">
        <v>6574.7</v>
      </c>
      <c r="C1188" s="7">
        <v>6594.7</v>
      </c>
      <c r="D1188" s="7">
        <v>6433.1</v>
      </c>
      <c r="E1188" s="7">
        <v>6474.2</v>
      </c>
      <c r="F1188" s="8">
        <v>4928126000</v>
      </c>
      <c r="G1188" s="8">
        <v>32600390000</v>
      </c>
      <c r="H1188">
        <f t="shared" si="18"/>
        <v>214136.40272540844</v>
      </c>
    </row>
    <row r="1189" spans="1:8" x14ac:dyDescent="0.25">
      <c r="A1189" s="6">
        <v>44841</v>
      </c>
      <c r="B1189" s="7">
        <v>6474.2</v>
      </c>
      <c r="C1189" s="7">
        <v>6828.3</v>
      </c>
      <c r="D1189" s="7">
        <v>6411.9</v>
      </c>
      <c r="E1189" s="7">
        <v>6762.8</v>
      </c>
      <c r="F1189" s="8">
        <v>4220003000</v>
      </c>
      <c r="G1189" s="8">
        <v>28546760000</v>
      </c>
      <c r="H1189">
        <f t="shared" si="18"/>
        <v>223681.94747635108</v>
      </c>
    </row>
    <row r="1190" spans="1:8" x14ac:dyDescent="0.25">
      <c r="A1190" s="6">
        <v>44848</v>
      </c>
      <c r="B1190" s="7">
        <v>6762.8</v>
      </c>
      <c r="C1190" s="7">
        <v>6772.6</v>
      </c>
      <c r="D1190" s="7">
        <v>6633</v>
      </c>
      <c r="E1190" s="7">
        <v>6758.8</v>
      </c>
      <c r="F1190" s="8">
        <v>3449389000</v>
      </c>
      <c r="G1190" s="8">
        <v>26005270000</v>
      </c>
      <c r="H1190">
        <f t="shared" si="18"/>
        <v>223549.64609380162</v>
      </c>
    </row>
    <row r="1191" spans="1:8" x14ac:dyDescent="0.25">
      <c r="A1191" s="6">
        <v>44855</v>
      </c>
      <c r="B1191" s="7">
        <v>6758.9</v>
      </c>
      <c r="C1191" s="7">
        <v>6822.2</v>
      </c>
      <c r="D1191" s="7">
        <v>6645.2</v>
      </c>
      <c r="E1191" s="7">
        <v>6676.8</v>
      </c>
      <c r="F1191" s="8">
        <v>3934175000</v>
      </c>
      <c r="G1191" s="8">
        <v>28985170000</v>
      </c>
      <c r="H1191">
        <f t="shared" si="18"/>
        <v>220837.46775153794</v>
      </c>
    </row>
    <row r="1192" spans="1:8" x14ac:dyDescent="0.25">
      <c r="A1192" s="6">
        <v>44862</v>
      </c>
      <c r="B1192" s="7">
        <v>6676.8</v>
      </c>
      <c r="C1192" s="7">
        <v>6873.8</v>
      </c>
      <c r="D1192" s="7">
        <v>6676.8</v>
      </c>
      <c r="E1192" s="7">
        <v>6785.7</v>
      </c>
      <c r="F1192" s="8">
        <v>3821963000</v>
      </c>
      <c r="G1192" s="8">
        <v>26294670000</v>
      </c>
      <c r="H1192">
        <f t="shared" si="18"/>
        <v>224439.37289144666</v>
      </c>
    </row>
    <row r="1193" spans="1:8" x14ac:dyDescent="0.25">
      <c r="A1193" s="6">
        <v>44869</v>
      </c>
      <c r="B1193" s="7">
        <v>6785.7</v>
      </c>
      <c r="C1193" s="7">
        <v>7011.7</v>
      </c>
      <c r="D1193" s="7">
        <v>6785.7</v>
      </c>
      <c r="E1193" s="7">
        <v>6892.5</v>
      </c>
      <c r="F1193" s="8">
        <v>3914762000</v>
      </c>
      <c r="G1193" s="8">
        <v>28748140000</v>
      </c>
      <c r="H1193">
        <f t="shared" si="18"/>
        <v>227971.81980551695</v>
      </c>
    </row>
    <row r="1194" spans="1:8" x14ac:dyDescent="0.25">
      <c r="A1194" s="6">
        <v>44876</v>
      </c>
      <c r="B1194" s="7">
        <v>6892.5</v>
      </c>
      <c r="C1194" s="7">
        <v>7170.6</v>
      </c>
      <c r="D1194" s="7">
        <v>6892.5</v>
      </c>
      <c r="E1194" s="7">
        <v>7158</v>
      </c>
      <c r="F1194" s="8">
        <v>4073062000</v>
      </c>
      <c r="G1194" s="8">
        <v>32391600000</v>
      </c>
      <c r="H1194">
        <f t="shared" si="18"/>
        <v>236753.32407223652</v>
      </c>
    </row>
    <row r="1195" spans="1:8" x14ac:dyDescent="0.25">
      <c r="A1195" s="6">
        <v>44883</v>
      </c>
      <c r="B1195" s="7">
        <v>7158</v>
      </c>
      <c r="C1195" s="7">
        <v>7196.5</v>
      </c>
      <c r="D1195" s="7">
        <v>7102.9</v>
      </c>
      <c r="E1195" s="7">
        <v>7151.8</v>
      </c>
      <c r="F1195" s="8">
        <v>4166162000</v>
      </c>
      <c r="G1195" s="8">
        <v>31729220000</v>
      </c>
      <c r="H1195">
        <f t="shared" si="18"/>
        <v>236548.25692928486</v>
      </c>
    </row>
    <row r="1196" spans="1:8" x14ac:dyDescent="0.25">
      <c r="A1196" s="6">
        <v>44890</v>
      </c>
      <c r="B1196" s="7">
        <v>7151.8</v>
      </c>
      <c r="C1196" s="7">
        <v>7268.5</v>
      </c>
      <c r="D1196" s="7">
        <v>7131.7</v>
      </c>
      <c r="E1196" s="7">
        <v>7259.5</v>
      </c>
      <c r="F1196" s="8">
        <v>2997240000</v>
      </c>
      <c r="G1196" s="8">
        <v>23782610000</v>
      </c>
      <c r="H1196">
        <f t="shared" si="18"/>
        <v>240110.47165442872</v>
      </c>
    </row>
    <row r="1197" spans="1:8" x14ac:dyDescent="0.25">
      <c r="A1197" s="6">
        <v>44897</v>
      </c>
      <c r="B1197" s="7">
        <v>7259.5</v>
      </c>
      <c r="C1197" s="7">
        <v>7375.2</v>
      </c>
      <c r="D1197" s="7">
        <v>7200.9</v>
      </c>
      <c r="E1197" s="7">
        <v>7301.5</v>
      </c>
      <c r="F1197" s="8">
        <v>4658551000</v>
      </c>
      <c r="G1197" s="8">
        <v>38476910000</v>
      </c>
      <c r="H1197">
        <f t="shared" si="18"/>
        <v>241499.63617119793</v>
      </c>
    </row>
    <row r="1198" spans="1:8" x14ac:dyDescent="0.25">
      <c r="A1198" s="6">
        <v>44904</v>
      </c>
      <c r="B1198" s="7">
        <v>7301.5</v>
      </c>
      <c r="C1198" s="7">
        <v>7351</v>
      </c>
      <c r="D1198" s="7">
        <v>7170</v>
      </c>
      <c r="E1198" s="7">
        <v>7213.2</v>
      </c>
      <c r="F1198" s="8">
        <v>3717502000</v>
      </c>
      <c r="G1198" s="8">
        <v>29952960000</v>
      </c>
      <c r="H1198">
        <f t="shared" si="18"/>
        <v>238579.08315141886</v>
      </c>
    </row>
    <row r="1199" spans="1:8" x14ac:dyDescent="0.25">
      <c r="A1199" s="6">
        <v>44911</v>
      </c>
      <c r="B1199" s="7">
        <v>7213.2</v>
      </c>
      <c r="C1199" s="7">
        <v>7253.5</v>
      </c>
      <c r="D1199" s="7">
        <v>7117.6</v>
      </c>
      <c r="E1199" s="7">
        <v>7148.7</v>
      </c>
      <c r="F1199" s="8">
        <v>4387481000</v>
      </c>
      <c r="G1199" s="8">
        <v>32691730000</v>
      </c>
      <c r="H1199">
        <f t="shared" si="18"/>
        <v>236445.72335780901</v>
      </c>
    </row>
    <row r="1200" spans="1:8" x14ac:dyDescent="0.25">
      <c r="A1200" s="6">
        <v>44918</v>
      </c>
      <c r="B1200" s="7">
        <v>7148.7</v>
      </c>
      <c r="C1200" s="7">
        <v>7167.2</v>
      </c>
      <c r="D1200" s="7">
        <v>7019.5</v>
      </c>
      <c r="E1200" s="7">
        <v>7107.7</v>
      </c>
      <c r="F1200" s="8">
        <v>2827006000</v>
      </c>
      <c r="G1200" s="8">
        <v>20954580000</v>
      </c>
      <c r="H1200">
        <f t="shared" si="18"/>
        <v>235089.63418667717</v>
      </c>
    </row>
    <row r="1201" spans="1:8" x14ac:dyDescent="0.25">
      <c r="A1201" s="6">
        <v>44925</v>
      </c>
      <c r="B1201" s="7">
        <v>7107.7</v>
      </c>
      <c r="C1201" s="7">
        <v>7124</v>
      </c>
      <c r="D1201" s="7">
        <v>6993.8</v>
      </c>
      <c r="E1201" s="7">
        <v>7038.7</v>
      </c>
      <c r="F1201" s="8">
        <v>1350444000</v>
      </c>
      <c r="G1201" s="8">
        <v>9411730000</v>
      </c>
      <c r="H1201">
        <f t="shared" si="18"/>
        <v>232807.43533769919</v>
      </c>
    </row>
    <row r="1202" spans="1:8" x14ac:dyDescent="0.25">
      <c r="A1202" s="6">
        <v>44932</v>
      </c>
      <c r="B1202" s="7">
        <v>7038.7</v>
      </c>
      <c r="C1202" s="7">
        <v>7116.8</v>
      </c>
      <c r="D1202" s="7">
        <v>6905.3</v>
      </c>
      <c r="E1202" s="7">
        <v>7109.6</v>
      </c>
      <c r="F1202" s="8">
        <v>2113760000</v>
      </c>
      <c r="G1202" s="8">
        <v>16659930000</v>
      </c>
      <c r="H1202">
        <f t="shared" si="18"/>
        <v>235152.47734338816</v>
      </c>
    </row>
    <row r="1203" spans="1:8" x14ac:dyDescent="0.25">
      <c r="A1203" s="6">
        <v>44939</v>
      </c>
      <c r="B1203" s="7">
        <v>7109.6</v>
      </c>
      <c r="C1203" s="7">
        <v>7357.8</v>
      </c>
      <c r="D1203" s="7">
        <v>7109.6</v>
      </c>
      <c r="E1203" s="7">
        <v>7328.1</v>
      </c>
      <c r="F1203" s="8">
        <v>2645156000</v>
      </c>
      <c r="G1203" s="8">
        <v>21610610000</v>
      </c>
      <c r="H1203">
        <f t="shared" si="18"/>
        <v>242379.44036515174</v>
      </c>
    </row>
    <row r="1204" spans="1:8" x14ac:dyDescent="0.25">
      <c r="A1204" s="6">
        <v>44946</v>
      </c>
      <c r="B1204" s="7">
        <v>7328.1</v>
      </c>
      <c r="C1204" s="7">
        <v>7457.8</v>
      </c>
      <c r="D1204" s="7">
        <v>7328.1</v>
      </c>
      <c r="E1204" s="7">
        <v>7452.2</v>
      </c>
      <c r="F1204" s="8">
        <v>3066362000</v>
      </c>
      <c r="G1204" s="8">
        <v>26983940000</v>
      </c>
      <c r="H1204">
        <f t="shared" si="18"/>
        <v>246484.09075874832</v>
      </c>
    </row>
    <row r="1205" spans="1:8" x14ac:dyDescent="0.25">
      <c r="A1205" s="6">
        <v>44953</v>
      </c>
      <c r="B1205" s="7">
        <v>7452.2</v>
      </c>
      <c r="C1205" s="7">
        <v>7508.5</v>
      </c>
      <c r="D1205" s="7">
        <v>7434.5</v>
      </c>
      <c r="E1205" s="7">
        <v>7493.8</v>
      </c>
      <c r="F1205" s="8">
        <v>2553843000</v>
      </c>
      <c r="G1205" s="8">
        <v>20428600000</v>
      </c>
      <c r="H1205">
        <f t="shared" si="18"/>
        <v>247860.02513726259</v>
      </c>
    </row>
    <row r="1206" spans="1:8" x14ac:dyDescent="0.25">
      <c r="A1206" s="6">
        <v>44960</v>
      </c>
      <c r="B1206" s="7">
        <v>7493.8</v>
      </c>
      <c r="C1206" s="7">
        <v>7565</v>
      </c>
      <c r="D1206" s="7">
        <v>7463.7</v>
      </c>
      <c r="E1206" s="7">
        <v>7558.1</v>
      </c>
      <c r="F1206" s="8">
        <v>3926964000</v>
      </c>
      <c r="G1206" s="8">
        <v>29962630000</v>
      </c>
      <c r="H1206">
        <f t="shared" si="18"/>
        <v>249986.76986174498</v>
      </c>
    </row>
    <row r="1207" spans="1:8" x14ac:dyDescent="0.25">
      <c r="A1207" s="6">
        <v>44967</v>
      </c>
      <c r="B1207" s="7">
        <v>7558.1</v>
      </c>
      <c r="C1207" s="7">
        <v>7567.7</v>
      </c>
      <c r="D1207" s="7">
        <v>7428.8</v>
      </c>
      <c r="E1207" s="7">
        <v>7433.7</v>
      </c>
      <c r="F1207" s="8">
        <v>3051103000</v>
      </c>
      <c r="G1207" s="8">
        <v>24387760000</v>
      </c>
      <c r="H1207">
        <f t="shared" si="18"/>
        <v>245872.19686445716</v>
      </c>
    </row>
    <row r="1208" spans="1:8" x14ac:dyDescent="0.25">
      <c r="A1208" s="6">
        <v>44974</v>
      </c>
      <c r="B1208" s="7">
        <v>7433.7</v>
      </c>
      <c r="C1208" s="7">
        <v>7476.6</v>
      </c>
      <c r="D1208" s="7">
        <v>7337</v>
      </c>
      <c r="E1208" s="7">
        <v>7346.8</v>
      </c>
      <c r="F1208" s="8">
        <v>3770761000</v>
      </c>
      <c r="G1208" s="8">
        <v>32007020000</v>
      </c>
      <c r="H1208">
        <f t="shared" si="18"/>
        <v>242997.94932857042</v>
      </c>
    </row>
    <row r="1209" spans="1:8" x14ac:dyDescent="0.25">
      <c r="A1209" s="6">
        <v>44981</v>
      </c>
      <c r="B1209" s="7">
        <v>7346.8</v>
      </c>
      <c r="C1209" s="7">
        <v>7357.5</v>
      </c>
      <c r="D1209" s="7">
        <v>7267.8</v>
      </c>
      <c r="E1209" s="7">
        <v>7307</v>
      </c>
      <c r="F1209" s="8">
        <v>3386871000</v>
      </c>
      <c r="G1209" s="8">
        <v>26221130000</v>
      </c>
      <c r="H1209">
        <f t="shared" si="18"/>
        <v>241681.55057220341</v>
      </c>
    </row>
    <row r="1210" spans="1:8" x14ac:dyDescent="0.25">
      <c r="A1210" s="6">
        <v>44988</v>
      </c>
      <c r="B1210" s="7">
        <v>7307</v>
      </c>
      <c r="C1210" s="7">
        <v>7307</v>
      </c>
      <c r="D1210" s="7">
        <v>7193.4</v>
      </c>
      <c r="E1210" s="7">
        <v>7283.6</v>
      </c>
      <c r="F1210" s="8">
        <v>3889838000</v>
      </c>
      <c r="G1210" s="8">
        <v>33401860000</v>
      </c>
      <c r="H1210">
        <f t="shared" si="18"/>
        <v>240907.58748428916</v>
      </c>
    </row>
    <row r="1211" spans="1:8" x14ac:dyDescent="0.25">
      <c r="A1211" s="6">
        <v>44995</v>
      </c>
      <c r="B1211" s="7">
        <v>7291.2</v>
      </c>
      <c r="C1211" s="7">
        <v>7370.3</v>
      </c>
      <c r="D1211" s="7">
        <v>7134.5</v>
      </c>
      <c r="E1211" s="7">
        <v>7144.7</v>
      </c>
      <c r="F1211" s="8">
        <v>3415586000</v>
      </c>
      <c r="G1211" s="8">
        <v>28153390000</v>
      </c>
      <c r="H1211">
        <f t="shared" si="18"/>
        <v>236313.42197525958</v>
      </c>
    </row>
    <row r="1212" spans="1:8" x14ac:dyDescent="0.25">
      <c r="A1212" s="6">
        <v>45002</v>
      </c>
      <c r="B1212" s="7">
        <v>7144.7</v>
      </c>
      <c r="C1212" s="7">
        <v>7151.4</v>
      </c>
      <c r="D1212" s="7">
        <v>6911.1</v>
      </c>
      <c r="E1212" s="7">
        <v>6994.8</v>
      </c>
      <c r="F1212" s="8">
        <v>5229192000</v>
      </c>
      <c r="G1212" s="8">
        <v>43574570000</v>
      </c>
      <c r="H1212">
        <f t="shared" si="18"/>
        <v>231355.42766421905</v>
      </c>
    </row>
    <row r="1213" spans="1:8" x14ac:dyDescent="0.25">
      <c r="A1213" s="6">
        <v>45009</v>
      </c>
      <c r="B1213" s="7">
        <v>6994.3</v>
      </c>
      <c r="C1213" s="7">
        <v>7032</v>
      </c>
      <c r="D1213" s="7">
        <v>6895</v>
      </c>
      <c r="E1213" s="7">
        <v>6955.2</v>
      </c>
      <c r="F1213" s="8">
        <v>3348767000</v>
      </c>
      <c r="G1213" s="8">
        <v>25075110000</v>
      </c>
      <c r="H1213">
        <f t="shared" si="18"/>
        <v>230045.64397697951</v>
      </c>
    </row>
    <row r="1214" spans="1:8" x14ac:dyDescent="0.25">
      <c r="A1214" s="6">
        <v>45016</v>
      </c>
      <c r="B1214" s="7">
        <v>6955.2</v>
      </c>
      <c r="C1214" s="7">
        <v>7183.1</v>
      </c>
      <c r="D1214" s="7">
        <v>6955.2</v>
      </c>
      <c r="E1214" s="7">
        <v>7177.8</v>
      </c>
      <c r="F1214" s="8">
        <v>3883788000</v>
      </c>
      <c r="G1214" s="8">
        <v>29201870000</v>
      </c>
      <c r="H1214">
        <f t="shared" si="18"/>
        <v>237408.21591585627</v>
      </c>
    </row>
    <row r="1215" spans="1:8" x14ac:dyDescent="0.25">
      <c r="A1215" s="6">
        <v>45022</v>
      </c>
      <c r="B1215" s="7">
        <v>7177.8</v>
      </c>
      <c r="C1215" s="7">
        <v>7262.1</v>
      </c>
      <c r="D1215" s="7">
        <v>7177.8</v>
      </c>
      <c r="E1215" s="7">
        <v>7219</v>
      </c>
      <c r="F1215" s="8">
        <v>2806114000</v>
      </c>
      <c r="G1215" s="8">
        <v>21392010000</v>
      </c>
      <c r="H1215">
        <f t="shared" si="18"/>
        <v>238770.92015611558</v>
      </c>
    </row>
    <row r="1216" spans="1:8" x14ac:dyDescent="0.25">
      <c r="A1216" s="6">
        <v>45030</v>
      </c>
      <c r="B1216" s="7">
        <v>7219</v>
      </c>
      <c r="C1216" s="7">
        <v>7370.1</v>
      </c>
      <c r="D1216" s="7">
        <v>7219</v>
      </c>
      <c r="E1216" s="7">
        <v>7361.6</v>
      </c>
      <c r="F1216" s="8">
        <v>2607247000</v>
      </c>
      <c r="G1216" s="8">
        <v>21028460000</v>
      </c>
      <c r="H1216">
        <f t="shared" si="18"/>
        <v>243487.46444400339</v>
      </c>
    </row>
    <row r="1217" spans="1:8" x14ac:dyDescent="0.25">
      <c r="A1217" s="6">
        <v>45037</v>
      </c>
      <c r="B1217" s="7">
        <v>7361.6</v>
      </c>
      <c r="C1217" s="7">
        <v>7391.2</v>
      </c>
      <c r="D1217" s="7">
        <v>7314.9</v>
      </c>
      <c r="E1217" s="7">
        <v>7330.4</v>
      </c>
      <c r="F1217" s="8">
        <v>3400534000</v>
      </c>
      <c r="G1217" s="8">
        <v>26893320000</v>
      </c>
      <c r="H1217">
        <f t="shared" si="18"/>
        <v>242455.51366011766</v>
      </c>
    </row>
    <row r="1218" spans="1:8" x14ac:dyDescent="0.25">
      <c r="A1218" s="6">
        <v>45044</v>
      </c>
      <c r="B1218" s="7">
        <v>7330.4</v>
      </c>
      <c r="C1218" s="7">
        <v>7332.6</v>
      </c>
      <c r="D1218" s="7">
        <v>7275.3</v>
      </c>
      <c r="E1218" s="7">
        <v>7309.2</v>
      </c>
      <c r="F1218" s="8">
        <v>2617892000</v>
      </c>
      <c r="G1218" s="8">
        <v>21319060000</v>
      </c>
      <c r="H1218">
        <f t="shared" si="18"/>
        <v>241754.31633260561</v>
      </c>
    </row>
    <row r="1219" spans="1:8" x14ac:dyDescent="0.25">
      <c r="A1219" s="6">
        <v>45051</v>
      </c>
      <c r="B1219" s="7">
        <v>7309.2</v>
      </c>
      <c r="C1219" s="7">
        <v>7368</v>
      </c>
      <c r="D1219" s="7">
        <v>7141.8</v>
      </c>
      <c r="E1219" s="7">
        <v>7220</v>
      </c>
      <c r="F1219" s="8">
        <v>3244136000</v>
      </c>
      <c r="G1219" s="8">
        <v>27057230000</v>
      </c>
      <c r="H1219">
        <f t="shared" si="18"/>
        <v>238803.99550175294</v>
      </c>
    </row>
    <row r="1220" spans="1:8" x14ac:dyDescent="0.25">
      <c r="A1220" s="6">
        <v>45058</v>
      </c>
      <c r="B1220" s="7">
        <v>7220.2</v>
      </c>
      <c r="C1220" s="7">
        <v>7292.4</v>
      </c>
      <c r="D1220" s="7">
        <v>7220.2</v>
      </c>
      <c r="E1220" s="7">
        <v>7256.7</v>
      </c>
      <c r="F1220" s="8">
        <v>3240298000</v>
      </c>
      <c r="G1220" s="8">
        <v>26103590000</v>
      </c>
      <c r="H1220">
        <f t="shared" ref="H1220:H1283" si="19">H1219*(E1220/E1219)</f>
        <v>240017.86068664416</v>
      </c>
    </row>
    <row r="1221" spans="1:8" x14ac:dyDescent="0.25">
      <c r="A1221" s="6">
        <v>45065</v>
      </c>
      <c r="B1221" s="7">
        <v>7256.7</v>
      </c>
      <c r="C1221" s="7">
        <v>7292.6</v>
      </c>
      <c r="D1221" s="7">
        <v>7159.8</v>
      </c>
      <c r="E1221" s="7">
        <v>7279.5</v>
      </c>
      <c r="F1221" s="8">
        <v>3148357000</v>
      </c>
      <c r="G1221" s="8">
        <v>24281140000</v>
      </c>
      <c r="H1221">
        <f t="shared" si="19"/>
        <v>240771.978567176</v>
      </c>
    </row>
    <row r="1222" spans="1:8" x14ac:dyDescent="0.25">
      <c r="A1222" s="6">
        <v>45072</v>
      </c>
      <c r="B1222" s="7">
        <v>7279.5</v>
      </c>
      <c r="C1222" s="7">
        <v>7288.1</v>
      </c>
      <c r="D1222" s="7">
        <v>7129</v>
      </c>
      <c r="E1222" s="7">
        <v>7154.8</v>
      </c>
      <c r="F1222" s="8">
        <v>2912438000</v>
      </c>
      <c r="G1222" s="8">
        <v>24271860000</v>
      </c>
      <c r="H1222">
        <f t="shared" si="19"/>
        <v>236647.48296619699</v>
      </c>
    </row>
    <row r="1223" spans="1:8" x14ac:dyDescent="0.25">
      <c r="A1223" s="6">
        <v>45079</v>
      </c>
      <c r="B1223" s="7">
        <v>7154.8</v>
      </c>
      <c r="C1223" s="7">
        <v>7254.8</v>
      </c>
      <c r="D1223" s="7">
        <v>7077.9</v>
      </c>
      <c r="E1223" s="7">
        <v>7145.1</v>
      </c>
      <c r="F1223" s="8">
        <v>4041506000</v>
      </c>
      <c r="G1223" s="8">
        <v>33600610000</v>
      </c>
      <c r="H1223">
        <f t="shared" si="19"/>
        <v>236326.6521135146</v>
      </c>
    </row>
    <row r="1224" spans="1:8" x14ac:dyDescent="0.25">
      <c r="A1224" s="6">
        <v>45086</v>
      </c>
      <c r="B1224" s="7">
        <v>7145.1</v>
      </c>
      <c r="C1224" s="7">
        <v>7233.2</v>
      </c>
      <c r="D1224" s="7">
        <v>7093.5</v>
      </c>
      <c r="E1224" s="7">
        <v>7122.5</v>
      </c>
      <c r="F1224" s="8">
        <v>3418987000</v>
      </c>
      <c r="G1224" s="8">
        <v>26723790000</v>
      </c>
      <c r="H1224">
        <f t="shared" si="19"/>
        <v>235579.14930211019</v>
      </c>
    </row>
    <row r="1225" spans="1:8" x14ac:dyDescent="0.25">
      <c r="A1225" s="6">
        <v>45093</v>
      </c>
      <c r="B1225" s="7">
        <v>7122.5</v>
      </c>
      <c r="C1225" s="7">
        <v>7262.1</v>
      </c>
      <c r="D1225" s="7">
        <v>7101.3</v>
      </c>
      <c r="E1225" s="7">
        <v>7251.2</v>
      </c>
      <c r="F1225" s="8">
        <v>3761908000</v>
      </c>
      <c r="G1225" s="8">
        <v>33952440000</v>
      </c>
      <c r="H1225">
        <f t="shared" si="19"/>
        <v>239835.94628563864</v>
      </c>
    </row>
    <row r="1226" spans="1:8" x14ac:dyDescent="0.25">
      <c r="A1226" s="6">
        <v>45100</v>
      </c>
      <c r="B1226" s="7">
        <v>7251.2</v>
      </c>
      <c r="C1226" s="7">
        <v>7368.4</v>
      </c>
      <c r="D1226" s="7">
        <v>7087.9</v>
      </c>
      <c r="E1226" s="7">
        <v>7099.2</v>
      </c>
      <c r="F1226" s="8">
        <v>3312264000</v>
      </c>
      <c r="G1226" s="8">
        <v>26454480000</v>
      </c>
      <c r="H1226">
        <f t="shared" si="19"/>
        <v>234808.49374875962</v>
      </c>
    </row>
    <row r="1227" spans="1:8" x14ac:dyDescent="0.25">
      <c r="A1227" s="6">
        <v>45107</v>
      </c>
      <c r="B1227" s="7">
        <v>7099.2</v>
      </c>
      <c r="C1227" s="7">
        <v>7223.2</v>
      </c>
      <c r="D1227" s="7">
        <v>7054.8</v>
      </c>
      <c r="E1227" s="7">
        <v>7203.3</v>
      </c>
      <c r="F1227" s="8">
        <v>3148526000</v>
      </c>
      <c r="G1227" s="8">
        <v>25034120000</v>
      </c>
      <c r="H1227">
        <f t="shared" si="19"/>
        <v>238251.63722960898</v>
      </c>
    </row>
    <row r="1228" spans="1:8" x14ac:dyDescent="0.25">
      <c r="A1228" s="6">
        <v>45114</v>
      </c>
      <c r="B1228" s="7">
        <v>7203.3</v>
      </c>
      <c r="C1228" s="7">
        <v>7285.8</v>
      </c>
      <c r="D1228" s="7">
        <v>7023.6</v>
      </c>
      <c r="E1228" s="7">
        <v>7042.3</v>
      </c>
      <c r="F1228" s="8">
        <v>2847109000</v>
      </c>
      <c r="G1228" s="8">
        <v>23357120000</v>
      </c>
      <c r="H1228">
        <f t="shared" si="19"/>
        <v>232926.50658199372</v>
      </c>
    </row>
    <row r="1229" spans="1:8" x14ac:dyDescent="0.25">
      <c r="A1229" s="6">
        <v>45121</v>
      </c>
      <c r="B1229" s="7">
        <v>7042.3</v>
      </c>
      <c r="C1229" s="7">
        <v>7313.7</v>
      </c>
      <c r="D1229" s="7">
        <v>6998.1</v>
      </c>
      <c r="E1229" s="7">
        <v>7303.1</v>
      </c>
      <c r="F1229" s="8">
        <v>2716256000</v>
      </c>
      <c r="G1229" s="8">
        <v>23324140000</v>
      </c>
      <c r="H1229">
        <f t="shared" si="19"/>
        <v>241552.55672421772</v>
      </c>
    </row>
    <row r="1230" spans="1:8" x14ac:dyDescent="0.25">
      <c r="A1230" s="6">
        <v>45128</v>
      </c>
      <c r="B1230" s="7">
        <v>7303.1</v>
      </c>
      <c r="C1230" s="7">
        <v>7383.3</v>
      </c>
      <c r="D1230" s="7">
        <v>7261.1</v>
      </c>
      <c r="E1230" s="7">
        <v>7313.9</v>
      </c>
      <c r="F1230" s="8">
        <v>3078286000</v>
      </c>
      <c r="G1230" s="8">
        <v>27434560000</v>
      </c>
      <c r="H1230">
        <f t="shared" si="19"/>
        <v>241909.7704571012</v>
      </c>
    </row>
    <row r="1231" spans="1:8" x14ac:dyDescent="0.25">
      <c r="A1231" s="6">
        <v>45135</v>
      </c>
      <c r="B1231" s="7">
        <v>7313.9</v>
      </c>
      <c r="C1231" s="7">
        <v>7472.3</v>
      </c>
      <c r="D1231" s="7">
        <v>7306.4</v>
      </c>
      <c r="E1231" s="7">
        <v>7403.6</v>
      </c>
      <c r="F1231" s="8">
        <v>3279632000</v>
      </c>
      <c r="G1231" s="8">
        <v>25877890000</v>
      </c>
      <c r="H1231">
        <f t="shared" si="19"/>
        <v>244876.62896077259</v>
      </c>
    </row>
    <row r="1232" spans="1:8" x14ac:dyDescent="0.25">
      <c r="A1232" s="6">
        <v>45142</v>
      </c>
      <c r="B1232" s="7">
        <v>7403.6</v>
      </c>
      <c r="C1232" s="7">
        <v>7470.1</v>
      </c>
      <c r="D1232" s="7">
        <v>7285.5</v>
      </c>
      <c r="E1232" s="7">
        <v>7325.3</v>
      </c>
      <c r="F1232" s="8">
        <v>2840952000</v>
      </c>
      <c r="G1232" s="8">
        <v>23905460000</v>
      </c>
      <c r="H1232">
        <f t="shared" si="19"/>
        <v>242286.82939736714</v>
      </c>
    </row>
    <row r="1233" spans="1:8" x14ac:dyDescent="0.25">
      <c r="A1233" s="6">
        <v>45149</v>
      </c>
      <c r="B1233" s="7">
        <v>7325.3</v>
      </c>
      <c r="C1233" s="7">
        <v>7361.2</v>
      </c>
      <c r="D1233" s="7">
        <v>7294.6</v>
      </c>
      <c r="E1233" s="7">
        <v>7340.1</v>
      </c>
      <c r="F1233" s="8">
        <v>2910892000</v>
      </c>
      <c r="G1233" s="8">
        <v>23327700000</v>
      </c>
      <c r="H1233">
        <f t="shared" si="19"/>
        <v>242776.3445128001</v>
      </c>
    </row>
    <row r="1234" spans="1:8" x14ac:dyDescent="0.25">
      <c r="A1234" s="6">
        <v>45156</v>
      </c>
      <c r="B1234" s="7">
        <v>7340.1</v>
      </c>
      <c r="C1234" s="7">
        <v>7340.1</v>
      </c>
      <c r="D1234" s="7">
        <v>7106.8</v>
      </c>
      <c r="E1234" s="7">
        <v>7148.1</v>
      </c>
      <c r="F1234" s="8">
        <v>3636100000</v>
      </c>
      <c r="G1234" s="8">
        <v>29239900000</v>
      </c>
      <c r="H1234">
        <f t="shared" si="19"/>
        <v>236425.87815042661</v>
      </c>
    </row>
    <row r="1235" spans="1:8" x14ac:dyDescent="0.25">
      <c r="A1235" s="6">
        <v>45163</v>
      </c>
      <c r="B1235" s="7">
        <v>7148.1</v>
      </c>
      <c r="C1235" s="7">
        <v>7194.4</v>
      </c>
      <c r="D1235" s="7">
        <v>7090</v>
      </c>
      <c r="E1235" s="7">
        <v>7115.2</v>
      </c>
      <c r="F1235" s="8">
        <v>3713947000</v>
      </c>
      <c r="G1235" s="8">
        <v>29725540000</v>
      </c>
      <c r="H1235">
        <f t="shared" si="19"/>
        <v>235337.69927895739</v>
      </c>
    </row>
    <row r="1236" spans="1:8" x14ac:dyDescent="0.25">
      <c r="A1236" s="6">
        <v>45170</v>
      </c>
      <c r="B1236" s="7">
        <v>7115.2</v>
      </c>
      <c r="C1236" s="7">
        <v>7317.9</v>
      </c>
      <c r="D1236" s="7">
        <v>7115.2</v>
      </c>
      <c r="E1236" s="7">
        <v>7278.3</v>
      </c>
      <c r="F1236" s="8">
        <v>4275500000</v>
      </c>
      <c r="G1236" s="8">
        <v>29529710000</v>
      </c>
      <c r="H1236">
        <f t="shared" si="19"/>
        <v>240732.28815241111</v>
      </c>
    </row>
    <row r="1237" spans="1:8" x14ac:dyDescent="0.25">
      <c r="A1237" s="6">
        <v>45177</v>
      </c>
      <c r="B1237" s="7">
        <v>7278.3</v>
      </c>
      <c r="C1237" s="7">
        <v>7340.9</v>
      </c>
      <c r="D1237" s="7">
        <v>7134.8</v>
      </c>
      <c r="E1237" s="7">
        <v>7156.7</v>
      </c>
      <c r="F1237" s="8">
        <v>3140717000</v>
      </c>
      <c r="G1237" s="8">
        <v>23701810000</v>
      </c>
      <c r="H1237">
        <f t="shared" si="19"/>
        <v>236710.32612290789</v>
      </c>
    </row>
    <row r="1238" spans="1:8" x14ac:dyDescent="0.25">
      <c r="A1238" s="6">
        <v>45184</v>
      </c>
      <c r="B1238" s="7">
        <v>7156.7</v>
      </c>
      <c r="C1238" s="7">
        <v>7319.8</v>
      </c>
      <c r="D1238" s="7">
        <v>7134</v>
      </c>
      <c r="E1238" s="7">
        <v>7279</v>
      </c>
      <c r="F1238" s="8">
        <v>4959511000</v>
      </c>
      <c r="G1238" s="8">
        <v>30387280000</v>
      </c>
      <c r="H1238">
        <f t="shared" si="19"/>
        <v>240755.44089435725</v>
      </c>
    </row>
    <row r="1239" spans="1:8" x14ac:dyDescent="0.25">
      <c r="A1239" s="6">
        <v>45191</v>
      </c>
      <c r="B1239" s="7">
        <v>7279</v>
      </c>
      <c r="C1239" s="7">
        <v>7279</v>
      </c>
      <c r="D1239" s="7">
        <v>6957.2</v>
      </c>
      <c r="E1239" s="7">
        <v>7068.8</v>
      </c>
      <c r="F1239" s="8">
        <v>3584165000</v>
      </c>
      <c r="G1239" s="8">
        <v>28579040000</v>
      </c>
      <c r="H1239">
        <f t="shared" si="19"/>
        <v>233803.00324138379</v>
      </c>
    </row>
    <row r="1240" spans="1:8" x14ac:dyDescent="0.25">
      <c r="A1240" s="6">
        <v>45198</v>
      </c>
      <c r="B1240" s="7">
        <v>7068.8</v>
      </c>
      <c r="C1240" s="7">
        <v>7076.5</v>
      </c>
      <c r="D1240" s="7">
        <v>7002.8</v>
      </c>
      <c r="E1240" s="7">
        <v>7048.6</v>
      </c>
      <c r="F1240" s="8">
        <v>3426048000</v>
      </c>
      <c r="G1240" s="8">
        <v>23940740000</v>
      </c>
      <c r="H1240">
        <f t="shared" si="19"/>
        <v>233134.88125950907</v>
      </c>
    </row>
    <row r="1241" spans="1:8" x14ac:dyDescent="0.25">
      <c r="A1241" s="6">
        <v>45205</v>
      </c>
      <c r="B1241" s="7">
        <v>7048.6</v>
      </c>
      <c r="C1241" s="7">
        <v>7051.5</v>
      </c>
      <c r="D1241" s="7">
        <v>6871</v>
      </c>
      <c r="E1241" s="7">
        <v>6954.2</v>
      </c>
      <c r="F1241" s="8">
        <v>3402043000</v>
      </c>
      <c r="G1241" s="8">
        <v>24441450000</v>
      </c>
      <c r="H1241">
        <f t="shared" si="19"/>
        <v>230012.56863134209</v>
      </c>
    </row>
    <row r="1242" spans="1:8" x14ac:dyDescent="0.25">
      <c r="A1242" s="6">
        <v>45212</v>
      </c>
      <c r="B1242" s="7">
        <v>6954.2</v>
      </c>
      <c r="C1242" s="7">
        <v>7112.7</v>
      </c>
      <c r="D1242" s="7">
        <v>6954.2</v>
      </c>
      <c r="E1242" s="7">
        <v>7051</v>
      </c>
      <c r="F1242" s="8">
        <v>3506913000</v>
      </c>
      <c r="G1242" s="8">
        <v>25088860000</v>
      </c>
      <c r="H1242">
        <f t="shared" si="19"/>
        <v>233214.26208903873</v>
      </c>
    </row>
    <row r="1243" spans="1:8" x14ac:dyDescent="0.25">
      <c r="A1243" s="6">
        <v>45219</v>
      </c>
      <c r="B1243" s="7">
        <v>7051</v>
      </c>
      <c r="C1243" s="7">
        <v>7100.3</v>
      </c>
      <c r="D1243" s="7">
        <v>6878.3</v>
      </c>
      <c r="E1243" s="7">
        <v>6900.7</v>
      </c>
      <c r="F1243" s="8">
        <v>3276528000</v>
      </c>
      <c r="G1243" s="8">
        <v>24950490000</v>
      </c>
      <c r="H1243">
        <f t="shared" si="19"/>
        <v>228243.03763974324</v>
      </c>
    </row>
    <row r="1244" spans="1:8" x14ac:dyDescent="0.25">
      <c r="A1244" s="6">
        <v>45226</v>
      </c>
      <c r="B1244" s="7">
        <v>6900.7</v>
      </c>
      <c r="C1244" s="7">
        <v>6900.7</v>
      </c>
      <c r="D1244" s="7">
        <v>6777.4</v>
      </c>
      <c r="E1244" s="7">
        <v>6826.9</v>
      </c>
      <c r="F1244" s="8">
        <v>3452106000</v>
      </c>
      <c r="G1244" s="8">
        <v>26457070000</v>
      </c>
      <c r="H1244">
        <f t="shared" si="19"/>
        <v>225802.07713170594</v>
      </c>
    </row>
    <row r="1245" spans="1:8" x14ac:dyDescent="0.25">
      <c r="A1245" s="6">
        <v>45233</v>
      </c>
      <c r="B1245" s="7">
        <v>6826.9</v>
      </c>
      <c r="C1245" s="7">
        <v>6989.4</v>
      </c>
      <c r="D1245" s="7">
        <v>6751.3</v>
      </c>
      <c r="E1245" s="7">
        <v>6978.2</v>
      </c>
      <c r="F1245" s="8">
        <v>3769993000</v>
      </c>
      <c r="G1245" s="8">
        <v>25784620000</v>
      </c>
      <c r="H1245">
        <f t="shared" si="19"/>
        <v>230806.37692663877</v>
      </c>
    </row>
    <row r="1246" spans="1:8" x14ac:dyDescent="0.25">
      <c r="A1246" s="6">
        <v>45240</v>
      </c>
      <c r="B1246" s="7">
        <v>6978.2</v>
      </c>
      <c r="C1246" s="7">
        <v>7045.5</v>
      </c>
      <c r="D1246" s="7">
        <v>6951.9</v>
      </c>
      <c r="E1246" s="7">
        <v>6976.5</v>
      </c>
      <c r="F1246" s="8">
        <v>3272082000</v>
      </c>
      <c r="G1246" s="8">
        <v>25823830000</v>
      </c>
      <c r="H1246">
        <f t="shared" si="19"/>
        <v>230750.14883905524</v>
      </c>
    </row>
    <row r="1247" spans="1:8" x14ac:dyDescent="0.25">
      <c r="A1247" s="6">
        <v>45247</v>
      </c>
      <c r="B1247" s="7">
        <v>6976.5</v>
      </c>
      <c r="C1247" s="7">
        <v>7125.6</v>
      </c>
      <c r="D1247" s="7">
        <v>6948.8</v>
      </c>
      <c r="E1247" s="7">
        <v>7049.4</v>
      </c>
      <c r="F1247" s="8">
        <v>3207877000</v>
      </c>
      <c r="G1247" s="8">
        <v>27066020000</v>
      </c>
      <c r="H1247">
        <f t="shared" si="19"/>
        <v>233161.34153601891</v>
      </c>
    </row>
    <row r="1248" spans="1:8" x14ac:dyDescent="0.25">
      <c r="A1248" s="6">
        <v>45254</v>
      </c>
      <c r="B1248" s="7">
        <v>7049.4</v>
      </c>
      <c r="C1248" s="7">
        <v>7090.4</v>
      </c>
      <c r="D1248" s="7">
        <v>7026.9</v>
      </c>
      <c r="E1248" s="7">
        <v>7040.8</v>
      </c>
      <c r="F1248" s="8">
        <v>2639407000</v>
      </c>
      <c r="G1248" s="8">
        <v>19934860000</v>
      </c>
      <c r="H1248">
        <f t="shared" si="19"/>
        <v>232876.89356353763</v>
      </c>
    </row>
    <row r="1249" spans="1:8" x14ac:dyDescent="0.25">
      <c r="A1249" s="6">
        <v>45261</v>
      </c>
      <c r="B1249" s="7">
        <v>7040.8</v>
      </c>
      <c r="C1249" s="7">
        <v>7087.3</v>
      </c>
      <c r="D1249" s="7">
        <v>6985.5</v>
      </c>
      <c r="E1249" s="7">
        <v>7073.2</v>
      </c>
      <c r="F1249" s="8">
        <v>3688430000</v>
      </c>
      <c r="G1249" s="8">
        <v>27996930000</v>
      </c>
      <c r="H1249">
        <f t="shared" si="19"/>
        <v>233948.53476218815</v>
      </c>
    </row>
    <row r="1250" spans="1:8" x14ac:dyDescent="0.25">
      <c r="A1250" s="6">
        <v>45268</v>
      </c>
      <c r="B1250" s="7">
        <v>7073.2</v>
      </c>
      <c r="C1250" s="7">
        <v>7194.9</v>
      </c>
      <c r="D1250" s="7">
        <v>7041.1</v>
      </c>
      <c r="E1250" s="7">
        <v>7194.9</v>
      </c>
      <c r="F1250" s="8">
        <v>4185461000</v>
      </c>
      <c r="G1250" s="8">
        <v>26930800000</v>
      </c>
      <c r="H1250">
        <f t="shared" si="19"/>
        <v>237973.80432625511</v>
      </c>
    </row>
    <row r="1251" spans="1:8" x14ac:dyDescent="0.25">
      <c r="A1251" s="6">
        <v>45275</v>
      </c>
      <c r="B1251" s="7">
        <v>7194.9</v>
      </c>
      <c r="C1251" s="7">
        <v>7462.2</v>
      </c>
      <c r="D1251" s="7">
        <v>7189.9</v>
      </c>
      <c r="E1251" s="7">
        <v>7442.7</v>
      </c>
      <c r="F1251" s="8">
        <v>4923276000</v>
      </c>
      <c r="G1251" s="8">
        <v>37294170000</v>
      </c>
      <c r="H1251">
        <f t="shared" si="19"/>
        <v>246169.87497519341</v>
      </c>
    </row>
    <row r="1252" spans="1:8" x14ac:dyDescent="0.25">
      <c r="A1252" s="6">
        <v>45282</v>
      </c>
      <c r="B1252" s="7">
        <v>7442.7</v>
      </c>
      <c r="C1252" s="7">
        <v>7552.3</v>
      </c>
      <c r="D1252" s="7">
        <v>7406.4</v>
      </c>
      <c r="E1252" s="7">
        <v>7501.6</v>
      </c>
      <c r="F1252" s="8">
        <v>3487124000</v>
      </c>
      <c r="G1252" s="8">
        <v>27071590000</v>
      </c>
      <c r="H1252">
        <f t="shared" si="19"/>
        <v>248118.01283323407</v>
      </c>
    </row>
    <row r="1253" spans="1:8" x14ac:dyDescent="0.25">
      <c r="A1253" s="6">
        <v>45289</v>
      </c>
      <c r="B1253" s="7">
        <v>7501.6</v>
      </c>
      <c r="C1253" s="7">
        <v>7614.3</v>
      </c>
      <c r="D1253" s="7">
        <v>7501.6</v>
      </c>
      <c r="E1253" s="7">
        <v>7590.8</v>
      </c>
      <c r="F1253" s="8">
        <v>1181727000</v>
      </c>
      <c r="G1253" s="8">
        <v>8933445000</v>
      </c>
      <c r="H1253">
        <f t="shared" si="19"/>
        <v>251068.33366408676</v>
      </c>
    </row>
    <row r="1254" spans="1:8" x14ac:dyDescent="0.25">
      <c r="A1254" s="6">
        <v>45296</v>
      </c>
      <c r="B1254" s="7">
        <v>7590.8</v>
      </c>
      <c r="C1254" s="7">
        <v>7632.7</v>
      </c>
      <c r="D1254" s="7">
        <v>7481.1</v>
      </c>
      <c r="E1254" s="7">
        <v>7489.1</v>
      </c>
      <c r="F1254" s="8">
        <v>1691965000</v>
      </c>
      <c r="G1254" s="8">
        <v>13466550000</v>
      </c>
      <c r="H1254">
        <f t="shared" si="19"/>
        <v>247704.57101276706</v>
      </c>
    </row>
    <row r="1255" spans="1:8" x14ac:dyDescent="0.25">
      <c r="A1255" s="6">
        <v>45303</v>
      </c>
      <c r="B1255" s="7">
        <v>7489.1</v>
      </c>
      <c r="C1255" s="7">
        <v>7541.9</v>
      </c>
      <c r="D1255" s="7">
        <v>7441.8</v>
      </c>
      <c r="E1255" s="7">
        <v>7498.3</v>
      </c>
      <c r="F1255" s="8">
        <v>2803061000</v>
      </c>
      <c r="G1255" s="8">
        <v>19398250000</v>
      </c>
      <c r="H1255">
        <f t="shared" si="19"/>
        <v>248008.86419263078</v>
      </c>
    </row>
    <row r="1256" spans="1:8" x14ac:dyDescent="0.25">
      <c r="A1256" s="6">
        <v>45310</v>
      </c>
      <c r="B1256" s="7">
        <v>7498.3</v>
      </c>
      <c r="C1256" s="7">
        <v>7505.1</v>
      </c>
      <c r="D1256" s="7">
        <v>7322</v>
      </c>
      <c r="E1256" s="7">
        <v>7421.2</v>
      </c>
      <c r="F1256" s="8">
        <v>3199967000</v>
      </c>
      <c r="G1256" s="8">
        <v>23731720000</v>
      </c>
      <c r="H1256">
        <f t="shared" si="19"/>
        <v>245458.75504399015</v>
      </c>
    </row>
    <row r="1257" spans="1:8" x14ac:dyDescent="0.25">
      <c r="A1257" s="6">
        <v>45316</v>
      </c>
      <c r="B1257" s="7">
        <v>7421.2</v>
      </c>
      <c r="C1257" s="7">
        <v>7558.8</v>
      </c>
      <c r="D1257" s="7">
        <v>7421.2</v>
      </c>
      <c r="E1257" s="7">
        <v>7555.4</v>
      </c>
      <c r="F1257" s="8">
        <v>2403871000</v>
      </c>
      <c r="G1257" s="8">
        <v>18161820000</v>
      </c>
      <c r="H1257">
        <f t="shared" si="19"/>
        <v>249897.46642852415</v>
      </c>
    </row>
    <row r="1258" spans="1:8" x14ac:dyDescent="0.25">
      <c r="A1258" s="6">
        <v>45324</v>
      </c>
      <c r="B1258" s="7">
        <v>7555.4</v>
      </c>
      <c r="C1258" s="7">
        <v>7703.6</v>
      </c>
      <c r="D1258" s="7">
        <v>7544.3</v>
      </c>
      <c r="E1258" s="7">
        <v>7699.4</v>
      </c>
      <c r="F1258" s="8">
        <v>3445047000</v>
      </c>
      <c r="G1258" s="8">
        <v>27670750000</v>
      </c>
      <c r="H1258">
        <f t="shared" si="19"/>
        <v>254660.31620030428</v>
      </c>
    </row>
    <row r="1259" spans="1:8" x14ac:dyDescent="0.25">
      <c r="A1259" s="6">
        <v>45331</v>
      </c>
      <c r="B1259" s="7">
        <v>7699.4</v>
      </c>
      <c r="C1259" s="7">
        <v>7699.4</v>
      </c>
      <c r="D1259" s="7">
        <v>7542</v>
      </c>
      <c r="E1259" s="7">
        <v>7644.8</v>
      </c>
      <c r="F1259" s="8">
        <v>2888982000</v>
      </c>
      <c r="G1259" s="8">
        <v>24146740000</v>
      </c>
      <c r="H1259">
        <f t="shared" si="19"/>
        <v>252854.40232850437</v>
      </c>
    </row>
    <row r="1260" spans="1:8" x14ac:dyDescent="0.25">
      <c r="A1260" s="6">
        <v>45338</v>
      </c>
      <c r="B1260" s="7">
        <v>7644.8</v>
      </c>
      <c r="C1260" s="7">
        <v>7681.1</v>
      </c>
      <c r="D1260" s="7">
        <v>7489.4</v>
      </c>
      <c r="E1260" s="7">
        <v>7658.3</v>
      </c>
      <c r="F1260" s="8">
        <v>3777022000</v>
      </c>
      <c r="G1260" s="8">
        <v>28346060000</v>
      </c>
      <c r="H1260">
        <f t="shared" si="19"/>
        <v>253300.91949460877</v>
      </c>
    </row>
    <row r="1261" spans="1:8" x14ac:dyDescent="0.25">
      <c r="A1261" s="6">
        <v>45345</v>
      </c>
      <c r="B1261" s="7">
        <v>7658.3</v>
      </c>
      <c r="C1261" s="7">
        <v>7683.3</v>
      </c>
      <c r="D1261" s="7">
        <v>7584.7</v>
      </c>
      <c r="E1261" s="7">
        <v>7643.6</v>
      </c>
      <c r="F1261" s="8">
        <v>4852742000</v>
      </c>
      <c r="G1261" s="8">
        <v>30096330000</v>
      </c>
      <c r="H1261">
        <f t="shared" si="19"/>
        <v>252814.71191373956</v>
      </c>
    </row>
    <row r="1262" spans="1:8" x14ac:dyDescent="0.25">
      <c r="A1262" s="6">
        <v>45352</v>
      </c>
      <c r="B1262" s="7">
        <v>7643.6</v>
      </c>
      <c r="C1262" s="7">
        <v>7745.6</v>
      </c>
      <c r="D1262" s="7">
        <v>7610.8</v>
      </c>
      <c r="E1262" s="7">
        <v>7745.6</v>
      </c>
      <c r="F1262" s="8">
        <v>5311381000</v>
      </c>
      <c r="G1262" s="8">
        <v>35563150000</v>
      </c>
      <c r="H1262">
        <f t="shared" si="19"/>
        <v>256188.3971687505</v>
      </c>
    </row>
    <row r="1263" spans="1:8" x14ac:dyDescent="0.25">
      <c r="A1263" s="6">
        <v>45359</v>
      </c>
      <c r="B1263" s="7">
        <v>7745.6</v>
      </c>
      <c r="C1263" s="7">
        <v>7853.1</v>
      </c>
      <c r="D1263" s="7">
        <v>7695.2</v>
      </c>
      <c r="E1263" s="7">
        <v>7847</v>
      </c>
      <c r="F1263" s="8">
        <v>3785026000</v>
      </c>
      <c r="G1263" s="8">
        <v>29361380000</v>
      </c>
      <c r="H1263">
        <f t="shared" si="19"/>
        <v>259542.237216379</v>
      </c>
    </row>
    <row r="1264" spans="1:8" x14ac:dyDescent="0.25">
      <c r="A1264" s="6">
        <v>45366</v>
      </c>
      <c r="B1264" s="7">
        <v>7847</v>
      </c>
      <c r="C1264" s="7">
        <v>7847</v>
      </c>
      <c r="D1264" s="7">
        <v>7591.4</v>
      </c>
      <c r="E1264" s="7">
        <v>7670.3</v>
      </c>
      <c r="F1264" s="8">
        <v>5019539000</v>
      </c>
      <c r="G1264" s="8">
        <v>38683680000</v>
      </c>
      <c r="H1264">
        <f t="shared" si="19"/>
        <v>253697.82364225716</v>
      </c>
    </row>
    <row r="1265" spans="1:8" x14ac:dyDescent="0.25">
      <c r="A1265" s="6">
        <v>45373</v>
      </c>
      <c r="B1265" s="7">
        <v>7670.3</v>
      </c>
      <c r="C1265" s="7">
        <v>7787.2</v>
      </c>
      <c r="D1265" s="7">
        <v>7642</v>
      </c>
      <c r="E1265" s="7">
        <v>7770.6</v>
      </c>
      <c r="F1265" s="8">
        <v>3086422000</v>
      </c>
      <c r="G1265" s="8">
        <v>29177890000</v>
      </c>
      <c r="H1265">
        <f t="shared" si="19"/>
        <v>257015.28080968457</v>
      </c>
    </row>
    <row r="1266" spans="1:8" x14ac:dyDescent="0.25">
      <c r="A1266" s="6">
        <v>45379</v>
      </c>
      <c r="B1266" s="7">
        <v>7770.6</v>
      </c>
      <c r="C1266" s="7">
        <v>7901.2</v>
      </c>
      <c r="D1266" s="7">
        <v>7770.6</v>
      </c>
      <c r="E1266" s="7">
        <v>7896.9</v>
      </c>
      <c r="F1266" s="8">
        <v>2220318000</v>
      </c>
      <c r="G1266" s="8">
        <v>20308190000</v>
      </c>
      <c r="H1266">
        <f t="shared" si="19"/>
        <v>261192.69696368335</v>
      </c>
    </row>
    <row r="1267" spans="1:8" x14ac:dyDescent="0.25">
      <c r="A1267" s="6">
        <v>45387</v>
      </c>
      <c r="B1267" s="7">
        <v>7896.9</v>
      </c>
      <c r="C1267" s="7">
        <v>7910.5</v>
      </c>
      <c r="D1267" s="7">
        <v>7741.5</v>
      </c>
      <c r="E1267" s="7">
        <v>7773.3</v>
      </c>
      <c r="F1267" s="8">
        <v>2324015000</v>
      </c>
      <c r="G1267" s="8">
        <v>20604450000</v>
      </c>
      <c r="H1267">
        <f t="shared" si="19"/>
        <v>257104.58424290543</v>
      </c>
    </row>
    <row r="1268" spans="1:8" x14ac:dyDescent="0.25">
      <c r="A1268" s="6">
        <v>45394</v>
      </c>
      <c r="B1268" s="7">
        <v>7773.3</v>
      </c>
      <c r="C1268" s="7">
        <v>7869.3</v>
      </c>
      <c r="D1268" s="7">
        <v>7752.1</v>
      </c>
      <c r="E1268" s="7">
        <v>7788.1</v>
      </c>
      <c r="F1268" s="8">
        <v>2668391000</v>
      </c>
      <c r="G1268" s="8">
        <v>23484570000</v>
      </c>
      <c r="H1268">
        <f t="shared" si="19"/>
        <v>257594.0993583384</v>
      </c>
    </row>
    <row r="1269" spans="1:8" x14ac:dyDescent="0.25">
      <c r="A1269" s="6">
        <v>45401</v>
      </c>
      <c r="B1269" s="7">
        <v>7788.1</v>
      </c>
      <c r="C1269" s="7">
        <v>7788.9</v>
      </c>
      <c r="D1269" s="7">
        <v>7492.6</v>
      </c>
      <c r="E1269" s="7">
        <v>7567.3</v>
      </c>
      <c r="F1269" s="8">
        <v>3280276000</v>
      </c>
      <c r="G1269" s="8">
        <v>29781390000</v>
      </c>
      <c r="H1269">
        <f t="shared" si="19"/>
        <v>250291.06304160887</v>
      </c>
    </row>
    <row r="1270" spans="1:8" x14ac:dyDescent="0.25">
      <c r="A1270" s="6">
        <v>45408</v>
      </c>
      <c r="B1270" s="7">
        <v>7567.3</v>
      </c>
      <c r="C1270" s="7">
        <v>7724</v>
      </c>
      <c r="D1270" s="7">
        <v>7567.3</v>
      </c>
      <c r="E1270" s="7">
        <v>7575.9</v>
      </c>
      <c r="F1270" s="8">
        <v>2143823000</v>
      </c>
      <c r="G1270" s="8">
        <v>19976270000</v>
      </c>
      <c r="H1270">
        <f t="shared" si="19"/>
        <v>250575.51101409015</v>
      </c>
    </row>
    <row r="1271" spans="1:8" x14ac:dyDescent="0.25">
      <c r="A1271" s="6">
        <v>45415</v>
      </c>
      <c r="B1271" s="7">
        <v>7575.9</v>
      </c>
      <c r="C1271" s="7">
        <v>7664.1</v>
      </c>
      <c r="D1271" s="7">
        <v>7556.5</v>
      </c>
      <c r="E1271" s="7">
        <v>7629</v>
      </c>
      <c r="F1271" s="8">
        <v>3098678000</v>
      </c>
      <c r="G1271" s="8">
        <v>27528700000</v>
      </c>
      <c r="H1271">
        <f t="shared" si="19"/>
        <v>252331.81186743409</v>
      </c>
    </row>
    <row r="1272" spans="1:8" x14ac:dyDescent="0.25">
      <c r="A1272" s="6">
        <v>45422</v>
      </c>
      <c r="B1272" s="7">
        <v>7629</v>
      </c>
      <c r="C1272" s="7">
        <v>7814.9</v>
      </c>
      <c r="D1272" s="7">
        <v>7629</v>
      </c>
      <c r="E1272" s="7">
        <v>7749</v>
      </c>
      <c r="F1272" s="8">
        <v>2597032000</v>
      </c>
      <c r="G1272" s="8">
        <v>25919180000</v>
      </c>
      <c r="H1272">
        <f t="shared" si="19"/>
        <v>256300.85334391752</v>
      </c>
    </row>
    <row r="1273" spans="1:8" x14ac:dyDescent="0.25">
      <c r="A1273" s="6">
        <v>45429</v>
      </c>
      <c r="B1273" s="7">
        <v>7749</v>
      </c>
      <c r="C1273" s="7">
        <v>7900.2</v>
      </c>
      <c r="D1273" s="7">
        <v>7714.6</v>
      </c>
      <c r="E1273" s="7">
        <v>7814.4</v>
      </c>
      <c r="F1273" s="8">
        <v>2502793000</v>
      </c>
      <c r="G1273" s="8">
        <v>25375760000</v>
      </c>
      <c r="H1273">
        <f t="shared" si="19"/>
        <v>258463.98094860098</v>
      </c>
    </row>
    <row r="1274" spans="1:8" x14ac:dyDescent="0.25">
      <c r="A1274" s="6">
        <v>45436</v>
      </c>
      <c r="B1274" s="7">
        <v>7814.4</v>
      </c>
      <c r="C1274" s="7">
        <v>7879.6</v>
      </c>
      <c r="D1274" s="7">
        <v>7716.9</v>
      </c>
      <c r="E1274" s="7">
        <v>7727.6</v>
      </c>
      <c r="F1274" s="8">
        <v>3062356000</v>
      </c>
      <c r="G1274" s="8">
        <v>26211090000</v>
      </c>
      <c r="H1274">
        <f t="shared" si="19"/>
        <v>255593.04094727797</v>
      </c>
    </row>
    <row r="1275" spans="1:8" x14ac:dyDescent="0.25">
      <c r="A1275" s="6">
        <v>45443</v>
      </c>
      <c r="B1275" s="7">
        <v>7734.3</v>
      </c>
      <c r="C1275" s="7">
        <v>7801.4</v>
      </c>
      <c r="D1275" s="7">
        <v>7601.5</v>
      </c>
      <c r="E1275" s="7">
        <v>7701.7</v>
      </c>
      <c r="F1275" s="8">
        <v>3612681000</v>
      </c>
      <c r="G1275" s="8">
        <v>33228710000</v>
      </c>
      <c r="H1275">
        <f t="shared" si="19"/>
        <v>254736.38949527027</v>
      </c>
    </row>
    <row r="1276" spans="1:8" x14ac:dyDescent="0.25">
      <c r="A1276" s="6">
        <v>45450</v>
      </c>
      <c r="B1276" s="7">
        <v>7701.7</v>
      </c>
      <c r="C1276" s="7">
        <v>7861.8</v>
      </c>
      <c r="D1276" s="7">
        <v>7701.7</v>
      </c>
      <c r="E1276" s="7">
        <v>7860</v>
      </c>
      <c r="F1276" s="8">
        <v>2546461000</v>
      </c>
      <c r="G1276" s="8">
        <v>25244470000</v>
      </c>
      <c r="H1276">
        <f t="shared" si="19"/>
        <v>259972.2167096647</v>
      </c>
    </row>
    <row r="1277" spans="1:8" x14ac:dyDescent="0.25">
      <c r="A1277" s="6">
        <v>45457</v>
      </c>
      <c r="B1277" s="7">
        <v>7860</v>
      </c>
      <c r="C1277" s="7">
        <v>7860</v>
      </c>
      <c r="D1277" s="7">
        <v>7699.2</v>
      </c>
      <c r="E1277" s="7">
        <v>7724.3</v>
      </c>
      <c r="F1277" s="8">
        <v>2450790000</v>
      </c>
      <c r="G1277" s="8">
        <v>21316350000</v>
      </c>
      <c r="H1277">
        <f t="shared" si="19"/>
        <v>255483.89230667471</v>
      </c>
    </row>
    <row r="1278" spans="1:8" x14ac:dyDescent="0.25">
      <c r="A1278" s="6">
        <v>45464</v>
      </c>
      <c r="B1278" s="7">
        <v>7724.3</v>
      </c>
      <c r="C1278" s="7">
        <v>7796.9</v>
      </c>
      <c r="D1278" s="7">
        <v>7698.2</v>
      </c>
      <c r="E1278" s="7">
        <v>7796</v>
      </c>
      <c r="F1278" s="8">
        <v>4386069000</v>
      </c>
      <c r="G1278" s="8">
        <v>37853630000</v>
      </c>
      <c r="H1278">
        <f t="shared" si="19"/>
        <v>257855.39458887358</v>
      </c>
    </row>
    <row r="1279" spans="1:8" x14ac:dyDescent="0.25">
      <c r="A1279" s="6">
        <v>45471</v>
      </c>
      <c r="B1279" s="7">
        <v>7796</v>
      </c>
      <c r="C1279" s="7">
        <v>7838.8</v>
      </c>
      <c r="D1279" s="7">
        <v>7654.2</v>
      </c>
      <c r="E1279" s="7">
        <v>7767.5</v>
      </c>
      <c r="F1279" s="8">
        <v>3368589000</v>
      </c>
      <c r="G1279" s="8">
        <v>27773770000</v>
      </c>
      <c r="H1279">
        <f t="shared" si="19"/>
        <v>256912.74723820874</v>
      </c>
    </row>
    <row r="1280" spans="1:8" x14ac:dyDescent="0.25">
      <c r="A1280" s="6">
        <v>45478</v>
      </c>
      <c r="B1280" s="7">
        <v>7767.5</v>
      </c>
      <c r="C1280" s="7">
        <v>7835.7</v>
      </c>
      <c r="D1280" s="7">
        <v>7702.5</v>
      </c>
      <c r="E1280" s="7">
        <v>7822.3</v>
      </c>
      <c r="F1280" s="8">
        <v>2509361000</v>
      </c>
      <c r="G1280" s="8">
        <v>21193020000</v>
      </c>
      <c r="H1280">
        <f t="shared" si="19"/>
        <v>258725.27617913621</v>
      </c>
    </row>
    <row r="1281" spans="1:8" x14ac:dyDescent="0.25">
      <c r="A1281" s="6">
        <v>45485</v>
      </c>
      <c r="B1281" s="7">
        <v>7822.3</v>
      </c>
      <c r="C1281" s="7">
        <v>7969.1</v>
      </c>
      <c r="D1281" s="7">
        <v>7759.5</v>
      </c>
      <c r="E1281" s="7">
        <v>7959.3</v>
      </c>
      <c r="F1281" s="8">
        <v>2561558000</v>
      </c>
      <c r="G1281" s="8">
        <v>22217600000</v>
      </c>
      <c r="H1281">
        <f t="shared" si="19"/>
        <v>263256.5985314548</v>
      </c>
    </row>
    <row r="1282" spans="1:8" x14ac:dyDescent="0.25">
      <c r="A1282" s="6">
        <v>45492</v>
      </c>
      <c r="B1282" s="7">
        <v>7959.3</v>
      </c>
      <c r="C1282" s="7">
        <v>8083.7</v>
      </c>
      <c r="D1282" s="7">
        <v>7923.6</v>
      </c>
      <c r="E1282" s="7">
        <v>7971.6</v>
      </c>
      <c r="F1282" s="8">
        <v>2790884000</v>
      </c>
      <c r="G1282" s="8">
        <v>27476160000</v>
      </c>
      <c r="H1282">
        <f t="shared" si="19"/>
        <v>263663.42528279434</v>
      </c>
    </row>
    <row r="1283" spans="1:8" x14ac:dyDescent="0.25">
      <c r="A1283" s="6">
        <v>45499</v>
      </c>
      <c r="B1283" s="7">
        <v>7971.6</v>
      </c>
      <c r="C1283" s="7">
        <v>7993.3</v>
      </c>
      <c r="D1283" s="7">
        <v>7861.2</v>
      </c>
      <c r="E1283" s="7">
        <v>7921.3</v>
      </c>
      <c r="F1283" s="8">
        <v>3086665000</v>
      </c>
      <c r="G1283" s="8">
        <v>25170290000</v>
      </c>
      <c r="H1283">
        <f t="shared" si="19"/>
        <v>261999.73539723502</v>
      </c>
    </row>
    <row r="1284" spans="1:8" x14ac:dyDescent="0.25">
      <c r="A1284" s="6">
        <v>45506</v>
      </c>
      <c r="B1284" s="7">
        <v>7921.3</v>
      </c>
      <c r="C1284" s="7">
        <v>8148.7</v>
      </c>
      <c r="D1284" s="7">
        <v>7894.3</v>
      </c>
      <c r="E1284" s="7">
        <v>7943.2</v>
      </c>
      <c r="F1284" s="8">
        <v>3117006000</v>
      </c>
      <c r="G1284" s="8">
        <v>28459550000</v>
      </c>
      <c r="H1284">
        <f t="shared" ref="H1284:H1336" si="20">H1283*(E1284/E1283)</f>
        <v>262724.08546669321</v>
      </c>
    </row>
    <row r="1285" spans="1:8" x14ac:dyDescent="0.25">
      <c r="A1285" s="6">
        <v>45513</v>
      </c>
      <c r="B1285" s="7">
        <v>7943.2</v>
      </c>
      <c r="C1285" s="7">
        <v>7943.2</v>
      </c>
      <c r="D1285" s="7">
        <v>7628.1</v>
      </c>
      <c r="E1285" s="7">
        <v>7777.7</v>
      </c>
      <c r="F1285" s="8">
        <v>3678624000</v>
      </c>
      <c r="G1285" s="8">
        <v>28214590000</v>
      </c>
      <c r="H1285">
        <f t="shared" si="20"/>
        <v>257250.11576370982</v>
      </c>
    </row>
    <row r="1286" spans="1:8" x14ac:dyDescent="0.25">
      <c r="A1286" s="6">
        <v>45520</v>
      </c>
      <c r="B1286" s="7">
        <v>7777.7</v>
      </c>
      <c r="C1286" s="7">
        <v>7976.9</v>
      </c>
      <c r="D1286" s="7">
        <v>7777.7</v>
      </c>
      <c r="E1286" s="7">
        <v>7971.1</v>
      </c>
      <c r="F1286" s="8">
        <v>3162250000</v>
      </c>
      <c r="G1286" s="8">
        <v>27978220000</v>
      </c>
      <c r="H1286">
        <f t="shared" si="20"/>
        <v>263646.88760997565</v>
      </c>
    </row>
    <row r="1287" spans="1:8" x14ac:dyDescent="0.25">
      <c r="A1287" s="6">
        <v>45527</v>
      </c>
      <c r="B1287" s="7">
        <v>7971.1</v>
      </c>
      <c r="C1287" s="7">
        <v>8039.7</v>
      </c>
      <c r="D1287" s="7">
        <v>7950.6</v>
      </c>
      <c r="E1287" s="7">
        <v>8023.9</v>
      </c>
      <c r="F1287" s="8">
        <v>3019790000</v>
      </c>
      <c r="G1287" s="8">
        <v>27329210000</v>
      </c>
      <c r="H1287">
        <f t="shared" si="20"/>
        <v>265393.26585962833</v>
      </c>
    </row>
    <row r="1288" spans="1:8" x14ac:dyDescent="0.25">
      <c r="A1288" s="6">
        <v>45534</v>
      </c>
      <c r="B1288" s="7">
        <v>8023.9</v>
      </c>
      <c r="C1288" s="7">
        <v>8107.3</v>
      </c>
      <c r="D1288" s="7">
        <v>8008.9</v>
      </c>
      <c r="E1288" s="7">
        <v>8091.9</v>
      </c>
      <c r="F1288" s="8">
        <v>3895691000</v>
      </c>
      <c r="G1288" s="8">
        <v>34052270000</v>
      </c>
      <c r="H1288">
        <f t="shared" si="20"/>
        <v>267642.38936296897</v>
      </c>
    </row>
    <row r="1289" spans="1:8" x14ac:dyDescent="0.25">
      <c r="A1289" s="6">
        <v>45541</v>
      </c>
      <c r="B1289" s="7">
        <v>8091.8</v>
      </c>
      <c r="C1289" s="7">
        <v>8116.9</v>
      </c>
      <c r="D1289" s="7">
        <v>7928.5</v>
      </c>
      <c r="E1289" s="7">
        <v>8013.4</v>
      </c>
      <c r="F1289" s="8">
        <v>3416267000</v>
      </c>
      <c r="G1289" s="8">
        <v>28215780000</v>
      </c>
      <c r="H1289">
        <f t="shared" si="20"/>
        <v>265045.97473043605</v>
      </c>
    </row>
    <row r="1290" spans="1:8" x14ac:dyDescent="0.25">
      <c r="A1290" s="6">
        <v>45548</v>
      </c>
      <c r="B1290" s="7">
        <v>8013.4</v>
      </c>
      <c r="C1290" s="7">
        <v>8143.6</v>
      </c>
      <c r="D1290" s="7">
        <v>7918.9</v>
      </c>
      <c r="E1290" s="7">
        <v>8099.9</v>
      </c>
      <c r="F1290" s="8">
        <v>3373126000</v>
      </c>
      <c r="G1290" s="8">
        <v>28934350000</v>
      </c>
      <c r="H1290">
        <f t="shared" si="20"/>
        <v>267906.99212806788</v>
      </c>
    </row>
    <row r="1291" spans="1:8" x14ac:dyDescent="0.25">
      <c r="A1291" s="6">
        <v>45555</v>
      </c>
      <c r="B1291" s="7">
        <v>8099.9</v>
      </c>
      <c r="C1291" s="7">
        <v>8246.2000000000007</v>
      </c>
      <c r="D1291" s="7">
        <v>8099.9</v>
      </c>
      <c r="E1291" s="7">
        <v>8209.5</v>
      </c>
      <c r="F1291" s="8">
        <v>4472164000</v>
      </c>
      <c r="G1291" s="8">
        <v>39612100000</v>
      </c>
      <c r="H1291">
        <f t="shared" si="20"/>
        <v>271532.05000992276</v>
      </c>
    </row>
    <row r="1292" spans="1:8" x14ac:dyDescent="0.25">
      <c r="A1292" s="6">
        <v>45562</v>
      </c>
      <c r="B1292" s="7">
        <v>8209.5</v>
      </c>
      <c r="C1292" s="7">
        <v>8225.5</v>
      </c>
      <c r="D1292" s="7">
        <v>8111.3</v>
      </c>
      <c r="E1292" s="7">
        <v>8212.2000000000007</v>
      </c>
      <c r="F1292" s="8">
        <v>3581673000</v>
      </c>
      <c r="G1292" s="8">
        <v>32225700000</v>
      </c>
      <c r="H1292">
        <f t="shared" si="20"/>
        <v>271621.35344314371</v>
      </c>
    </row>
    <row r="1293" spans="1:8" x14ac:dyDescent="0.25">
      <c r="A1293" s="6">
        <v>45569</v>
      </c>
      <c r="B1293" s="7">
        <v>8212.2000000000007</v>
      </c>
      <c r="C1293" s="7">
        <v>8285.7000000000007</v>
      </c>
      <c r="D1293" s="7">
        <v>8107.6</v>
      </c>
      <c r="E1293" s="7">
        <v>8150</v>
      </c>
      <c r="F1293" s="8">
        <v>3242337000</v>
      </c>
      <c r="G1293" s="8">
        <v>30160560000</v>
      </c>
      <c r="H1293">
        <f t="shared" si="20"/>
        <v>269564.06694449979</v>
      </c>
    </row>
    <row r="1294" spans="1:8" x14ac:dyDescent="0.25">
      <c r="A1294" s="6">
        <v>45576</v>
      </c>
      <c r="B1294" s="7">
        <v>8150</v>
      </c>
      <c r="C1294" s="7">
        <v>8242.7999999999993</v>
      </c>
      <c r="D1294" s="7">
        <v>8147.5</v>
      </c>
      <c r="E1294" s="7">
        <v>8214.5</v>
      </c>
      <c r="F1294" s="8">
        <v>2595630000</v>
      </c>
      <c r="G1294" s="8">
        <v>23317010000</v>
      </c>
      <c r="H1294">
        <f t="shared" si="20"/>
        <v>271697.42673810961</v>
      </c>
    </row>
    <row r="1295" spans="1:8" x14ac:dyDescent="0.25">
      <c r="A1295" s="6">
        <v>45583</v>
      </c>
      <c r="B1295" s="7">
        <v>8214.5</v>
      </c>
      <c r="C1295" s="7">
        <v>8384.5</v>
      </c>
      <c r="D1295" s="7">
        <v>8214.5</v>
      </c>
      <c r="E1295" s="7">
        <v>8283.2000000000007</v>
      </c>
      <c r="F1295" s="8">
        <v>3098488000</v>
      </c>
      <c r="G1295" s="8">
        <v>29082500000</v>
      </c>
      <c r="H1295">
        <f t="shared" si="20"/>
        <v>273969.70298339636</v>
      </c>
    </row>
    <row r="1296" spans="1:8" x14ac:dyDescent="0.25">
      <c r="A1296" s="6">
        <v>45590</v>
      </c>
      <c r="B1296" s="7">
        <v>8283.7999999999993</v>
      </c>
      <c r="C1296" s="7">
        <v>8356.4</v>
      </c>
      <c r="D1296" s="7">
        <v>8183.8</v>
      </c>
      <c r="E1296" s="7">
        <v>8211.2999999999993</v>
      </c>
      <c r="F1296" s="8">
        <v>2763583000</v>
      </c>
      <c r="G1296" s="8">
        <v>25568120000</v>
      </c>
      <c r="H1296">
        <f t="shared" si="20"/>
        <v>271591.58563206997</v>
      </c>
    </row>
    <row r="1297" spans="1:8" x14ac:dyDescent="0.25">
      <c r="A1297" s="6">
        <v>45597</v>
      </c>
      <c r="B1297" s="7">
        <v>8211.2999999999993</v>
      </c>
      <c r="C1297" s="7">
        <v>8272.1</v>
      </c>
      <c r="D1297" s="7">
        <v>8063.2</v>
      </c>
      <c r="E1297" s="7">
        <v>8118.8</v>
      </c>
      <c r="F1297" s="8">
        <v>2980036000</v>
      </c>
      <c r="G1297" s="8">
        <v>27012110000</v>
      </c>
      <c r="H1297">
        <f t="shared" si="20"/>
        <v>268532.11616061401</v>
      </c>
    </row>
    <row r="1298" spans="1:8" x14ac:dyDescent="0.25">
      <c r="A1298" s="6">
        <v>45604</v>
      </c>
      <c r="B1298" s="7">
        <v>8118.8</v>
      </c>
      <c r="C1298" s="7">
        <v>8319.4</v>
      </c>
      <c r="D1298" s="7">
        <v>8113.4</v>
      </c>
      <c r="E1298" s="7">
        <v>8295.1</v>
      </c>
      <c r="F1298" s="8">
        <v>2661492000</v>
      </c>
      <c r="G1298" s="8">
        <v>24176930000</v>
      </c>
      <c r="H1298">
        <f t="shared" si="20"/>
        <v>274363.29959648097</v>
      </c>
    </row>
    <row r="1299" spans="1:8" x14ac:dyDescent="0.25">
      <c r="A1299" s="6">
        <v>45611</v>
      </c>
      <c r="B1299" s="7">
        <v>8295.1</v>
      </c>
      <c r="C1299" s="7">
        <v>8295.1</v>
      </c>
      <c r="D1299" s="7">
        <v>8139.1</v>
      </c>
      <c r="E1299" s="7">
        <v>8285.2000000000007</v>
      </c>
      <c r="F1299" s="8">
        <v>2754699000</v>
      </c>
      <c r="G1299" s="8">
        <v>27239550000</v>
      </c>
      <c r="H1299">
        <f t="shared" si="20"/>
        <v>274035.85367467109</v>
      </c>
    </row>
    <row r="1300" spans="1:8" x14ac:dyDescent="0.25">
      <c r="A1300" s="6">
        <v>45618</v>
      </c>
      <c r="B1300" s="7">
        <v>8285.2000000000007</v>
      </c>
      <c r="C1300" s="7">
        <v>8446.4</v>
      </c>
      <c r="D1300" s="7">
        <v>8244.2999999999993</v>
      </c>
      <c r="E1300" s="7">
        <v>8393.7999999999993</v>
      </c>
      <c r="F1300" s="8">
        <v>2681145000</v>
      </c>
      <c r="G1300" s="8">
        <v>28034870000</v>
      </c>
      <c r="H1300">
        <f t="shared" si="20"/>
        <v>277627.83621088852</v>
      </c>
    </row>
    <row r="1301" spans="1:8" x14ac:dyDescent="0.25">
      <c r="A1301" s="6">
        <v>45625</v>
      </c>
      <c r="B1301" s="7">
        <v>8393.7999999999993</v>
      </c>
      <c r="C1301" s="7">
        <v>8477.1</v>
      </c>
      <c r="D1301" s="7">
        <v>8352.7999999999993</v>
      </c>
      <c r="E1301" s="7">
        <v>8436.2000000000007</v>
      </c>
      <c r="F1301" s="8">
        <v>3566451000</v>
      </c>
      <c r="G1301" s="8">
        <v>33898840000</v>
      </c>
      <c r="H1301">
        <f t="shared" si="20"/>
        <v>279030.23086591274</v>
      </c>
    </row>
    <row r="1302" spans="1:8" x14ac:dyDescent="0.25">
      <c r="A1302" s="6">
        <v>45632</v>
      </c>
      <c r="B1302" s="7">
        <v>8436.2000000000007</v>
      </c>
      <c r="C1302" s="7">
        <v>8514.5</v>
      </c>
      <c r="D1302" s="7">
        <v>8419.1</v>
      </c>
      <c r="E1302" s="7">
        <v>8420.9</v>
      </c>
      <c r="F1302" s="8">
        <v>2900121000</v>
      </c>
      <c r="G1302" s="8">
        <v>26451990000</v>
      </c>
      <c r="H1302">
        <f t="shared" si="20"/>
        <v>278524.17807766108</v>
      </c>
    </row>
    <row r="1303" spans="1:8" x14ac:dyDescent="0.25">
      <c r="A1303" s="6">
        <v>45639</v>
      </c>
      <c r="B1303" s="7">
        <v>8420.9</v>
      </c>
      <c r="C1303" s="7">
        <v>8447.7000000000007</v>
      </c>
      <c r="D1303" s="7">
        <v>8263.5</v>
      </c>
      <c r="E1303" s="7">
        <v>8296</v>
      </c>
      <c r="F1303" s="8">
        <v>3023133000</v>
      </c>
      <c r="G1303" s="8">
        <v>26176870000</v>
      </c>
      <c r="H1303">
        <f t="shared" si="20"/>
        <v>274393.0674075546</v>
      </c>
    </row>
    <row r="1304" spans="1:8" x14ac:dyDescent="0.25">
      <c r="A1304" s="6">
        <v>45646</v>
      </c>
      <c r="B1304" s="7">
        <v>8296</v>
      </c>
      <c r="C1304" s="7">
        <v>8342.9</v>
      </c>
      <c r="D1304" s="7">
        <v>8051.2</v>
      </c>
      <c r="E1304" s="7">
        <v>8067</v>
      </c>
      <c r="F1304" s="8">
        <v>3807308000</v>
      </c>
      <c r="G1304" s="8">
        <v>36601540000</v>
      </c>
      <c r="H1304">
        <f t="shared" si="20"/>
        <v>266818.81325659872</v>
      </c>
    </row>
    <row r="1305" spans="1:8" x14ac:dyDescent="0.25">
      <c r="A1305" s="6">
        <v>45653</v>
      </c>
      <c r="B1305" s="7">
        <v>8067</v>
      </c>
      <c r="C1305" s="7">
        <v>8281.4</v>
      </c>
      <c r="D1305" s="7">
        <v>8067</v>
      </c>
      <c r="E1305" s="7">
        <v>8261.7999999999993</v>
      </c>
      <c r="F1305" s="8">
        <v>830094300</v>
      </c>
      <c r="G1305" s="8">
        <v>7368209000</v>
      </c>
      <c r="H1305">
        <f t="shared" si="20"/>
        <v>273261.89058675681</v>
      </c>
    </row>
    <row r="1306" spans="1:8" x14ac:dyDescent="0.25">
      <c r="A1306" s="6">
        <v>45660</v>
      </c>
      <c r="B1306" s="7">
        <v>8261.7999999999993</v>
      </c>
      <c r="C1306" s="7">
        <v>8263.9</v>
      </c>
      <c r="D1306" s="7">
        <v>8146.6</v>
      </c>
      <c r="E1306" s="7">
        <v>8250.5</v>
      </c>
      <c r="F1306" s="8">
        <v>1217952000</v>
      </c>
      <c r="G1306" s="8">
        <v>10137020000</v>
      </c>
      <c r="H1306">
        <f t="shared" si="20"/>
        <v>272888.13918105466</v>
      </c>
    </row>
    <row r="1307" spans="1:8" x14ac:dyDescent="0.25">
      <c r="A1307" s="6">
        <v>45667</v>
      </c>
      <c r="B1307" s="7">
        <v>8250.5</v>
      </c>
      <c r="C1307" s="7">
        <v>8370.7000000000007</v>
      </c>
      <c r="D1307" s="7">
        <v>8242.4</v>
      </c>
      <c r="E1307" s="7">
        <v>8294.1</v>
      </c>
      <c r="F1307" s="8">
        <v>2453222000</v>
      </c>
      <c r="G1307" s="8">
        <v>19420110000</v>
      </c>
      <c r="H1307">
        <f t="shared" si="20"/>
        <v>274330.22425084363</v>
      </c>
    </row>
    <row r="1308" spans="1:8" x14ac:dyDescent="0.25">
      <c r="A1308" s="6">
        <v>45674</v>
      </c>
      <c r="B1308" s="7">
        <v>8294.1</v>
      </c>
      <c r="C1308" s="7">
        <v>8346.7999999999993</v>
      </c>
      <c r="D1308" s="7">
        <v>8160.7</v>
      </c>
      <c r="E1308" s="7">
        <v>8310.4</v>
      </c>
      <c r="F1308" s="8">
        <v>2603642000</v>
      </c>
      <c r="G1308" s="8">
        <v>22748010000</v>
      </c>
      <c r="H1308">
        <f t="shared" si="20"/>
        <v>274869.35238473263</v>
      </c>
    </row>
    <row r="1309" spans="1:8" x14ac:dyDescent="0.25">
      <c r="A1309" s="6">
        <v>45681</v>
      </c>
      <c r="B1309" s="7">
        <v>8310.4</v>
      </c>
      <c r="C1309" s="7">
        <v>8455.6</v>
      </c>
      <c r="D1309" s="7">
        <v>8310.4</v>
      </c>
      <c r="E1309" s="7">
        <v>8408.9</v>
      </c>
      <c r="F1309" s="8">
        <v>2509727000</v>
      </c>
      <c r="G1309" s="8">
        <v>20876710000</v>
      </c>
      <c r="H1309">
        <f t="shared" si="20"/>
        <v>278127.27393001277</v>
      </c>
    </row>
    <row r="1310" spans="1:8" x14ac:dyDescent="0.25">
      <c r="A1310" s="6">
        <v>45688</v>
      </c>
      <c r="B1310" s="7">
        <v>8408.9</v>
      </c>
      <c r="C1310" s="7">
        <v>8566.9</v>
      </c>
      <c r="D1310" s="7">
        <v>8386.5</v>
      </c>
      <c r="E1310" s="7">
        <v>8532.2999999999993</v>
      </c>
      <c r="F1310" s="8">
        <v>2536158000</v>
      </c>
      <c r="G1310" s="8">
        <v>21052140000</v>
      </c>
      <c r="H1310">
        <f t="shared" si="20"/>
        <v>282208.77158166323</v>
      </c>
    </row>
    <row r="1311" spans="1:8" x14ac:dyDescent="0.25">
      <c r="A1311" s="6">
        <v>45695</v>
      </c>
      <c r="B1311" s="7">
        <v>8532.2999999999993</v>
      </c>
      <c r="C1311" s="7">
        <v>8532.6</v>
      </c>
      <c r="D1311" s="7">
        <v>8353.9</v>
      </c>
      <c r="E1311" s="7">
        <v>8511.4</v>
      </c>
      <c r="F1311" s="8">
        <v>2882899000</v>
      </c>
      <c r="G1311" s="8">
        <v>25335420000</v>
      </c>
      <c r="H1311">
        <f t="shared" si="20"/>
        <v>281517.49685784237</v>
      </c>
    </row>
    <row r="1312" spans="1:8" x14ac:dyDescent="0.25">
      <c r="A1312" s="6">
        <v>45702</v>
      </c>
      <c r="B1312" s="7">
        <v>8511.4</v>
      </c>
      <c r="C1312" s="7">
        <v>8615.2000000000007</v>
      </c>
      <c r="D1312" s="7">
        <v>8445.2999999999993</v>
      </c>
      <c r="E1312" s="7">
        <v>8555.7999999999993</v>
      </c>
      <c r="F1312" s="8">
        <v>3358219000</v>
      </c>
      <c r="G1312" s="8">
        <v>28902840000</v>
      </c>
      <c r="H1312">
        <f t="shared" si="20"/>
        <v>282986.04220414121</v>
      </c>
    </row>
    <row r="1313" spans="1:8" x14ac:dyDescent="0.25">
      <c r="A1313" s="6">
        <v>45709</v>
      </c>
      <c r="B1313" s="7">
        <v>8555.7999999999993</v>
      </c>
      <c r="C1313" s="7">
        <v>8555.7999999999993</v>
      </c>
      <c r="D1313" s="7">
        <v>8287.7999999999993</v>
      </c>
      <c r="E1313" s="7">
        <v>8296.2000000000007</v>
      </c>
      <c r="F1313" s="8">
        <v>3639494000</v>
      </c>
      <c r="G1313" s="8">
        <v>36987380000</v>
      </c>
      <c r="H1313">
        <f t="shared" si="20"/>
        <v>274399.68247668212</v>
      </c>
    </row>
    <row r="1314" spans="1:8" x14ac:dyDescent="0.25">
      <c r="A1314" s="6">
        <v>45716</v>
      </c>
      <c r="B1314" s="7">
        <v>8296.2000000000007</v>
      </c>
      <c r="C1314" s="7">
        <v>8310</v>
      </c>
      <c r="D1314" s="7">
        <v>8155.5</v>
      </c>
      <c r="E1314" s="7">
        <v>8172.4</v>
      </c>
      <c r="F1314" s="8">
        <v>4867165000</v>
      </c>
      <c r="G1314" s="8">
        <v>44955500000</v>
      </c>
      <c r="H1314">
        <f t="shared" si="20"/>
        <v>270304.95468677668</v>
      </c>
    </row>
    <row r="1315" spans="1:8" x14ac:dyDescent="0.25">
      <c r="A1315" s="6">
        <v>45723</v>
      </c>
      <c r="B1315" s="7">
        <v>8172.4</v>
      </c>
      <c r="C1315" s="7">
        <v>8251.9</v>
      </c>
      <c r="D1315" s="7">
        <v>7946.4</v>
      </c>
      <c r="E1315" s="7">
        <v>7948.2</v>
      </c>
      <c r="F1315" s="8">
        <v>3555088000</v>
      </c>
      <c r="G1315" s="8">
        <v>32541840000</v>
      </c>
      <c r="H1315">
        <f t="shared" si="20"/>
        <v>262889.46219488012</v>
      </c>
    </row>
    <row r="1316" spans="1:8" x14ac:dyDescent="0.25">
      <c r="A1316" s="6">
        <v>45730</v>
      </c>
      <c r="B1316" s="7">
        <v>7948.2</v>
      </c>
      <c r="C1316" s="7">
        <v>7978.6</v>
      </c>
      <c r="D1316" s="7">
        <v>7733.5</v>
      </c>
      <c r="E1316" s="7">
        <v>7789.7</v>
      </c>
      <c r="F1316" s="8">
        <v>4189201000</v>
      </c>
      <c r="G1316" s="8">
        <v>33386350000</v>
      </c>
      <c r="H1316">
        <f t="shared" si="20"/>
        <v>257647.01991135825</v>
      </c>
    </row>
    <row r="1317" spans="1:8" x14ac:dyDescent="0.25">
      <c r="A1317" s="6">
        <v>45737</v>
      </c>
      <c r="B1317" s="7">
        <v>7792.3</v>
      </c>
      <c r="C1317" s="7">
        <v>7962.6</v>
      </c>
      <c r="D1317" s="7">
        <v>7792.3</v>
      </c>
      <c r="E1317" s="7">
        <v>7931.2</v>
      </c>
      <c r="F1317" s="8">
        <v>5353260000</v>
      </c>
      <c r="G1317" s="8">
        <v>43915300000</v>
      </c>
      <c r="H1317">
        <f t="shared" si="20"/>
        <v>262327.18131904496</v>
      </c>
    </row>
    <row r="1318" spans="1:8" x14ac:dyDescent="0.25">
      <c r="A1318" s="6">
        <v>45744</v>
      </c>
      <c r="B1318" s="7">
        <v>7931.2</v>
      </c>
      <c r="C1318" s="7">
        <v>8014.9</v>
      </c>
      <c r="D1318" s="7">
        <v>7899.5</v>
      </c>
      <c r="E1318" s="7">
        <v>7982</v>
      </c>
      <c r="F1318" s="8">
        <v>3311388000</v>
      </c>
      <c r="G1318" s="8">
        <v>28774470000</v>
      </c>
      <c r="H1318">
        <f t="shared" si="20"/>
        <v>264007.40887742297</v>
      </c>
    </row>
    <row r="1319" spans="1:8" x14ac:dyDescent="0.25">
      <c r="A1319" s="6">
        <v>45751</v>
      </c>
      <c r="B1319" s="7">
        <v>7982</v>
      </c>
      <c r="C1319" s="7">
        <v>7982</v>
      </c>
      <c r="D1319" s="7">
        <v>7664.2</v>
      </c>
      <c r="E1319" s="7">
        <v>7667.8</v>
      </c>
      <c r="F1319" s="8">
        <v>3858693000</v>
      </c>
      <c r="G1319" s="8">
        <v>33745400000</v>
      </c>
      <c r="H1319">
        <f t="shared" si="20"/>
        <v>253615.13527816389</v>
      </c>
    </row>
    <row r="1320" spans="1:8" x14ac:dyDescent="0.25">
      <c r="A1320" s="6">
        <v>45758</v>
      </c>
      <c r="B1320" s="7">
        <v>7667.8</v>
      </c>
      <c r="C1320" s="7">
        <v>7842.9</v>
      </c>
      <c r="D1320" s="7">
        <v>7169.2</v>
      </c>
      <c r="E1320" s="7">
        <v>7646.5</v>
      </c>
      <c r="F1320" s="8">
        <v>5308969000</v>
      </c>
      <c r="G1320" s="8">
        <v>45317310000</v>
      </c>
      <c r="H1320">
        <f t="shared" si="20"/>
        <v>252910.63041608807</v>
      </c>
    </row>
    <row r="1321" spans="1:8" x14ac:dyDescent="0.25">
      <c r="A1321" s="6">
        <v>45764</v>
      </c>
      <c r="B1321" s="7">
        <v>7646.5</v>
      </c>
      <c r="C1321" s="7">
        <v>7819.1</v>
      </c>
      <c r="D1321" s="7">
        <v>7646.5</v>
      </c>
      <c r="E1321" s="7">
        <v>7819.1</v>
      </c>
      <c r="F1321" s="8">
        <v>2747771000</v>
      </c>
      <c r="G1321" s="8">
        <v>22158080000</v>
      </c>
      <c r="H1321">
        <f t="shared" si="20"/>
        <v>258619.43507309674</v>
      </c>
    </row>
    <row r="1322" spans="1:8" x14ac:dyDescent="0.25">
      <c r="A1322" s="6">
        <v>45771</v>
      </c>
      <c r="B1322" s="7">
        <v>7819.1</v>
      </c>
      <c r="C1322" s="7">
        <v>7983.8</v>
      </c>
      <c r="D1322" s="7">
        <v>7745.1</v>
      </c>
      <c r="E1322" s="7">
        <v>7968.2</v>
      </c>
      <c r="F1322" s="8">
        <v>2301147000</v>
      </c>
      <c r="G1322" s="8">
        <v>20106320000</v>
      </c>
      <c r="H1322">
        <f t="shared" si="20"/>
        <v>263550.9691076274</v>
      </c>
    </row>
    <row r="1323" spans="1:8" x14ac:dyDescent="0.25">
      <c r="A1323" s="6">
        <v>45779</v>
      </c>
      <c r="B1323" s="7">
        <v>7968.2</v>
      </c>
      <c r="C1323" s="7">
        <v>8239.6</v>
      </c>
      <c r="D1323" s="7">
        <v>7968.2</v>
      </c>
      <c r="E1323" s="7">
        <v>8238</v>
      </c>
      <c r="F1323" s="8">
        <v>3818158000</v>
      </c>
      <c r="G1323" s="8">
        <v>34090320000</v>
      </c>
      <c r="H1323">
        <f t="shared" si="20"/>
        <v>272474.69736058771</v>
      </c>
    </row>
    <row r="1324" spans="1:8" x14ac:dyDescent="0.25">
      <c r="A1324" s="6">
        <v>45786</v>
      </c>
      <c r="B1324" s="7">
        <v>8238</v>
      </c>
      <c r="C1324" s="7">
        <v>8242.9</v>
      </c>
      <c r="D1324" s="7">
        <v>8138.4</v>
      </c>
      <c r="E1324" s="7">
        <v>8231.2000000000007</v>
      </c>
      <c r="F1324" s="8">
        <v>3698362000</v>
      </c>
      <c r="G1324" s="8">
        <v>32407550000</v>
      </c>
      <c r="H1324">
        <f t="shared" si="20"/>
        <v>272249.78501025366</v>
      </c>
    </row>
    <row r="1325" spans="1:8" x14ac:dyDescent="0.25">
      <c r="A1325" s="6">
        <v>45793</v>
      </c>
      <c r="B1325" s="7">
        <v>8231.2000000000007</v>
      </c>
      <c r="C1325" s="7">
        <v>8398.2000000000007</v>
      </c>
      <c r="D1325" s="7">
        <v>8231.2000000000007</v>
      </c>
      <c r="E1325" s="7">
        <v>8343.7000000000007</v>
      </c>
      <c r="F1325" s="8">
        <v>3834424000</v>
      </c>
      <c r="G1325" s="8">
        <v>34567960000</v>
      </c>
      <c r="H1325">
        <f t="shared" si="20"/>
        <v>275970.76139445684</v>
      </c>
    </row>
    <row r="1326" spans="1:8" x14ac:dyDescent="0.25">
      <c r="A1326" s="6">
        <v>45800</v>
      </c>
      <c r="B1326" s="7">
        <v>8343.7000000000007</v>
      </c>
      <c r="C1326" s="7">
        <v>8422.9</v>
      </c>
      <c r="D1326" s="7">
        <v>8284</v>
      </c>
      <c r="E1326" s="7">
        <v>8360.9</v>
      </c>
      <c r="F1326" s="8">
        <v>3094745000</v>
      </c>
      <c r="G1326" s="8">
        <v>28117510000</v>
      </c>
      <c r="H1326">
        <f t="shared" si="20"/>
        <v>276539.65733941947</v>
      </c>
    </row>
    <row r="1327" spans="1:8" x14ac:dyDescent="0.25">
      <c r="A1327" s="6">
        <v>45807</v>
      </c>
      <c r="B1327" s="7">
        <v>8360.7000000000007</v>
      </c>
      <c r="C1327" s="7">
        <v>8453</v>
      </c>
      <c r="D1327" s="7">
        <v>8345.5</v>
      </c>
      <c r="E1327" s="7">
        <v>8434.7000000000007</v>
      </c>
      <c r="F1327" s="8">
        <v>4561230000</v>
      </c>
      <c r="G1327" s="8">
        <v>39347580000</v>
      </c>
      <c r="H1327">
        <f t="shared" si="20"/>
        <v>278980.61784745683</v>
      </c>
    </row>
    <row r="1328" spans="1:8" x14ac:dyDescent="0.25">
      <c r="A1328" s="6">
        <v>45814</v>
      </c>
      <c r="B1328" s="7">
        <v>8434.7000000000007</v>
      </c>
      <c r="C1328" s="7">
        <v>8567.2999999999993</v>
      </c>
      <c r="D1328" s="7">
        <v>8401.1</v>
      </c>
      <c r="E1328" s="7">
        <v>8515.7000000000007</v>
      </c>
      <c r="F1328" s="8">
        <v>3325413000</v>
      </c>
      <c r="G1328" s="8">
        <v>29300570000</v>
      </c>
      <c r="H1328">
        <f t="shared" si="20"/>
        <v>281659.72084408317</v>
      </c>
    </row>
    <row r="1329" spans="1:8" x14ac:dyDescent="0.25">
      <c r="A1329" s="6">
        <v>45821</v>
      </c>
      <c r="B1329" s="7">
        <v>8515.7000000000007</v>
      </c>
      <c r="C1329" s="7">
        <v>8639.1</v>
      </c>
      <c r="D1329" s="7">
        <v>8515.7000000000007</v>
      </c>
      <c r="E1329" s="7">
        <v>8547.4</v>
      </c>
      <c r="F1329" s="8">
        <v>3212078000</v>
      </c>
      <c r="G1329" s="8">
        <v>26762250000</v>
      </c>
      <c r="H1329">
        <f t="shared" si="20"/>
        <v>282708.20930078754</v>
      </c>
    </row>
    <row r="1330" spans="1:8" x14ac:dyDescent="0.25">
      <c r="A1330" s="6">
        <v>45828</v>
      </c>
      <c r="B1330" s="7">
        <v>8547.4</v>
      </c>
      <c r="C1330" s="7">
        <v>8579.1</v>
      </c>
      <c r="D1330" s="7">
        <v>8462.7000000000007</v>
      </c>
      <c r="E1330" s="7">
        <v>8505.5</v>
      </c>
      <c r="F1330" s="8">
        <v>4790109000</v>
      </c>
      <c r="G1330" s="8">
        <v>43313370000</v>
      </c>
      <c r="H1330">
        <f t="shared" si="20"/>
        <v>281322.35231858213</v>
      </c>
    </row>
    <row r="1331" spans="1:8" x14ac:dyDescent="0.25">
      <c r="A1331" s="6">
        <v>45835</v>
      </c>
      <c r="B1331" s="7">
        <v>8505.5</v>
      </c>
      <c r="C1331" s="7">
        <v>8605.7000000000007</v>
      </c>
      <c r="D1331" s="7">
        <v>8421.1</v>
      </c>
      <c r="E1331" s="7">
        <v>8514.2000000000007</v>
      </c>
      <c r="F1331" s="8">
        <v>3474676000</v>
      </c>
      <c r="G1331" s="8">
        <v>31716180000</v>
      </c>
      <c r="H1331">
        <f t="shared" si="20"/>
        <v>281610.1078256272</v>
      </c>
    </row>
    <row r="1332" spans="1:8" x14ac:dyDescent="0.25">
      <c r="A1332" s="6">
        <v>45842</v>
      </c>
      <c r="B1332" s="7">
        <v>8514.2000000000007</v>
      </c>
      <c r="C1332" s="7">
        <v>8623.6</v>
      </c>
      <c r="D1332" s="7">
        <v>8514.2000000000007</v>
      </c>
      <c r="E1332" s="7">
        <v>8603</v>
      </c>
      <c r="F1332" s="8">
        <v>3486018000</v>
      </c>
      <c r="G1332" s="8">
        <v>34942890000</v>
      </c>
      <c r="H1332">
        <f t="shared" si="20"/>
        <v>284547.19851822488</v>
      </c>
    </row>
    <row r="1333" spans="1:8" x14ac:dyDescent="0.25">
      <c r="A1333" s="6">
        <v>45849</v>
      </c>
      <c r="B1333" s="7">
        <v>8603</v>
      </c>
      <c r="C1333" s="7">
        <v>8619.7999999999993</v>
      </c>
      <c r="D1333" s="7">
        <v>8531.4</v>
      </c>
      <c r="E1333" s="7">
        <v>8580.1</v>
      </c>
      <c r="F1333" s="8">
        <v>2870128000</v>
      </c>
      <c r="G1333" s="8">
        <v>25343070000</v>
      </c>
      <c r="H1333">
        <f t="shared" si="20"/>
        <v>283789.77310312929</v>
      </c>
    </row>
    <row r="1334" spans="1:8" x14ac:dyDescent="0.25">
      <c r="A1334" s="6">
        <v>45856</v>
      </c>
      <c r="B1334" s="7">
        <v>8580.1</v>
      </c>
      <c r="C1334" s="7">
        <v>8776.4</v>
      </c>
      <c r="D1334" s="7">
        <v>8544.7000000000007</v>
      </c>
      <c r="E1334" s="7">
        <v>8757.2000000000007</v>
      </c>
      <c r="F1334" s="8">
        <v>3070040000</v>
      </c>
      <c r="G1334" s="8">
        <v>28758670000</v>
      </c>
      <c r="H1334">
        <f t="shared" si="20"/>
        <v>289647.41681550612</v>
      </c>
    </row>
    <row r="1335" spans="1:8" x14ac:dyDescent="0.25">
      <c r="A1335" s="6">
        <v>45863</v>
      </c>
      <c r="B1335" s="7">
        <v>8757.2000000000007</v>
      </c>
      <c r="C1335" s="7">
        <v>8759.9</v>
      </c>
      <c r="D1335" s="7">
        <v>8648.4</v>
      </c>
      <c r="E1335" s="7">
        <v>8666.9</v>
      </c>
      <c r="F1335" s="8">
        <v>3399394000</v>
      </c>
      <c r="G1335" s="8">
        <v>30640420000</v>
      </c>
      <c r="H1335">
        <f t="shared" si="20"/>
        <v>286660.7131044523</v>
      </c>
    </row>
    <row r="1336" spans="1:8" x14ac:dyDescent="0.25">
      <c r="A1336" s="6">
        <v>45870</v>
      </c>
      <c r="B1336" s="7">
        <v>8666.9</v>
      </c>
      <c r="C1336" s="7">
        <v>8773</v>
      </c>
      <c r="D1336" s="7">
        <v>8643.5</v>
      </c>
      <c r="E1336" s="7">
        <v>8662</v>
      </c>
      <c r="F1336" s="8">
        <v>3322301000</v>
      </c>
      <c r="G1336" s="8">
        <v>28024460000</v>
      </c>
      <c r="H1336">
        <f t="shared" si="20"/>
        <v>286498.64391082927</v>
      </c>
    </row>
    <row r="1337" spans="1:8" x14ac:dyDescent="0.25">
      <c r="A1337" s="2">
        <v>45873</v>
      </c>
      <c r="B1337" s="7">
        <v>8662</v>
      </c>
      <c r="C1337" s="7">
        <v>8666.7000000000007</v>
      </c>
      <c r="D1337" s="7">
        <v>8630.9</v>
      </c>
      <c r="E1337" s="7">
        <v>8663.7000000000007</v>
      </c>
      <c r="F1337" s="8">
        <v>501820100</v>
      </c>
      <c r="G1337" s="8">
        <v>4321034000</v>
      </c>
      <c r="H1337">
        <f t="shared" ref="H1337" si="21">H1336*(E1337/E1336)</f>
        <v>286554.87199841283</v>
      </c>
    </row>
    <row r="1338" spans="1:8" x14ac:dyDescent="0.25">
      <c r="A1338" s="6">
        <v>45877</v>
      </c>
      <c r="B1338" s="7">
        <v>8662</v>
      </c>
      <c r="C1338" s="7">
        <v>8848.7999999999993</v>
      </c>
      <c r="D1338" s="7">
        <v>8630.9</v>
      </c>
      <c r="E1338" s="7">
        <v>8807.1</v>
      </c>
      <c r="F1338" s="8">
        <v>2972657000</v>
      </c>
      <c r="G1338" s="8">
        <v>27262150000</v>
      </c>
      <c r="H1338">
        <f>H1337*(E1338/E1337)</f>
        <v>291297.87656281056</v>
      </c>
    </row>
    <row r="1339" spans="1:8" x14ac:dyDescent="0.25">
      <c r="A1339" s="6">
        <v>45880</v>
      </c>
      <c r="B1339" s="7">
        <v>8807.1</v>
      </c>
      <c r="C1339" s="7">
        <v>8852.2999999999993</v>
      </c>
      <c r="D1339" s="7">
        <v>8807.1</v>
      </c>
      <c r="E1339" s="7">
        <v>8844.7999999999993</v>
      </c>
      <c r="F1339" s="8">
        <v>656849200</v>
      </c>
      <c r="G1339" s="8">
        <v>5902330000</v>
      </c>
      <c r="H1339">
        <f t="shared" ref="H1339" si="22">H1338*(E1339/E1338)</f>
        <v>292544.81709333905</v>
      </c>
    </row>
    <row r="1340" spans="1:8" x14ac:dyDescent="0.25">
      <c r="A1340" s="6">
        <v>45884</v>
      </c>
      <c r="B1340" s="7">
        <v>8807.1</v>
      </c>
      <c r="C1340" s="7">
        <v>8938.6</v>
      </c>
      <c r="D1340" s="7">
        <v>8807.1</v>
      </c>
      <c r="E1340" s="7">
        <v>8938.6</v>
      </c>
      <c r="F1340" s="8">
        <v>3312270000</v>
      </c>
      <c r="G1340" s="8">
        <v>34582770000</v>
      </c>
      <c r="H1340">
        <f t="shared" ref="H1340:H1341" si="23">H1339*(E1340/E1339)</f>
        <v>295647.28451412363</v>
      </c>
    </row>
    <row r="1341" spans="1:8" x14ac:dyDescent="0.25">
      <c r="A1341" s="6">
        <v>45887</v>
      </c>
      <c r="B1341" s="7">
        <v>8938.6</v>
      </c>
      <c r="C1341" s="7">
        <v>8963</v>
      </c>
      <c r="D1341" s="7">
        <v>8912.2000000000007</v>
      </c>
      <c r="E1341" s="7">
        <v>8959.2999999999993</v>
      </c>
      <c r="F1341" s="8">
        <v>571329100</v>
      </c>
      <c r="G1341" s="8">
        <v>5711497000</v>
      </c>
      <c r="H1341">
        <f t="shared" si="23"/>
        <v>296331.94416881696</v>
      </c>
    </row>
    <row r="1342" spans="1:8" x14ac:dyDescent="0.25">
      <c r="A1342" s="6">
        <v>45891</v>
      </c>
      <c r="B1342" s="7">
        <v>8938.6</v>
      </c>
      <c r="C1342" s="7">
        <v>9025.5</v>
      </c>
      <c r="D1342" s="7">
        <v>8857.7999999999993</v>
      </c>
      <c r="E1342" s="7">
        <v>8967.4</v>
      </c>
      <c r="F1342" s="8">
        <v>3663298000</v>
      </c>
      <c r="G1342" s="8">
        <v>41159640000</v>
      </c>
      <c r="H1342">
        <f t="shared" ref="H1342" si="24">H1341*(E1342/E1341)</f>
        <v>296599.85446847958</v>
      </c>
    </row>
    <row r="1343" spans="1:8" x14ac:dyDescent="0.25">
      <c r="A1343" s="6">
        <v>45894</v>
      </c>
      <c r="B1343" s="7">
        <v>8967.4</v>
      </c>
      <c r="C1343" s="7">
        <v>9054.5</v>
      </c>
      <c r="D1343" s="7">
        <v>8965.9</v>
      </c>
      <c r="E1343" s="7">
        <v>8972.4</v>
      </c>
      <c r="F1343" s="8">
        <v>747158500</v>
      </c>
      <c r="G1343" s="8">
        <v>7917913000</v>
      </c>
      <c r="H1343">
        <f t="shared" ref="H1343:H1344" si="25">H1342*(E1343/E1342)</f>
        <v>296765.23119666637</v>
      </c>
    </row>
    <row r="1344" spans="1:8" x14ac:dyDescent="0.25">
      <c r="A1344" s="6">
        <v>45898</v>
      </c>
      <c r="B1344" s="7">
        <v>8967.4</v>
      </c>
      <c r="C1344" s="7">
        <v>9054.5</v>
      </c>
      <c r="D1344" s="7">
        <v>8917.6</v>
      </c>
      <c r="E1344" s="7">
        <v>8973.1</v>
      </c>
      <c r="F1344" s="8">
        <v>4604831000</v>
      </c>
      <c r="G1344" s="8">
        <v>41836740000</v>
      </c>
      <c r="H1344">
        <f t="shared" si="25"/>
        <v>296788.38393861253</v>
      </c>
    </row>
    <row r="1345" spans="1:8" x14ac:dyDescent="0.25">
      <c r="A1345" s="6">
        <v>45901</v>
      </c>
      <c r="B1345" s="7">
        <v>8973.1</v>
      </c>
      <c r="C1345" s="7">
        <v>8973.1</v>
      </c>
      <c r="D1345" s="7">
        <v>8907</v>
      </c>
      <c r="E1345" s="7">
        <v>8927.7000000000007</v>
      </c>
      <c r="F1345" s="8">
        <v>618141800</v>
      </c>
      <c r="G1345" s="8">
        <v>5406035000</v>
      </c>
      <c r="H1345">
        <f>H1344*(E1345/E1344)</f>
        <v>295286.7632466763</v>
      </c>
    </row>
    <row r="1346" spans="1:8" x14ac:dyDescent="0.25">
      <c r="A1346" s="6">
        <v>45905</v>
      </c>
      <c r="B1346" s="7">
        <v>8973.1</v>
      </c>
      <c r="C1346" s="7">
        <v>8973.1</v>
      </c>
      <c r="D1346" s="7">
        <v>8731.2999999999993</v>
      </c>
      <c r="E1346" s="7">
        <v>8871.2000000000007</v>
      </c>
      <c r="F1346" s="8">
        <v>3288880000</v>
      </c>
      <c r="G1346" s="8">
        <v>32109510000</v>
      </c>
      <c r="H1346">
        <f t="shared" ref="H1346" si="26">H1345*(E1346/E1345)</f>
        <v>293418.00621816533</v>
      </c>
    </row>
    <row r="1347" spans="1:8" x14ac:dyDescent="0.25">
      <c r="A1347" s="6">
        <v>45908</v>
      </c>
      <c r="B1347" s="7">
        <v>8871.2000000000007</v>
      </c>
      <c r="C1347" s="7">
        <v>8871.2000000000007</v>
      </c>
      <c r="D1347" s="7">
        <v>8826.9</v>
      </c>
      <c r="E1347" s="7">
        <v>8849.6</v>
      </c>
      <c r="F1347" s="8">
        <v>592530400</v>
      </c>
      <c r="G1347" s="8">
        <v>5749162000</v>
      </c>
      <c r="H1347">
        <f t="shared" ref="H1347:H1349" si="27">H1346*(E1347/E1346)</f>
        <v>292703.57875239832</v>
      </c>
    </row>
    <row r="1348" spans="1:8" x14ac:dyDescent="0.25">
      <c r="A1348" s="6">
        <v>45912</v>
      </c>
      <c r="B1348" s="7">
        <v>8871.2000000000007</v>
      </c>
      <c r="C1348" s="7">
        <v>8887.2000000000007</v>
      </c>
      <c r="D1348" s="7">
        <v>8782.6</v>
      </c>
      <c r="E1348" s="7">
        <v>8864.9</v>
      </c>
      <c r="F1348" s="8">
        <v>3543675000</v>
      </c>
      <c r="G1348" s="8">
        <v>31333150000</v>
      </c>
      <c r="H1348">
        <f t="shared" si="27"/>
        <v>293209.63154064998</v>
      </c>
    </row>
    <row r="1349" spans="1:8" x14ac:dyDescent="0.25">
      <c r="A1349" s="6">
        <v>45915</v>
      </c>
      <c r="B1349" s="7">
        <v>8864.9</v>
      </c>
      <c r="C1349" s="7">
        <v>8864.9</v>
      </c>
      <c r="D1349" s="7">
        <v>8794</v>
      </c>
      <c r="E1349" s="7">
        <v>8853</v>
      </c>
      <c r="F1349" s="8">
        <v>616653100</v>
      </c>
      <c r="G1349" s="8">
        <v>5901733000</v>
      </c>
      <c r="H1349">
        <f t="shared" si="27"/>
        <v>292816.03492756537</v>
      </c>
    </row>
    <row r="1350" spans="1:8" x14ac:dyDescent="0.25">
      <c r="A1350" s="6">
        <v>45919</v>
      </c>
      <c r="B1350" s="7">
        <v>8864.9</v>
      </c>
      <c r="C1350" s="7">
        <v>8888</v>
      </c>
      <c r="D1350" s="7">
        <v>8737.5</v>
      </c>
      <c r="E1350" s="7">
        <v>8773.5</v>
      </c>
      <c r="F1350" s="8">
        <v>5264323000</v>
      </c>
      <c r="G1350" s="8">
        <v>46895280000</v>
      </c>
      <c r="H1350">
        <f>H1349*(E1350/E1349)</f>
        <v>290186.54494939506</v>
      </c>
    </row>
    <row r="1351" spans="1:8" x14ac:dyDescent="0.25">
      <c r="A1351" s="6">
        <v>45922</v>
      </c>
      <c r="B1351" s="7">
        <v>8773.5</v>
      </c>
      <c r="C1351" s="7">
        <v>8846</v>
      </c>
      <c r="D1351" s="7">
        <v>8773.5</v>
      </c>
      <c r="E1351" s="7">
        <v>8810.9</v>
      </c>
      <c r="F1351" s="8">
        <v>610195600</v>
      </c>
      <c r="G1351" s="8">
        <v>5378942000</v>
      </c>
      <c r="H1351">
        <f t="shared" ref="H1351" si="28">H1350*(E1351/E1350)</f>
        <v>291423.56287623238</v>
      </c>
    </row>
    <row r="1352" spans="1:8" x14ac:dyDescent="0.25">
      <c r="A1352" s="6">
        <v>45926</v>
      </c>
      <c r="B1352" s="7">
        <v>8773.5</v>
      </c>
      <c r="C1352" s="7">
        <v>8877.1</v>
      </c>
      <c r="D1352" s="7">
        <v>8737.9</v>
      </c>
      <c r="E1352" s="7">
        <v>8787.7000000000007</v>
      </c>
      <c r="F1352" s="8">
        <v>3747600000</v>
      </c>
      <c r="G1352" s="8">
        <v>34793910000</v>
      </c>
      <c r="H1352">
        <f t="shared" ref="H1352:H1362" si="29">H1351*(E1352/E1351)</f>
        <v>290656.21485744562</v>
      </c>
    </row>
    <row r="1353" spans="1:8" x14ac:dyDescent="0.25">
      <c r="A1353" s="6">
        <v>45929</v>
      </c>
      <c r="B1353" s="7">
        <v>8787.7000000000007</v>
      </c>
      <c r="C1353" s="7">
        <v>8871.7000000000007</v>
      </c>
      <c r="D1353" s="7">
        <v>8787.7000000000007</v>
      </c>
      <c r="E1353" s="7">
        <v>8862.7999999999993</v>
      </c>
      <c r="F1353" s="8">
        <v>579809500</v>
      </c>
      <c r="G1353" s="8">
        <v>5860654000</v>
      </c>
      <c r="H1353">
        <f t="shared" si="29"/>
        <v>293140.17331481143</v>
      </c>
    </row>
    <row r="1354" spans="1:8" x14ac:dyDescent="0.25">
      <c r="A1354" s="6">
        <v>45930</v>
      </c>
      <c r="B1354" s="7">
        <v>8862.7999999999993</v>
      </c>
      <c r="C1354" s="7">
        <v>8892.4</v>
      </c>
      <c r="D1354" s="7">
        <v>8842.4</v>
      </c>
      <c r="E1354" s="7">
        <v>8848.7999999999993</v>
      </c>
      <c r="F1354" s="8">
        <v>874382500</v>
      </c>
      <c r="G1354" s="8">
        <v>7745929000</v>
      </c>
      <c r="H1354">
        <f t="shared" si="29"/>
        <v>292677.11847588839</v>
      </c>
    </row>
    <row r="1355" spans="1:8" x14ac:dyDescent="0.25">
      <c r="A1355" s="6">
        <v>45933</v>
      </c>
      <c r="B1355" s="7">
        <v>8787.7000000000007</v>
      </c>
      <c r="C1355" s="7">
        <v>8995.5</v>
      </c>
      <c r="D1355" s="7">
        <v>8787.7000000000007</v>
      </c>
      <c r="E1355" s="7">
        <v>8987.4</v>
      </c>
      <c r="F1355" s="8">
        <v>3610752000</v>
      </c>
      <c r="G1355" s="8">
        <v>33966790000</v>
      </c>
      <c r="H1355">
        <f t="shared" si="29"/>
        <v>297261.3613812268</v>
      </c>
    </row>
    <row r="1356" spans="1:8" x14ac:dyDescent="0.25">
      <c r="A1356" s="6">
        <v>45936</v>
      </c>
      <c r="B1356" s="7">
        <v>8987.4</v>
      </c>
      <c r="C1356" s="7">
        <v>9026.4</v>
      </c>
      <c r="D1356" s="7">
        <v>8970.6</v>
      </c>
      <c r="E1356" s="7">
        <v>8981.4</v>
      </c>
      <c r="F1356" s="8">
        <v>462732100</v>
      </c>
      <c r="G1356" s="8">
        <v>3952689000</v>
      </c>
      <c r="H1356">
        <f t="shared" si="29"/>
        <v>297062.90930740262</v>
      </c>
    </row>
    <row r="1357" spans="1:8" x14ac:dyDescent="0.25">
      <c r="A1357" s="6">
        <v>45940</v>
      </c>
      <c r="B1357" s="7">
        <v>8987.4</v>
      </c>
      <c r="C1357" s="7">
        <v>9026.4</v>
      </c>
      <c r="D1357" s="7">
        <v>8916.2000000000007</v>
      </c>
      <c r="E1357" s="7">
        <v>8958.2999999999993</v>
      </c>
      <c r="F1357" s="8">
        <v>3297513000</v>
      </c>
      <c r="G1357" s="8">
        <v>30554170000</v>
      </c>
      <c r="H1357">
        <f t="shared" si="29"/>
        <v>296298.86882317957</v>
      </c>
    </row>
    <row r="1358" spans="1:8" x14ac:dyDescent="0.25">
      <c r="A1358" s="6">
        <v>45943</v>
      </c>
      <c r="B1358" s="7">
        <v>8958.2999999999993</v>
      </c>
      <c r="C1358" s="7">
        <v>8958.2999999999993</v>
      </c>
      <c r="D1358" s="7">
        <v>8868</v>
      </c>
      <c r="E1358" s="7">
        <v>8882.7999999999993</v>
      </c>
      <c r="F1358" s="8">
        <v>664074100</v>
      </c>
      <c r="G1358" s="8">
        <v>6392053000</v>
      </c>
      <c r="H1358">
        <f t="shared" si="29"/>
        <v>293801.68022755871</v>
      </c>
    </row>
    <row r="1359" spans="1:8" x14ac:dyDescent="0.25">
      <c r="A1359" s="6">
        <v>45947</v>
      </c>
      <c r="B1359" s="7">
        <v>8958.2999999999993</v>
      </c>
      <c r="C1359" s="7">
        <v>9109.7000000000007</v>
      </c>
      <c r="D1359" s="7">
        <v>8843.7999999999993</v>
      </c>
      <c r="E1359" s="7">
        <v>8995.2999999999993</v>
      </c>
      <c r="F1359" s="8">
        <v>3717847000</v>
      </c>
      <c r="G1359" s="8">
        <v>37518950000</v>
      </c>
      <c r="H1359">
        <f t="shared" si="29"/>
        <v>297522.65661176195</v>
      </c>
    </row>
    <row r="1360" spans="1:8" x14ac:dyDescent="0.25">
      <c r="A1360" s="6">
        <v>45950</v>
      </c>
      <c r="B1360" s="7">
        <v>8995.2999999999993</v>
      </c>
      <c r="C1360" s="7">
        <v>9034.4</v>
      </c>
      <c r="D1360" s="7">
        <v>8963.6</v>
      </c>
      <c r="E1360" s="7">
        <v>9031.9</v>
      </c>
      <c r="F1360" s="8">
        <v>676486700</v>
      </c>
      <c r="G1360" s="8">
        <v>6283263000</v>
      </c>
      <c r="H1360">
        <f t="shared" si="29"/>
        <v>298733.2142620894</v>
      </c>
    </row>
    <row r="1361" spans="1:8" x14ac:dyDescent="0.25">
      <c r="A1361" s="6">
        <v>45954</v>
      </c>
      <c r="B1361" s="7">
        <v>8995.2999999999993</v>
      </c>
      <c r="C1361" s="7">
        <v>9115.2000000000007</v>
      </c>
      <c r="D1361" s="7">
        <v>8963.6</v>
      </c>
      <c r="E1361" s="7">
        <v>9019</v>
      </c>
      <c r="F1361" s="8">
        <v>3425116000</v>
      </c>
      <c r="G1361" s="8">
        <v>32491630000</v>
      </c>
      <c r="H1361">
        <f t="shared" si="29"/>
        <v>298306.54230336746</v>
      </c>
    </row>
    <row r="1362" spans="1:8" x14ac:dyDescent="0.25">
      <c r="A1362" s="6">
        <v>45957</v>
      </c>
      <c r="B1362" s="7">
        <v>9019</v>
      </c>
      <c r="C1362" s="7">
        <v>9083.4</v>
      </c>
      <c r="D1362" s="7">
        <v>9019</v>
      </c>
      <c r="E1362" s="7">
        <v>9055.6</v>
      </c>
      <c r="F1362" s="8">
        <v>543307100</v>
      </c>
      <c r="G1362" s="8">
        <v>5308005000</v>
      </c>
      <c r="H1362">
        <f t="shared" si="29"/>
        <v>299517.09995369491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2025-10-31T06:31:59Z</dcterms:modified>
</cp:coreProperties>
</file>