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1A280B96-A48E-4498-9F2A-A05FA57083D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7" i="5" l="1"/>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<sst xmlns="http://schemas.openxmlformats.org/spreadsheetml/2006/main" count="1032" uniqueCount="511">
  <si>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</si>
  <si>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</si>
  <si>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</si>
  <si>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</si>
  <si>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</si>
  <si>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</si>
  <si>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</si>
  <si>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</si>
  <si>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</si>
  <si>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</si>
  <si>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</si>
  <si>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</si>
  <si>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</si>
  <si>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</si>
  <si>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</si>
  <si>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</si>
  <si>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</si>
  <si>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</si>
  <si>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</si>
  <si>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</si>
  <si>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</si>
  <si>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</si>
  <si>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</si>
  <si>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</si>
  <si>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</si>
  <si>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</si>
  <si>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</si>
  <si>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</si>
  <si>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</si>
  <si>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</si>
  <si>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</si>
  <si>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</si>
  <si>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</si>
  <si>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</si>
  <si>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</si>
  <si>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</si>
  <si>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</si>
  <si>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</si>
  <si>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</si>
  <si>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</si>
  <si>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</si>
  <si>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</si>
  <si>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</si>
  <si>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</si>
  <si>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</si>
  <si>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</si>
  <si>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</si>
  <si>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</si>
  <si>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</si>
  <si>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</si>
  <si>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</si>
  <si>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</si>
  <si>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</si>
  <si>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</si>
  <si>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</si>
  <si>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</si>
  <si>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</si>
  <si>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</si>
  <si>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</si>
  <si>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</si>
  <si>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</si>
  <si>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</si>
  <si>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</si>
  <si>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</si>
  <si>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</si>
  <si>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</si>
  <si>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</si>
  <si>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</si>
  <si>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</si>
  <si>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</si>
  <si>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</si>
  <si>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</si>
  <si>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</si>
  <si>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</si>
  <si>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</si>
  <si>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</si>
  <si>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</si>
  <si>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</si>
  <si>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</si>
  <si>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</si>
  <si>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</si>
  <si>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</si>
  <si>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</si>
  <si>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</si>
  <si>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</si>
  <si>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</si>
  <si>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</si>
  <si>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</si>
  <si>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</si>
  <si>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</si>
  <si>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</si>
  <si>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</si>
  <si>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</si>
  <si>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</si>
  <si>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</si>
  <si>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</si>
  <si>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</si>
  <si>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</si>
  <si>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</si>
  <si>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</si>
  <si>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</si>
  <si>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</si>
  <si>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</si>
  <si>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</si>
  <si>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</si>
  <si>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</si>
  <si>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</si>
  <si>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</si>
  <si>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</si>
  <si>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</si>
  <si>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</si>
  <si>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</si>
  <si>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</si>
  <si>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</si>
  <si>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</si>
  <si>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</si>
  <si>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</si>
  <si>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</si>
  <si>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</si>
  <si>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</si>
  <si>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</si>
  <si>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</si>
  <si>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</si>
  <si>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</si>
  <si>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</si>
  <si>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</si>
  <si>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</si>
  <si>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</si>
  <si>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</si>
  <si>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</si>
  <si>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</si>
  <si>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</si>
  <si>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</si>
  <si>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</si>
  <si>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</si>
  <si>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</si>
  <si>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</si>
  <si>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</si>
  <si>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</si>
  <si>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</si>
  <si>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</si>
  <si>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</si>
  <si>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</si>
  <si>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</si>
  <si>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</si>
  <si>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</si>
  <si>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</si>
  <si>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</si>
  <si>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</si>
  <si>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</si>
  <si>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</si>
  <si>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</si>
  <si>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</si>
  <si>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</si>
  <si>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</si>
  <si>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</si>
  <si>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</si>
  <si>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</si>
  <si>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</si>
  <si>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</si>
  <si>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</si>
  <si>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</si>
  <si>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</si>
  <si>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</si>
  <si>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</si>
  <si>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</si>
  <si>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</si>
  <si>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</si>
  <si>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</si>
  <si>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</si>
  <si>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</si>
  <si>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</si>
  <si>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</si>
  <si>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</si>
  <si>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</si>
  <si>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</si>
  <si>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</si>
  <si>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</si>
  <si>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</si>
  <si>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</si>
  <si>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</si>
  <si>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</si>
  <si>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</si>
  <si>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</si>
  <si>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</si>
  <si>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</si>
  <si>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</si>
  <si>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</si>
  <si>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</si>
  <si>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</si>
  <si>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</si>
  <si>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</si>
  <si>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</si>
  <si>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</si>
  <si>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</si>
  <si>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</si>
  <si>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</si>
  <si>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</si>
  <si>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</si>
  <si>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</si>
  <si>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</si>
  <si>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</si>
  <si>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</si>
  <si>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</si>
  <si>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</si>
  <si>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</si>
  <si>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</si>
  <si>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</si>
  <si>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</si>
  <si>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</si>
  <si>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</si>
  <si>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</si>
  <si>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</si>
  <si>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</si>
  <si>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</si>
  <si>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</si>
  <si>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</si>
  <si>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</si>
  <si>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</si>
  <si>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</si>
  <si>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</si>
  <si>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</si>
  <si>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</si>
  <si>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</si>
  <si>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</si>
  <si>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</si>
  <si>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</si>
  <si>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</si>
  <si>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</si>
  <si>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</si>
  <si>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</si>
  <si>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</si>
  <si>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</si>
  <si>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</si>
  <si>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</si>
  <si>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</si>
  <si>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</si>
  <si>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</si>
  <si>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</si>
  <si>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</si>
  <si>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</si>
  <si>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</si>
  <si>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</si>
  <si>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</si>
  <si>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</si>
  <si>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</si>
  <si>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</si>
  <si>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</si>
  <si>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</si>
  <si>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</si>
  <si>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</si>
  <si>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</si>
  <si>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</si>
  <si>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</si>
  <si>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</si>
  <si>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</si>
  <si>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</si>
  <si>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</si>
  <si>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</si>
  <si>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</si>
  <si>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</si>
  <si>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</si>
  <si>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</si>
  <si>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</si>
  <si>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</si>
  <si>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</si>
  <si>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</si>
  <si>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</si>
  <si>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</si>
  <si>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</si>
  <si>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</si>
  <si>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</si>
  <si>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</si>
  <si>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</si>
  <si>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</si>
  <si>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</si>
  <si>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</si>
  <si>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</si>
  <si>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</si>
  <si>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</si>
  <si>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</si>
  <si>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</si>
  <si>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</si>
  <si>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</si>
  <si>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</si>
  <si>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</si>
  <si>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</si>
  <si>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</si>
  <si>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</si>
  <si>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</si>
  <si>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</si>
  <si>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</si>
  <si>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</si>
  <si>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</si>
  <si>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</si>
  <si>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</si>
  <si>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</si>
  <si>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</si>
  <si>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</si>
  <si>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</si>
  <si>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</si>
  <si>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</si>
  <si>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</si>
  <si>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</si>
  <si>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</si>
  <si>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</si>
  <si>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</si>
  <si>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</si>
  <si>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</si>
  <si>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</si>
  <si>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</si>
  <si>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</si>
  <si>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</si>
  <si>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</si>
  <si>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</si>
  <si>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</si>
  <si>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</si>
  <si>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</si>
  <si>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</si>
  <si>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</si>
  <si>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</si>
  <si>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</si>
  <si>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</si>
  <si>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</si>
  <si>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</si>
  <si>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</si>
  <si>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</si>
  <si>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</si>
  <si>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</si>
  <si>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</si>
  <si>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</si>
  <si>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</si>
  <si>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</si>
  <si>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</si>
  <si>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</si>
  <si>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</si>
  <si>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</si>
  <si>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</si>
  <si>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</si>
  <si>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</si>
  <si>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</si>
  <si>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</si>
  <si>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</si>
  <si>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</si>
  <si>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</si>
  <si>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</si>
  <si>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</si>
  <si>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</si>
  <si>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</si>
  <si>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</si>
  <si>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</si>
  <si>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</si>
  <si>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</si>
  <si>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</si>
  <si>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</si>
  <si>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</si>
  <si>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</si>
  <si>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</si>
  <si>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</si>
  <si>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</si>
  <si>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</si>
  <si>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</si>
  <si>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</si>
  <si>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</si>
  <si>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</si>
  <si>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</si>
  <si>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</si>
  <si>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</si>
  <si>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</si>
  <si>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</si>
  <si>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</si>
  <si>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</si>
  <si>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</si>
  <si>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</si>
  <si>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</si>
  <si>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</si>
  <si>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</si>
  <si>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</si>
  <si>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</si>
  <si>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</si>
  <si>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</si>
  <si>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</si>
  <si>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</si>
  <si>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</si>
  <si>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</si>
  <si>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</si>
  <si>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</si>
  <si>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</si>
  <si>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</si>
  <si>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</si>
  <si>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</si>
  <si>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</si>
  <si>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</si>
  <si>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</si>
  <si>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</si>
  <si>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</si>
  <si>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</si>
  <si>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</si>
  <si>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</si>
  <si>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</si>
  <si>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</si>
  <si>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</si>
  <si>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</si>
  <si>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</si>
  <si>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</si>
  <si>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</si>
  <si>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</si>
  <si>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</si>
  <si>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</si>
  <si>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</si>
  <si>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</si>
  <si>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</si>
  <si>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</si>
  <si>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</si>
  <si>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</si>
  <si>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</si>
  <si>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</si>
  <si>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</si>
  <si>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</si>
  <si>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</si>
  <si>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</si>
  <si>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</si>
  <si>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</si>
  <si>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</si>
  <si>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</si>
  <si>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</si>
  <si>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</si>
  <si>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</si>
  <si>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</si>
  <si>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</si>
  <si>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</si>
  <si>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</si>
  <si>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</si>
  <si>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</si>
  <si>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</si>
  <si>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</si>
  <si>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</si>
  <si>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</si>
  <si>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</si>
  <si>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</si>
  <si>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</si>
  <si>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</si>
  <si>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</si>
  <si>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</si>
  <si>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</si>
  <si>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</si>
  <si>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</si>
  <si>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</si>
  <si>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</si>
  <si>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</si>
  <si>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</si>
  <si>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</si>
  <si>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</si>
  <si>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</si>
  <si>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</si>
  <si>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</si>
  <si>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</si>
  <si>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</si>
  <si>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</si>
  <si>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</si>
  <si>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</si>
  <si>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</si>
  <si>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</si>
  <si>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</si>
  <si>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</si>
  <si>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</si>
  <si>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</si>
  <si>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</si>
  <si>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</si>
  <si>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</si>
  <si>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</si>
  <si>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</si>
  <si>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</si>
  <si>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</si>
  <si>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27.7x</t>
  </si>
  <si>
    <t>$-439.6M</t>
  </si>
  <si>
    <t>$-162.6M</t>
  </si>
  <si>
    <t>$2.2B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</si>
  <si>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</si>
  <si>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</si>
  <si>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</si>
  <si>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</si>
  <si>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</si>
  <si>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</si>
  <si>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</si>
  <si>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$4.5B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</si>
  <si>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</si>
  <si>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$2.3B</t>
  </si>
  <si>
    <t>2.7x</t>
  </si>
  <si>
    <t>2.3x</t>
  </si>
  <si>
    <t>$3.2B</t>
  </si>
  <si>
    <t>$12.3B</t>
  </si>
  <si>
    <t>3.9x</t>
  </si>
  <si>
    <t>13.7x</t>
  </si>
  <si>
    <t>$7.1B</t>
  </si>
  <si>
    <t>48.5x</t>
  </si>
  <si>
    <t>5.0x</t>
  </si>
  <si>
    <t>38.2x</t>
  </si>
  <si>
    <t>$9.0B</t>
  </si>
  <si>
    <t>67.9x</t>
  </si>
  <si>
    <t>$4.8B</t>
  </si>
  <si>
    <t>0.8x</t>
  </si>
  <si>
    <t>37.1x</t>
  </si>
  <si>
    <t>$13.6B</t>
  </si>
  <si>
    <t>1.7x</t>
  </si>
  <si>
    <t>1.0x</t>
  </si>
  <si>
    <t>373.1x</t>
  </si>
  <si>
    <t>$56.6B</t>
  </si>
  <si>
    <t>43.1x</t>
  </si>
  <si>
    <t>8.1x</t>
  </si>
  <si>
    <t>29.1x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</si>
</sst>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D14" sqref="D14"/>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471</v>
      </c>
      <c r="E1" s="1" t="s">
        <v>3</v>
      </c>
      <c r="F1" s="1" t="s">
        <v>472</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9.35</v>
      </c>
      <c r="F2">
        <f t="shared" ref="F2:F13" si="0">(E2/D2-1)*100</f>
        <v>8.4686774941995502</v>
      </c>
      <c r="G2" s="22">
        <v>8.4239999999999995</v>
      </c>
      <c r="H2" s="4">
        <v>9.36</v>
      </c>
      <c r="I2" s="4">
        <v>6.15</v>
      </c>
      <c r="J2" t="s">
        <v>491</v>
      </c>
      <c r="K2" s="3">
        <v>0.216</v>
      </c>
      <c r="L2" t="s">
        <v>479</v>
      </c>
      <c r="M2" t="s">
        <v>450</v>
      </c>
      <c r="N2" s="3">
        <v>6.0999999999999999E-2</v>
      </c>
      <c r="O2" t="s">
        <v>492</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3.53</v>
      </c>
      <c r="F3">
        <f t="shared" si="0"/>
        <v>14.983713355048867</v>
      </c>
      <c r="G3" s="22">
        <v>3.2130000000000001</v>
      </c>
      <c r="H3" s="4">
        <v>3.59</v>
      </c>
      <c r="I3" s="4">
        <v>2.67</v>
      </c>
      <c r="J3" t="s">
        <v>477</v>
      </c>
      <c r="K3" s="3">
        <v>0</v>
      </c>
      <c r="L3" t="s">
        <v>483</v>
      </c>
      <c r="M3" t="s">
        <v>439</v>
      </c>
      <c r="N3" s="3">
        <v>4.7E-2</v>
      </c>
      <c r="O3" t="s">
        <v>442</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3.85</v>
      </c>
      <c r="F4">
        <f t="shared" si="0"/>
        <v>5.7692307692307709</v>
      </c>
      <c r="G4" s="22">
        <v>3.51</v>
      </c>
      <c r="H4" s="4">
        <v>3.94</v>
      </c>
      <c r="I4" s="4">
        <v>3.1</v>
      </c>
      <c r="J4" t="s">
        <v>484</v>
      </c>
      <c r="K4" s="3">
        <v>0</v>
      </c>
      <c r="L4" t="s">
        <v>133</v>
      </c>
      <c r="M4" t="s">
        <v>442</v>
      </c>
      <c r="N4" s="3">
        <v>4.8000000000000001E-2</v>
      </c>
      <c r="O4" t="s">
        <v>493</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4.88</v>
      </c>
      <c r="F5">
        <f t="shared" si="0"/>
        <v>-5.7915057915057915</v>
      </c>
      <c r="G5" s="22">
        <v>4.4460000000000006</v>
      </c>
      <c r="H5" s="4">
        <v>5.33</v>
      </c>
      <c r="I5" s="4">
        <v>4.17</v>
      </c>
      <c r="J5" t="s">
        <v>494</v>
      </c>
      <c r="K5" s="3">
        <v>0</v>
      </c>
      <c r="L5" t="s">
        <v>46</v>
      </c>
      <c r="M5" t="s">
        <v>468</v>
      </c>
      <c r="N5" s="3">
        <v>8.2000000000000003E-2</v>
      </c>
      <c r="O5" t="s">
        <v>495</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9.35</v>
      </c>
      <c r="F6">
        <f t="shared" si="0"/>
        <v>-15.384615384615397</v>
      </c>
      <c r="G6" s="22">
        <v>8.7840000000000007</v>
      </c>
      <c r="H6" s="4">
        <v>11.74</v>
      </c>
      <c r="I6" s="4">
        <v>6.02</v>
      </c>
      <c r="J6" t="s">
        <v>397</v>
      </c>
      <c r="K6" s="3">
        <v>1</v>
      </c>
      <c r="L6" t="s">
        <v>398</v>
      </c>
      <c r="M6" t="s">
        <v>421</v>
      </c>
      <c r="N6" s="3">
        <v>5.5E-2</v>
      </c>
      <c r="O6" t="s">
        <v>496</v>
      </c>
      <c r="P6" t="s">
        <v>497</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2.29</v>
      </c>
      <c r="F7">
        <f t="shared" si="0"/>
        <v>-0.43478260869563856</v>
      </c>
      <c r="G7" s="22">
        <v>2.0790000000000002</v>
      </c>
      <c r="H7" s="4">
        <v>2.46</v>
      </c>
      <c r="I7" s="4">
        <v>1.7749999999999999</v>
      </c>
      <c r="J7" t="s">
        <v>498</v>
      </c>
      <c r="K7" s="3">
        <v>0</v>
      </c>
      <c r="L7" t="s">
        <v>37</v>
      </c>
      <c r="M7" t="s">
        <v>456</v>
      </c>
      <c r="N7" s="3">
        <v>3.9E-2</v>
      </c>
      <c r="O7" t="s">
        <v>473</v>
      </c>
      <c r="P7" t="s">
        <v>499</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5.72</v>
      </c>
      <c r="F8">
        <f t="shared" si="0"/>
        <v>31.494252873563223</v>
      </c>
      <c r="G8" s="22">
        <v>5.2649999999999997</v>
      </c>
      <c r="H8" s="4">
        <v>5.85</v>
      </c>
      <c r="I8" s="4">
        <v>2.94</v>
      </c>
      <c r="J8" t="s">
        <v>500</v>
      </c>
      <c r="K8" s="3">
        <v>0.9</v>
      </c>
      <c r="L8" t="s">
        <v>478</v>
      </c>
      <c r="M8" t="s">
        <v>459</v>
      </c>
      <c r="N8" s="3">
        <v>3.6999999999999998E-2</v>
      </c>
      <c r="O8" t="s">
        <v>501</v>
      </c>
      <c r="P8" t="s">
        <v>502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4.9400000000000004</v>
      </c>
      <c r="F9">
        <f t="shared" si="0"/>
        <v>26.342710997442452</v>
      </c>
      <c r="G9" s="22">
        <v>4.5449999999999999</v>
      </c>
      <c r="H9" s="4">
        <v>5.2</v>
      </c>
      <c r="I9" s="4">
        <v>3.55</v>
      </c>
      <c r="J9" t="s">
        <v>503</v>
      </c>
      <c r="K9" s="3">
        <v>1</v>
      </c>
      <c r="L9" t="s">
        <v>27</v>
      </c>
      <c r="M9" t="s">
        <v>474</v>
      </c>
      <c r="N9" s="3">
        <v>3.5999999999999997E-2</v>
      </c>
      <c r="O9" t="s">
        <v>504</v>
      </c>
      <c r="Q9" t="s">
        <v>475</v>
      </c>
      <c r="R9" s="3">
        <v>8.8999999999999996E-2</v>
      </c>
      <c r="T9" t="s">
        <v>476</v>
      </c>
      <c r="U9" s="3">
        <v>6.2E-2</v>
      </c>
      <c r="V9" s="3">
        <v>4.7E-2</v>
      </c>
      <c r="W9" s="3">
        <v>8.3000000000000004E-2</v>
      </c>
      <c r="X9" s="3">
        <v>0.216</v>
      </c>
    </row>
    <row r="10" spans="1:24" x14ac:dyDescent="0.25">
      <c r="A10" t="s">
        <v>160</v>
      </c>
      <c r="B10" t="s">
        <v>345</v>
      </c>
      <c r="C10" t="s">
        <v>22</v>
      </c>
      <c r="D10" s="5">
        <v>13.56</v>
      </c>
      <c r="E10" s="4">
        <v>22.52</v>
      </c>
      <c r="F10">
        <f t="shared" si="0"/>
        <v>66.076696165191734</v>
      </c>
      <c r="G10" s="22">
        <v>20.961000900000002</v>
      </c>
      <c r="H10" s="4">
        <v>23.63</v>
      </c>
      <c r="I10" s="4">
        <v>11.78</v>
      </c>
      <c r="J10" t="s">
        <v>487</v>
      </c>
      <c r="K10" s="3">
        <v>1</v>
      </c>
      <c r="L10" t="s">
        <v>374</v>
      </c>
      <c r="M10" t="s">
        <v>461</v>
      </c>
      <c r="N10" s="3">
        <v>3.2000000000000001E-2</v>
      </c>
      <c r="O10" t="s">
        <v>505</v>
      </c>
      <c r="P10" t="s">
        <v>506</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5</v>
      </c>
      <c r="F11">
        <f t="shared" si="0"/>
        <v>28.865979381443307</v>
      </c>
      <c r="G11" s="22">
        <v>4.5179999999999998</v>
      </c>
      <c r="H11" s="4">
        <v>5.0199999999999996</v>
      </c>
      <c r="I11" s="4">
        <v>3.66</v>
      </c>
      <c r="J11" t="s">
        <v>507</v>
      </c>
      <c r="K11" s="3">
        <v>1</v>
      </c>
      <c r="L11" t="s">
        <v>162</v>
      </c>
      <c r="M11" t="s">
        <v>464</v>
      </c>
      <c r="N11" s="3">
        <v>3.7999999999999999E-2</v>
      </c>
      <c r="O11" t="s">
        <v>470</v>
      </c>
      <c r="P11" t="s">
        <v>508</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6.8</v>
      </c>
      <c r="F12">
        <f t="shared" si="0"/>
        <v>12.211221122112214</v>
      </c>
      <c r="G12" s="22">
        <v>6.2820000000000009</v>
      </c>
      <c r="H12" s="4">
        <v>7.93</v>
      </c>
      <c r="I12" s="4">
        <v>5.88</v>
      </c>
      <c r="J12" t="s">
        <v>485</v>
      </c>
      <c r="K12" s="3">
        <v>1</v>
      </c>
      <c r="L12" t="s">
        <v>375</v>
      </c>
      <c r="M12" t="s">
        <v>480</v>
      </c>
      <c r="N12" s="3">
        <v>5.6000000000000001E-2</v>
      </c>
      <c r="O12" t="s">
        <v>488</v>
      </c>
      <c r="P12" t="s">
        <v>489</v>
      </c>
      <c r="Q12" t="s">
        <v>481</v>
      </c>
      <c r="R12" s="3">
        <v>2.82</v>
      </c>
      <c r="T12" t="s">
        <v>482</v>
      </c>
      <c r="U12" s="3">
        <v>7.9000000000000001E-2</v>
      </c>
      <c r="V12" s="3">
        <v>0.30199999999999999</v>
      </c>
      <c r="W12" s="3">
        <v>-0.28799999999999998</v>
      </c>
      <c r="X12" s="3">
        <v>2.1999999999999999E-2</v>
      </c>
    </row>
    <row r="13" spans="1:24" x14ac:dyDescent="0.25">
      <c r="A13" t="s">
        <v>164</v>
      </c>
      <c r="B13" t="s">
        <v>348</v>
      </c>
      <c r="C13" t="s">
        <v>34</v>
      </c>
      <c r="D13">
        <v>2.36</v>
      </c>
      <c r="E13" s="4">
        <v>2.27</v>
      </c>
      <c r="F13">
        <f t="shared" si="0"/>
        <v>-3.8135593220338881</v>
      </c>
      <c r="G13" s="22">
        <v>2.0745</v>
      </c>
      <c r="H13" s="4">
        <v>2.5299999999999998</v>
      </c>
      <c r="I13" s="4">
        <v>2</v>
      </c>
      <c r="J13" t="s">
        <v>490</v>
      </c>
      <c r="K13" s="3">
        <v>0</v>
      </c>
      <c r="L13" t="s">
        <v>486</v>
      </c>
      <c r="M13" t="s">
        <v>465</v>
      </c>
      <c r="N13" s="3">
        <v>4.9000000000000002E-2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20" sqref="H2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9.35</v>
      </c>
      <c r="K2" s="5">
        <f>(J2/C2-1)*100</f>
        <v>-15.384615384615397</v>
      </c>
      <c r="L2" s="4">
        <v>11.74</v>
      </c>
      <c r="M2" s="4">
        <v>6.02</v>
      </c>
      <c r="N2" t="s">
        <v>397</v>
      </c>
      <c r="O2" s="3">
        <v>1</v>
      </c>
      <c r="P2" t="s">
        <v>398</v>
      </c>
      <c r="Q2" t="s">
        <v>421</v>
      </c>
      <c r="R2" s="3">
        <v>5.5E-2</v>
      </c>
      <c r="S2" t="s">
        <v>496</v>
      </c>
      <c r="T2" t="s">
        <v>497</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9.35</v>
      </c>
      <c r="K4" s="5">
        <f t="shared" si="0"/>
        <v>8.4686774941995502</v>
      </c>
      <c r="L4" s="4">
        <v>9.36</v>
      </c>
      <c r="M4" s="4">
        <v>6.15</v>
      </c>
      <c r="N4" t="s">
        <v>491</v>
      </c>
      <c r="O4" s="3">
        <v>0.216</v>
      </c>
      <c r="P4" t="s">
        <v>479</v>
      </c>
      <c r="Q4" t="s">
        <v>450</v>
      </c>
      <c r="R4" s="3">
        <v>6.0999999999999999E-2</v>
      </c>
      <c r="S4" t="s">
        <v>492</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3.53</v>
      </c>
      <c r="K5" s="5">
        <f t="shared" si="0"/>
        <v>14.983713355048867</v>
      </c>
      <c r="L5" s="4">
        <v>3.59</v>
      </c>
      <c r="M5" s="4">
        <v>2.67</v>
      </c>
      <c r="N5" t="s">
        <v>477</v>
      </c>
      <c r="O5" s="3">
        <v>0</v>
      </c>
      <c r="P5" t="s">
        <v>483</v>
      </c>
      <c r="Q5" t="s">
        <v>439</v>
      </c>
      <c r="R5" s="3">
        <v>4.7E-2</v>
      </c>
      <c r="S5" t="s">
        <v>442</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3.85</v>
      </c>
      <c r="K6" s="5">
        <f t="shared" si="0"/>
        <v>5.7692307692307709</v>
      </c>
      <c r="L6" s="4">
        <v>3.94</v>
      </c>
      <c r="M6" s="4">
        <v>3.1</v>
      </c>
      <c r="N6" t="s">
        <v>484</v>
      </c>
      <c r="O6" s="3">
        <v>0</v>
      </c>
      <c r="P6" t="s">
        <v>133</v>
      </c>
      <c r="Q6" t="s">
        <v>442</v>
      </c>
      <c r="R6" s="3">
        <v>4.8000000000000001E-2</v>
      </c>
      <c r="S6" t="s">
        <v>493</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4.88</v>
      </c>
      <c r="K7" s="5">
        <f t="shared" si="0"/>
        <v>-5.7915057915057915</v>
      </c>
      <c r="L7" s="4">
        <v>5.33</v>
      </c>
      <c r="M7" s="4">
        <v>4.17</v>
      </c>
      <c r="N7" t="s">
        <v>494</v>
      </c>
      <c r="O7" s="3">
        <v>0</v>
      </c>
      <c r="P7" t="s">
        <v>46</v>
      </c>
      <c r="Q7" t="s">
        <v>468</v>
      </c>
      <c r="R7" s="3">
        <v>8.2000000000000003E-2</v>
      </c>
      <c r="S7" t="s">
        <v>495</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2.29</v>
      </c>
      <c r="K9" s="5">
        <f t="shared" si="0"/>
        <v>-0.43478260869563856</v>
      </c>
      <c r="L9" s="4">
        <v>2.46</v>
      </c>
      <c r="M9" s="4">
        <v>1.7749999999999999</v>
      </c>
      <c r="N9" t="s">
        <v>498</v>
      </c>
      <c r="O9" s="3">
        <v>0</v>
      </c>
      <c r="P9" t="s">
        <v>37</v>
      </c>
      <c r="Q9" t="s">
        <v>456</v>
      </c>
      <c r="R9" s="3">
        <v>3.9E-2</v>
      </c>
      <c r="S9" t="s">
        <v>473</v>
      </c>
      <c r="T9" t="s">
        <v>499</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5.72</v>
      </c>
      <c r="K10" s="5">
        <f t="shared" si="0"/>
        <v>31.494252873563223</v>
      </c>
      <c r="L10" s="4">
        <v>5.85</v>
      </c>
      <c r="M10" s="4">
        <v>2.94</v>
      </c>
      <c r="N10" t="s">
        <v>500</v>
      </c>
      <c r="O10" s="3">
        <v>0.9</v>
      </c>
      <c r="P10" t="s">
        <v>478</v>
      </c>
      <c r="Q10" t="s">
        <v>459</v>
      </c>
      <c r="R10" s="3">
        <v>3.6999999999999998E-2</v>
      </c>
      <c r="S10" t="s">
        <v>501</v>
      </c>
      <c r="T10" t="s">
        <v>502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4.9400000000000004</v>
      </c>
      <c r="K11" s="5">
        <f t="shared" si="0"/>
        <v>26.342710997442452</v>
      </c>
      <c r="L11" s="4">
        <v>5.2</v>
      </c>
      <c r="M11" s="4">
        <v>3.55</v>
      </c>
      <c r="N11" t="s">
        <v>503</v>
      </c>
      <c r="O11" s="3">
        <v>1</v>
      </c>
      <c r="P11" t="s">
        <v>27</v>
      </c>
      <c r="Q11" t="s">
        <v>474</v>
      </c>
      <c r="R11" s="3">
        <v>3.5999999999999997E-2</v>
      </c>
      <c r="S11" t="s">
        <v>504</v>
      </c>
      <c r="U11" t="s">
        <v>475</v>
      </c>
      <c r="V11" s="3">
        <v>8.8999999999999996E-2</v>
      </c>
      <c r="X11" t="s">
        <v>476</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49.150420956438715</v>
      </c>
      <c r="F2">
        <f>C2-D2</f>
        <v>76</v>
      </c>
      <c r="G2">
        <f>AVERAGEIF(Trades!$J$2:J894,"&lt;0")*100</f>
        <v>-14.028611256790855</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7"/>
  <sheetViews>
    <sheetView tabSelected="1" topLeftCell="A1324" workbookViewId="0">
      <selection activeCell="B1366" sqref="B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N2" sqref="N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45968</v>
      </c>
      <c r="G2" s="4">
        <v>9.35</v>
      </c>
      <c r="H2" s="3">
        <f>G2/E2-1</f>
        <v>-0.11792452830188682</v>
      </c>
      <c r="I2" s="15">
        <f t="shared" ref="I2:I3" si="0">K2*E2*J2</f>
        <v>-15930.678400000003</v>
      </c>
      <c r="J2" s="17">
        <f t="shared" ref="J2:J3" si="1">H2-0.002</f>
        <v>-0.11992452830188682</v>
      </c>
      <c r="K2" s="15">
        <v>12532</v>
      </c>
      <c r="N2" s="4"/>
    </row>
    <row r="3" spans="1:30" x14ac:dyDescent="0.25">
      <c r="A3" s="3" t="s">
        <v>135</v>
      </c>
      <c r="B3" t="s">
        <v>158</v>
      </c>
      <c r="C3" t="s">
        <v>335</v>
      </c>
      <c r="D3" s="2">
        <v>45793</v>
      </c>
      <c r="E3">
        <v>8.6199999999999992</v>
      </c>
      <c r="F3" s="14">
        <v>45968</v>
      </c>
      <c r="G3" s="4">
        <v>9.35</v>
      </c>
      <c r="H3" s="3">
        <f t="shared" ref="H3" si="2">G3/E3-1</f>
        <v>8.4686774941995502E-2</v>
      </c>
      <c r="I3">
        <f t="shared" si="0"/>
        <v>10264.456760000017</v>
      </c>
      <c r="J3" s="3">
        <f t="shared" si="1"/>
        <v>8.26867749419955E-2</v>
      </c>
      <c r="K3">
        <v>14401</v>
      </c>
      <c r="N3" s="4"/>
      <c r="P3" s="11"/>
      <c r="Q3" s="13"/>
      <c r="R3" s="2"/>
      <c r="T3" s="3"/>
      <c r="V3" s="3"/>
      <c r="AA3" s="3"/>
      <c r="AB3" s="3"/>
      <c r="AC3" s="3"/>
      <c r="AD3" s="3"/>
    </row>
    <row r="4" spans="1:30" x14ac:dyDescent="0.25">
      <c r="A4" s="3" t="s">
        <v>80</v>
      </c>
      <c r="B4" t="s">
        <v>131</v>
      </c>
      <c r="C4" t="s">
        <v>335</v>
      </c>
      <c r="D4" s="2">
        <v>45786</v>
      </c>
      <c r="E4">
        <v>3.07</v>
      </c>
      <c r="F4" s="14">
        <v>45968</v>
      </c>
      <c r="G4" s="4">
        <v>3.53</v>
      </c>
      <c r="H4" s="3">
        <f t="shared" ref="H4:H13" si="3">G4/E4-1</f>
        <v>0.14983713355048867</v>
      </c>
      <c r="I4">
        <f t="shared" ref="I4:I13" si="4">K4*E4*J4</f>
        <v>17486.318080000008</v>
      </c>
      <c r="J4" s="3">
        <f t="shared" ref="J4:J13" si="5">H4-0.002</f>
        <v>0.14783713355048866</v>
      </c>
      <c r="K4">
        <v>38528</v>
      </c>
      <c r="N4" s="4"/>
      <c r="P4" s="11"/>
      <c r="Q4" s="12"/>
      <c r="R4" s="2"/>
      <c r="T4" s="3"/>
      <c r="V4" s="3"/>
      <c r="AA4" s="3"/>
      <c r="AB4" s="3"/>
      <c r="AC4" s="3"/>
      <c r="AD4" s="3"/>
    </row>
    <row r="5" spans="1:30" x14ac:dyDescent="0.25">
      <c r="A5" s="3" t="s">
        <v>81</v>
      </c>
      <c r="B5" t="s">
        <v>132</v>
      </c>
      <c r="C5" t="s">
        <v>335</v>
      </c>
      <c r="D5" s="2">
        <v>45786</v>
      </c>
      <c r="E5">
        <v>3.64</v>
      </c>
      <c r="F5" s="14">
        <v>45968</v>
      </c>
      <c r="G5" s="4">
        <v>3.85</v>
      </c>
      <c r="H5" s="3">
        <f t="shared" si="3"/>
        <v>5.7692307692307709E-2</v>
      </c>
      <c r="I5">
        <f t="shared" si="4"/>
        <v>6679.6240000000016</v>
      </c>
      <c r="J5" s="3">
        <f t="shared" si="5"/>
        <v>5.5692307692307708E-2</v>
      </c>
      <c r="K5">
        <v>32950</v>
      </c>
      <c r="N5" s="4"/>
      <c r="P5" s="11"/>
      <c r="Q5" s="12"/>
      <c r="R5" s="2"/>
      <c r="T5" s="3"/>
      <c r="V5" s="3"/>
      <c r="AA5" s="3"/>
      <c r="AB5" s="3"/>
      <c r="AC5" s="3"/>
      <c r="AD5" s="3"/>
    </row>
    <row r="6" spans="1:30" x14ac:dyDescent="0.25">
      <c r="A6" s="3" t="s">
        <v>45</v>
      </c>
      <c r="B6" t="s">
        <v>134</v>
      </c>
      <c r="C6" t="s">
        <v>335</v>
      </c>
      <c r="D6" s="2">
        <v>45786</v>
      </c>
      <c r="E6">
        <v>5.18</v>
      </c>
      <c r="F6" s="14">
        <v>45968</v>
      </c>
      <c r="G6" s="4">
        <v>4.88</v>
      </c>
      <c r="H6" s="3">
        <f t="shared" si="3"/>
        <v>-5.791505791505791E-2</v>
      </c>
      <c r="I6">
        <f t="shared" si="4"/>
        <v>-6997.9972799999996</v>
      </c>
      <c r="J6" s="3">
        <f t="shared" si="5"/>
        <v>-5.9915057915057912E-2</v>
      </c>
      <c r="K6">
        <v>22548</v>
      </c>
      <c r="N6" s="4"/>
      <c r="P6" s="11"/>
      <c r="Q6" s="12"/>
      <c r="R6" s="2"/>
      <c r="T6" s="3"/>
      <c r="V6" s="3"/>
      <c r="AA6" s="3"/>
      <c r="AB6" s="3"/>
      <c r="AC6" s="3"/>
      <c r="AD6" s="3"/>
    </row>
    <row r="7" spans="1:30" x14ac:dyDescent="0.25">
      <c r="A7" s="3" t="s">
        <v>36</v>
      </c>
      <c r="B7" t="s">
        <v>35</v>
      </c>
      <c r="C7" t="s">
        <v>335</v>
      </c>
      <c r="D7" s="2">
        <v>45786</v>
      </c>
      <c r="E7">
        <v>2.2999999999999998</v>
      </c>
      <c r="F7" s="14">
        <v>45968</v>
      </c>
      <c r="G7" s="4">
        <v>2.29</v>
      </c>
      <c r="H7" s="3">
        <f t="shared" si="3"/>
        <v>-4.3478260869563856E-3</v>
      </c>
      <c r="I7">
        <f t="shared" si="4"/>
        <v>-756.92239999998378</v>
      </c>
      <c r="J7" s="3">
        <f t="shared" si="5"/>
        <v>-6.3478260869563857E-3</v>
      </c>
      <c r="K7">
        <v>51844</v>
      </c>
      <c r="N7" s="4"/>
      <c r="P7" s="18"/>
      <c r="Q7" s="12"/>
      <c r="R7" s="2"/>
      <c r="T7" s="3"/>
      <c r="V7" s="3"/>
      <c r="AA7" s="3"/>
      <c r="AB7" s="3"/>
      <c r="AC7" s="3"/>
      <c r="AD7" s="3"/>
    </row>
    <row r="8" spans="1:30" x14ac:dyDescent="0.25">
      <c r="A8" s="3" t="s">
        <v>31</v>
      </c>
      <c r="B8" t="s">
        <v>30</v>
      </c>
      <c r="C8" t="s">
        <v>335</v>
      </c>
      <c r="D8" s="2">
        <v>45786</v>
      </c>
      <c r="E8">
        <v>4.3499999999999996</v>
      </c>
      <c r="F8" s="14">
        <v>45968</v>
      </c>
      <c r="G8" s="4">
        <v>5.72</v>
      </c>
      <c r="H8" s="3">
        <f t="shared" si="3"/>
        <v>0.31494252873563222</v>
      </c>
      <c r="I8">
        <f t="shared" si="4"/>
        <v>36567.240600000005</v>
      </c>
      <c r="J8" s="3">
        <f t="shared" si="5"/>
        <v>0.31294252873563222</v>
      </c>
      <c r="K8">
        <v>26862</v>
      </c>
      <c r="N8" s="4"/>
      <c r="P8" s="11"/>
      <c r="Q8" s="12"/>
      <c r="R8" s="2"/>
      <c r="T8" s="3"/>
      <c r="V8" s="3"/>
      <c r="AA8" s="3"/>
      <c r="AB8" s="3"/>
      <c r="AC8" s="3"/>
      <c r="AD8" s="3"/>
    </row>
    <row r="9" spans="1:30" x14ac:dyDescent="0.25">
      <c r="A9" s="3" t="s">
        <v>25</v>
      </c>
      <c r="B9" t="s">
        <v>24</v>
      </c>
      <c r="C9" t="s">
        <v>335</v>
      </c>
      <c r="D9" s="2">
        <v>45695</v>
      </c>
      <c r="E9">
        <v>3.8413110000000001</v>
      </c>
      <c r="F9" s="14">
        <v>45968</v>
      </c>
      <c r="G9" s="4">
        <v>4.9400000000000004</v>
      </c>
      <c r="H9" s="3">
        <f t="shared" si="3"/>
        <v>0.28601927831409646</v>
      </c>
      <c r="I9">
        <f t="shared" si="4"/>
        <v>33921.570304776003</v>
      </c>
      <c r="J9" s="3">
        <f t="shared" si="5"/>
        <v>0.28401927831409646</v>
      </c>
      <c r="K9">
        <v>31092</v>
      </c>
      <c r="N9" s="4"/>
      <c r="P9" s="11"/>
      <c r="Q9" s="12"/>
      <c r="R9" s="2"/>
      <c r="T9" s="3"/>
      <c r="V9" s="3"/>
      <c r="AA9" s="3"/>
      <c r="AB9" s="3"/>
      <c r="AC9" s="3"/>
      <c r="AD9" s="3"/>
    </row>
    <row r="10" spans="1:30" x14ac:dyDescent="0.25">
      <c r="A10" s="3" t="s">
        <v>118</v>
      </c>
      <c r="B10" t="s">
        <v>160</v>
      </c>
      <c r="C10" t="s">
        <v>335</v>
      </c>
      <c r="D10" s="2">
        <v>45639</v>
      </c>
      <c r="E10">
        <v>13.27768</v>
      </c>
      <c r="F10" s="14">
        <v>45968</v>
      </c>
      <c r="G10" s="4">
        <v>22.52</v>
      </c>
      <c r="H10" s="3">
        <f t="shared" si="3"/>
        <v>0.69607943556404428</v>
      </c>
      <c r="I10">
        <f t="shared" si="4"/>
        <v>80453.625307199996</v>
      </c>
      <c r="J10" s="3">
        <f t="shared" si="5"/>
        <v>0.69407943556404428</v>
      </c>
      <c r="K10">
        <v>8730</v>
      </c>
      <c r="N10" s="4"/>
      <c r="P10" s="11"/>
      <c r="Q10" s="12"/>
      <c r="R10" s="2"/>
      <c r="T10" s="3"/>
      <c r="V10" s="3"/>
      <c r="AA10" s="3"/>
      <c r="AB10" s="3"/>
      <c r="AC10" s="3"/>
      <c r="AD10" s="3"/>
    </row>
    <row r="11" spans="1:30" x14ac:dyDescent="0.25">
      <c r="A11" s="3" t="s">
        <v>136</v>
      </c>
      <c r="B11" t="s">
        <v>161</v>
      </c>
      <c r="C11" t="s">
        <v>335</v>
      </c>
      <c r="D11" s="2">
        <v>45499</v>
      </c>
      <c r="E11">
        <v>3.696536</v>
      </c>
      <c r="F11" s="14">
        <v>45968</v>
      </c>
      <c r="G11" s="4">
        <v>5</v>
      </c>
      <c r="H11" s="3">
        <f t="shared" si="3"/>
        <v>0.35261769397078768</v>
      </c>
      <c r="I11">
        <f t="shared" si="4"/>
        <v>39023.399571151989</v>
      </c>
      <c r="J11" s="3">
        <f t="shared" si="5"/>
        <v>0.35061769397078768</v>
      </c>
      <c r="K11">
        <v>30109</v>
      </c>
      <c r="N11" s="4"/>
      <c r="P11" s="11"/>
      <c r="Q11" s="12"/>
      <c r="R11" s="2"/>
      <c r="T11" s="3"/>
      <c r="V11" s="3"/>
      <c r="AA11" s="3"/>
      <c r="AB11" s="3"/>
      <c r="AC11" s="3"/>
      <c r="AD11" s="3"/>
    </row>
    <row r="12" spans="1:30" x14ac:dyDescent="0.25">
      <c r="A12" s="3" t="s">
        <v>115</v>
      </c>
      <c r="B12" t="s">
        <v>163</v>
      </c>
      <c r="C12" t="s">
        <v>335</v>
      </c>
      <c r="D12" s="2">
        <v>45282</v>
      </c>
      <c r="E12">
        <v>5.588908</v>
      </c>
      <c r="F12" s="14">
        <v>45968</v>
      </c>
      <c r="G12" s="4">
        <v>6.8</v>
      </c>
      <c r="H12" s="3">
        <f t="shared" si="3"/>
        <v>0.2166956407226599</v>
      </c>
      <c r="I12">
        <f t="shared" si="4"/>
        <v>23515.918178031996</v>
      </c>
      <c r="J12" s="3">
        <f t="shared" si="5"/>
        <v>0.2146956407226599</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45968</v>
      </c>
      <c r="G13" s="4">
        <v>2.27</v>
      </c>
      <c r="H13" s="3">
        <f t="shared" si="3"/>
        <v>2.762593510564848E-2</v>
      </c>
      <c r="I13">
        <f t="shared" si="4"/>
        <v>2799.5016577499928</v>
      </c>
      <c r="J13" s="3">
        <f t="shared" si="5"/>
        <v>2.5625935105648479E-2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6"/>
  <sheetViews>
    <sheetView topLeftCell="A1340" workbookViewId="0">
      <selection activeCell="H1367" sqref="H136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6"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2025-11-14T04:05:19Z</dcterms:modified>
</cp:coreProperties>
</file>