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A:\AusBiz\live_file\"/>
    </mc:Choice>
  </mc:AlternateContent>
  <xr:revisionPtr revIDLastSave="0" documentId="13_ncr:1_{07E240E7-BA2C-46EE-B83B-B79D1F898331}" xr6:coauthVersionLast="47" xr6:coauthVersionMax="47" xr10:uidLastSave="{00000000-0000-0000-0000-000000000000}"/>
  <bookViews>
    <workbookView xWindow="28785" yWindow="-16170" windowWidth="29040" windowHeight="15720" activeTab="5" xr2:uid="{81C078DF-C6DC-4EDE-84BA-4AA4EC3B6DCD}"/>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3" l="1"/>
  <c r="F15" i="3"/>
  <c r="F14" i="3"/>
  <c r="F13" i="3"/>
  <c r="F12" i="3"/>
  <c r="F11" i="3"/>
  <c r="F10" i="3"/>
  <c r="F9" i="3"/>
  <c r="F8" i="3"/>
  <c r="F7" i="3"/>
  <c r="F6" i="3"/>
  <c r="F5" i="3"/>
  <c r="F4" i="3"/>
</calcChain>
</file>

<file path=xl/sharedStrings.xml><?xml version="1.0" encoding="utf-8"?>
<sst xmlns="http://schemas.openxmlformats.org/spreadsheetml/2006/main" count="695" uniqueCount="191">
  <si>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</si>
  <si>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</si>
  <si>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</si>
  <si>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</si>
  <si>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</si>
  <si>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</si>
  <si>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</si>
  <si>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</si>
  <si>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</si>
  <si>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</si>
  <si>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</si>
  <si>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</si>
  <si>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</si>
  <si>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</si>
  <si>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</si>
  <si>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</si>
  <si>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</si>
  <si>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</si>
  <si>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</si>
  <si>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</si>
  <si>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</si>
  <si>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</si>
  <si>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</si>
  <si>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</si>
  <si>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$3.6B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</si>
  <si>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</si>
  <si>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</si>
  <si>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3.6x</t>
  </si>
  <si>
    <t>1231.9x</t>
  </si>
  <si>
    <t>$-580.4M</t>
  </si>
  <si>
    <t>$2.9M</t>
  </si>
  <si>
    <t>Pro Medicus Limited Ordinary</t>
  </si>
  <si>
    <t>PME.ASX</t>
  </si>
  <si>
    <t>Health Care</t>
  </si>
  <si>
    <t>$28.0B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</si>
  <si>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</si>
  <si>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</si>
  <si>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168.4x</t>
  </si>
  <si>
    <t>723.3x</t>
  </si>
  <si>
    <t>$-151.4M</t>
  </si>
  <si>
    <t>$38.7M</t>
  </si>
  <si>
    <t>Zip Co Limited. Ordinary</t>
  </si>
  <si>
    <t>ZIP.ASX</t>
  </si>
  <si>
    <t>$4.1B</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</si>
  <si>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</si>
  <si>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106.9x</t>
  </si>
  <si>
    <t>4.7x</t>
  </si>
  <si>
    <t>16.1x</t>
  </si>
  <si>
    <t>$2298.9M</t>
  </si>
  <si>
    <t>$255.1M</t>
  </si>
  <si>
    <t>Healius Limited Ordinary</t>
  </si>
  <si>
    <t>HLS.ASX</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</si>
  <si>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</si>
  <si>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</si>
  <si>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0.6x</t>
  </si>
  <si>
    <t>5.1x</t>
  </si>
  <si>
    <t>$1537.8M</t>
  </si>
  <si>
    <t>$202.8M</t>
  </si>
  <si>
    <t>AGL Energy Limited Ordinary</t>
  </si>
  <si>
    <t>AGL.ASX</t>
  </si>
  <si>
    <t>Utilities</t>
  </si>
  <si>
    <t>$7.4B</t>
  </si>
  <si>
    <t xml:space="preserve">AGL Energy Limited is an Australia-based company that provides energy and telecommunications customer services. The Company operates through three segments: Customer Markets, Integrated Energy, and Investments. The Customer Markets segment comprises the Consumer and Large Business customer portfolios responsible for the retailing of electricity, gas, telecommunications (broadband/ mobile/voice), solar and energy products and services to residential, small and large business customers. Its Integrated Energy segment operates a power generation portfolio and other key assets, including coal, gas and renewable generation facilities, natural gas storage and production facilities, and development projects. The Investments segment comprises the Company's interests in the ActewAGL Retail Partnership, Tilt Renewables, Energy Impact Partners Europe, Solar Analytics Pty Limited, Sunverge Energy Inc, RayGen Resources Pty Ltd, Honey Insurance Pty Ltd and Ovo Energy Australia Pty Ltd. </t>
  </si>
  <si>
    <t>10.2x</t>
  </si>
  <si>
    <t>0.5x</t>
  </si>
  <si>
    <t>6.9x</t>
  </si>
  <si>
    <t>$808.0M</t>
  </si>
  <si>
    <t>$1072.0M</t>
  </si>
  <si>
    <t>Pinnacle Investment Management Group Limited Ordinary</t>
  </si>
  <si>
    <t>PNI.ASX</t>
  </si>
  <si>
    <t>$5.5B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</si>
  <si>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</si>
  <si>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</si>
  <si>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111.7x</t>
  </si>
  <si>
    <t>216.6x</t>
  </si>
  <si>
    <t>$-75.4M</t>
  </si>
  <si>
    <t>$25.3M</t>
  </si>
  <si>
    <t>Life360 Inc. CDI 3:1 Foreign Exempt Xngs</t>
  </si>
  <si>
    <t>360.ASX</t>
  </si>
  <si>
    <t>Information Technology</t>
  </si>
  <si>
    <t>$3.8B</t>
  </si>
  <si>
    <t>Life360, Inc. is a provider of technology platform used to locate the people, pets and things that matter to families. The Company has a category at the intersection of family, technology, and safety to help keep families connected and safe. Its products include Life360 Subscription Offerings, Life360 Platform, Tile Product Line, Tile Subscription Offerings, Jiobit Product Line and Jiobit Subscription Offerings. The Life360 mobile application operates under a freemium model where its core offering is available to users. In addition, three paid membership subscription options are available for users looking for a variety of features, such as additional safety features for the everyday family: Life360 Silver, Life360 Gold, and Life360 Platinum, which offer users a comprehensive suite of premium safety services. It offers four key product features that combined make up the Life360 Platform: location coordination and safety, driving safety, digital safety, and emergency assistance.</t>
  </si>
  <si>
    <t>8.1x</t>
  </si>
  <si>
    <t>465.0x</t>
  </si>
  <si>
    <t>$-239.4M</t>
  </si>
  <si>
    <t>$8.0M</t>
  </si>
  <si>
    <t>SGH Limited Ordinary</t>
  </si>
  <si>
    <t>SGH.ASX</t>
  </si>
  <si>
    <t>Industrials</t>
  </si>
  <si>
    <t>$19.9B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</si>
  <si>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</si>
  <si>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</si>
  <si>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1.9x</t>
  </si>
  <si>
    <t>$5322.3M</t>
  </si>
  <si>
    <t>$-34.4M</t>
  </si>
  <si>
    <t>Super Retail Group Limited Ordinary</t>
  </si>
  <si>
    <t>SUL.ASX</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</si>
  <si>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</si>
  <si>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</si>
  <si>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</si>
  <si>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</si>
  <si>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0.9x</t>
  </si>
  <si>
    <t>12.6x</t>
  </si>
  <si>
    <t>$885.6M</t>
  </si>
  <si>
    <t>$272.3M</t>
  </si>
  <si>
    <t>Computershare Limited Ordinary</t>
  </si>
  <si>
    <t>CPU.ASX</t>
  </si>
  <si>
    <t>$19.3B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</si>
  <si>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</si>
  <si>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</si>
  <si>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4.2x</t>
  </si>
  <si>
    <t>37.1x</t>
  </si>
  <si>
    <t>$733.9M</t>
  </si>
  <si>
    <t>$513.5M</t>
  </si>
  <si>
    <t>Downer EDI Limited Ordinary</t>
  </si>
  <si>
    <t>DOW.ASX</t>
  </si>
  <si>
    <t>$3.9B</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</si>
  <si>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</si>
  <si>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</si>
  <si>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0.4x</t>
  </si>
  <si>
    <t>13.3x</t>
  </si>
  <si>
    <t>$948.2M</t>
  </si>
  <si>
    <t>$290.8M</t>
  </si>
  <si>
    <t>Medibank Private Limited Ordinary</t>
  </si>
  <si>
    <t>MPL.ASX</t>
  </si>
  <si>
    <t>$10.6B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</si>
  <si>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</si>
  <si>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</si>
  <si>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1.4x</t>
  </si>
  <si>
    <t>27.6x</t>
  </si>
  <si>
    <t>$-472.7M</t>
  </si>
  <si>
    <t>$384.0M</t>
  </si>
  <si>
    <t>Suncorp Group Limited Ordinary</t>
  </si>
  <si>
    <t>SUN.ASX</t>
  </si>
  <si>
    <t>$25.2B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</si>
  <si>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</si>
  <si>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</si>
  <si>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14.0x</t>
  </si>
  <si>
    <t>$1791.0M</t>
  </si>
  <si>
    <t>$1805.0M</t>
  </si>
  <si>
    <t>Washington H Soul Pattinson &amp; Company Limited Ordinary</t>
  </si>
  <si>
    <t>SOL.ASX</t>
  </si>
  <si>
    <t>$13.0B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</si>
  <si>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</si>
  <si>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</si>
  <si>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23.2x</t>
  </si>
  <si>
    <t>$22.4M</t>
  </si>
  <si>
    <t>$-72.8M</t>
  </si>
  <si>
    <t>Steadfast Group Limited Ordinary</t>
  </si>
  <si>
    <t>SDF.ASX</t>
  </si>
  <si>
    <t>$6.6B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</si>
  <si>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</si>
  <si>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</si>
  <si>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3.9x</t>
  </si>
  <si>
    <t>55.3x</t>
  </si>
  <si>
    <t>$996.1M</t>
  </si>
  <si>
    <t>$119.3M</t>
  </si>
  <si>
    <t>Symbol:</t>
  </si>
  <si>
    <t>Close:</t>
  </si>
  <si>
    <t>Action:</t>
  </si>
  <si>
    <t>Stop Type:</t>
  </si>
  <si>
    <t>Stop Price:</t>
  </si>
  <si>
    <t>Buy Trigger Reason:</t>
  </si>
  <si>
    <t>Market State:</t>
  </si>
  <si>
    <t>BUY</t>
  </si>
  <si>
    <t>Not Applicable</t>
  </si>
  <si>
    <t>x</t>
  </si>
  <si>
    <t>AUB has closed above its previous 20 week high and is exhibiting momentum.</t>
  </si>
  <si>
    <t>The momentum filter is off, indicating the market is continuing to trend.</t>
  </si>
  <si>
    <t>PME has closed above its previous 20 week high and is exhibiting momentum.</t>
  </si>
  <si>
    <t>Annual Return %</t>
  </si>
  <si>
    <t>All trades</t>
  </si>
  <si>
    <t>Winners</t>
  </si>
  <si>
    <t> Avg. Profit %</t>
  </si>
  <si>
    <t>Losers</t>
  </si>
  <si>
    <t> Avg. Loss %</t>
  </si>
  <si>
    <t>Max. system % drawdown</t>
  </si>
  <si>
    <t>Date</t>
  </si>
  <si>
    <t>Portfolio Equity</t>
  </si>
  <si>
    <t>Drawdown</t>
  </si>
  <si>
    <t>Drawdown %</t>
  </si>
  <si>
    <t>Trade:</t>
  </si>
  <si>
    <t>Date:</t>
  </si>
  <si>
    <t>Price:</t>
  </si>
  <si>
    <t>Ex. Date:</t>
  </si>
  <si>
    <t>Ex. Price:</t>
  </si>
  <si>
    <t>% chg:</t>
  </si>
  <si>
    <t>Profit:</t>
  </si>
  <si>
    <t>% Profit:</t>
  </si>
  <si>
    <t>Shares:</t>
  </si>
  <si>
    <t>Open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</si>
</sst>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4" x14ac:knownFonts="1">
    <font>
      <sz val="11"/>
      <color theme="1"/>
      <name val="Aptos Narrow"/>
      <family val="2"/>
      <scheme val="minor"/>
    </font>
    <font>
      <b/>
      <sz val="11"/>
      <color theme="1"/>
      <name val="Aptos Narrow"/>
      <family val="2"/>
      <scheme val="minor"/>
    </font>
    <font>
      <b/>
      <sz val="11"/>
      <name val="Calibri"/>
      <family val="2"/>
    </font>
    <font>
      <b/>
      <sz val="8"/>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top"/>
    </xf>
    <xf numFmtId="8" fontId="0" fillId="0" borderId="0" xfId="0" applyNumberFormat="1"/>
    <xf numFmtId="10" fontId="0" fillId="0" borderId="0" xfId="0" applyNumberFormat="1"/>
    <xf numFmtId="0" fontId="3" fillId="0" borderId="0" xfId="0" applyFont="1" applyAlignment="1">
      <alignment horizontal="right" vertical="center"/>
    </xf>
    <xf numFmtId="0" fontId="3" fillId="0" borderId="1" xfId="0" applyFont="1" applyBorder="1" applyAlignment="1">
      <alignment horizontal="left"/>
    </xf>
    <xf numFmtId="14" fontId="0" fillId="0" borderId="0" xfId="0" applyNumberForma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9675-E6A0-4EDF-A4DB-2D6A1B62137A}">
  <dimension ref="A1:U16"/>
  <sheetViews>
    <sheetView workbookViewId="0">
      <selection activeCell="B34" sqref="B34"/>
    </sheetView>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s="2">
        <v>31.02</v>
      </c>
      <c r="E2" s="2">
        <v>34.520000000000003</v>
      </c>
      <c r="F2" s="2">
        <v>26.39</v>
      </c>
      <c r="G2" t="s">
        <v>24</v>
      </c>
      <c r="H2" s="3">
        <v>1</v>
      </c>
      <c r="I2" t="s">
        <v>25</v>
      </c>
      <c r="J2" t="s">
        <v>26</v>
      </c>
      <c r="K2" s="3">
        <v>2.5000000000000001E-2</v>
      </c>
      <c r="L2" t="s">
        <v>27</v>
      </c>
      <c r="M2" t="s">
        <v>28</v>
      </c>
      <c r="N2" t="s">
        <v>29</v>
      </c>
      <c r="O2" s="3">
        <v>0.47899999999999998</v>
      </c>
      <c r="P2" s="3">
        <v>1.2E-2</v>
      </c>
      <c r="Q2" t="s">
        <v>30</v>
      </c>
      <c r="R2" s="3">
        <v>0.16500000000000001</v>
      </c>
      <c r="S2" s="3">
        <v>0.47799999999999998</v>
      </c>
      <c r="T2" s="3">
        <v>0.104</v>
      </c>
      <c r="U2" s="3">
        <v>9.8000000000000004E-2</v>
      </c>
    </row>
    <row r="3" spans="1:21" x14ac:dyDescent="0.25">
      <c r="A3" t="s">
        <v>31</v>
      </c>
      <c r="B3" t="s">
        <v>32</v>
      </c>
      <c r="C3" t="s">
        <v>33</v>
      </c>
      <c r="D3" s="2">
        <v>245.89</v>
      </c>
      <c r="E3" s="2">
        <v>271.37</v>
      </c>
      <c r="F3" s="2">
        <v>85.6</v>
      </c>
      <c r="G3" t="s">
        <v>34</v>
      </c>
      <c r="H3" s="3">
        <v>1</v>
      </c>
      <c r="I3" t="s">
        <v>35</v>
      </c>
      <c r="J3" t="s">
        <v>36</v>
      </c>
      <c r="K3" s="3">
        <v>1E-3</v>
      </c>
      <c r="L3" t="s">
        <v>37</v>
      </c>
      <c r="M3" t="s">
        <v>38</v>
      </c>
      <c r="N3" t="s">
        <v>39</v>
      </c>
      <c r="O3" s="3">
        <v>1.0999999999999999E-2</v>
      </c>
      <c r="P3" s="3">
        <v>0.06</v>
      </c>
      <c r="Q3" t="s">
        <v>40</v>
      </c>
      <c r="R3" s="3">
        <v>0.498</v>
      </c>
      <c r="S3" s="3">
        <v>0.34699999999999998</v>
      </c>
      <c r="T3" s="3">
        <v>0.38900000000000001</v>
      </c>
      <c r="U3" s="3">
        <v>0.50700000000000001</v>
      </c>
    </row>
    <row r="4" spans="1:21" x14ac:dyDescent="0.25">
      <c r="A4" t="s">
        <v>41</v>
      </c>
      <c r="B4" t="s">
        <v>42</v>
      </c>
      <c r="C4" t="s">
        <v>23</v>
      </c>
      <c r="D4" s="2">
        <v>2.97</v>
      </c>
      <c r="E4" s="2">
        <v>3.56</v>
      </c>
      <c r="F4" s="2">
        <v>0.47</v>
      </c>
      <c r="G4" t="s">
        <v>43</v>
      </c>
      <c r="I4" t="s">
        <v>44</v>
      </c>
      <c r="J4" t="s">
        <v>45</v>
      </c>
      <c r="K4" s="3">
        <v>0</v>
      </c>
      <c r="L4" t="s">
        <v>46</v>
      </c>
      <c r="M4" t="s">
        <v>47</v>
      </c>
      <c r="N4" t="s">
        <v>48</v>
      </c>
      <c r="O4" s="3">
        <v>6.0730000000000004</v>
      </c>
      <c r="Q4" t="s">
        <v>49</v>
      </c>
      <c r="R4" s="3">
        <v>7.0000000000000001E-3</v>
      </c>
      <c r="S4" s="3">
        <v>0.30099999999999999</v>
      </c>
      <c r="U4" s="3">
        <v>1.7999999999999999E-2</v>
      </c>
    </row>
    <row r="5" spans="1:21" x14ac:dyDescent="0.25">
      <c r="A5" t="s">
        <v>50</v>
      </c>
      <c r="B5" t="s">
        <v>51</v>
      </c>
      <c r="C5" t="s">
        <v>33</v>
      </c>
      <c r="D5" s="2">
        <v>1.45</v>
      </c>
      <c r="E5" s="2">
        <v>1.86</v>
      </c>
      <c r="F5" s="2">
        <v>1.08</v>
      </c>
      <c r="G5" t="s">
        <v>52</v>
      </c>
      <c r="H5" s="3">
        <v>1</v>
      </c>
      <c r="I5" t="s">
        <v>53</v>
      </c>
      <c r="K5" s="3">
        <v>0</v>
      </c>
      <c r="L5" t="s">
        <v>54</v>
      </c>
      <c r="M5" t="s">
        <v>55</v>
      </c>
      <c r="N5" t="s">
        <v>56</v>
      </c>
      <c r="O5" s="3">
        <v>1.5349999999999999</v>
      </c>
      <c r="P5" s="3">
        <v>5.0000000000000001E-3</v>
      </c>
      <c r="Q5" t="s">
        <v>57</v>
      </c>
      <c r="R5" s="3">
        <v>-0.36399999999999999</v>
      </c>
      <c r="S5" s="3">
        <v>-2.8000000000000001E-2</v>
      </c>
      <c r="U5" s="3">
        <v>-0.499</v>
      </c>
    </row>
    <row r="6" spans="1:21" x14ac:dyDescent="0.25">
      <c r="A6" t="s">
        <v>58</v>
      </c>
      <c r="B6" t="s">
        <v>59</v>
      </c>
      <c r="C6" t="s">
        <v>60</v>
      </c>
      <c r="D6" s="2">
        <v>10.9</v>
      </c>
      <c r="E6" s="2">
        <v>12.2</v>
      </c>
      <c r="F6" s="2">
        <v>7.8</v>
      </c>
      <c r="G6" t="s">
        <v>61</v>
      </c>
      <c r="H6" s="3">
        <v>0</v>
      </c>
      <c r="I6" t="s">
        <v>62</v>
      </c>
      <c r="J6" t="s">
        <v>63</v>
      </c>
      <c r="K6" s="3">
        <v>5.6000000000000001E-2</v>
      </c>
      <c r="L6" t="s">
        <v>64</v>
      </c>
      <c r="M6" t="s">
        <v>65</v>
      </c>
      <c r="N6" t="s">
        <v>66</v>
      </c>
      <c r="O6" s="3">
        <v>0.502</v>
      </c>
      <c r="P6" s="3">
        <v>1.0999999999999999E-2</v>
      </c>
      <c r="Q6" t="s">
        <v>67</v>
      </c>
      <c r="R6" s="3">
        <v>5.1999999999999998E-2</v>
      </c>
      <c r="S6" s="3">
        <v>7.4999999999999997E-2</v>
      </c>
      <c r="U6" s="3">
        <v>0.13500000000000001</v>
      </c>
    </row>
    <row r="7" spans="1:21" x14ac:dyDescent="0.25">
      <c r="A7" t="s">
        <v>68</v>
      </c>
      <c r="B7" t="s">
        <v>69</v>
      </c>
      <c r="C7" t="s">
        <v>23</v>
      </c>
      <c r="D7" s="2">
        <v>22.88</v>
      </c>
      <c r="E7" s="2">
        <v>25.01</v>
      </c>
      <c r="F7" s="2">
        <v>9.68</v>
      </c>
      <c r="G7" t="s">
        <v>70</v>
      </c>
      <c r="H7" s="3">
        <v>0.72</v>
      </c>
      <c r="I7" t="s">
        <v>71</v>
      </c>
      <c r="J7" t="s">
        <v>72</v>
      </c>
      <c r="K7" s="3">
        <v>1.7000000000000001E-2</v>
      </c>
      <c r="L7" t="s">
        <v>73</v>
      </c>
      <c r="M7" t="s">
        <v>74</v>
      </c>
      <c r="N7" t="s">
        <v>75</v>
      </c>
      <c r="O7" s="3">
        <v>0.24</v>
      </c>
      <c r="P7" s="3">
        <v>0.115</v>
      </c>
      <c r="Q7" t="s">
        <v>76</v>
      </c>
      <c r="R7" s="3">
        <v>1.8440000000000001</v>
      </c>
      <c r="S7" s="3">
        <v>0.14599999999999999</v>
      </c>
      <c r="T7" s="3">
        <v>7.5999999999999998E-2</v>
      </c>
      <c r="U7" s="3">
        <v>0.20599999999999999</v>
      </c>
    </row>
    <row r="8" spans="1:21" x14ac:dyDescent="0.25">
      <c r="A8" t="s">
        <v>77</v>
      </c>
      <c r="B8" t="s">
        <v>78</v>
      </c>
      <c r="C8" t="s">
        <v>79</v>
      </c>
      <c r="D8" s="2">
        <v>23.09</v>
      </c>
      <c r="E8" s="2">
        <v>27.18</v>
      </c>
      <c r="F8" s="2">
        <v>6.6</v>
      </c>
      <c r="G8" t="s">
        <v>80</v>
      </c>
      <c r="I8" t="s">
        <v>81</v>
      </c>
      <c r="K8" s="3">
        <v>0</v>
      </c>
      <c r="L8" t="s">
        <v>82</v>
      </c>
      <c r="M8" t="s">
        <v>83</v>
      </c>
      <c r="N8" t="s">
        <v>84</v>
      </c>
      <c r="O8" s="3">
        <v>0</v>
      </c>
      <c r="P8" s="3">
        <v>2.8000000000000001E-2</v>
      </c>
      <c r="Q8" t="s">
        <v>85</v>
      </c>
      <c r="R8" s="3">
        <v>-4.7E-2</v>
      </c>
      <c r="S8" s="3">
        <v>0.55700000000000005</v>
      </c>
      <c r="U8" s="3">
        <v>-5.6000000000000001E-2</v>
      </c>
    </row>
    <row r="9" spans="1:21" x14ac:dyDescent="0.25">
      <c r="A9" t="s">
        <v>86</v>
      </c>
      <c r="B9" t="s">
        <v>87</v>
      </c>
      <c r="C9" t="s">
        <v>88</v>
      </c>
      <c r="D9" s="2">
        <v>47.72</v>
      </c>
      <c r="E9" s="2">
        <v>50.05</v>
      </c>
      <c r="F9" s="2">
        <v>33.590000000000003</v>
      </c>
      <c r="G9" t="s">
        <v>89</v>
      </c>
      <c r="H9" s="3">
        <v>1</v>
      </c>
      <c r="I9" t="s">
        <v>90</v>
      </c>
      <c r="J9" t="s">
        <v>91</v>
      </c>
      <c r="K9" s="3">
        <v>1.0999999999999999E-2</v>
      </c>
      <c r="L9" t="s">
        <v>92</v>
      </c>
      <c r="N9" t="s">
        <v>93</v>
      </c>
      <c r="O9" s="3">
        <v>1.4610000000000001</v>
      </c>
      <c r="P9" s="3">
        <v>1.2999999999999999E-2</v>
      </c>
      <c r="Q9" t="s">
        <v>94</v>
      </c>
      <c r="R9" s="3">
        <v>4.9000000000000002E-2</v>
      </c>
      <c r="S9" s="3">
        <v>0.29899999999999999</v>
      </c>
      <c r="T9" s="3">
        <v>-0.124</v>
      </c>
      <c r="U9" s="3">
        <v>0.11600000000000001</v>
      </c>
    </row>
    <row r="10" spans="1:21" x14ac:dyDescent="0.25">
      <c r="A10" t="s">
        <v>95</v>
      </c>
      <c r="B10" t="s">
        <v>96</v>
      </c>
      <c r="C10" t="s">
        <v>97</v>
      </c>
      <c r="D10" s="2">
        <v>15</v>
      </c>
      <c r="E10" s="2">
        <v>18.399999999999999</v>
      </c>
      <c r="F10" s="2">
        <v>12.4</v>
      </c>
      <c r="G10" t="s">
        <v>98</v>
      </c>
      <c r="H10" s="3">
        <v>1</v>
      </c>
      <c r="I10" t="s">
        <v>99</v>
      </c>
      <c r="J10" t="s">
        <v>100</v>
      </c>
      <c r="K10" s="3">
        <v>4.4999999999999998E-2</v>
      </c>
      <c r="L10" t="s">
        <v>101</v>
      </c>
      <c r="M10" t="s">
        <v>102</v>
      </c>
      <c r="N10" t="s">
        <v>103</v>
      </c>
      <c r="O10" s="3">
        <v>0.80400000000000005</v>
      </c>
      <c r="P10" s="3">
        <v>1.2E-2</v>
      </c>
      <c r="Q10" t="s">
        <v>104</v>
      </c>
      <c r="R10" s="3">
        <v>6.2E-2</v>
      </c>
      <c r="S10" s="3">
        <v>0.04</v>
      </c>
      <c r="T10" s="3">
        <v>-7.1999999999999995E-2</v>
      </c>
      <c r="U10" s="3">
        <v>0.17499999999999999</v>
      </c>
    </row>
    <row r="11" spans="1:21" x14ac:dyDescent="0.25">
      <c r="A11" t="s">
        <v>105</v>
      </c>
      <c r="B11" t="s">
        <v>106</v>
      </c>
      <c r="C11" t="s">
        <v>88</v>
      </c>
      <c r="D11" s="2">
        <v>33.24</v>
      </c>
      <c r="E11" s="2">
        <v>33.799999999999997</v>
      </c>
      <c r="F11" s="2">
        <v>23.42</v>
      </c>
      <c r="G11" t="s">
        <v>107</v>
      </c>
      <c r="H11" s="3">
        <v>0</v>
      </c>
      <c r="I11" t="s">
        <v>108</v>
      </c>
      <c r="J11" t="s">
        <v>109</v>
      </c>
      <c r="K11" s="3">
        <v>2.5000000000000001E-2</v>
      </c>
      <c r="L11" t="s">
        <v>110</v>
      </c>
      <c r="M11" t="s">
        <v>111</v>
      </c>
      <c r="N11" t="s">
        <v>112</v>
      </c>
      <c r="O11" s="3">
        <v>0.91700000000000004</v>
      </c>
      <c r="P11" s="3">
        <v>2.9000000000000001E-2</v>
      </c>
      <c r="Q11" t="s">
        <v>113</v>
      </c>
      <c r="R11" s="3">
        <v>0.16600000000000001</v>
      </c>
      <c r="S11" s="3">
        <v>9.1999999999999998E-2</v>
      </c>
      <c r="T11" s="3">
        <v>0.34499999999999997</v>
      </c>
      <c r="U11" s="3">
        <v>0.24099999999999999</v>
      </c>
    </row>
    <row r="12" spans="1:21" x14ac:dyDescent="0.25">
      <c r="A12" t="s">
        <v>114</v>
      </c>
      <c r="B12" t="s">
        <v>115</v>
      </c>
      <c r="C12" t="s">
        <v>88</v>
      </c>
      <c r="D12" s="2">
        <v>5.82</v>
      </c>
      <c r="E12" s="2">
        <v>6.03</v>
      </c>
      <c r="F12" s="2">
        <v>4.01</v>
      </c>
      <c r="G12" t="s">
        <v>116</v>
      </c>
      <c r="H12" s="3">
        <v>0.5</v>
      </c>
      <c r="I12" t="s">
        <v>117</v>
      </c>
      <c r="J12" t="s">
        <v>118</v>
      </c>
      <c r="K12" s="3">
        <v>0.03</v>
      </c>
      <c r="L12" t="s">
        <v>119</v>
      </c>
      <c r="M12" t="s">
        <v>120</v>
      </c>
      <c r="N12" t="s">
        <v>121</v>
      </c>
      <c r="O12" s="3">
        <v>0.79900000000000004</v>
      </c>
      <c r="P12" s="3">
        <v>1.0999999999999999E-2</v>
      </c>
      <c r="Q12" t="s">
        <v>122</v>
      </c>
      <c r="R12" s="3">
        <v>7.0000000000000001E-3</v>
      </c>
      <c r="S12" s="3">
        <v>-1.4999999999999999E-2</v>
      </c>
      <c r="T12" s="3">
        <v>-0.28199999999999997</v>
      </c>
      <c r="U12" s="3">
        <v>3.3000000000000002E-2</v>
      </c>
    </row>
    <row r="13" spans="1:21" x14ac:dyDescent="0.25">
      <c r="A13" t="s">
        <v>123</v>
      </c>
      <c r="B13" t="s">
        <v>124</v>
      </c>
      <c r="C13" t="s">
        <v>23</v>
      </c>
      <c r="D13" s="2">
        <v>3.82</v>
      </c>
      <c r="E13" s="2">
        <v>4.01</v>
      </c>
      <c r="F13" s="2">
        <v>3.41</v>
      </c>
      <c r="G13" t="s">
        <v>125</v>
      </c>
      <c r="H13" s="3">
        <v>1</v>
      </c>
      <c r="I13" t="s">
        <v>126</v>
      </c>
      <c r="J13" t="s">
        <v>127</v>
      </c>
      <c r="K13" s="3">
        <v>4.2999999999999997E-2</v>
      </c>
      <c r="L13" t="s">
        <v>128</v>
      </c>
      <c r="M13" t="s">
        <v>129</v>
      </c>
      <c r="N13" t="s">
        <v>130</v>
      </c>
      <c r="O13" s="3">
        <v>9.5000000000000001E-2</v>
      </c>
      <c r="Q13" t="s">
        <v>131</v>
      </c>
      <c r="R13" s="3">
        <v>6.4000000000000001E-2</v>
      </c>
      <c r="S13" s="3">
        <v>3.5000000000000003E-2</v>
      </c>
      <c r="T13" s="3">
        <v>3.6999999999999998E-2</v>
      </c>
      <c r="U13" s="3">
        <v>0.217</v>
      </c>
    </row>
    <row r="14" spans="1:21" x14ac:dyDescent="0.25">
      <c r="A14" t="s">
        <v>132</v>
      </c>
      <c r="B14" t="s">
        <v>133</v>
      </c>
      <c r="C14" t="s">
        <v>23</v>
      </c>
      <c r="D14" s="2">
        <v>19.54</v>
      </c>
      <c r="E14" s="2">
        <v>19.97</v>
      </c>
      <c r="F14" s="2">
        <v>13.37</v>
      </c>
      <c r="G14" t="s">
        <v>134</v>
      </c>
      <c r="H14" s="3">
        <v>1</v>
      </c>
      <c r="I14" t="s">
        <v>135</v>
      </c>
      <c r="J14" t="s">
        <v>136</v>
      </c>
      <c r="K14" s="3">
        <v>3.9E-2</v>
      </c>
      <c r="L14" t="s">
        <v>92</v>
      </c>
      <c r="M14" t="s">
        <v>137</v>
      </c>
      <c r="N14" t="s">
        <v>138</v>
      </c>
      <c r="O14" s="3">
        <v>0.182</v>
      </c>
      <c r="Q14" t="s">
        <v>139</v>
      </c>
      <c r="R14" s="3">
        <v>7.3999999999999996E-2</v>
      </c>
      <c r="S14" s="3">
        <v>-2.5000000000000001E-2</v>
      </c>
      <c r="T14" s="3">
        <v>-3.5000000000000003E-2</v>
      </c>
      <c r="U14" s="3">
        <v>6.9000000000000006E-2</v>
      </c>
    </row>
    <row r="15" spans="1:21" x14ac:dyDescent="0.25">
      <c r="A15" t="s">
        <v>140</v>
      </c>
      <c r="B15" t="s">
        <v>141</v>
      </c>
      <c r="C15" t="s">
        <v>23</v>
      </c>
      <c r="D15" s="2">
        <v>34.979999999999997</v>
      </c>
      <c r="E15" s="2">
        <v>35.89</v>
      </c>
      <c r="F15" s="2">
        <v>30.85</v>
      </c>
      <c r="G15" t="s">
        <v>142</v>
      </c>
      <c r="H15" s="3">
        <v>1</v>
      </c>
      <c r="I15" t="s">
        <v>143</v>
      </c>
      <c r="J15" t="s">
        <v>144</v>
      </c>
      <c r="K15" s="3">
        <v>2.7E-2</v>
      </c>
      <c r="L15" t="s">
        <v>145</v>
      </c>
      <c r="N15" t="s">
        <v>146</v>
      </c>
      <c r="O15" s="3">
        <v>8.5000000000000006E-2</v>
      </c>
      <c r="P15" s="3">
        <v>3.3000000000000002E-2</v>
      </c>
      <c r="Q15" t="s">
        <v>147</v>
      </c>
      <c r="R15" s="3">
        <v>0.89</v>
      </c>
      <c r="S15" s="3">
        <v>-0.214</v>
      </c>
      <c r="T15" s="3">
        <v>0.13800000000000001</v>
      </c>
      <c r="U15" s="3">
        <v>5.6000000000000001E-2</v>
      </c>
    </row>
    <row r="16" spans="1:21" x14ac:dyDescent="0.25">
      <c r="A16" t="s">
        <v>148</v>
      </c>
      <c r="B16" t="s">
        <v>149</v>
      </c>
      <c r="C16" t="s">
        <v>23</v>
      </c>
      <c r="D16" s="2">
        <v>5.98</v>
      </c>
      <c r="E16" s="2">
        <v>6.6</v>
      </c>
      <c r="F16" s="2">
        <v>5.18</v>
      </c>
      <c r="G16" t="s">
        <v>150</v>
      </c>
      <c r="H16" s="3">
        <v>1</v>
      </c>
      <c r="I16" t="s">
        <v>151</v>
      </c>
      <c r="J16" t="s">
        <v>152</v>
      </c>
      <c r="K16" s="3">
        <v>2.9000000000000001E-2</v>
      </c>
      <c r="L16" t="s">
        <v>153</v>
      </c>
      <c r="M16" t="s">
        <v>154</v>
      </c>
      <c r="N16" t="s">
        <v>155</v>
      </c>
      <c r="O16" s="3">
        <v>0.55600000000000005</v>
      </c>
      <c r="P16" s="3">
        <v>1.4999999999999999E-2</v>
      </c>
      <c r="Q16" t="s">
        <v>156</v>
      </c>
      <c r="R16" s="3">
        <v>0.16400000000000001</v>
      </c>
      <c r="S16" s="3">
        <v>0.22800000000000001</v>
      </c>
      <c r="T16" s="3">
        <v>8.5999999999999993E-2</v>
      </c>
      <c r="U16" s="3">
        <v>0.104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EB82-588E-49DC-B29C-6E34934116A8}">
  <dimension ref="A1:U16"/>
  <sheetViews>
    <sheetView workbookViewId="0">
      <selection activeCell="E29" sqref="E29:K29"/>
    </sheetView>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s="2">
        <v>31.02</v>
      </c>
      <c r="E2" s="2">
        <v>34.520000000000003</v>
      </c>
      <c r="F2" s="2">
        <v>26.39</v>
      </c>
      <c r="G2" t="s">
        <v>24</v>
      </c>
      <c r="H2" s="3">
        <v>1</v>
      </c>
      <c r="I2" t="s">
        <v>25</v>
      </c>
      <c r="J2" t="s">
        <v>26</v>
      </c>
      <c r="K2" s="3">
        <v>2.5000000000000001E-2</v>
      </c>
      <c r="L2" t="s">
        <v>27</v>
      </c>
      <c r="M2" t="s">
        <v>28</v>
      </c>
      <c r="N2" t="s">
        <v>29</v>
      </c>
      <c r="O2" s="3">
        <v>0.47899999999999998</v>
      </c>
      <c r="P2" s="3">
        <v>1.2E-2</v>
      </c>
      <c r="Q2" t="s">
        <v>30</v>
      </c>
      <c r="R2" s="3">
        <v>0.16500000000000001</v>
      </c>
      <c r="S2" s="3">
        <v>0.47799999999999998</v>
      </c>
      <c r="T2" s="3">
        <v>0.104</v>
      </c>
      <c r="U2" s="3">
        <v>9.8000000000000004E-2</v>
      </c>
    </row>
    <row r="3" spans="1:21" x14ac:dyDescent="0.25">
      <c r="A3" t="s">
        <v>31</v>
      </c>
      <c r="B3" t="s">
        <v>32</v>
      </c>
      <c r="C3" t="s">
        <v>33</v>
      </c>
      <c r="D3" s="2">
        <v>245.89</v>
      </c>
      <c r="E3" s="2">
        <v>271.37</v>
      </c>
      <c r="F3" s="2">
        <v>85.6</v>
      </c>
      <c r="G3" t="s">
        <v>34</v>
      </c>
      <c r="H3" s="3">
        <v>1</v>
      </c>
      <c r="I3" t="s">
        <v>35</v>
      </c>
      <c r="J3" t="s">
        <v>36</v>
      </c>
      <c r="K3" s="3">
        <v>1E-3</v>
      </c>
      <c r="L3" t="s">
        <v>37</v>
      </c>
      <c r="M3" t="s">
        <v>38</v>
      </c>
      <c r="N3" t="s">
        <v>39</v>
      </c>
      <c r="O3" s="3">
        <v>1.0999999999999999E-2</v>
      </c>
      <c r="P3" s="3">
        <v>0.06</v>
      </c>
      <c r="Q3" t="s">
        <v>40</v>
      </c>
      <c r="R3" s="3">
        <v>0.498</v>
      </c>
      <c r="S3" s="3">
        <v>0.34699999999999998</v>
      </c>
      <c r="T3" s="3">
        <v>0.38900000000000001</v>
      </c>
      <c r="U3" s="3">
        <v>0.50700000000000001</v>
      </c>
    </row>
    <row r="4" spans="1:21" x14ac:dyDescent="0.25">
      <c r="A4" t="s">
        <v>41</v>
      </c>
      <c r="B4" t="s">
        <v>42</v>
      </c>
      <c r="C4" t="s">
        <v>23</v>
      </c>
      <c r="D4" s="2">
        <v>2.97</v>
      </c>
      <c r="E4" s="2">
        <v>3.56</v>
      </c>
      <c r="F4" s="2">
        <v>0.47</v>
      </c>
      <c r="G4" t="s">
        <v>43</v>
      </c>
      <c r="I4" t="s">
        <v>44</v>
      </c>
      <c r="J4" t="s">
        <v>45</v>
      </c>
      <c r="K4" s="3">
        <v>0</v>
      </c>
      <c r="L4" t="s">
        <v>46</v>
      </c>
      <c r="M4" t="s">
        <v>47</v>
      </c>
      <c r="N4" t="s">
        <v>48</v>
      </c>
      <c r="O4" s="3">
        <v>6.0730000000000004</v>
      </c>
      <c r="Q4" t="s">
        <v>49</v>
      </c>
      <c r="R4" s="3">
        <v>7.0000000000000001E-3</v>
      </c>
      <c r="S4" s="3">
        <v>0.30099999999999999</v>
      </c>
      <c r="U4" s="3">
        <v>1.7999999999999999E-2</v>
      </c>
    </row>
    <row r="5" spans="1:21" x14ac:dyDescent="0.25">
      <c r="A5" t="s">
        <v>50</v>
      </c>
      <c r="B5" t="s">
        <v>51</v>
      </c>
      <c r="C5" t="s">
        <v>33</v>
      </c>
      <c r="D5" s="2">
        <v>1.45</v>
      </c>
      <c r="E5" s="2">
        <v>1.86</v>
      </c>
      <c r="F5" s="2">
        <v>1.08</v>
      </c>
      <c r="G5" t="s">
        <v>52</v>
      </c>
      <c r="H5" s="3">
        <v>1</v>
      </c>
      <c r="I5" t="s">
        <v>53</v>
      </c>
      <c r="K5" s="3">
        <v>0</v>
      </c>
      <c r="L5" t="s">
        <v>54</v>
      </c>
      <c r="M5" t="s">
        <v>55</v>
      </c>
      <c r="N5" t="s">
        <v>56</v>
      </c>
      <c r="O5" s="3">
        <v>1.5349999999999999</v>
      </c>
      <c r="P5" s="3">
        <v>5.0000000000000001E-3</v>
      </c>
      <c r="Q5" t="s">
        <v>57</v>
      </c>
      <c r="R5" s="3">
        <v>-0.36399999999999999</v>
      </c>
      <c r="S5" s="3">
        <v>-2.8000000000000001E-2</v>
      </c>
      <c r="U5" s="3">
        <v>-0.499</v>
      </c>
    </row>
    <row r="6" spans="1:21" x14ac:dyDescent="0.25">
      <c r="A6" t="s">
        <v>58</v>
      </c>
      <c r="B6" t="s">
        <v>59</v>
      </c>
      <c r="C6" t="s">
        <v>60</v>
      </c>
      <c r="D6" s="2">
        <v>10.9</v>
      </c>
      <c r="E6" s="2">
        <v>12.2</v>
      </c>
      <c r="F6" s="2">
        <v>7.8</v>
      </c>
      <c r="G6" t="s">
        <v>61</v>
      </c>
      <c r="H6" s="3">
        <v>0</v>
      </c>
      <c r="I6" t="s">
        <v>62</v>
      </c>
      <c r="J6" t="s">
        <v>63</v>
      </c>
      <c r="K6" s="3">
        <v>5.6000000000000001E-2</v>
      </c>
      <c r="L6" t="s">
        <v>64</v>
      </c>
      <c r="M6" t="s">
        <v>65</v>
      </c>
      <c r="N6" t="s">
        <v>66</v>
      </c>
      <c r="O6" s="3">
        <v>0.502</v>
      </c>
      <c r="P6" s="3">
        <v>1.0999999999999999E-2</v>
      </c>
      <c r="Q6" t="s">
        <v>67</v>
      </c>
      <c r="R6" s="3">
        <v>5.1999999999999998E-2</v>
      </c>
      <c r="S6" s="3">
        <v>7.4999999999999997E-2</v>
      </c>
      <c r="U6" s="3">
        <v>0.13500000000000001</v>
      </c>
    </row>
    <row r="7" spans="1:21" x14ac:dyDescent="0.25">
      <c r="A7" t="s">
        <v>68</v>
      </c>
      <c r="B7" t="s">
        <v>69</v>
      </c>
      <c r="C7" t="s">
        <v>23</v>
      </c>
      <c r="D7" s="2">
        <v>22.88</v>
      </c>
      <c r="E7" s="2">
        <v>25.01</v>
      </c>
      <c r="F7" s="2">
        <v>9.68</v>
      </c>
      <c r="G7" t="s">
        <v>70</v>
      </c>
      <c r="H7" s="3">
        <v>0.72</v>
      </c>
      <c r="I7" t="s">
        <v>71</v>
      </c>
      <c r="J7" t="s">
        <v>72</v>
      </c>
      <c r="K7" s="3">
        <v>1.7000000000000001E-2</v>
      </c>
      <c r="L7" t="s">
        <v>73</v>
      </c>
      <c r="M7" t="s">
        <v>74</v>
      </c>
      <c r="N7" t="s">
        <v>75</v>
      </c>
      <c r="O7" s="3">
        <v>0.24</v>
      </c>
      <c r="P7" s="3">
        <v>0.115</v>
      </c>
      <c r="Q7" t="s">
        <v>76</v>
      </c>
      <c r="R7" s="3">
        <v>1.8440000000000001</v>
      </c>
      <c r="S7" s="3">
        <v>0.14599999999999999</v>
      </c>
      <c r="T7" s="3">
        <v>7.5999999999999998E-2</v>
      </c>
      <c r="U7" s="3">
        <v>0.20599999999999999</v>
      </c>
    </row>
    <row r="8" spans="1:21" x14ac:dyDescent="0.25">
      <c r="A8" t="s">
        <v>77</v>
      </c>
      <c r="B8" t="s">
        <v>78</v>
      </c>
      <c r="C8" t="s">
        <v>79</v>
      </c>
      <c r="D8" s="2">
        <v>23.09</v>
      </c>
      <c r="E8" s="2">
        <v>27.18</v>
      </c>
      <c r="F8" s="2">
        <v>6.6</v>
      </c>
      <c r="G8" t="s">
        <v>80</v>
      </c>
      <c r="I8" t="s">
        <v>81</v>
      </c>
      <c r="K8" s="3">
        <v>0</v>
      </c>
      <c r="L8" t="s">
        <v>82</v>
      </c>
      <c r="M8" t="s">
        <v>83</v>
      </c>
      <c r="N8" t="s">
        <v>84</v>
      </c>
      <c r="O8" s="3">
        <v>0</v>
      </c>
      <c r="P8" s="3">
        <v>2.8000000000000001E-2</v>
      </c>
      <c r="Q8" t="s">
        <v>85</v>
      </c>
      <c r="R8" s="3">
        <v>-4.7E-2</v>
      </c>
      <c r="S8" s="3">
        <v>0.55700000000000005</v>
      </c>
      <c r="U8" s="3">
        <v>-5.6000000000000001E-2</v>
      </c>
    </row>
    <row r="9" spans="1:21" x14ac:dyDescent="0.25">
      <c r="A9" t="s">
        <v>86</v>
      </c>
      <c r="B9" t="s">
        <v>87</v>
      </c>
      <c r="C9" t="s">
        <v>88</v>
      </c>
      <c r="D9" s="2">
        <v>47.72</v>
      </c>
      <c r="E9" s="2">
        <v>50.05</v>
      </c>
      <c r="F9" s="2">
        <v>33.590000000000003</v>
      </c>
      <c r="G9" t="s">
        <v>89</v>
      </c>
      <c r="H9" s="3">
        <v>1</v>
      </c>
      <c r="I9" t="s">
        <v>90</v>
      </c>
      <c r="J9" t="s">
        <v>91</v>
      </c>
      <c r="K9" s="3">
        <v>1.0999999999999999E-2</v>
      </c>
      <c r="L9" t="s">
        <v>92</v>
      </c>
      <c r="N9" t="s">
        <v>93</v>
      </c>
      <c r="O9" s="3">
        <v>1.4610000000000001</v>
      </c>
      <c r="P9" s="3">
        <v>1.2999999999999999E-2</v>
      </c>
      <c r="Q9" t="s">
        <v>94</v>
      </c>
      <c r="R9" s="3">
        <v>4.9000000000000002E-2</v>
      </c>
      <c r="S9" s="3">
        <v>0.29899999999999999</v>
      </c>
      <c r="T9" s="3">
        <v>-0.124</v>
      </c>
      <c r="U9" s="3">
        <v>0.11600000000000001</v>
      </c>
    </row>
    <row r="10" spans="1:21" x14ac:dyDescent="0.25">
      <c r="A10" t="s">
        <v>95</v>
      </c>
      <c r="B10" t="s">
        <v>96</v>
      </c>
      <c r="C10" t="s">
        <v>97</v>
      </c>
      <c r="D10" s="2">
        <v>15</v>
      </c>
      <c r="E10" s="2">
        <v>18.399999999999999</v>
      </c>
      <c r="F10" s="2">
        <v>12.4</v>
      </c>
      <c r="G10" t="s">
        <v>98</v>
      </c>
      <c r="H10" s="3">
        <v>1</v>
      </c>
      <c r="I10" t="s">
        <v>99</v>
      </c>
      <c r="J10" t="s">
        <v>100</v>
      </c>
      <c r="K10" s="3">
        <v>4.4999999999999998E-2</v>
      </c>
      <c r="L10" t="s">
        <v>101</v>
      </c>
      <c r="M10" t="s">
        <v>102</v>
      </c>
      <c r="N10" t="s">
        <v>103</v>
      </c>
      <c r="O10" s="3">
        <v>0.80400000000000005</v>
      </c>
      <c r="P10" s="3">
        <v>1.2E-2</v>
      </c>
      <c r="Q10" t="s">
        <v>104</v>
      </c>
      <c r="R10" s="3">
        <v>6.2E-2</v>
      </c>
      <c r="S10" s="3">
        <v>0.04</v>
      </c>
      <c r="T10" s="3">
        <v>-7.1999999999999995E-2</v>
      </c>
      <c r="U10" s="3">
        <v>0.17499999999999999</v>
      </c>
    </row>
    <row r="11" spans="1:21" x14ac:dyDescent="0.25">
      <c r="A11" t="s">
        <v>105</v>
      </c>
      <c r="B11" t="s">
        <v>106</v>
      </c>
      <c r="C11" t="s">
        <v>88</v>
      </c>
      <c r="D11" s="2">
        <v>33.24</v>
      </c>
      <c r="E11" s="2">
        <v>33.799999999999997</v>
      </c>
      <c r="F11" s="2">
        <v>23.42</v>
      </c>
      <c r="G11" t="s">
        <v>107</v>
      </c>
      <c r="H11" s="3">
        <v>0</v>
      </c>
      <c r="I11" t="s">
        <v>108</v>
      </c>
      <c r="J11" t="s">
        <v>109</v>
      </c>
      <c r="K11" s="3">
        <v>2.5000000000000001E-2</v>
      </c>
      <c r="L11" t="s">
        <v>110</v>
      </c>
      <c r="M11" t="s">
        <v>111</v>
      </c>
      <c r="N11" t="s">
        <v>112</v>
      </c>
      <c r="O11" s="3">
        <v>0.91700000000000004</v>
      </c>
      <c r="P11" s="3">
        <v>2.9000000000000001E-2</v>
      </c>
      <c r="Q11" t="s">
        <v>113</v>
      </c>
      <c r="R11" s="3">
        <v>0.16600000000000001</v>
      </c>
      <c r="S11" s="3">
        <v>9.1999999999999998E-2</v>
      </c>
      <c r="T11" s="3">
        <v>0.34499999999999997</v>
      </c>
      <c r="U11" s="3">
        <v>0.24099999999999999</v>
      </c>
    </row>
    <row r="12" spans="1:21" x14ac:dyDescent="0.25">
      <c r="A12" t="s">
        <v>114</v>
      </c>
      <c r="B12" t="s">
        <v>115</v>
      </c>
      <c r="C12" t="s">
        <v>88</v>
      </c>
      <c r="D12" s="2">
        <v>5.82</v>
      </c>
      <c r="E12" s="2">
        <v>6.03</v>
      </c>
      <c r="F12" s="2">
        <v>4.01</v>
      </c>
      <c r="G12" t="s">
        <v>116</v>
      </c>
      <c r="H12" s="3">
        <v>0.5</v>
      </c>
      <c r="I12" t="s">
        <v>117</v>
      </c>
      <c r="J12" t="s">
        <v>118</v>
      </c>
      <c r="K12" s="3">
        <v>0.03</v>
      </c>
      <c r="L12" t="s">
        <v>119</v>
      </c>
      <c r="M12" t="s">
        <v>120</v>
      </c>
      <c r="N12" t="s">
        <v>121</v>
      </c>
      <c r="O12" s="3">
        <v>0.79900000000000004</v>
      </c>
      <c r="P12" s="3">
        <v>1.0999999999999999E-2</v>
      </c>
      <c r="Q12" t="s">
        <v>122</v>
      </c>
      <c r="R12" s="3">
        <v>7.0000000000000001E-3</v>
      </c>
      <c r="S12" s="3">
        <v>-1.4999999999999999E-2</v>
      </c>
      <c r="T12" s="3">
        <v>-0.28199999999999997</v>
      </c>
      <c r="U12" s="3">
        <v>3.3000000000000002E-2</v>
      </c>
    </row>
    <row r="13" spans="1:21" x14ac:dyDescent="0.25">
      <c r="A13" t="s">
        <v>123</v>
      </c>
      <c r="B13" t="s">
        <v>124</v>
      </c>
      <c r="C13" t="s">
        <v>23</v>
      </c>
      <c r="D13" s="2">
        <v>3.82</v>
      </c>
      <c r="E13" s="2">
        <v>4.01</v>
      </c>
      <c r="F13" s="2">
        <v>3.41</v>
      </c>
      <c r="G13" t="s">
        <v>125</v>
      </c>
      <c r="H13" s="3">
        <v>1</v>
      </c>
      <c r="I13" t="s">
        <v>126</v>
      </c>
      <c r="J13" t="s">
        <v>127</v>
      </c>
      <c r="K13" s="3">
        <v>4.2999999999999997E-2</v>
      </c>
      <c r="L13" t="s">
        <v>128</v>
      </c>
      <c r="M13" t="s">
        <v>129</v>
      </c>
      <c r="N13" t="s">
        <v>130</v>
      </c>
      <c r="O13" s="3">
        <v>9.5000000000000001E-2</v>
      </c>
      <c r="Q13" t="s">
        <v>131</v>
      </c>
      <c r="R13" s="3">
        <v>6.4000000000000001E-2</v>
      </c>
      <c r="S13" s="3">
        <v>3.5000000000000003E-2</v>
      </c>
      <c r="T13" s="3">
        <v>3.6999999999999998E-2</v>
      </c>
      <c r="U13" s="3">
        <v>0.217</v>
      </c>
    </row>
    <row r="14" spans="1:21" x14ac:dyDescent="0.25">
      <c r="A14" t="s">
        <v>132</v>
      </c>
      <c r="B14" t="s">
        <v>133</v>
      </c>
      <c r="C14" t="s">
        <v>23</v>
      </c>
      <c r="D14" s="2">
        <v>19.54</v>
      </c>
      <c r="E14" s="2">
        <v>19.97</v>
      </c>
      <c r="F14" s="2">
        <v>13.37</v>
      </c>
      <c r="G14" t="s">
        <v>134</v>
      </c>
      <c r="H14" s="3">
        <v>1</v>
      </c>
      <c r="I14" t="s">
        <v>135</v>
      </c>
      <c r="J14" t="s">
        <v>136</v>
      </c>
      <c r="K14" s="3">
        <v>3.9E-2</v>
      </c>
      <c r="L14" t="s">
        <v>92</v>
      </c>
      <c r="M14" t="s">
        <v>137</v>
      </c>
      <c r="N14" t="s">
        <v>138</v>
      </c>
      <c r="O14" s="3">
        <v>0.182</v>
      </c>
      <c r="Q14" t="s">
        <v>139</v>
      </c>
      <c r="R14" s="3">
        <v>7.3999999999999996E-2</v>
      </c>
      <c r="S14" s="3">
        <v>-2.5000000000000001E-2</v>
      </c>
      <c r="T14" s="3">
        <v>-3.5000000000000003E-2</v>
      </c>
      <c r="U14" s="3">
        <v>6.9000000000000006E-2</v>
      </c>
    </row>
    <row r="15" spans="1:21" x14ac:dyDescent="0.25">
      <c r="A15" t="s">
        <v>140</v>
      </c>
      <c r="B15" t="s">
        <v>141</v>
      </c>
      <c r="C15" t="s">
        <v>23</v>
      </c>
      <c r="D15" s="2">
        <v>34.979999999999997</v>
      </c>
      <c r="E15" s="2">
        <v>35.89</v>
      </c>
      <c r="F15" s="2">
        <v>30.85</v>
      </c>
      <c r="G15" t="s">
        <v>142</v>
      </c>
      <c r="H15" s="3">
        <v>1</v>
      </c>
      <c r="I15" t="s">
        <v>143</v>
      </c>
      <c r="J15" t="s">
        <v>144</v>
      </c>
      <c r="K15" s="3">
        <v>2.7E-2</v>
      </c>
      <c r="L15" t="s">
        <v>145</v>
      </c>
      <c r="N15" t="s">
        <v>146</v>
      </c>
      <c r="O15" s="3">
        <v>8.5000000000000006E-2</v>
      </c>
      <c r="P15" s="3">
        <v>3.3000000000000002E-2</v>
      </c>
      <c r="Q15" t="s">
        <v>147</v>
      </c>
      <c r="R15" s="3">
        <v>0.89</v>
      </c>
      <c r="S15" s="3">
        <v>-0.214</v>
      </c>
      <c r="T15" s="3">
        <v>0.13800000000000001</v>
      </c>
      <c r="U15" s="3">
        <v>5.6000000000000001E-2</v>
      </c>
    </row>
    <row r="16" spans="1:21" x14ac:dyDescent="0.25">
      <c r="A16" t="s">
        <v>148</v>
      </c>
      <c r="B16" t="s">
        <v>149</v>
      </c>
      <c r="C16" t="s">
        <v>23</v>
      </c>
      <c r="D16" s="2">
        <v>5.98</v>
      </c>
      <c r="E16" s="2">
        <v>6.6</v>
      </c>
      <c r="F16" s="2">
        <v>5.18</v>
      </c>
      <c r="G16" t="s">
        <v>150</v>
      </c>
      <c r="H16" s="3">
        <v>1</v>
      </c>
      <c r="I16" t="s">
        <v>151</v>
      </c>
      <c r="J16" t="s">
        <v>152</v>
      </c>
      <c r="K16" s="3">
        <v>2.9000000000000001E-2</v>
      </c>
      <c r="L16" t="s">
        <v>153</v>
      </c>
      <c r="M16" t="s">
        <v>154</v>
      </c>
      <c r="N16" t="s">
        <v>155</v>
      </c>
      <c r="O16" s="3">
        <v>0.55600000000000005</v>
      </c>
      <c r="P16" s="3">
        <v>1.4999999999999999E-2</v>
      </c>
      <c r="Q16" t="s">
        <v>156</v>
      </c>
      <c r="R16" s="3">
        <v>0.16400000000000001</v>
      </c>
      <c r="S16" s="3">
        <v>0.22800000000000001</v>
      </c>
      <c r="T16" s="3">
        <v>8.5999999999999993E-2</v>
      </c>
      <c r="U16" s="3">
        <v>0.104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556F-36BE-457A-AA87-37AB5F726C54}">
  <dimension ref="A1:AA16"/>
  <sheetViews>
    <sheetView workbookViewId="0">
      <selection activeCell="F28" sqref="F28"/>
    </sheetView>
  </sheetViews>
  <sheetFormatPr defaultRowHeight="15" x14ac:dyDescent="0.25"/>
  <sheetData>
    <row r="1" spans="1:27" x14ac:dyDescent="0.25">
      <c r="A1" s="1" t="s">
        <v>157</v>
      </c>
      <c r="B1" s="1" t="s">
        <v>158</v>
      </c>
      <c r="C1" s="1" t="s">
        <v>159</v>
      </c>
      <c r="D1" s="1" t="s">
        <v>160</v>
      </c>
      <c r="E1" s="1" t="s">
        <v>161</v>
      </c>
      <c r="F1" s="1" t="s">
        <v>162</v>
      </c>
      <c r="G1" s="1" t="s">
        <v>163</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A2" t="s">
        <v>22</v>
      </c>
      <c r="B2" s="2">
        <v>31.02</v>
      </c>
      <c r="C2" t="s">
        <v>164</v>
      </c>
      <c r="D2" t="s">
        <v>165</v>
      </c>
      <c r="E2" t="s">
        <v>166</v>
      </c>
      <c r="F2" t="s">
        <v>167</v>
      </c>
      <c r="G2" t="s">
        <v>168</v>
      </c>
      <c r="H2" t="s">
        <v>21</v>
      </c>
      <c r="I2" t="s">
        <v>23</v>
      </c>
      <c r="J2" s="2">
        <v>31.02</v>
      </c>
      <c r="K2" s="2">
        <v>34.520000000000003</v>
      </c>
      <c r="L2" s="2">
        <v>26.39</v>
      </c>
      <c r="M2" t="s">
        <v>24</v>
      </c>
      <c r="N2" s="3">
        <v>1</v>
      </c>
      <c r="O2" t="s">
        <v>25</v>
      </c>
      <c r="P2" t="s">
        <v>26</v>
      </c>
      <c r="Q2" s="3">
        <v>2.5000000000000001E-2</v>
      </c>
      <c r="R2" t="s">
        <v>27</v>
      </c>
      <c r="S2" t="s">
        <v>28</v>
      </c>
      <c r="T2" t="s">
        <v>29</v>
      </c>
      <c r="U2" s="3">
        <v>0.47899999999999998</v>
      </c>
      <c r="V2" s="3">
        <v>1.2E-2</v>
      </c>
      <c r="W2" t="s">
        <v>30</v>
      </c>
      <c r="X2" s="3">
        <v>0.16500000000000001</v>
      </c>
      <c r="Y2" s="3">
        <v>0.47799999999999998</v>
      </c>
      <c r="Z2" s="3">
        <v>0.104</v>
      </c>
      <c r="AA2" s="3">
        <v>9.8000000000000004E-2</v>
      </c>
    </row>
    <row r="3" spans="1:27" x14ac:dyDescent="0.25">
      <c r="A3" t="s">
        <v>32</v>
      </c>
      <c r="B3" s="2">
        <v>245.89</v>
      </c>
      <c r="C3" t="s">
        <v>164</v>
      </c>
      <c r="D3" t="s">
        <v>165</v>
      </c>
      <c r="E3" t="s">
        <v>166</v>
      </c>
      <c r="F3" t="s">
        <v>169</v>
      </c>
      <c r="G3" t="s">
        <v>168</v>
      </c>
      <c r="H3" t="s">
        <v>31</v>
      </c>
      <c r="I3" t="s">
        <v>33</v>
      </c>
      <c r="J3" s="2">
        <v>245.89</v>
      </c>
      <c r="K3" s="2">
        <v>271.37</v>
      </c>
      <c r="L3" s="2">
        <v>85.6</v>
      </c>
      <c r="M3" t="s">
        <v>34</v>
      </c>
      <c r="N3" s="3">
        <v>1</v>
      </c>
      <c r="O3" t="s">
        <v>35</v>
      </c>
      <c r="P3" t="s">
        <v>36</v>
      </c>
      <c r="Q3" s="3">
        <v>1E-3</v>
      </c>
      <c r="R3" t="s">
        <v>37</v>
      </c>
      <c r="S3" t="s">
        <v>38</v>
      </c>
      <c r="T3" t="s">
        <v>39</v>
      </c>
      <c r="U3" s="3">
        <v>1.0999999999999999E-2</v>
      </c>
      <c r="V3" s="3">
        <v>0.06</v>
      </c>
      <c r="W3" t="s">
        <v>40</v>
      </c>
      <c r="X3" s="3">
        <v>0.498</v>
      </c>
      <c r="Y3" s="3">
        <v>0.34699999999999998</v>
      </c>
      <c r="Z3" s="3">
        <v>0.38900000000000001</v>
      </c>
      <c r="AA3" s="3">
        <v>0.50700000000000001</v>
      </c>
    </row>
    <row r="4" spans="1:27" x14ac:dyDescent="0.25">
      <c r="A4" t="s">
        <v>42</v>
      </c>
      <c r="B4" s="2">
        <v>2.97</v>
      </c>
      <c r="C4" t="s">
        <v>164</v>
      </c>
      <c r="D4" t="s">
        <v>165</v>
      </c>
      <c r="E4" t="s">
        <v>166</v>
      </c>
      <c r="F4" t="str">
        <f>LEFT(A4,3)&amp;" has closed above its previous 20 week high and is exhibiting momentum."</f>
        <v>ZIP has closed above its previous 20 week high and is exhibiting momentum.</v>
      </c>
      <c r="G4" t="s">
        <v>168</v>
      </c>
      <c r="H4" t="s">
        <v>41</v>
      </c>
      <c r="I4" t="s">
        <v>23</v>
      </c>
      <c r="J4" s="2">
        <v>2.97</v>
      </c>
      <c r="K4" s="2">
        <v>3.56</v>
      </c>
      <c r="L4" s="2">
        <v>0.47</v>
      </c>
      <c r="M4" t="s">
        <v>43</v>
      </c>
      <c r="O4" t="s">
        <v>44</v>
      </c>
      <c r="P4" t="s">
        <v>45</v>
      </c>
      <c r="Q4" s="3">
        <v>0</v>
      </c>
      <c r="R4" t="s">
        <v>46</v>
      </c>
      <c r="S4" t="s">
        <v>47</v>
      </c>
      <c r="T4" t="s">
        <v>48</v>
      </c>
      <c r="U4" s="3">
        <v>6.0730000000000004</v>
      </c>
      <c r="W4" t="s">
        <v>49</v>
      </c>
      <c r="X4" s="3">
        <v>7.0000000000000001E-3</v>
      </c>
      <c r="Y4" s="3">
        <v>0.30099999999999999</v>
      </c>
      <c r="AA4" s="3">
        <v>1.7999999999999999E-2</v>
      </c>
    </row>
    <row r="5" spans="1:27" x14ac:dyDescent="0.25">
      <c r="A5" t="s">
        <v>51</v>
      </c>
      <c r="B5" s="2">
        <v>1.45</v>
      </c>
      <c r="C5" t="s">
        <v>164</v>
      </c>
      <c r="D5" t="s">
        <v>165</v>
      </c>
      <c r="E5" t="s">
        <v>166</v>
      </c>
      <c r="F5" t="str">
        <f t="shared" ref="F5:F16" si="0">LEFT(A5,3)&amp;" has closed above its previous 20 week high and is exhibiting momentum."</f>
        <v>HLS has closed above its previous 20 week high and is exhibiting momentum.</v>
      </c>
      <c r="G5" t="s">
        <v>168</v>
      </c>
      <c r="H5" t="s">
        <v>50</v>
      </c>
      <c r="I5" t="s">
        <v>33</v>
      </c>
      <c r="J5" s="2">
        <v>1.45</v>
      </c>
      <c r="K5" s="2">
        <v>1.86</v>
      </c>
      <c r="L5" s="2">
        <v>1.08</v>
      </c>
      <c r="M5" t="s">
        <v>52</v>
      </c>
      <c r="N5" s="3">
        <v>1</v>
      </c>
      <c r="O5" t="s">
        <v>53</v>
      </c>
      <c r="Q5" s="3">
        <v>0</v>
      </c>
      <c r="R5" t="s">
        <v>54</v>
      </c>
      <c r="S5" t="s">
        <v>55</v>
      </c>
      <c r="T5" t="s">
        <v>56</v>
      </c>
      <c r="U5" s="3">
        <v>1.5349999999999999</v>
      </c>
      <c r="V5" s="3">
        <v>5.0000000000000001E-3</v>
      </c>
      <c r="W5" t="s">
        <v>57</v>
      </c>
      <c r="X5" s="3">
        <v>-0.36399999999999999</v>
      </c>
      <c r="Y5" s="3">
        <v>-2.8000000000000001E-2</v>
      </c>
      <c r="AA5" s="3">
        <v>-0.499</v>
      </c>
    </row>
    <row r="6" spans="1:27" x14ac:dyDescent="0.25">
      <c r="A6" t="s">
        <v>59</v>
      </c>
      <c r="B6" s="2">
        <v>10.9</v>
      </c>
      <c r="C6" t="s">
        <v>164</v>
      </c>
      <c r="D6" t="s">
        <v>165</v>
      </c>
      <c r="E6" t="s">
        <v>166</v>
      </c>
      <c r="F6" t="str">
        <f t="shared" si="0"/>
        <v>AGL has closed above its previous 20 week high and is exhibiting momentum.</v>
      </c>
      <c r="G6" t="s">
        <v>168</v>
      </c>
      <c r="H6" t="s">
        <v>58</v>
      </c>
      <c r="I6" t="s">
        <v>60</v>
      </c>
      <c r="J6" s="2">
        <v>10.9</v>
      </c>
      <c r="K6" s="2">
        <v>12.2</v>
      </c>
      <c r="L6" s="2">
        <v>7.8</v>
      </c>
      <c r="M6" t="s">
        <v>61</v>
      </c>
      <c r="N6" s="3">
        <v>0</v>
      </c>
      <c r="O6" t="s">
        <v>62</v>
      </c>
      <c r="P6" t="s">
        <v>63</v>
      </c>
      <c r="Q6" s="3">
        <v>5.6000000000000001E-2</v>
      </c>
      <c r="R6" t="s">
        <v>64</v>
      </c>
      <c r="S6" t="s">
        <v>65</v>
      </c>
      <c r="T6" t="s">
        <v>66</v>
      </c>
      <c r="U6" s="3">
        <v>0.502</v>
      </c>
      <c r="V6" s="3">
        <v>1.0999999999999999E-2</v>
      </c>
      <c r="W6" t="s">
        <v>67</v>
      </c>
      <c r="X6" s="3">
        <v>5.1999999999999998E-2</v>
      </c>
      <c r="Y6" s="3">
        <v>7.4999999999999997E-2</v>
      </c>
      <c r="AA6" s="3">
        <v>0.13500000000000001</v>
      </c>
    </row>
    <row r="7" spans="1:27" x14ac:dyDescent="0.25">
      <c r="A7" t="s">
        <v>69</v>
      </c>
      <c r="B7" s="2">
        <v>22.88</v>
      </c>
      <c r="C7" t="s">
        <v>164</v>
      </c>
      <c r="D7" t="s">
        <v>165</v>
      </c>
      <c r="E7" t="s">
        <v>166</v>
      </c>
      <c r="F7" t="str">
        <f t="shared" si="0"/>
        <v>PNI has closed above its previous 20 week high and is exhibiting momentum.</v>
      </c>
      <c r="G7" t="s">
        <v>168</v>
      </c>
      <c r="H7" t="s">
        <v>68</v>
      </c>
      <c r="I7" t="s">
        <v>23</v>
      </c>
      <c r="J7" s="2">
        <v>22.88</v>
      </c>
      <c r="K7" s="2">
        <v>25.01</v>
      </c>
      <c r="L7" s="2">
        <v>9.68</v>
      </c>
      <c r="M7" t="s">
        <v>70</v>
      </c>
      <c r="N7" s="3">
        <v>0.72</v>
      </c>
      <c r="O7" t="s">
        <v>71</v>
      </c>
      <c r="P7" t="s">
        <v>72</v>
      </c>
      <c r="Q7" s="3">
        <v>1.7000000000000001E-2</v>
      </c>
      <c r="R7" t="s">
        <v>73</v>
      </c>
      <c r="S7" t="s">
        <v>74</v>
      </c>
      <c r="T7" t="s">
        <v>75</v>
      </c>
      <c r="U7" s="3">
        <v>0.24</v>
      </c>
      <c r="V7" s="3">
        <v>0.115</v>
      </c>
      <c r="W7" t="s">
        <v>76</v>
      </c>
      <c r="X7" s="3">
        <v>1.8440000000000001</v>
      </c>
      <c r="Y7" s="3">
        <v>0.14599999999999999</v>
      </c>
      <c r="Z7" s="3">
        <v>7.5999999999999998E-2</v>
      </c>
      <c r="AA7" s="3">
        <v>0.20599999999999999</v>
      </c>
    </row>
    <row r="8" spans="1:27" x14ac:dyDescent="0.25">
      <c r="A8" t="s">
        <v>78</v>
      </c>
      <c r="B8" s="2">
        <v>23.09</v>
      </c>
      <c r="C8" t="s">
        <v>164</v>
      </c>
      <c r="D8" t="s">
        <v>165</v>
      </c>
      <c r="E8" t="s">
        <v>166</v>
      </c>
      <c r="F8" t="str">
        <f t="shared" si="0"/>
        <v>360 has closed above its previous 20 week high and is exhibiting momentum.</v>
      </c>
      <c r="G8" t="s">
        <v>168</v>
      </c>
      <c r="H8" t="s">
        <v>77</v>
      </c>
      <c r="I8" t="s">
        <v>79</v>
      </c>
      <c r="J8" s="2">
        <v>23.09</v>
      </c>
      <c r="K8" s="2">
        <v>27.18</v>
      </c>
      <c r="L8" s="2">
        <v>6.6</v>
      </c>
      <c r="M8" t="s">
        <v>80</v>
      </c>
      <c r="O8" t="s">
        <v>81</v>
      </c>
      <c r="Q8" s="3">
        <v>0</v>
      </c>
      <c r="R8" t="s">
        <v>82</v>
      </c>
      <c r="S8" t="s">
        <v>83</v>
      </c>
      <c r="T8" t="s">
        <v>84</v>
      </c>
      <c r="U8" s="3">
        <v>0</v>
      </c>
      <c r="V8" s="3">
        <v>2.8000000000000001E-2</v>
      </c>
      <c r="W8" t="s">
        <v>85</v>
      </c>
      <c r="X8" s="3">
        <v>-4.7E-2</v>
      </c>
      <c r="Y8" s="3">
        <v>0.55700000000000005</v>
      </c>
      <c r="AA8" s="3">
        <v>-5.6000000000000001E-2</v>
      </c>
    </row>
    <row r="9" spans="1:27" x14ac:dyDescent="0.25">
      <c r="A9" t="s">
        <v>87</v>
      </c>
      <c r="B9" s="2">
        <v>47.72</v>
      </c>
      <c r="C9" t="s">
        <v>164</v>
      </c>
      <c r="D9" t="s">
        <v>165</v>
      </c>
      <c r="E9" t="s">
        <v>166</v>
      </c>
      <c r="F9" t="str">
        <f t="shared" si="0"/>
        <v>SGH has closed above its previous 20 week high and is exhibiting momentum.</v>
      </c>
      <c r="G9" t="s">
        <v>168</v>
      </c>
      <c r="H9" t="s">
        <v>86</v>
      </c>
      <c r="I9" t="s">
        <v>88</v>
      </c>
      <c r="J9" s="2">
        <v>47.72</v>
      </c>
      <c r="K9" s="2">
        <v>50.05</v>
      </c>
      <c r="L9" s="2">
        <v>33.590000000000003</v>
      </c>
      <c r="M9" t="s">
        <v>89</v>
      </c>
      <c r="N9" s="3">
        <v>1</v>
      </c>
      <c r="O9" t="s">
        <v>90</v>
      </c>
      <c r="P9" t="s">
        <v>91</v>
      </c>
      <c r="Q9" s="3">
        <v>1.0999999999999999E-2</v>
      </c>
      <c r="R9" t="s">
        <v>92</v>
      </c>
      <c r="T9" t="s">
        <v>93</v>
      </c>
      <c r="U9" s="3">
        <v>1.4610000000000001</v>
      </c>
      <c r="V9" s="3">
        <v>1.2999999999999999E-2</v>
      </c>
      <c r="W9" t="s">
        <v>94</v>
      </c>
      <c r="X9" s="3">
        <v>4.9000000000000002E-2</v>
      </c>
      <c r="Y9" s="3">
        <v>0.29899999999999999</v>
      </c>
      <c r="Z9" s="3">
        <v>-0.124</v>
      </c>
      <c r="AA9" s="3">
        <v>0.11600000000000001</v>
      </c>
    </row>
    <row r="10" spans="1:27" x14ac:dyDescent="0.25">
      <c r="A10" t="s">
        <v>96</v>
      </c>
      <c r="B10" s="2">
        <v>15</v>
      </c>
      <c r="C10" t="s">
        <v>164</v>
      </c>
      <c r="D10" t="s">
        <v>165</v>
      </c>
      <c r="E10" t="s">
        <v>166</v>
      </c>
      <c r="F10" t="str">
        <f t="shared" si="0"/>
        <v>SUL has closed above its previous 20 week high and is exhibiting momentum.</v>
      </c>
      <c r="G10" t="s">
        <v>168</v>
      </c>
      <c r="H10" t="s">
        <v>95</v>
      </c>
      <c r="I10" t="s">
        <v>97</v>
      </c>
      <c r="J10" s="2">
        <v>15</v>
      </c>
      <c r="K10" s="2">
        <v>18.399999999999999</v>
      </c>
      <c r="L10" s="2">
        <v>12.4</v>
      </c>
      <c r="M10" t="s">
        <v>98</v>
      </c>
      <c r="N10" s="3">
        <v>1</v>
      </c>
      <c r="O10" t="s">
        <v>99</v>
      </c>
      <c r="P10" t="s">
        <v>100</v>
      </c>
      <c r="Q10" s="3">
        <v>4.4999999999999998E-2</v>
      </c>
      <c r="R10" t="s">
        <v>101</v>
      </c>
      <c r="S10" t="s">
        <v>102</v>
      </c>
      <c r="T10" t="s">
        <v>103</v>
      </c>
      <c r="U10" s="3">
        <v>0.80400000000000005</v>
      </c>
      <c r="V10" s="3">
        <v>1.2E-2</v>
      </c>
      <c r="W10" t="s">
        <v>104</v>
      </c>
      <c r="X10" s="3">
        <v>6.2E-2</v>
      </c>
      <c r="Y10" s="3">
        <v>0.04</v>
      </c>
      <c r="Z10" s="3">
        <v>-7.1999999999999995E-2</v>
      </c>
      <c r="AA10" s="3">
        <v>0.17499999999999999</v>
      </c>
    </row>
    <row r="11" spans="1:27" x14ac:dyDescent="0.25">
      <c r="A11" t="s">
        <v>106</v>
      </c>
      <c r="B11" s="2">
        <v>33.24</v>
      </c>
      <c r="C11" t="s">
        <v>164</v>
      </c>
      <c r="D11" t="s">
        <v>165</v>
      </c>
      <c r="E11" t="s">
        <v>166</v>
      </c>
      <c r="F11" t="str">
        <f t="shared" si="0"/>
        <v>CPU has closed above its previous 20 week high and is exhibiting momentum.</v>
      </c>
      <c r="G11" t="s">
        <v>168</v>
      </c>
      <c r="H11" t="s">
        <v>105</v>
      </c>
      <c r="I11" t="s">
        <v>88</v>
      </c>
      <c r="J11" s="2">
        <v>33.24</v>
      </c>
      <c r="K11" s="2">
        <v>33.799999999999997</v>
      </c>
      <c r="L11" s="2">
        <v>23.42</v>
      </c>
      <c r="M11" t="s">
        <v>107</v>
      </c>
      <c r="N11" s="3">
        <v>0</v>
      </c>
      <c r="O11" t="s">
        <v>108</v>
      </c>
      <c r="P11" t="s">
        <v>109</v>
      </c>
      <c r="Q11" s="3">
        <v>2.5000000000000001E-2</v>
      </c>
      <c r="R11" t="s">
        <v>110</v>
      </c>
      <c r="S11" t="s">
        <v>111</v>
      </c>
      <c r="T11" t="s">
        <v>112</v>
      </c>
      <c r="U11" s="3">
        <v>0.91700000000000004</v>
      </c>
      <c r="V11" s="3">
        <v>2.9000000000000001E-2</v>
      </c>
      <c r="W11" t="s">
        <v>113</v>
      </c>
      <c r="X11" s="3">
        <v>0.16600000000000001</v>
      </c>
      <c r="Y11" s="3">
        <v>9.1999999999999998E-2</v>
      </c>
      <c r="Z11" s="3">
        <v>0.34499999999999997</v>
      </c>
      <c r="AA11" s="3">
        <v>0.24099999999999999</v>
      </c>
    </row>
    <row r="12" spans="1:27" x14ac:dyDescent="0.25">
      <c r="A12" t="s">
        <v>115</v>
      </c>
      <c r="B12" s="2">
        <v>5.82</v>
      </c>
      <c r="C12" t="s">
        <v>164</v>
      </c>
      <c r="D12" t="s">
        <v>165</v>
      </c>
      <c r="E12" t="s">
        <v>166</v>
      </c>
      <c r="F12" t="str">
        <f t="shared" si="0"/>
        <v>DOW has closed above its previous 20 week high and is exhibiting momentum.</v>
      </c>
      <c r="G12" t="s">
        <v>168</v>
      </c>
      <c r="H12" t="s">
        <v>114</v>
      </c>
      <c r="I12" t="s">
        <v>88</v>
      </c>
      <c r="J12" s="2">
        <v>5.82</v>
      </c>
      <c r="K12" s="2">
        <v>6.03</v>
      </c>
      <c r="L12" s="2">
        <v>4.01</v>
      </c>
      <c r="M12" t="s">
        <v>116</v>
      </c>
      <c r="N12" s="3">
        <v>0.5</v>
      </c>
      <c r="O12" t="s">
        <v>117</v>
      </c>
      <c r="P12" t="s">
        <v>118</v>
      </c>
      <c r="Q12" s="3">
        <v>0.03</v>
      </c>
      <c r="R12" t="s">
        <v>119</v>
      </c>
      <c r="S12" t="s">
        <v>120</v>
      </c>
      <c r="T12" t="s">
        <v>121</v>
      </c>
      <c r="U12" s="3">
        <v>0.79900000000000004</v>
      </c>
      <c r="V12" s="3">
        <v>1.0999999999999999E-2</v>
      </c>
      <c r="W12" t="s">
        <v>122</v>
      </c>
      <c r="X12" s="3">
        <v>7.0000000000000001E-3</v>
      </c>
      <c r="Y12" s="3">
        <v>-1.4999999999999999E-2</v>
      </c>
      <c r="Z12" s="3">
        <v>-0.28199999999999997</v>
      </c>
      <c r="AA12" s="3">
        <v>3.3000000000000002E-2</v>
      </c>
    </row>
    <row r="13" spans="1:27" x14ac:dyDescent="0.25">
      <c r="A13" t="s">
        <v>124</v>
      </c>
      <c r="B13" s="2">
        <v>3.82</v>
      </c>
      <c r="C13" t="s">
        <v>164</v>
      </c>
      <c r="D13" t="s">
        <v>165</v>
      </c>
      <c r="E13" t="s">
        <v>166</v>
      </c>
      <c r="F13" t="str">
        <f t="shared" si="0"/>
        <v>MPL has closed above its previous 20 week high and is exhibiting momentum.</v>
      </c>
      <c r="G13" t="s">
        <v>168</v>
      </c>
      <c r="H13" t="s">
        <v>123</v>
      </c>
      <c r="I13" t="s">
        <v>23</v>
      </c>
      <c r="J13" s="2">
        <v>3.82</v>
      </c>
      <c r="K13" s="2">
        <v>4.01</v>
      </c>
      <c r="L13" s="2">
        <v>3.41</v>
      </c>
      <c r="M13" t="s">
        <v>125</v>
      </c>
      <c r="N13" s="3">
        <v>1</v>
      </c>
      <c r="O13" t="s">
        <v>126</v>
      </c>
      <c r="P13" t="s">
        <v>127</v>
      </c>
      <c r="Q13" s="3">
        <v>4.2999999999999997E-2</v>
      </c>
      <c r="R13" t="s">
        <v>128</v>
      </c>
      <c r="S13" t="s">
        <v>129</v>
      </c>
      <c r="T13" t="s">
        <v>130</v>
      </c>
      <c r="U13" s="3">
        <v>9.5000000000000001E-2</v>
      </c>
      <c r="W13" t="s">
        <v>131</v>
      </c>
      <c r="X13" s="3">
        <v>6.4000000000000001E-2</v>
      </c>
      <c r="Y13" s="3">
        <v>3.5000000000000003E-2</v>
      </c>
      <c r="Z13" s="3">
        <v>3.6999999999999998E-2</v>
      </c>
      <c r="AA13" s="3">
        <v>0.217</v>
      </c>
    </row>
    <row r="14" spans="1:27" x14ac:dyDescent="0.25">
      <c r="A14" t="s">
        <v>133</v>
      </c>
      <c r="B14" s="2">
        <v>19.54</v>
      </c>
      <c r="C14" t="s">
        <v>164</v>
      </c>
      <c r="D14" t="s">
        <v>165</v>
      </c>
      <c r="E14" t="s">
        <v>166</v>
      </c>
      <c r="F14" t="str">
        <f t="shared" si="0"/>
        <v>SUN has closed above its previous 20 week high and is exhibiting momentum.</v>
      </c>
      <c r="G14" t="s">
        <v>168</v>
      </c>
      <c r="H14" t="s">
        <v>132</v>
      </c>
      <c r="I14" t="s">
        <v>23</v>
      </c>
      <c r="J14" s="2">
        <v>19.54</v>
      </c>
      <c r="K14" s="2">
        <v>19.97</v>
      </c>
      <c r="L14" s="2">
        <v>13.37</v>
      </c>
      <c r="M14" t="s">
        <v>134</v>
      </c>
      <c r="N14" s="3">
        <v>1</v>
      </c>
      <c r="O14" t="s">
        <v>135</v>
      </c>
      <c r="P14" t="s">
        <v>136</v>
      </c>
      <c r="Q14" s="3">
        <v>3.9E-2</v>
      </c>
      <c r="R14" t="s">
        <v>92</v>
      </c>
      <c r="S14" t="s">
        <v>137</v>
      </c>
      <c r="T14" t="s">
        <v>138</v>
      </c>
      <c r="U14" s="3">
        <v>0.182</v>
      </c>
      <c r="W14" t="s">
        <v>139</v>
      </c>
      <c r="X14" s="3">
        <v>7.3999999999999996E-2</v>
      </c>
      <c r="Y14" s="3">
        <v>-2.5000000000000001E-2</v>
      </c>
      <c r="Z14" s="3">
        <v>-3.5000000000000003E-2</v>
      </c>
      <c r="AA14" s="3">
        <v>6.9000000000000006E-2</v>
      </c>
    </row>
    <row r="15" spans="1:27" x14ac:dyDescent="0.25">
      <c r="A15" t="s">
        <v>141</v>
      </c>
      <c r="B15" s="2">
        <v>34.979999999999997</v>
      </c>
      <c r="C15" t="s">
        <v>164</v>
      </c>
      <c r="D15" t="s">
        <v>165</v>
      </c>
      <c r="E15" t="s">
        <v>166</v>
      </c>
      <c r="F15" t="str">
        <f t="shared" si="0"/>
        <v>SOL has closed above its previous 20 week high and is exhibiting momentum.</v>
      </c>
      <c r="G15" t="s">
        <v>168</v>
      </c>
      <c r="H15" t="s">
        <v>140</v>
      </c>
      <c r="I15" t="s">
        <v>23</v>
      </c>
      <c r="J15" s="2">
        <v>34.979999999999997</v>
      </c>
      <c r="K15" s="2">
        <v>35.89</v>
      </c>
      <c r="L15" s="2">
        <v>30.85</v>
      </c>
      <c r="M15" t="s">
        <v>142</v>
      </c>
      <c r="N15" s="3">
        <v>1</v>
      </c>
      <c r="O15" t="s">
        <v>143</v>
      </c>
      <c r="P15" t="s">
        <v>144</v>
      </c>
      <c r="Q15" s="3">
        <v>2.7E-2</v>
      </c>
      <c r="R15" t="s">
        <v>145</v>
      </c>
      <c r="T15" t="s">
        <v>146</v>
      </c>
      <c r="U15" s="3">
        <v>8.5000000000000006E-2</v>
      </c>
      <c r="V15" s="3">
        <v>3.3000000000000002E-2</v>
      </c>
      <c r="W15" t="s">
        <v>147</v>
      </c>
      <c r="X15" s="3">
        <v>0.89</v>
      </c>
      <c r="Y15" s="3">
        <v>-0.214</v>
      </c>
      <c r="Z15" s="3">
        <v>0.13800000000000001</v>
      </c>
      <c r="AA15" s="3">
        <v>5.6000000000000001E-2</v>
      </c>
    </row>
    <row r="16" spans="1:27" x14ac:dyDescent="0.25">
      <c r="A16" t="s">
        <v>149</v>
      </c>
      <c r="B16" s="2">
        <v>5.98</v>
      </c>
      <c r="C16" t="s">
        <v>164</v>
      </c>
      <c r="D16" t="s">
        <v>165</v>
      </c>
      <c r="E16" t="s">
        <v>166</v>
      </c>
      <c r="F16" t="str">
        <f t="shared" si="0"/>
        <v>SDF has closed above its previous 20 week high and is exhibiting momentum.</v>
      </c>
      <c r="G16" t="s">
        <v>168</v>
      </c>
      <c r="H16" t="s">
        <v>148</v>
      </c>
      <c r="I16" t="s">
        <v>23</v>
      </c>
      <c r="J16" s="2">
        <v>5.98</v>
      </c>
      <c r="K16" s="2">
        <v>6.6</v>
      </c>
      <c r="L16" s="2">
        <v>5.18</v>
      </c>
      <c r="M16" t="s">
        <v>150</v>
      </c>
      <c r="N16" s="3">
        <v>1</v>
      </c>
      <c r="O16" t="s">
        <v>151</v>
      </c>
      <c r="P16" t="s">
        <v>152</v>
      </c>
      <c r="Q16" s="3">
        <v>2.9000000000000001E-2</v>
      </c>
      <c r="R16" t="s">
        <v>153</v>
      </c>
      <c r="S16" t="s">
        <v>154</v>
      </c>
      <c r="T16" t="s">
        <v>155</v>
      </c>
      <c r="U16" s="3">
        <v>0.55600000000000005</v>
      </c>
      <c r="V16" s="3">
        <v>1.4999999999999999E-2</v>
      </c>
      <c r="W16" t="s">
        <v>156</v>
      </c>
      <c r="X16" s="3">
        <v>0.16400000000000001</v>
      </c>
      <c r="Y16" s="3">
        <v>0.22800000000000001</v>
      </c>
      <c r="Z16" s="3">
        <v>8.5999999999999993E-2</v>
      </c>
      <c r="AA16" s="3">
        <v>0.104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34DE-1A0F-421B-BF74-FA129114FCFC}">
  <dimension ref="A1:B7"/>
  <sheetViews>
    <sheetView workbookViewId="0">
      <selection activeCell="F16" sqref="F16"/>
    </sheetView>
  </sheetViews>
  <sheetFormatPr defaultRowHeight="15" x14ac:dyDescent="0.25"/>
  <cols>
    <col min="1" max="1" width="22" bestFit="1" customWidth="1"/>
  </cols>
  <sheetData>
    <row r="1" spans="1:2" x14ac:dyDescent="0.25">
      <c r="A1" s="4" t="s">
        <v>170</v>
      </c>
      <c r="B1">
        <v>0</v>
      </c>
    </row>
    <row r="2" spans="1:2" x14ac:dyDescent="0.25">
      <c r="A2" s="4" t="s">
        <v>171</v>
      </c>
      <c r="B2">
        <v>10</v>
      </c>
    </row>
    <row r="3" spans="1:2" x14ac:dyDescent="0.25">
      <c r="A3" s="4" t="s">
        <v>172</v>
      </c>
      <c r="B3">
        <v>0</v>
      </c>
    </row>
    <row r="4" spans="1:2" x14ac:dyDescent="0.25">
      <c r="A4" s="4" t="s">
        <v>173</v>
      </c>
      <c r="B4">
        <v>0</v>
      </c>
    </row>
    <row r="5" spans="1:2" x14ac:dyDescent="0.25">
      <c r="A5" s="4" t="s">
        <v>174</v>
      </c>
      <c r="B5">
        <v>0</v>
      </c>
    </row>
    <row r="6" spans="1:2" x14ac:dyDescent="0.25">
      <c r="A6" s="4" t="s">
        <v>175</v>
      </c>
      <c r="B6">
        <v>0</v>
      </c>
    </row>
    <row r="7" spans="1:2" x14ac:dyDescent="0.25">
      <c r="A7" s="4" t="s">
        <v>176</v>
      </c>
      <c r="B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D6ED-5FF2-4989-B57D-23D6B6475787}">
  <dimension ref="A1:D2"/>
  <sheetViews>
    <sheetView workbookViewId="0">
      <selection activeCell="F10" sqref="F10"/>
    </sheetView>
  </sheetViews>
  <sheetFormatPr defaultRowHeight="15" x14ac:dyDescent="0.25"/>
  <cols>
    <col min="1" max="1" width="10.42578125" bestFit="1" customWidth="1"/>
    <col min="3" max="3" width="9.42578125" bestFit="1" customWidth="1"/>
    <col min="4" max="4" width="11.140625" bestFit="1" customWidth="1"/>
  </cols>
  <sheetData>
    <row r="1" spans="1:4" x14ac:dyDescent="0.25">
      <c r="A1" s="5" t="s">
        <v>177</v>
      </c>
      <c r="B1" s="5" t="s">
        <v>178</v>
      </c>
      <c r="C1" s="5" t="s">
        <v>179</v>
      </c>
      <c r="D1" s="5" t="s">
        <v>180</v>
      </c>
    </row>
    <row r="2" spans="1:4" x14ac:dyDescent="0.25">
      <c r="A2" s="6">
        <v>45564</v>
      </c>
      <c r="B2">
        <v>100000</v>
      </c>
      <c r="C2">
        <v>0</v>
      </c>
      <c r="D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9689-9BED-4081-8684-3A8029749C8D}">
  <dimension ref="A1:J16"/>
  <sheetViews>
    <sheetView tabSelected="1" workbookViewId="0">
      <selection activeCell="S14" sqref="S14"/>
    </sheetView>
  </sheetViews>
  <sheetFormatPr defaultRowHeight="15" x14ac:dyDescent="0.25"/>
  <cols>
    <col min="2" max="2" width="10.28515625" bestFit="1" customWidth="1"/>
    <col min="3" max="3" width="10.42578125" bestFit="1" customWidth="1"/>
    <col min="5" max="5" width="10.42578125" bestFit="1" customWidth="1"/>
  </cols>
  <sheetData>
    <row r="1" spans="1:10" x14ac:dyDescent="0.25">
      <c r="A1" s="7" t="s">
        <v>157</v>
      </c>
      <c r="B1" s="7" t="s">
        <v>181</v>
      </c>
      <c r="C1" s="7" t="s">
        <v>182</v>
      </c>
      <c r="D1" s="7" t="s">
        <v>183</v>
      </c>
      <c r="E1" s="7" t="s">
        <v>184</v>
      </c>
      <c r="F1" s="7" t="s">
        <v>185</v>
      </c>
      <c r="G1" s="7" t="s">
        <v>186</v>
      </c>
      <c r="H1" s="7" t="s">
        <v>187</v>
      </c>
      <c r="I1" s="7" t="s">
        <v>188</v>
      </c>
      <c r="J1" s="7" t="s">
        <v>189</v>
      </c>
    </row>
    <row r="2" spans="1:10" x14ac:dyDescent="0.25">
      <c r="A2" t="s">
        <v>22</v>
      </c>
      <c r="B2" t="s">
        <v>190</v>
      </c>
      <c r="C2" s="6">
        <v>45565</v>
      </c>
      <c r="D2" t="s">
        <v>166</v>
      </c>
      <c r="E2" s="6">
        <v>45565</v>
      </c>
      <c r="F2" t="s">
        <v>166</v>
      </c>
      <c r="G2" t="s">
        <v>166</v>
      </c>
      <c r="H2" t="s">
        <v>166</v>
      </c>
      <c r="I2" t="s">
        <v>166</v>
      </c>
      <c r="J2">
        <v>213</v>
      </c>
    </row>
    <row r="3" spans="1:10" x14ac:dyDescent="0.25">
      <c r="A3" t="s">
        <v>32</v>
      </c>
      <c r="B3" t="s">
        <v>190</v>
      </c>
      <c r="C3" s="6">
        <v>45565</v>
      </c>
      <c r="D3" t="s">
        <v>166</v>
      </c>
      <c r="E3" s="6">
        <v>45565</v>
      </c>
      <c r="F3" t="s">
        <v>166</v>
      </c>
      <c r="G3" t="s">
        <v>166</v>
      </c>
      <c r="H3" t="s">
        <v>166</v>
      </c>
      <c r="I3" t="s">
        <v>166</v>
      </c>
      <c r="J3">
        <v>38</v>
      </c>
    </row>
    <row r="4" spans="1:10" x14ac:dyDescent="0.25">
      <c r="A4" t="s">
        <v>42</v>
      </c>
      <c r="B4" t="s">
        <v>190</v>
      </c>
      <c r="C4" s="6">
        <v>45565</v>
      </c>
      <c r="D4" t="s">
        <v>166</v>
      </c>
      <c r="E4" s="6">
        <v>45565</v>
      </c>
      <c r="F4" t="s">
        <v>166</v>
      </c>
      <c r="G4" t="s">
        <v>166</v>
      </c>
      <c r="H4" t="s">
        <v>166</v>
      </c>
      <c r="I4" t="s">
        <v>166</v>
      </c>
      <c r="J4">
        <v>2389</v>
      </c>
    </row>
    <row r="5" spans="1:10" x14ac:dyDescent="0.25">
      <c r="A5" t="s">
        <v>51</v>
      </c>
      <c r="B5" t="s">
        <v>190</v>
      </c>
      <c r="C5" s="6">
        <v>45565</v>
      </c>
      <c r="D5" t="s">
        <v>166</v>
      </c>
      <c r="E5" s="6">
        <v>45565</v>
      </c>
      <c r="F5" t="s">
        <v>166</v>
      </c>
      <c r="G5" t="s">
        <v>166</v>
      </c>
      <c r="H5" t="s">
        <v>166</v>
      </c>
      <c r="I5" t="s">
        <v>166</v>
      </c>
      <c r="J5">
        <v>3820</v>
      </c>
    </row>
    <row r="6" spans="1:10" x14ac:dyDescent="0.25">
      <c r="A6" t="s">
        <v>59</v>
      </c>
      <c r="B6" t="s">
        <v>190</v>
      </c>
      <c r="C6" s="6">
        <v>45565</v>
      </c>
      <c r="D6" t="s">
        <v>166</v>
      </c>
      <c r="E6" s="6">
        <v>45565</v>
      </c>
      <c r="F6" t="s">
        <v>166</v>
      </c>
      <c r="G6" t="s">
        <v>166</v>
      </c>
      <c r="H6" t="s">
        <v>166</v>
      </c>
      <c r="I6" t="s">
        <v>166</v>
      </c>
      <c r="J6">
        <v>556</v>
      </c>
    </row>
    <row r="7" spans="1:10" x14ac:dyDescent="0.25">
      <c r="A7" t="s">
        <v>69</v>
      </c>
      <c r="B7" t="s">
        <v>190</v>
      </c>
      <c r="C7" s="6">
        <v>45565</v>
      </c>
      <c r="D7" t="s">
        <v>166</v>
      </c>
      <c r="E7" s="6">
        <v>45565</v>
      </c>
      <c r="F7" t="s">
        <v>166</v>
      </c>
      <c r="G7" t="s">
        <v>166</v>
      </c>
      <c r="H7" t="s">
        <v>166</v>
      </c>
      <c r="I7" t="s">
        <v>166</v>
      </c>
      <c r="J7">
        <v>369</v>
      </c>
    </row>
    <row r="8" spans="1:10" x14ac:dyDescent="0.25">
      <c r="A8" t="s">
        <v>78</v>
      </c>
      <c r="B8" t="s">
        <v>190</v>
      </c>
      <c r="C8" s="6">
        <v>45565</v>
      </c>
      <c r="D8" t="s">
        <v>166</v>
      </c>
      <c r="E8" s="6">
        <v>45565</v>
      </c>
      <c r="F8" t="s">
        <v>166</v>
      </c>
      <c r="G8" t="s">
        <v>166</v>
      </c>
      <c r="H8" t="s">
        <v>166</v>
      </c>
      <c r="I8" t="s">
        <v>166</v>
      </c>
      <c r="J8">
        <v>347</v>
      </c>
    </row>
    <row r="9" spans="1:10" x14ac:dyDescent="0.25">
      <c r="A9" t="s">
        <v>87</v>
      </c>
      <c r="B9" t="s">
        <v>190</v>
      </c>
      <c r="C9" s="6">
        <v>45565</v>
      </c>
      <c r="D9" t="s">
        <v>166</v>
      </c>
      <c r="E9" s="6">
        <v>45565</v>
      </c>
      <c r="F9" t="s">
        <v>166</v>
      </c>
      <c r="G9" t="s">
        <v>166</v>
      </c>
      <c r="H9" t="s">
        <v>166</v>
      </c>
      <c r="I9" t="s">
        <v>166</v>
      </c>
      <c r="J9">
        <v>156</v>
      </c>
    </row>
    <row r="10" spans="1:10" x14ac:dyDescent="0.25">
      <c r="A10" t="s">
        <v>96</v>
      </c>
      <c r="B10" t="s">
        <v>190</v>
      </c>
      <c r="C10" s="6">
        <v>45565</v>
      </c>
      <c r="D10" t="s">
        <v>166</v>
      </c>
      <c r="E10" s="6">
        <v>45565</v>
      </c>
      <c r="F10" t="s">
        <v>166</v>
      </c>
      <c r="G10" t="s">
        <v>166</v>
      </c>
      <c r="H10" t="s">
        <v>166</v>
      </c>
      <c r="I10" t="s">
        <v>166</v>
      </c>
      <c r="J10">
        <v>371</v>
      </c>
    </row>
    <row r="11" spans="1:10" x14ac:dyDescent="0.25">
      <c r="A11" t="s">
        <v>106</v>
      </c>
      <c r="B11" t="s">
        <v>190</v>
      </c>
      <c r="C11" s="6">
        <v>45565</v>
      </c>
      <c r="D11" t="s">
        <v>166</v>
      </c>
      <c r="E11" s="6">
        <v>45565</v>
      </c>
      <c r="F11" t="s">
        <v>166</v>
      </c>
      <c r="G11" t="s">
        <v>166</v>
      </c>
      <c r="H11" t="s">
        <v>166</v>
      </c>
      <c r="I11" t="s">
        <v>166</v>
      </c>
      <c r="J11">
        <v>267</v>
      </c>
    </row>
    <row r="12" spans="1:10" x14ac:dyDescent="0.25">
      <c r="A12" t="s">
        <v>115</v>
      </c>
      <c r="B12" t="s">
        <v>190</v>
      </c>
      <c r="C12" s="6">
        <v>45565</v>
      </c>
      <c r="D12" t="s">
        <v>166</v>
      </c>
      <c r="E12" s="6">
        <v>45565</v>
      </c>
      <c r="F12" t="s">
        <v>166</v>
      </c>
      <c r="G12" t="s">
        <v>166</v>
      </c>
      <c r="H12" t="s">
        <v>166</v>
      </c>
      <c r="I12" t="s">
        <v>166</v>
      </c>
      <c r="J12">
        <v>1223</v>
      </c>
    </row>
    <row r="13" spans="1:10" x14ac:dyDescent="0.25">
      <c r="A13" t="s">
        <v>124</v>
      </c>
      <c r="B13" t="s">
        <v>190</v>
      </c>
      <c r="C13" s="6">
        <v>45565</v>
      </c>
      <c r="D13" t="s">
        <v>166</v>
      </c>
      <c r="E13" s="6">
        <v>45565</v>
      </c>
      <c r="F13" t="s">
        <v>166</v>
      </c>
      <c r="G13" t="s">
        <v>166</v>
      </c>
      <c r="H13" t="s">
        <v>166</v>
      </c>
      <c r="I13" t="s">
        <v>166</v>
      </c>
      <c r="J13">
        <v>1821</v>
      </c>
    </row>
    <row r="14" spans="1:10" x14ac:dyDescent="0.25">
      <c r="A14" t="s">
        <v>133</v>
      </c>
      <c r="B14" t="s">
        <v>190</v>
      </c>
      <c r="C14" s="6">
        <v>45565</v>
      </c>
      <c r="D14" t="s">
        <v>166</v>
      </c>
      <c r="E14" s="6">
        <v>45565</v>
      </c>
      <c r="F14" t="s">
        <v>166</v>
      </c>
      <c r="G14" t="s">
        <v>166</v>
      </c>
      <c r="H14" t="s">
        <v>166</v>
      </c>
      <c r="I14" t="s">
        <v>166</v>
      </c>
      <c r="J14">
        <v>370</v>
      </c>
    </row>
    <row r="15" spans="1:10" x14ac:dyDescent="0.25">
      <c r="A15" t="s">
        <v>141</v>
      </c>
      <c r="B15" t="s">
        <v>190</v>
      </c>
      <c r="C15" s="6">
        <v>45565</v>
      </c>
      <c r="D15" t="s">
        <v>166</v>
      </c>
      <c r="E15" s="6">
        <v>45565</v>
      </c>
      <c r="F15" t="s">
        <v>166</v>
      </c>
      <c r="G15" t="s">
        <v>166</v>
      </c>
      <c r="H15" t="s">
        <v>166</v>
      </c>
      <c r="I15" t="s">
        <v>166</v>
      </c>
      <c r="J15">
        <v>194</v>
      </c>
    </row>
    <row r="16" spans="1:10" x14ac:dyDescent="0.25">
      <c r="A16" t="s">
        <v>149</v>
      </c>
      <c r="B16" t="s">
        <v>190</v>
      </c>
      <c r="C16" s="6">
        <v>45565</v>
      </c>
      <c r="D16" t="s">
        <v>166</v>
      </c>
      <c r="E16" s="6">
        <v>45565</v>
      </c>
      <c r="F16" t="s">
        <v>166</v>
      </c>
      <c r="G16" t="s">
        <v>166</v>
      </c>
      <c r="H16" t="s">
        <v>166</v>
      </c>
      <c r="I16" t="s">
        <v>166</v>
      </c>
      <c r="J16">
        <v>1170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Heaney</dc:creator>
  <cp:lastModifiedBy>Harry Heaney</cp:lastModifiedBy>
  <dcterms:created xsi:type="dcterms:W3CDTF">2024-12-20T00:14:29Z</dcterms:created>
  <dcterms:modified xsi:type="dcterms:W3CDTF">2024-12-20T05:36:19Z</dcterms:modified>
</cp:coreProperties>
</file>